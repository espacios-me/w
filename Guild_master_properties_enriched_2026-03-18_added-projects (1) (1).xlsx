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Properties" sheetId="1" state="visible" r:id="rId1"/>
    <sheet xmlns:r="http://schemas.openxmlformats.org/officeDocument/2006/relationships" name="Master_Values_Frozen" sheetId="2" state="visible" r:id="rId2"/>
    <sheet xmlns:r="http://schemas.openxmlformats.org/officeDocument/2006/relationships" name="New_Projects_2026-03-18" sheetId="3" state="visible" r:id="rId3"/>
    <sheet xmlns:r="http://schemas.openxmlformats.org/officeDocument/2006/relationships" name="Merged_Raw_All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Methodology" sheetId="6" state="visible" r:id="rId6"/>
    <sheet xmlns:r="http://schemas.openxmlformats.org/officeDocument/2006/relationships" name="Sources" sheetId="7" state="visible" r:id="rId7"/>
  </sheets>
  <definedNames>
    <definedName name="_xlnm._FilterDatabase" localSheetId="0" hidden="1">'Master_Properties'!$A$1:$BK$548</definedName>
    <definedName name="_xlnm._FilterDatabase" localSheetId="1" hidden="1">'Master_Values_Frozen'!$A$1:$BK$548</definedName>
    <definedName name="_xlnm._FilterDatabase" localSheetId="2" hidden="1">'New_Projects_2026-03-18'!$A$1:$BK$12</definedName>
    <definedName name="_xlnm._FilterDatabase" localSheetId="3" hidden="1">'Merged_Raw_All'!$A$1:$AA$1084</definedName>
    <definedName name="_xlnm._FilterDatabase" localSheetId="4" hidden="1">'Assumptions'!$A$1:$D$12</definedName>
    <definedName name="_xlnm._FilterDatabase" localSheetId="5" hidden="1">'Methodology'!$A$1:$B$5</definedName>
    <definedName name="_xlnm._FilterDatabase" localSheetId="6" hidden="1">'Sources'!$A$1:$C$9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#,##0;[Red](#,##0);-"/>
    <numFmt numFmtId="165" formatCode="0.0;[Red](0.0);-"/>
    <numFmt numFmtId="166" formatCode="0.0%;[Red](0.0%);-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OpenAI</author>
  </authors>
  <commentList>
    <comment ref="B3" authorId="0" shapeId="0">
      <text>
        <t>Knight Frank quote relayed in Global Property Guide: https://www.globalpropertyguide.com/middle-east/united-arab-emirates/price-history</t>
      </text>
    </comment>
    <comment ref="B4" authorId="0" shapeId="0">
      <text>
        <t>Moody's view on villa resilience: https://gulfnews.com/business/property/dubais-growing-population-set-to-sustain-property-momentum-analysts-say-1.500457427</t>
      </text>
    </comment>
    <comment ref="B5" authorId="0" shapeId="0">
      <text>
        <t>Moody's view on mild apartment softening in supply-heavy clusters: https://gulfnews.com/business/property/dubais-growing-population-set-to-sustain-property-momentum-analysts-say-1.500457427</t>
      </text>
    </comment>
    <comment ref="B9" authorId="0" shapeId="0">
      <text>
        <t>CBUAE rates + Reuters current conditions: https://centralbank.ae/umbraco/Surface/InterestRate/GetKeyInterestRate and https://www.reuters.com/world/middle-east/uae-stocks-slip-after-fresh-iran-attacks-2026-03-17/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4" customWidth="1" min="4" max="4"/>
    <col width="21" customWidth="1" min="5" max="5"/>
    <col width="23" customWidth="1" min="6" max="6"/>
    <col width="26" customWidth="1" min="7" max="7"/>
    <col width="21" customWidth="1" min="8" max="8"/>
    <col width="16" customWidth="1" min="9" max="9"/>
    <col width="14" customWidth="1" min="10" max="10"/>
    <col width="13" customWidth="1" min="11" max="11"/>
    <col width="16" customWidth="1" min="12" max="12"/>
    <col width="12" customWidth="1" min="13" max="13"/>
    <col width="16" customWidth="1" min="14" max="14"/>
    <col width="30" customWidth="1" min="15" max="15"/>
    <col width="25" customWidth="1" min="16" max="16"/>
    <col width="26" customWidth="1" min="17" max="17"/>
    <col width="19" customWidth="1" min="18" max="18"/>
    <col width="12" customWidth="1" min="19" max="19"/>
    <col width="16" customWidth="1" min="20" max="20"/>
    <col width="13" customWidth="1" min="21" max="21"/>
    <col width="13" customWidth="1" min="22" max="22"/>
    <col width="28" customWidth="1" min="23" max="23"/>
    <col width="28" customWidth="1" min="24" max="24"/>
    <col width="28" customWidth="1" min="25" max="25"/>
    <col width="29" customWidth="1" min="26" max="26"/>
    <col width="30" customWidth="1" min="27" max="27"/>
    <col width="24" customWidth="1" min="28" max="28"/>
    <col width="25" customWidth="1" min="29" max="29"/>
    <col width="29" customWidth="1" min="30" max="30"/>
    <col width="30" customWidth="1" min="31" max="31"/>
    <col width="20" customWidth="1" min="32" max="32"/>
    <col width="23" customWidth="1" min="33" max="33"/>
    <col width="20" customWidth="1" min="34" max="34"/>
    <col width="26" customWidth="1" min="35" max="35"/>
    <col width="23" customWidth="1" min="36" max="36"/>
    <col width="30" customWidth="1" min="37" max="37"/>
    <col width="30" customWidth="1" min="38" max="38"/>
    <col width="24" customWidth="1" min="39" max="39"/>
    <col width="29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25" customWidth="1" min="59" max="59"/>
    <col width="30" customWidth="1" min="60" max="60"/>
    <col width="26" customWidth="1" min="61" max="61"/>
    <col width="22" customWidth="1" min="62" max="62"/>
    <col width="12" customWidth="1" min="63" max="63"/>
  </cols>
  <sheetData>
    <row r="1">
      <c r="A1" s="1" t="inlineStr">
        <is>
          <t>ID</t>
        </is>
      </c>
      <c r="B1" s="2" t="inlineStr">
        <is>
          <t>Name</t>
        </is>
      </c>
      <c r="C1" s="1" t="inlineStr">
        <is>
          <t>Developer</t>
        </is>
      </c>
      <c r="D1" s="1" t="inlineStr">
        <is>
          <t>Location</t>
        </is>
      </c>
      <c r="E1" s="1" t="inlineStr">
        <is>
          <t>Unit Type</t>
        </is>
      </c>
      <c r="F1" s="2" t="inlineStr">
        <is>
          <t>Community Type</t>
        </is>
      </c>
      <c r="G1" s="1" t="inlineStr">
        <is>
          <t>Start Price (AED)</t>
        </is>
      </c>
      <c r="H1" s="1" t="inlineStr">
        <is>
          <t>Price per Sqm (AED)</t>
        </is>
      </c>
      <c r="I1" s="1" t="inlineStr">
        <is>
          <t>Service Charge</t>
        </is>
      </c>
      <c r="J1" s="1" t="inlineStr">
        <is>
          <t>Payment Plan</t>
        </is>
      </c>
      <c r="K1" s="1" t="inlineStr">
        <is>
          <t>Launch Date</t>
        </is>
      </c>
      <c r="L1" s="1" t="inlineStr">
        <is>
          <t>Annual Yield %</t>
        </is>
      </c>
      <c r="M1" s="1" t="inlineStr">
        <is>
          <t>Cap Appr %</t>
        </is>
      </c>
      <c r="N1" s="1" t="inlineStr">
        <is>
          <t>Total Return %</t>
        </is>
      </c>
      <c r="O1" s="2" t="inlineStr">
        <is>
          <t>Nearest Schools</t>
        </is>
      </c>
      <c r="P1" s="2" t="inlineStr">
        <is>
          <t>Nearest Hospitals</t>
        </is>
      </c>
      <c r="Q1" s="2" t="inlineStr">
        <is>
          <t>Nearest Malls</t>
        </is>
      </c>
      <c r="R1" s="2" t="inlineStr">
        <is>
          <t>Main Access Roads</t>
        </is>
      </c>
      <c r="S1" s="1" t="inlineStr">
        <is>
          <t>Mins to DT</t>
        </is>
      </c>
      <c r="T1" s="1" t="inlineStr">
        <is>
          <t>Mins to Marina</t>
        </is>
      </c>
      <c r="U1" s="1" t="inlineStr">
        <is>
          <t>Mins to DXB</t>
        </is>
      </c>
      <c r="V1" s="1" t="inlineStr">
        <is>
          <t>Mins to DWC</t>
        </is>
      </c>
      <c r="W1" s="1" t="inlineStr">
        <is>
          <t>Duplicate_Count_From_Merge</t>
        </is>
      </c>
      <c r="X1" s="3" t="inlineStr">
        <is>
          <t>Helper_Start_Price_Min_AED</t>
        </is>
      </c>
      <c r="Y1" s="3" t="inlineStr">
        <is>
          <t>Helper_Start_Price_Max_AED</t>
        </is>
      </c>
      <c r="Z1" s="3" t="inlineStr">
        <is>
          <t>Helper_Annual_Yield_Low_Pct</t>
        </is>
      </c>
      <c r="AA1" s="3" t="inlineStr">
        <is>
          <t>Helper_Annual_Yield_High_Pct</t>
        </is>
      </c>
      <c r="AB1" s="3" t="inlineStr">
        <is>
          <t>Helper_Cap_App_Low_Pct</t>
        </is>
      </c>
      <c r="AC1" s="3" t="inlineStr">
        <is>
          <t>Helper_Cap_App_High_Pct</t>
        </is>
      </c>
      <c r="AD1" s="3" t="inlineStr">
        <is>
          <t>Helper_Total_Return_Low_Pct</t>
        </is>
      </c>
      <c r="AE1" s="3" t="inlineStr">
        <is>
          <t>Helper_Total_Return_High_Pct</t>
        </is>
      </c>
      <c r="AF1" s="3" t="inlineStr">
        <is>
          <t>Helper_Launch_Year</t>
        </is>
      </c>
      <c r="AG1" s="3" t="inlineStr">
        <is>
          <t>Helper_Launch_Quarter</t>
        </is>
      </c>
      <c r="AH1" s="3" t="inlineStr">
        <is>
          <t>Helper_Asset_Class</t>
        </is>
      </c>
      <c r="AI1" s="3" t="inlineStr">
        <is>
          <t>Helper_Area_Segment</t>
        </is>
      </c>
      <c r="AJ1" s="3" t="inlineStr">
        <is>
          <t>Helper_Developer_Tier</t>
        </is>
      </c>
      <c r="AK1" s="4" t="inlineStr">
        <is>
          <t>Market_Condition</t>
        </is>
      </c>
      <c r="AL1" s="5" t="inlineStr">
        <is>
          <t>Conditions_Notes</t>
        </is>
      </c>
      <c r="AM1" s="3" t="inlineStr">
        <is>
          <t>Helper_Cap_App_Mid_Pct</t>
        </is>
      </c>
      <c r="AN1" s="3" t="inlineStr">
        <is>
          <t>Helper_Annual_Yield_Mid_Pct</t>
        </is>
      </c>
      <c r="AO1" s="3" t="inlineStr">
        <is>
          <t>Helper_Current_Realization_Factor</t>
        </is>
      </c>
      <c r="AP1" s="3" t="inlineStr">
        <is>
          <t>Helper_Current_Prime_Premium_Pct</t>
        </is>
      </c>
      <c r="AQ1" s="3" t="inlineStr">
        <is>
          <t>Helper_Current_Asset_Adjustment_Pct</t>
        </is>
      </c>
      <c r="AR1" s="3" t="inlineStr">
        <is>
          <t>Helper_Current_Supply_Adjustment_Pct</t>
        </is>
      </c>
      <c r="AS1" s="3" t="inlineStr">
        <is>
          <t>Helper_Forecast_Segment_Base_Pct</t>
        </is>
      </c>
      <c r="AT1" s="3" t="inlineStr">
        <is>
          <t>Helper_Forecast_Developer_Adjustment_Pct</t>
        </is>
      </c>
      <c r="AU1" s="3" t="inlineStr">
        <is>
          <t>Helper_Forecast_Yield_Adjustment_Pct</t>
        </is>
      </c>
      <c r="AV1" s="3" t="inlineStr">
        <is>
          <t>Helper_Forecast_Risk_Adjustment_Pct</t>
        </is>
      </c>
      <c r="AW1" s="6" t="inlineStr">
        <is>
          <t>Current_Adjustment_Rate</t>
        </is>
      </c>
      <c r="AX1" s="6" t="inlineStr">
        <is>
          <t>Forecast_12M_Base_Pct</t>
        </is>
      </c>
      <c r="AY1" s="6" t="inlineStr">
        <is>
          <t>Current_Value_Low_AED</t>
        </is>
      </c>
      <c r="AZ1" s="6" t="inlineStr">
        <is>
          <t>Current_Value_Base_AED</t>
        </is>
      </c>
      <c r="BA1" s="6" t="inlineStr">
        <is>
          <t>Current_Value_High_AED</t>
        </is>
      </c>
      <c r="BB1" s="6" t="inlineStr">
        <is>
          <t>Forecast_12M_Low_AED</t>
        </is>
      </c>
      <c r="BC1" s="6" t="inlineStr">
        <is>
          <t>Forecast_12M_Base_AED</t>
        </is>
      </c>
      <c r="BD1" s="6" t="inlineStr">
        <is>
          <t>Forecast_12M_High_AED</t>
        </is>
      </c>
      <c r="BE1" s="6" t="inlineStr">
        <is>
          <t>Forecast_24M_Base_AED</t>
        </is>
      </c>
      <c r="BF1" s="5" t="inlineStr">
        <is>
          <t>Forecast_Method</t>
        </is>
      </c>
      <c r="BG1" s="4" t="inlineStr">
        <is>
          <t>Enrichment_Refresh_Date</t>
        </is>
      </c>
      <c r="BH1" s="5" t="inlineStr">
        <is>
          <t>Source_Summary</t>
        </is>
      </c>
      <c r="BI1" s="1" t="inlineStr">
        <is>
          <t>Added_Project_Source_URL</t>
        </is>
      </c>
      <c r="BJ1" s="1" t="inlineStr">
        <is>
          <t>Added_Project_Status</t>
        </is>
      </c>
      <c r="BK1" s="1" t="inlineStr">
        <is>
          <t>Added_On</t>
        </is>
      </c>
    </row>
    <row r="2">
      <c r="A2" t="n">
        <v>1</v>
      </c>
      <c r="B2" s="7" t="inlineStr">
        <is>
          <t>Grand Polo Club &amp; Resort</t>
        </is>
      </c>
      <c r="C2" t="inlineStr">
        <is>
          <t>Emaar Properties</t>
        </is>
      </c>
      <c r="D2" t="inlineStr">
        <is>
          <t>Near The Oasis/DIP</t>
        </is>
      </c>
      <c r="E2" t="inlineStr">
        <is>
          <t>Villas &amp; Townhouses</t>
        </is>
      </c>
      <c r="F2" s="7" t="inlineStr">
        <is>
          <t>Gated / Golf / Equine</t>
        </is>
      </c>
      <c r="G2" t="inlineStr">
        <is>
          <t>3.6M (TH) / 5.7M (Villa)</t>
        </is>
      </c>
      <c r="H2" t="inlineStr">
        <is>
          <t>1400-1600</t>
        </is>
      </c>
      <c r="I2" t="inlineStr">
        <is>
          <t>TBA</t>
        </is>
      </c>
      <c r="J2" t="inlineStr">
        <is>
          <t>80/20</t>
        </is>
      </c>
      <c r="K2" t="inlineStr">
        <is>
          <t>Q1 2025</t>
        </is>
      </c>
      <c r="L2" t="inlineStr">
        <is>
          <t>5.5-6.5</t>
        </is>
      </c>
      <c r="M2" t="inlineStr">
        <is>
          <t>8-12</t>
        </is>
      </c>
      <c r="N2" t="inlineStr">
        <is>
          <t>13.5-18.5</t>
        </is>
      </c>
      <c r="O2" s="7" t="inlineStr">
        <is>
          <t>Victory Heights / South View</t>
        </is>
      </c>
      <c r="P2" s="7" t="inlineStr">
        <is>
          <t>NMC Royal DIP</t>
        </is>
      </c>
      <c r="Q2" s="7" t="inlineStr">
        <is>
          <t>Damac Mall / First Ave</t>
        </is>
      </c>
      <c r="R2" s="7" t="inlineStr">
        <is>
          <t>Yalayis St / E611</t>
        </is>
      </c>
      <c r="S2" t="inlineStr">
        <is>
          <t>25</t>
        </is>
      </c>
      <c r="T2" t="inlineStr">
        <is>
          <t>20</t>
        </is>
      </c>
      <c r="U2" t="inlineStr">
        <is>
          <t>30</t>
        </is>
      </c>
      <c r="V2" t="inlineStr">
        <is>
          <t>18</t>
        </is>
      </c>
      <c r="W2" t="n">
        <v>2</v>
      </c>
      <c r="X2" s="12" t="n">
        <v>3600000</v>
      </c>
      <c r="Y2" s="12" t="n">
        <v>5700000</v>
      </c>
      <c r="Z2" s="9" t="n">
        <v>5.5</v>
      </c>
      <c r="AA2" s="9" t="n">
        <v>6.5</v>
      </c>
      <c r="AB2" s="9" t="n">
        <v>8</v>
      </c>
      <c r="AC2" s="9" t="n">
        <v>12</v>
      </c>
      <c r="AD2" s="9" t="n">
        <v>13.5</v>
      </c>
      <c r="AE2" s="9" t="n">
        <v>18.5</v>
      </c>
      <c r="AF2" t="n">
        <v>2025</v>
      </c>
      <c r="AG2" t="n">
        <v>1</v>
      </c>
      <c r="AH2" t="inlineStr">
        <is>
          <t>Villa/Townhouse</t>
        </is>
      </c>
      <c r="AI2" t="inlineStr">
        <is>
          <t>FamilyVilla</t>
        </is>
      </c>
      <c r="AJ2" t="inlineStr">
        <is>
          <t>TopTier</t>
        </is>
      </c>
      <c r="AK2" t="inlineStr">
        <is>
          <t>Family-villa resilient</t>
        </is>
      </c>
      <c r="AL2" s="7" t="inlineStr">
        <is>
          <t>Villa/townhouse demand remains relatively firmer, though growth should be slower than the post-2020 surge.</t>
        </is>
      </c>
      <c r="AM2" s="9" t="n">
        <v>10</v>
      </c>
      <c r="AN2" s="9" t="n">
        <v>6</v>
      </c>
      <c r="AO2" s="10" t="n">
        <v>0.4</v>
      </c>
      <c r="AP2" s="13" t="n">
        <v>0</v>
      </c>
      <c r="AQ2" s="13" t="n">
        <v>0.015</v>
      </c>
      <c r="AR2" s="13" t="n">
        <v>0</v>
      </c>
      <c r="AS2" s="13" t="n">
        <v>0.025</v>
      </c>
      <c r="AT2" s="13" t="n">
        <v>0.005</v>
      </c>
      <c r="AU2" s="13" t="n">
        <v>0</v>
      </c>
      <c r="AV2" s="13" t="n">
        <v>-0.005</v>
      </c>
      <c r="AW2" s="13">
        <f>IF(X2="","",(AM2/100*AO2)+AP2+AQ2+AR2)</f>
        <v/>
      </c>
      <c r="AX2" s="13">
        <f>IF(X2="","",AS2+AT2+AU2+AV2)</f>
        <v/>
      </c>
      <c r="AY2" s="12">
        <f>IF(AZ2="","",ROUND(AZ2*(1+Assumptions!$B$10),0))</f>
        <v/>
      </c>
      <c r="AZ2" s="12">
        <f>IF(X2="","",ROUND(X2*(1+AW2),0))</f>
        <v/>
      </c>
      <c r="BA2" s="12">
        <f>IF(AZ2="","",ROUND(AZ2*(1+Assumptions!$B$11),0))</f>
        <v/>
      </c>
      <c r="BB2" s="12">
        <f>IF(AZ2="","",ROUND(AZ2*(1+AX2+Assumptions!$B$10),0))</f>
        <v/>
      </c>
      <c r="BC2" s="12">
        <f>IF(AZ2="","",ROUND(AZ2*(1+AX2),0))</f>
        <v/>
      </c>
      <c r="BD2" s="12">
        <f>IF(AZ2="","",ROUND(AZ2*(1+AX2+Assumptions!$B$11),0))</f>
        <v/>
      </c>
      <c r="BE2" s="12">
        <f>IF(AZ2="","",ROUND(AZ2*(1+AX2)*(1+AX2),0))</f>
        <v/>
      </c>
      <c r="BF2" s="7" t="inlineStr">
        <is>
          <t>Rules-based enrichment using launch-price anchor, cap-app realization, and 2026 segment conditions.</t>
        </is>
      </c>
      <c r="BG2" t="inlineStr">
        <is>
          <t>2026-03-17</t>
        </is>
      </c>
      <c r="BH2" s="7" t="inlineStr">
        <is>
          <t>DLD / Digital Dubai / CBUAE / Savills / Knight Frank-Moody’s / Reuters</t>
        </is>
      </c>
    </row>
    <row r="3">
      <c r="A3" t="n">
        <v>2</v>
      </c>
      <c r="B3" s="7" t="inlineStr">
        <is>
          <t>Equiterra (Phases 1 &amp; 2)</t>
        </is>
      </c>
      <c r="C3" t="inlineStr">
        <is>
          <t>Emaar Properties</t>
        </is>
      </c>
      <c r="D3" t="inlineStr">
        <is>
          <t>Grand Polo Club</t>
        </is>
      </c>
      <c r="E3" t="inlineStr">
        <is>
          <t>Townhouses</t>
        </is>
      </c>
      <c r="F3" s="7" t="inlineStr">
        <is>
          <t>Gated Community</t>
        </is>
      </c>
      <c r="G3" t="inlineStr">
        <is>
          <t>3.6M</t>
        </is>
      </c>
      <c r="H3" t="inlineStr">
        <is>
          <t>1450</t>
        </is>
      </c>
      <c r="I3" t="inlineStr">
        <is>
          <t>TBA</t>
        </is>
      </c>
      <c r="J3" t="inlineStr">
        <is>
          <t>80/20</t>
        </is>
      </c>
      <c r="K3" t="inlineStr">
        <is>
          <t>Q1 2025</t>
        </is>
      </c>
      <c r="L3" t="inlineStr">
        <is>
          <t>5.5-6.0</t>
        </is>
      </c>
      <c r="M3" t="inlineStr">
        <is>
          <t>8-12</t>
        </is>
      </c>
      <c r="N3" t="inlineStr">
        <is>
          <t>13.5-18.0</t>
        </is>
      </c>
      <c r="O3" s="7" t="inlineStr">
        <is>
          <t>Victory Heights / South View</t>
        </is>
      </c>
      <c r="P3" s="7" t="inlineStr">
        <is>
          <t>NMC Royal DIP</t>
        </is>
      </c>
      <c r="Q3" s="7" t="inlineStr">
        <is>
          <t>Damac Mall / First Ave</t>
        </is>
      </c>
      <c r="R3" s="7" t="inlineStr">
        <is>
          <t>Yalayis St / E611</t>
        </is>
      </c>
      <c r="S3" t="inlineStr">
        <is>
          <t>25</t>
        </is>
      </c>
      <c r="T3" t="inlineStr">
        <is>
          <t>20</t>
        </is>
      </c>
      <c r="U3" t="inlineStr">
        <is>
          <t>30</t>
        </is>
      </c>
      <c r="V3" t="inlineStr">
        <is>
          <t>18</t>
        </is>
      </c>
      <c r="W3" t="n">
        <v>2</v>
      </c>
      <c r="X3" s="12" t="n">
        <v>3600000</v>
      </c>
      <c r="Y3" s="12" t="n">
        <v>3600000</v>
      </c>
      <c r="Z3" s="9" t="n">
        <v>5.5</v>
      </c>
      <c r="AA3" s="9" t="n">
        <v>6</v>
      </c>
      <c r="AB3" s="9" t="n">
        <v>8</v>
      </c>
      <c r="AC3" s="9" t="n">
        <v>12</v>
      </c>
      <c r="AD3" s="9" t="n">
        <v>13.5</v>
      </c>
      <c r="AE3" s="9" t="n">
        <v>18</v>
      </c>
      <c r="AF3" t="n">
        <v>2025</v>
      </c>
      <c r="AG3" t="n">
        <v>1</v>
      </c>
      <c r="AH3" t="inlineStr">
        <is>
          <t>Townhouse</t>
        </is>
      </c>
      <c r="AI3" t="inlineStr">
        <is>
          <t>FamilyVilla</t>
        </is>
      </c>
      <c r="AJ3" t="inlineStr">
        <is>
          <t>TopTier</t>
        </is>
      </c>
      <c r="AK3" t="inlineStr">
        <is>
          <t>Family-villa resilient</t>
        </is>
      </c>
      <c r="AL3" s="7" t="inlineStr">
        <is>
          <t>Villa/townhouse demand remains relatively firmer, though growth should be slower than the post-2020 surge.</t>
        </is>
      </c>
      <c r="AM3" s="9" t="n">
        <v>10</v>
      </c>
      <c r="AN3" s="9" t="n">
        <v>5.75</v>
      </c>
      <c r="AO3" s="10" t="n">
        <v>0.4</v>
      </c>
      <c r="AP3" s="13" t="n">
        <v>0</v>
      </c>
      <c r="AQ3" s="13" t="n">
        <v>0.015</v>
      </c>
      <c r="AR3" s="13" t="n">
        <v>0</v>
      </c>
      <c r="AS3" s="13" t="n">
        <v>0.025</v>
      </c>
      <c r="AT3" s="13" t="n">
        <v>0.005</v>
      </c>
      <c r="AU3" s="13" t="n">
        <v>0</v>
      </c>
      <c r="AV3" s="13" t="n">
        <v>-0.005</v>
      </c>
      <c r="AW3" s="13">
        <f>IF(X3="","",(AM3/100*AO3)+AP3+AQ3+AR3)</f>
        <v/>
      </c>
      <c r="AX3" s="13">
        <f>IF(X3="","",AS3+AT3+AU3+AV3)</f>
        <v/>
      </c>
      <c r="AY3" s="12">
        <f>IF(AZ3="","",ROUND(AZ3*(1+Assumptions!$B$10),0))</f>
        <v/>
      </c>
      <c r="AZ3" s="12">
        <f>IF(X3="","",ROUND(X3*(1+AW3),0))</f>
        <v/>
      </c>
      <c r="BA3" s="12">
        <f>IF(AZ3="","",ROUND(AZ3*(1+Assumptions!$B$11),0))</f>
        <v/>
      </c>
      <c r="BB3" s="12">
        <f>IF(AZ3="","",ROUND(AZ3*(1+AX3+Assumptions!$B$10),0))</f>
        <v/>
      </c>
      <c r="BC3" s="12">
        <f>IF(AZ3="","",ROUND(AZ3*(1+AX3),0))</f>
        <v/>
      </c>
      <c r="BD3" s="12">
        <f>IF(AZ3="","",ROUND(AZ3*(1+AX3+Assumptions!$B$11),0))</f>
        <v/>
      </c>
      <c r="BE3" s="12">
        <f>IF(AZ3="","",ROUND(AZ3*(1+AX3)*(1+AX3),0))</f>
        <v/>
      </c>
      <c r="BF3" s="7" t="inlineStr">
        <is>
          <t>Rules-based enrichment using launch-price anchor, cap-app realization, and 2026 segment conditions.</t>
        </is>
      </c>
      <c r="BG3" t="inlineStr">
        <is>
          <t>2026-03-17</t>
        </is>
      </c>
      <c r="BH3" s="7" t="inlineStr">
        <is>
          <t>DLD / Digital Dubai / CBUAE / Savills / Knight Frank-Moody’s / Reuters</t>
        </is>
      </c>
    </row>
    <row r="4">
      <c r="A4" t="n">
        <v>3</v>
      </c>
      <c r="B4" s="7" t="inlineStr">
        <is>
          <t>Equestra</t>
        </is>
      </c>
      <c r="C4" t="inlineStr">
        <is>
          <t>Emaar Properties</t>
        </is>
      </c>
      <c r="D4" t="inlineStr">
        <is>
          <t>Grand Polo Club</t>
        </is>
      </c>
      <c r="E4" t="inlineStr">
        <is>
          <t>Townhouses</t>
        </is>
      </c>
      <c r="F4" s="7" t="inlineStr">
        <is>
          <t>Gated Community</t>
        </is>
      </c>
      <c r="G4" t="inlineStr">
        <is>
          <t>3.7M</t>
        </is>
      </c>
      <c r="H4" t="inlineStr">
        <is>
          <t>1450</t>
        </is>
      </c>
      <c r="I4" t="inlineStr">
        <is>
          <t>TBA</t>
        </is>
      </c>
      <c r="J4" t="inlineStr">
        <is>
          <t>80/20</t>
        </is>
      </c>
      <c r="K4" t="inlineStr">
        <is>
          <t>Q1 2025</t>
        </is>
      </c>
      <c r="L4" t="inlineStr">
        <is>
          <t>5.5-6.0</t>
        </is>
      </c>
      <c r="M4" t="inlineStr">
        <is>
          <t>8-12</t>
        </is>
      </c>
      <c r="N4" t="inlineStr">
        <is>
          <t>13.5-18.0</t>
        </is>
      </c>
      <c r="O4" s="7" t="inlineStr">
        <is>
          <t>Victory Heights / South View</t>
        </is>
      </c>
      <c r="P4" s="7" t="inlineStr">
        <is>
          <t>NMC Royal DIP</t>
        </is>
      </c>
      <c r="Q4" s="7" t="inlineStr">
        <is>
          <t>Damac Mall / First Ave</t>
        </is>
      </c>
      <c r="R4" s="7" t="inlineStr">
        <is>
          <t>Yalayis St / E611</t>
        </is>
      </c>
      <c r="S4" t="inlineStr">
        <is>
          <t>25</t>
        </is>
      </c>
      <c r="T4" t="inlineStr">
        <is>
          <t>20</t>
        </is>
      </c>
      <c r="U4" t="inlineStr">
        <is>
          <t>30</t>
        </is>
      </c>
      <c r="V4" t="inlineStr">
        <is>
          <t>18</t>
        </is>
      </c>
      <c r="W4" t="n">
        <v>2</v>
      </c>
      <c r="X4" s="12" t="n">
        <v>3700000</v>
      </c>
      <c r="Y4" s="12" t="n">
        <v>3700000</v>
      </c>
      <c r="Z4" s="9" t="n">
        <v>5.5</v>
      </c>
      <c r="AA4" s="9" t="n">
        <v>6</v>
      </c>
      <c r="AB4" s="9" t="n">
        <v>8</v>
      </c>
      <c r="AC4" s="9" t="n">
        <v>12</v>
      </c>
      <c r="AD4" s="9" t="n">
        <v>13.5</v>
      </c>
      <c r="AE4" s="9" t="n">
        <v>18</v>
      </c>
      <c r="AF4" t="n">
        <v>2025</v>
      </c>
      <c r="AG4" t="n">
        <v>1</v>
      </c>
      <c r="AH4" t="inlineStr">
        <is>
          <t>Townhouse</t>
        </is>
      </c>
      <c r="AI4" t="inlineStr">
        <is>
          <t>FamilyVilla</t>
        </is>
      </c>
      <c r="AJ4" t="inlineStr">
        <is>
          <t>TopTier</t>
        </is>
      </c>
      <c r="AK4" t="inlineStr">
        <is>
          <t>Family-villa resilient</t>
        </is>
      </c>
      <c r="AL4" s="7" t="inlineStr">
        <is>
          <t>Villa/townhouse demand remains relatively firmer, though growth should be slower than the post-2020 surge.</t>
        </is>
      </c>
      <c r="AM4" s="9" t="n">
        <v>10</v>
      </c>
      <c r="AN4" s="9" t="n">
        <v>5.75</v>
      </c>
      <c r="AO4" s="10" t="n">
        <v>0.4</v>
      </c>
      <c r="AP4" s="13" t="n">
        <v>0</v>
      </c>
      <c r="AQ4" s="13" t="n">
        <v>0.015</v>
      </c>
      <c r="AR4" s="13" t="n">
        <v>0</v>
      </c>
      <c r="AS4" s="13" t="n">
        <v>0.025</v>
      </c>
      <c r="AT4" s="13" t="n">
        <v>0.005</v>
      </c>
      <c r="AU4" s="13" t="n">
        <v>0</v>
      </c>
      <c r="AV4" s="13" t="n">
        <v>-0.005</v>
      </c>
      <c r="AW4" s="13">
        <f>IF(X4="","",(AM4/100*AO4)+AP4+AQ4+AR4)</f>
        <v/>
      </c>
      <c r="AX4" s="13">
        <f>IF(X4="","",AS4+AT4+AU4+AV4)</f>
        <v/>
      </c>
      <c r="AY4" s="12">
        <f>IF(AZ4="","",ROUND(AZ4*(1+Assumptions!$B$10),0))</f>
        <v/>
      </c>
      <c r="AZ4" s="12">
        <f>IF(X4="","",ROUND(X4*(1+AW4),0))</f>
        <v/>
      </c>
      <c r="BA4" s="12">
        <f>IF(AZ4="","",ROUND(AZ4*(1+Assumptions!$B$11),0))</f>
        <v/>
      </c>
      <c r="BB4" s="12">
        <f>IF(AZ4="","",ROUND(AZ4*(1+AX4+Assumptions!$B$10),0))</f>
        <v/>
      </c>
      <c r="BC4" s="12">
        <f>IF(AZ4="","",ROUND(AZ4*(1+AX4),0))</f>
        <v/>
      </c>
      <c r="BD4" s="12">
        <f>IF(AZ4="","",ROUND(AZ4*(1+AX4+Assumptions!$B$11),0))</f>
        <v/>
      </c>
      <c r="BE4" s="12">
        <f>IF(AZ4="","",ROUND(AZ4*(1+AX4)*(1+AX4),0))</f>
        <v/>
      </c>
      <c r="BF4" s="7" t="inlineStr">
        <is>
          <t>Rules-based enrichment using launch-price anchor, cap-app realization, and 2026 segment conditions.</t>
        </is>
      </c>
      <c r="BG4" t="inlineStr">
        <is>
          <t>2026-03-17</t>
        </is>
      </c>
      <c r="BH4" s="7" t="inlineStr">
        <is>
          <t>DLD / Digital Dubai / CBUAE / Savills / Knight Frank-Moody’s / Reuters</t>
        </is>
      </c>
    </row>
    <row r="5">
      <c r="A5" t="n">
        <v>4</v>
      </c>
      <c r="B5" s="7" t="inlineStr">
        <is>
          <t>Chevalia Estate 2</t>
        </is>
      </c>
      <c r="C5" t="inlineStr">
        <is>
          <t>Emaar Properties</t>
        </is>
      </c>
      <c r="D5" t="inlineStr">
        <is>
          <t>Grand Polo Club</t>
        </is>
      </c>
      <c r="E5" t="inlineStr">
        <is>
          <t>Villas (Large)</t>
        </is>
      </c>
      <c r="F5" s="7" t="inlineStr">
        <is>
          <t>Gated Community</t>
        </is>
      </c>
      <c r="G5" t="inlineStr">
        <is>
          <t>7.9M</t>
        </is>
      </c>
      <c r="H5" t="inlineStr">
        <is>
          <t>1600</t>
        </is>
      </c>
      <c r="I5" t="inlineStr">
        <is>
          <t>TBA</t>
        </is>
      </c>
      <c r="J5" t="inlineStr">
        <is>
          <t>80/20</t>
        </is>
      </c>
      <c r="K5" t="inlineStr">
        <is>
          <t>Q1 2025</t>
        </is>
      </c>
      <c r="L5" t="inlineStr">
        <is>
          <t>4.5-5.5</t>
        </is>
      </c>
      <c r="M5" t="inlineStr">
        <is>
          <t>8-12</t>
        </is>
      </c>
      <c r="N5" t="inlineStr">
        <is>
          <t>12.5-17.5</t>
        </is>
      </c>
      <c r="O5" s="7" t="inlineStr">
        <is>
          <t>Victory Heights / South View</t>
        </is>
      </c>
      <c r="P5" s="7" t="inlineStr">
        <is>
          <t>NMC Royal DIP</t>
        </is>
      </c>
      <c r="Q5" s="7" t="inlineStr">
        <is>
          <t>Damac Mall / First Ave</t>
        </is>
      </c>
      <c r="R5" s="7" t="inlineStr">
        <is>
          <t>Yalayis St / E611</t>
        </is>
      </c>
      <c r="S5" t="inlineStr">
        <is>
          <t>25</t>
        </is>
      </c>
      <c r="T5" t="inlineStr">
        <is>
          <t>20</t>
        </is>
      </c>
      <c r="U5" t="inlineStr">
        <is>
          <t>30</t>
        </is>
      </c>
      <c r="V5" t="inlineStr">
        <is>
          <t>18</t>
        </is>
      </c>
      <c r="W5" t="n">
        <v>2</v>
      </c>
      <c r="X5" s="12" t="n">
        <v>7900000</v>
      </c>
      <c r="Y5" s="12" t="n">
        <v>7900000</v>
      </c>
      <c r="Z5" s="9" t="n">
        <v>4.5</v>
      </c>
      <c r="AA5" s="9" t="n">
        <v>5.5</v>
      </c>
      <c r="AB5" s="9" t="n">
        <v>8</v>
      </c>
      <c r="AC5" s="9" t="n">
        <v>12</v>
      </c>
      <c r="AD5" s="9" t="n">
        <v>12.5</v>
      </c>
      <c r="AE5" s="9" t="n">
        <v>17.5</v>
      </c>
      <c r="AF5" t="n">
        <v>2025</v>
      </c>
      <c r="AG5" t="n">
        <v>1</v>
      </c>
      <c r="AH5" t="inlineStr">
        <is>
          <t>Villa</t>
        </is>
      </c>
      <c r="AI5" t="inlineStr">
        <is>
          <t>FamilyVilla</t>
        </is>
      </c>
      <c r="AJ5" t="inlineStr">
        <is>
          <t>TopTier</t>
        </is>
      </c>
      <c r="AK5" t="inlineStr">
        <is>
          <t>Family-villa resilient</t>
        </is>
      </c>
      <c r="AL5" s="7" t="inlineStr">
        <is>
          <t>Villa/townhouse demand remains relatively firmer, though growth should be slower than the post-2020 surge.</t>
        </is>
      </c>
      <c r="AM5" s="9" t="n">
        <v>10</v>
      </c>
      <c r="AN5" s="9" t="n">
        <v>5</v>
      </c>
      <c r="AO5" s="10" t="n">
        <v>0.4</v>
      </c>
      <c r="AP5" s="13" t="n">
        <v>0</v>
      </c>
      <c r="AQ5" s="13" t="n">
        <v>0.015</v>
      </c>
      <c r="AR5" s="13" t="n">
        <v>0</v>
      </c>
      <c r="AS5" s="13" t="n">
        <v>0.025</v>
      </c>
      <c r="AT5" s="13" t="n">
        <v>0.005</v>
      </c>
      <c r="AU5" s="13" t="n">
        <v>0</v>
      </c>
      <c r="AV5" s="13" t="n">
        <v>-0.005</v>
      </c>
      <c r="AW5" s="13">
        <f>IF(X5="","",(AM5/100*AO5)+AP5+AQ5+AR5)</f>
        <v/>
      </c>
      <c r="AX5" s="13">
        <f>IF(X5="","",AS5+AT5+AU5+AV5)</f>
        <v/>
      </c>
      <c r="AY5" s="12">
        <f>IF(AZ5="","",ROUND(AZ5*(1+Assumptions!$B$10),0))</f>
        <v/>
      </c>
      <c r="AZ5" s="12">
        <f>IF(X5="","",ROUND(X5*(1+AW5),0))</f>
        <v/>
      </c>
      <c r="BA5" s="12">
        <f>IF(AZ5="","",ROUND(AZ5*(1+Assumptions!$B$11),0))</f>
        <v/>
      </c>
      <c r="BB5" s="12">
        <f>IF(AZ5="","",ROUND(AZ5*(1+AX5+Assumptions!$B$10),0))</f>
        <v/>
      </c>
      <c r="BC5" s="12">
        <f>IF(AZ5="","",ROUND(AZ5*(1+AX5),0))</f>
        <v/>
      </c>
      <c r="BD5" s="12">
        <f>IF(AZ5="","",ROUND(AZ5*(1+AX5+Assumptions!$B$11),0))</f>
        <v/>
      </c>
      <c r="BE5" s="12">
        <f>IF(AZ5="","",ROUND(AZ5*(1+AX5)*(1+AX5),0))</f>
        <v/>
      </c>
      <c r="BF5" s="7" t="inlineStr">
        <is>
          <t>Rules-based enrichment using launch-price anchor, cap-app realization, and 2026 segment conditions.</t>
        </is>
      </c>
      <c r="BG5" t="inlineStr">
        <is>
          <t>2026-03-17</t>
        </is>
      </c>
      <c r="BH5" s="7" t="inlineStr">
        <is>
          <t>DLD / Digital Dubai / CBUAE / Savills / Knight Frank-Moody’s / Reuters</t>
        </is>
      </c>
    </row>
    <row r="6">
      <c r="A6" t="n">
        <v>5</v>
      </c>
      <c r="B6" s="7" t="inlineStr">
        <is>
          <t>Selvara (Phases 3 &amp; 4)</t>
        </is>
      </c>
      <c r="C6" t="inlineStr">
        <is>
          <t>Emaar Properties</t>
        </is>
      </c>
      <c r="D6" t="inlineStr">
        <is>
          <t>Grand Polo Club</t>
        </is>
      </c>
      <c r="E6" t="inlineStr">
        <is>
          <t>Villas</t>
        </is>
      </c>
      <c r="F6" s="7" t="inlineStr">
        <is>
          <t>Gated Community</t>
        </is>
      </c>
      <c r="G6" t="inlineStr">
        <is>
          <t>6.2M</t>
        </is>
      </c>
      <c r="H6" t="inlineStr">
        <is>
          <t>1550</t>
        </is>
      </c>
      <c r="I6" t="inlineStr">
        <is>
          <t>TBA</t>
        </is>
      </c>
      <c r="J6" t="inlineStr">
        <is>
          <t>80/20</t>
        </is>
      </c>
      <c r="K6" t="inlineStr">
        <is>
          <t>Q1 2025</t>
        </is>
      </c>
      <c r="L6" t="inlineStr">
        <is>
          <t>5.0-5.5</t>
        </is>
      </c>
      <c r="M6" t="inlineStr">
        <is>
          <t>8-12</t>
        </is>
      </c>
      <c r="N6" t="inlineStr">
        <is>
          <t>13.0-17.5</t>
        </is>
      </c>
      <c r="O6" s="7" t="inlineStr">
        <is>
          <t>Victory Heights / South View</t>
        </is>
      </c>
      <c r="P6" s="7" t="inlineStr">
        <is>
          <t>NMC Royal DIP</t>
        </is>
      </c>
      <c r="Q6" s="7" t="inlineStr">
        <is>
          <t>Damac Mall / First Ave</t>
        </is>
      </c>
      <c r="R6" s="7" t="inlineStr">
        <is>
          <t>Yalayis St / E611</t>
        </is>
      </c>
      <c r="S6" t="inlineStr">
        <is>
          <t>25</t>
        </is>
      </c>
      <c r="T6" t="inlineStr">
        <is>
          <t>20</t>
        </is>
      </c>
      <c r="U6" t="inlineStr">
        <is>
          <t>30</t>
        </is>
      </c>
      <c r="V6" t="inlineStr">
        <is>
          <t>18</t>
        </is>
      </c>
      <c r="W6" t="n">
        <v>2</v>
      </c>
      <c r="X6" s="12" t="n">
        <v>6200000</v>
      </c>
      <c r="Y6" s="12" t="n">
        <v>6200000</v>
      </c>
      <c r="Z6" s="9" t="n">
        <v>5</v>
      </c>
      <c r="AA6" s="9" t="n">
        <v>5.5</v>
      </c>
      <c r="AB6" s="9" t="n">
        <v>8</v>
      </c>
      <c r="AC6" s="9" t="n">
        <v>12</v>
      </c>
      <c r="AD6" s="9" t="n">
        <v>13</v>
      </c>
      <c r="AE6" s="9" t="n">
        <v>17.5</v>
      </c>
      <c r="AF6" t="n">
        <v>2025</v>
      </c>
      <c r="AG6" t="n">
        <v>1</v>
      </c>
      <c r="AH6" t="inlineStr">
        <is>
          <t>Villa</t>
        </is>
      </c>
      <c r="AI6" t="inlineStr">
        <is>
          <t>FamilyVilla</t>
        </is>
      </c>
      <c r="AJ6" t="inlineStr">
        <is>
          <t>TopTier</t>
        </is>
      </c>
      <c r="AK6" t="inlineStr">
        <is>
          <t>Family-villa resilient</t>
        </is>
      </c>
      <c r="AL6" s="7" t="inlineStr">
        <is>
          <t>Villa/townhouse demand remains relatively firmer, though growth should be slower than the post-2020 surge.</t>
        </is>
      </c>
      <c r="AM6" s="9" t="n">
        <v>10</v>
      </c>
      <c r="AN6" s="9" t="n">
        <v>5.25</v>
      </c>
      <c r="AO6" s="10" t="n">
        <v>0.4</v>
      </c>
      <c r="AP6" s="13" t="n">
        <v>0</v>
      </c>
      <c r="AQ6" s="13" t="n">
        <v>0.015</v>
      </c>
      <c r="AR6" s="13" t="n">
        <v>0</v>
      </c>
      <c r="AS6" s="13" t="n">
        <v>0.025</v>
      </c>
      <c r="AT6" s="13" t="n">
        <v>0.005</v>
      </c>
      <c r="AU6" s="13" t="n">
        <v>0</v>
      </c>
      <c r="AV6" s="13" t="n">
        <v>-0.005</v>
      </c>
      <c r="AW6" s="13">
        <f>IF(X6="","",(AM6/100*AO6)+AP6+AQ6+AR6)</f>
        <v/>
      </c>
      <c r="AX6" s="13">
        <f>IF(X6="","",AS6+AT6+AU6+AV6)</f>
        <v/>
      </c>
      <c r="AY6" s="12">
        <f>IF(AZ6="","",ROUND(AZ6*(1+Assumptions!$B$10),0))</f>
        <v/>
      </c>
      <c r="AZ6" s="12">
        <f>IF(X6="","",ROUND(X6*(1+AW6),0))</f>
        <v/>
      </c>
      <c r="BA6" s="12">
        <f>IF(AZ6="","",ROUND(AZ6*(1+Assumptions!$B$11),0))</f>
        <v/>
      </c>
      <c r="BB6" s="12">
        <f>IF(AZ6="","",ROUND(AZ6*(1+AX6+Assumptions!$B$10),0))</f>
        <v/>
      </c>
      <c r="BC6" s="12">
        <f>IF(AZ6="","",ROUND(AZ6*(1+AX6),0))</f>
        <v/>
      </c>
      <c r="BD6" s="12">
        <f>IF(AZ6="","",ROUND(AZ6*(1+AX6+Assumptions!$B$11),0))</f>
        <v/>
      </c>
      <c r="BE6" s="12">
        <f>IF(AZ6="","",ROUND(AZ6*(1+AX6)*(1+AX6),0))</f>
        <v/>
      </c>
      <c r="BF6" s="7" t="inlineStr">
        <is>
          <t>Rules-based enrichment using launch-price anchor, cap-app realization, and 2026 segment conditions.</t>
        </is>
      </c>
      <c r="BG6" t="inlineStr">
        <is>
          <t>2026-03-17</t>
        </is>
      </c>
      <c r="BH6" s="7" t="inlineStr">
        <is>
          <t>DLD / Digital Dubai / CBUAE / Savills / Knight Frank-Moody’s / Reuters</t>
        </is>
      </c>
    </row>
    <row r="7">
      <c r="A7" t="n">
        <v>6</v>
      </c>
      <c r="B7" s="7" t="inlineStr">
        <is>
          <t>Rashid Yachts &amp; Marina</t>
        </is>
      </c>
      <c r="C7" t="inlineStr">
        <is>
          <t>Emaar Properties</t>
        </is>
      </c>
      <c r="D7" t="inlineStr">
        <is>
          <t>Mina Rashid</t>
        </is>
      </c>
      <c r="E7" t="inlineStr">
        <is>
          <t>Mixed</t>
        </is>
      </c>
      <c r="F7" s="7" t="inlineStr">
        <is>
          <t>Waterfront / Marina</t>
        </is>
      </c>
      <c r="I7" t="inlineStr">
        <is>
          <t>25-30</t>
        </is>
      </c>
      <c r="J7" t="inlineStr">
        <is>
          <t>Varies</t>
        </is>
      </c>
      <c r="K7" t="inlineStr">
        <is>
          <t>2023-2025</t>
        </is>
      </c>
      <c r="L7" t="inlineStr">
        <is>
          <t>5.5-6.5</t>
        </is>
      </c>
      <c r="M7" t="inlineStr">
        <is>
          <t>10-15</t>
        </is>
      </c>
      <c r="N7" t="inlineStr">
        <is>
          <t>15.5-21.5</t>
        </is>
      </c>
      <c r="O7" s="7" t="inlineStr">
        <is>
          <t>New Academy School</t>
        </is>
      </c>
      <c r="P7" s="7" t="inlineStr">
        <is>
          <t>Aster Hospital Mankhool</t>
        </is>
      </c>
      <c r="Q7" s="7" t="inlineStr">
        <is>
          <t>Dubai Mall / City Centre</t>
        </is>
      </c>
      <c r="R7" s="7" t="inlineStr">
        <is>
          <t>Al Khaleej / E11</t>
        </is>
      </c>
      <c r="S7" t="inlineStr">
        <is>
          <t>15</t>
        </is>
      </c>
      <c r="T7" t="inlineStr">
        <is>
          <t>25</t>
        </is>
      </c>
      <c r="U7" t="inlineStr">
        <is>
          <t>15</t>
        </is>
      </c>
      <c r="V7" t="inlineStr">
        <is>
          <t>45</t>
        </is>
      </c>
      <c r="W7" t="n">
        <v>2</v>
      </c>
      <c r="X7" s="12" t="n"/>
      <c r="Y7" s="12" t="n"/>
      <c r="Z7" s="9" t="n">
        <v>5.5</v>
      </c>
      <c r="AA7" s="9" t="n">
        <v>6.5</v>
      </c>
      <c r="AB7" s="9" t="n">
        <v>10</v>
      </c>
      <c r="AC7" s="9" t="n">
        <v>15</v>
      </c>
      <c r="AD7" s="9" t="n">
        <v>15.5</v>
      </c>
      <c r="AE7" s="9" t="n">
        <v>21.5</v>
      </c>
      <c r="AF7" t="n">
        <v>2023</v>
      </c>
      <c r="AH7" t="inlineStr">
        <is>
          <t>Mixed/Other</t>
        </is>
      </c>
      <c r="AI7" t="inlineStr">
        <is>
          <t>MainstreamSelective</t>
        </is>
      </c>
      <c r="AJ7" t="inlineStr">
        <is>
          <t>TopTier</t>
        </is>
      </c>
      <c r="AK7" t="inlineStr">
        <is>
          <t>Balanced / selective</t>
        </is>
      </c>
      <c r="AL7" s="7" t="inlineStr">
        <is>
          <t>Market remains active but increasingly differentiated by developer, micro-location, livability, and pricing discipline.</t>
        </is>
      </c>
      <c r="AM7" s="9" t="n">
        <v>12.5</v>
      </c>
      <c r="AN7" s="9" t="n">
        <v>6</v>
      </c>
      <c r="AO7" s="10" t="n">
        <v>0.55</v>
      </c>
      <c r="AP7" s="13" t="n">
        <v>0</v>
      </c>
      <c r="AQ7" s="13" t="n">
        <v>0</v>
      </c>
      <c r="AR7" s="13" t="n">
        <v>0</v>
      </c>
      <c r="AS7" s="13" t="n">
        <v>0.01</v>
      </c>
      <c r="AT7" s="13" t="n">
        <v>0.005</v>
      </c>
      <c r="AU7" s="13" t="n">
        <v>0</v>
      </c>
      <c r="AV7" s="13" t="n">
        <v>-0.005</v>
      </c>
      <c r="AW7" s="13">
        <f>IF(X7="","",(AM7/100*AO7)+AP7+AQ7+AR7)</f>
        <v/>
      </c>
      <c r="AX7" s="13">
        <f>IF(X7="","",AS7+AT7+AU7+AV7)</f>
        <v/>
      </c>
      <c r="AY7" s="12">
        <f>IF(AZ7="","",ROUND(AZ7*(1+Assumptions!$B$10),0))</f>
        <v/>
      </c>
      <c r="AZ7" s="12">
        <f>IF(X7="","",ROUND(X7*(1+AW7),0))</f>
        <v/>
      </c>
      <c r="BA7" s="12">
        <f>IF(AZ7="","",ROUND(AZ7*(1+Assumptions!$B$11),0))</f>
        <v/>
      </c>
      <c r="BB7" s="12">
        <f>IF(AZ7="","",ROUND(AZ7*(1+AX7+Assumptions!$B$10),0))</f>
        <v/>
      </c>
      <c r="BC7" s="12">
        <f>IF(AZ7="","",ROUND(AZ7*(1+AX7),0))</f>
        <v/>
      </c>
      <c r="BD7" s="12">
        <f>IF(AZ7="","",ROUND(AZ7*(1+AX7+Assumptions!$B$11),0))</f>
        <v/>
      </c>
      <c r="BE7" s="12">
        <f>IF(AZ7="","",ROUND(AZ7*(1+AX7)*(1+AX7),0))</f>
        <v/>
      </c>
      <c r="BF7" s="7" t="inlineStr">
        <is>
          <t>Rules-based enrichment using launch-price anchor, cap-app realization, and 2026 segment conditions.</t>
        </is>
      </c>
      <c r="BG7" t="inlineStr">
        <is>
          <t>2026-03-17</t>
        </is>
      </c>
      <c r="BH7" s="7" t="inlineStr">
        <is>
          <t>DLD / Digital Dubai / CBUAE / Savills / Knight Frank-Moody’s / Reuters</t>
        </is>
      </c>
    </row>
    <row r="8">
      <c r="A8" t="n">
        <v>7</v>
      </c>
      <c r="B8" s="7" t="inlineStr">
        <is>
          <t>Aurea</t>
        </is>
      </c>
      <c r="C8" t="inlineStr">
        <is>
          <t>Emaar Properties</t>
        </is>
      </c>
      <c r="D8" t="inlineStr">
        <is>
          <t>Rashid Yachts &amp; Marina</t>
        </is>
      </c>
      <c r="E8" t="inlineStr">
        <is>
          <t>Apartments</t>
        </is>
      </c>
      <c r="F8" s="7" t="inlineStr">
        <is>
          <t>Waterfront</t>
        </is>
      </c>
      <c r="G8" t="inlineStr">
        <is>
          <t>1.8M</t>
        </is>
      </c>
      <c r="H8" t="inlineStr">
        <is>
          <t>2200</t>
        </is>
      </c>
      <c r="I8" t="inlineStr">
        <is>
          <t>25</t>
        </is>
      </c>
      <c r="J8" t="inlineStr">
        <is>
          <t>80/20</t>
        </is>
      </c>
      <c r="K8" t="inlineStr">
        <is>
          <t>2024</t>
        </is>
      </c>
      <c r="L8" t="inlineStr">
        <is>
          <t>5.5-6.0</t>
        </is>
      </c>
      <c r="M8" t="inlineStr">
        <is>
          <t>10-12</t>
        </is>
      </c>
      <c r="N8" t="inlineStr">
        <is>
          <t>15.5-18.0</t>
        </is>
      </c>
      <c r="O8" s="7" t="inlineStr">
        <is>
          <t>New Academy School</t>
        </is>
      </c>
      <c r="P8" s="7" t="inlineStr">
        <is>
          <t>Aster Hospital Mankhool</t>
        </is>
      </c>
      <c r="Q8" s="7" t="inlineStr">
        <is>
          <t>Dubai Mall / City Centre</t>
        </is>
      </c>
      <c r="R8" s="7" t="inlineStr">
        <is>
          <t>Al Khaleej / E11</t>
        </is>
      </c>
      <c r="S8" t="inlineStr">
        <is>
          <t>15</t>
        </is>
      </c>
      <c r="T8" t="inlineStr">
        <is>
          <t>25</t>
        </is>
      </c>
      <c r="U8" t="inlineStr">
        <is>
          <t>15</t>
        </is>
      </c>
      <c r="V8" t="inlineStr">
        <is>
          <t>45</t>
        </is>
      </c>
      <c r="W8" t="n">
        <v>2</v>
      </c>
      <c r="X8" s="12" t="n">
        <v>1800000</v>
      </c>
      <c r="Y8" s="12" t="n">
        <v>1800000</v>
      </c>
      <c r="Z8" s="9" t="n">
        <v>5.5</v>
      </c>
      <c r="AA8" s="9" t="n">
        <v>6</v>
      </c>
      <c r="AB8" s="9" t="n">
        <v>10</v>
      </c>
      <c r="AC8" s="9" t="n">
        <v>12</v>
      </c>
      <c r="AD8" s="9" t="n">
        <v>15.5</v>
      </c>
      <c r="AE8" s="9" t="n">
        <v>18</v>
      </c>
      <c r="AF8" t="n">
        <v>2024</v>
      </c>
      <c r="AH8" t="inlineStr">
        <is>
          <t>Apartment</t>
        </is>
      </c>
      <c r="AI8" t="inlineStr">
        <is>
          <t>MainstreamSelective</t>
        </is>
      </c>
      <c r="AJ8" t="inlineStr">
        <is>
          <t>TopTier</t>
        </is>
      </c>
      <c r="AK8" t="inlineStr">
        <is>
          <t>Balanced / selective</t>
        </is>
      </c>
      <c r="AL8" s="7" t="inlineStr">
        <is>
          <t>Market remains active but increasingly differentiated by developer, micro-location, livability, and pricing discipline.</t>
        </is>
      </c>
      <c r="AM8" s="9" t="n">
        <v>11</v>
      </c>
      <c r="AN8" s="9" t="n">
        <v>5.75</v>
      </c>
      <c r="AO8" s="10" t="n">
        <v>0.55</v>
      </c>
      <c r="AP8" s="13" t="n">
        <v>0</v>
      </c>
      <c r="AQ8" s="13" t="n">
        <v>0</v>
      </c>
      <c r="AR8" s="13" t="n">
        <v>0</v>
      </c>
      <c r="AS8" s="13" t="n">
        <v>0.01</v>
      </c>
      <c r="AT8" s="13" t="n">
        <v>0.005</v>
      </c>
      <c r="AU8" s="13" t="n">
        <v>0</v>
      </c>
      <c r="AV8" s="13" t="n">
        <v>-0.005</v>
      </c>
      <c r="AW8" s="13">
        <f>IF(X8="","",(AM8/100*AO8)+AP8+AQ8+AR8)</f>
        <v/>
      </c>
      <c r="AX8" s="13">
        <f>IF(X8="","",AS8+AT8+AU8+AV8)</f>
        <v/>
      </c>
      <c r="AY8" s="12">
        <f>IF(AZ8="","",ROUND(AZ8*(1+Assumptions!$B$10),0))</f>
        <v/>
      </c>
      <c r="AZ8" s="12">
        <f>IF(X8="","",ROUND(X8*(1+AW8),0))</f>
        <v/>
      </c>
      <c r="BA8" s="12">
        <f>IF(AZ8="","",ROUND(AZ8*(1+Assumptions!$B$11),0))</f>
        <v/>
      </c>
      <c r="BB8" s="12">
        <f>IF(AZ8="","",ROUND(AZ8*(1+AX8+Assumptions!$B$10),0))</f>
        <v/>
      </c>
      <c r="BC8" s="12">
        <f>IF(AZ8="","",ROUND(AZ8*(1+AX8),0))</f>
        <v/>
      </c>
      <c r="BD8" s="12">
        <f>IF(AZ8="","",ROUND(AZ8*(1+AX8+Assumptions!$B$11),0))</f>
        <v/>
      </c>
      <c r="BE8" s="12">
        <f>IF(AZ8="","",ROUND(AZ8*(1+AX8)*(1+AX8),0))</f>
        <v/>
      </c>
      <c r="BF8" s="7" t="inlineStr">
        <is>
          <t>Rules-based enrichment using launch-price anchor, cap-app realization, and 2026 segment conditions.</t>
        </is>
      </c>
      <c r="BG8" t="inlineStr">
        <is>
          <t>2026-03-17</t>
        </is>
      </c>
      <c r="BH8" s="7" t="inlineStr">
        <is>
          <t>DLD / Digital Dubai / CBUAE / Savills / Knight Frank-Moody’s / Reuters</t>
        </is>
      </c>
    </row>
    <row r="9">
      <c r="A9" t="n">
        <v>8</v>
      </c>
      <c r="B9" s="7" t="inlineStr">
        <is>
          <t>Pier Point</t>
        </is>
      </c>
      <c r="C9" t="inlineStr">
        <is>
          <t>Emaar Properties</t>
        </is>
      </c>
      <c r="D9" t="inlineStr">
        <is>
          <t>Rashid Yachts &amp; Marina</t>
        </is>
      </c>
      <c r="E9" t="inlineStr">
        <is>
          <t>Apartments</t>
        </is>
      </c>
      <c r="F9" s="7" t="inlineStr">
        <is>
          <t>Waterfront</t>
        </is>
      </c>
      <c r="G9" t="inlineStr">
        <is>
          <t>2.1M</t>
        </is>
      </c>
      <c r="H9" t="inlineStr">
        <is>
          <t>2300</t>
        </is>
      </c>
      <c r="I9" t="inlineStr">
        <is>
          <t>25</t>
        </is>
      </c>
      <c r="J9" t="inlineStr">
        <is>
          <t>80/20</t>
        </is>
      </c>
      <c r="K9" t="inlineStr">
        <is>
          <t>2024</t>
        </is>
      </c>
      <c r="L9" t="inlineStr">
        <is>
          <t>5.5-6.0</t>
        </is>
      </c>
      <c r="M9" t="inlineStr">
        <is>
          <t>10-12</t>
        </is>
      </c>
      <c r="N9" t="inlineStr">
        <is>
          <t>15.5-18.0</t>
        </is>
      </c>
      <c r="O9" s="7" t="inlineStr">
        <is>
          <t>New Academy School</t>
        </is>
      </c>
      <c r="P9" s="7" t="inlineStr">
        <is>
          <t>Aster Hospital Mankhool</t>
        </is>
      </c>
      <c r="Q9" s="7" t="inlineStr">
        <is>
          <t>Dubai Mall / City Centre</t>
        </is>
      </c>
      <c r="R9" s="7" t="inlineStr">
        <is>
          <t>Al Khaleej / E11</t>
        </is>
      </c>
      <c r="S9" t="inlineStr">
        <is>
          <t>15</t>
        </is>
      </c>
      <c r="T9" t="inlineStr">
        <is>
          <t>25</t>
        </is>
      </c>
      <c r="U9" t="inlineStr">
        <is>
          <t>15</t>
        </is>
      </c>
      <c r="V9" t="inlineStr">
        <is>
          <t>45</t>
        </is>
      </c>
      <c r="W9" t="n">
        <v>2</v>
      </c>
      <c r="X9" s="12" t="n">
        <v>2100000</v>
      </c>
      <c r="Y9" s="12" t="n">
        <v>2100000</v>
      </c>
      <c r="Z9" s="9" t="n">
        <v>5.5</v>
      </c>
      <c r="AA9" s="9" t="n">
        <v>6</v>
      </c>
      <c r="AB9" s="9" t="n">
        <v>10</v>
      </c>
      <c r="AC9" s="9" t="n">
        <v>12</v>
      </c>
      <c r="AD9" s="9" t="n">
        <v>15.5</v>
      </c>
      <c r="AE9" s="9" t="n">
        <v>18</v>
      </c>
      <c r="AF9" t="n">
        <v>2024</v>
      </c>
      <c r="AH9" t="inlineStr">
        <is>
          <t>Apartment</t>
        </is>
      </c>
      <c r="AI9" t="inlineStr">
        <is>
          <t>MainstreamSelective</t>
        </is>
      </c>
      <c r="AJ9" t="inlineStr">
        <is>
          <t>TopTier</t>
        </is>
      </c>
      <c r="AK9" t="inlineStr">
        <is>
          <t>Balanced / selective</t>
        </is>
      </c>
      <c r="AL9" s="7" t="inlineStr">
        <is>
          <t>Market remains active but increasingly differentiated by developer, micro-location, livability, and pricing discipline.</t>
        </is>
      </c>
      <c r="AM9" s="9" t="n">
        <v>11</v>
      </c>
      <c r="AN9" s="9" t="n">
        <v>5.75</v>
      </c>
      <c r="AO9" s="10" t="n">
        <v>0.55</v>
      </c>
      <c r="AP9" s="13" t="n">
        <v>0</v>
      </c>
      <c r="AQ9" s="13" t="n">
        <v>0</v>
      </c>
      <c r="AR9" s="13" t="n">
        <v>0</v>
      </c>
      <c r="AS9" s="13" t="n">
        <v>0.01</v>
      </c>
      <c r="AT9" s="13" t="n">
        <v>0.005</v>
      </c>
      <c r="AU9" s="13" t="n">
        <v>0</v>
      </c>
      <c r="AV9" s="13" t="n">
        <v>-0.005</v>
      </c>
      <c r="AW9" s="13">
        <f>IF(X9="","",(AM9/100*AO9)+AP9+AQ9+AR9)</f>
        <v/>
      </c>
      <c r="AX9" s="13">
        <f>IF(X9="","",AS9+AT9+AU9+AV9)</f>
        <v/>
      </c>
      <c r="AY9" s="12">
        <f>IF(AZ9="","",ROUND(AZ9*(1+Assumptions!$B$10),0))</f>
        <v/>
      </c>
      <c r="AZ9" s="12">
        <f>IF(X9="","",ROUND(X9*(1+AW9),0))</f>
        <v/>
      </c>
      <c r="BA9" s="12">
        <f>IF(AZ9="","",ROUND(AZ9*(1+Assumptions!$B$11),0))</f>
        <v/>
      </c>
      <c r="BB9" s="12">
        <f>IF(AZ9="","",ROUND(AZ9*(1+AX9+Assumptions!$B$10),0))</f>
        <v/>
      </c>
      <c r="BC9" s="12">
        <f>IF(AZ9="","",ROUND(AZ9*(1+AX9),0))</f>
        <v/>
      </c>
      <c r="BD9" s="12">
        <f>IF(AZ9="","",ROUND(AZ9*(1+AX9+Assumptions!$B$11),0))</f>
        <v/>
      </c>
      <c r="BE9" s="12">
        <f>IF(AZ9="","",ROUND(AZ9*(1+AX9)*(1+AX9),0))</f>
        <v/>
      </c>
      <c r="BF9" s="7" t="inlineStr">
        <is>
          <t>Rules-based enrichment using launch-price anchor, cap-app realization, and 2026 segment conditions.</t>
        </is>
      </c>
      <c r="BG9" t="inlineStr">
        <is>
          <t>2026-03-17</t>
        </is>
      </c>
      <c r="BH9" s="7" t="inlineStr">
        <is>
          <t>DLD / Digital Dubai / CBUAE / Savills / Knight Frank-Moody’s / Reuters</t>
        </is>
      </c>
    </row>
    <row r="10">
      <c r="A10" t="n">
        <v>9</v>
      </c>
      <c r="B10" s="7" t="inlineStr">
        <is>
          <t>Marina Cove</t>
        </is>
      </c>
      <c r="C10" t="inlineStr">
        <is>
          <t>Emaar Properties</t>
        </is>
      </c>
      <c r="D10" t="inlineStr">
        <is>
          <t>Rashid Yachts &amp; Marina</t>
        </is>
      </c>
      <c r="E10" t="inlineStr">
        <is>
          <t>Apartments</t>
        </is>
      </c>
      <c r="F10" s="7" t="inlineStr">
        <is>
          <t>Waterfront</t>
        </is>
      </c>
      <c r="G10" t="inlineStr">
        <is>
          <t>1.9M</t>
        </is>
      </c>
      <c r="H10" t="inlineStr">
        <is>
          <t>2250</t>
        </is>
      </c>
      <c r="I10" t="inlineStr">
        <is>
          <t>25</t>
        </is>
      </c>
      <c r="J10" t="inlineStr">
        <is>
          <t>80/20</t>
        </is>
      </c>
      <c r="K10" t="inlineStr">
        <is>
          <t>2024</t>
        </is>
      </c>
      <c r="L10" t="inlineStr">
        <is>
          <t>5.5-6.0</t>
        </is>
      </c>
      <c r="M10" t="inlineStr">
        <is>
          <t>10-12</t>
        </is>
      </c>
      <c r="N10" t="inlineStr">
        <is>
          <t>15.5-18.0</t>
        </is>
      </c>
      <c r="O10" s="7" t="inlineStr">
        <is>
          <t>New Academy School</t>
        </is>
      </c>
      <c r="P10" s="7" t="inlineStr">
        <is>
          <t>Aster Hospital Mankhool</t>
        </is>
      </c>
      <c r="Q10" s="7" t="inlineStr">
        <is>
          <t>Dubai Mall / City Centre</t>
        </is>
      </c>
      <c r="R10" s="7" t="inlineStr">
        <is>
          <t>Al Khaleej / E11</t>
        </is>
      </c>
      <c r="S10" t="inlineStr">
        <is>
          <t>15</t>
        </is>
      </c>
      <c r="T10" t="inlineStr">
        <is>
          <t>25</t>
        </is>
      </c>
      <c r="U10" t="inlineStr">
        <is>
          <t>15</t>
        </is>
      </c>
      <c r="V10" t="inlineStr">
        <is>
          <t>45</t>
        </is>
      </c>
      <c r="W10" t="n">
        <v>2</v>
      </c>
      <c r="X10" s="12" t="n">
        <v>1900000</v>
      </c>
      <c r="Y10" s="12" t="n">
        <v>1900000</v>
      </c>
      <c r="Z10" s="9" t="n">
        <v>5.5</v>
      </c>
      <c r="AA10" s="9" t="n">
        <v>6</v>
      </c>
      <c r="AB10" s="9" t="n">
        <v>10</v>
      </c>
      <c r="AC10" s="9" t="n">
        <v>12</v>
      </c>
      <c r="AD10" s="9" t="n">
        <v>15.5</v>
      </c>
      <c r="AE10" s="9" t="n">
        <v>18</v>
      </c>
      <c r="AF10" t="n">
        <v>2024</v>
      </c>
      <c r="AH10" t="inlineStr">
        <is>
          <t>Apartment</t>
        </is>
      </c>
      <c r="AI10" t="inlineStr">
        <is>
          <t>MainstreamSelective</t>
        </is>
      </c>
      <c r="AJ10" t="inlineStr">
        <is>
          <t>TopTier</t>
        </is>
      </c>
      <c r="AK10" t="inlineStr">
        <is>
          <t>Balanced / selective</t>
        </is>
      </c>
      <c r="AL10" s="7" t="inlineStr">
        <is>
          <t>Market remains active but increasingly differentiated by developer, micro-location, livability, and pricing discipline.</t>
        </is>
      </c>
      <c r="AM10" s="9" t="n">
        <v>11</v>
      </c>
      <c r="AN10" s="9" t="n">
        <v>5.75</v>
      </c>
      <c r="AO10" s="10" t="n">
        <v>0.55</v>
      </c>
      <c r="AP10" s="13" t="n">
        <v>0</v>
      </c>
      <c r="AQ10" s="13" t="n">
        <v>0</v>
      </c>
      <c r="AR10" s="13" t="n">
        <v>0</v>
      </c>
      <c r="AS10" s="13" t="n">
        <v>0.01</v>
      </c>
      <c r="AT10" s="13" t="n">
        <v>0.005</v>
      </c>
      <c r="AU10" s="13" t="n">
        <v>0</v>
      </c>
      <c r="AV10" s="13" t="n">
        <v>-0.005</v>
      </c>
      <c r="AW10" s="13">
        <f>IF(X10="","",(AM10/100*AO10)+AP10+AQ10+AR10)</f>
        <v/>
      </c>
      <c r="AX10" s="13">
        <f>IF(X10="","",AS10+AT10+AU10+AV10)</f>
        <v/>
      </c>
      <c r="AY10" s="12">
        <f>IF(AZ10="","",ROUND(AZ10*(1+Assumptions!$B$10),0))</f>
        <v/>
      </c>
      <c r="AZ10" s="12">
        <f>IF(X10="","",ROUND(X10*(1+AW10),0))</f>
        <v/>
      </c>
      <c r="BA10" s="12">
        <f>IF(AZ10="","",ROUND(AZ10*(1+Assumptions!$B$11),0))</f>
        <v/>
      </c>
      <c r="BB10" s="12">
        <f>IF(AZ10="","",ROUND(AZ10*(1+AX10+Assumptions!$B$10),0))</f>
        <v/>
      </c>
      <c r="BC10" s="12">
        <f>IF(AZ10="","",ROUND(AZ10*(1+AX10),0))</f>
        <v/>
      </c>
      <c r="BD10" s="12">
        <f>IF(AZ10="","",ROUND(AZ10*(1+AX10+Assumptions!$B$11),0))</f>
        <v/>
      </c>
      <c r="BE10" s="12">
        <f>IF(AZ10="","",ROUND(AZ10*(1+AX10)*(1+AX10),0))</f>
        <v/>
      </c>
      <c r="BF10" s="7" t="inlineStr">
        <is>
          <t>Rules-based enrichment using launch-price anchor, cap-app realization, and 2026 segment conditions.</t>
        </is>
      </c>
      <c r="BG10" t="inlineStr">
        <is>
          <t>2026-03-17</t>
        </is>
      </c>
      <c r="BH10" s="7" t="inlineStr">
        <is>
          <t>DLD / Digital Dubai / CBUAE / Savills / Knight Frank-Moody’s / Reuters</t>
        </is>
      </c>
    </row>
    <row r="11">
      <c r="A11" t="n">
        <v>10</v>
      </c>
      <c r="B11" s="7" t="inlineStr">
        <is>
          <t>Sera 2</t>
        </is>
      </c>
      <c r="C11" t="inlineStr">
        <is>
          <t>Emaar Properties</t>
        </is>
      </c>
      <c r="D11" t="inlineStr">
        <is>
          <t>Rashid Yachts &amp; Marina</t>
        </is>
      </c>
      <c r="E11" t="inlineStr">
        <is>
          <t>Apartments</t>
        </is>
      </c>
      <c r="F11" s="7" t="inlineStr">
        <is>
          <t>Waterfront</t>
        </is>
      </c>
      <c r="G11" t="inlineStr">
        <is>
          <t>1.7M</t>
        </is>
      </c>
      <c r="H11" t="inlineStr">
        <is>
          <t>2100</t>
        </is>
      </c>
      <c r="I11" t="inlineStr">
        <is>
          <t>25</t>
        </is>
      </c>
      <c r="J11" t="inlineStr">
        <is>
          <t>80/20</t>
        </is>
      </c>
      <c r="K11" t="inlineStr">
        <is>
          <t>2024</t>
        </is>
      </c>
      <c r="L11" t="inlineStr">
        <is>
          <t>6.0-6.5</t>
        </is>
      </c>
      <c r="M11" t="inlineStr">
        <is>
          <t>10-12</t>
        </is>
      </c>
      <c r="N11" t="inlineStr">
        <is>
          <t>16.0-18.5</t>
        </is>
      </c>
      <c r="O11" s="7" t="inlineStr">
        <is>
          <t>New Academy School</t>
        </is>
      </c>
      <c r="P11" s="7" t="inlineStr">
        <is>
          <t>Aster Hospital Mankhool</t>
        </is>
      </c>
      <c r="Q11" s="7" t="inlineStr">
        <is>
          <t>Dubai Mall / City Centre</t>
        </is>
      </c>
      <c r="R11" s="7" t="inlineStr">
        <is>
          <t>Al Khaleej / E11</t>
        </is>
      </c>
      <c r="S11" t="inlineStr">
        <is>
          <t>15</t>
        </is>
      </c>
      <c r="T11" t="inlineStr">
        <is>
          <t>25</t>
        </is>
      </c>
      <c r="U11" t="inlineStr">
        <is>
          <t>15</t>
        </is>
      </c>
      <c r="V11" t="inlineStr">
        <is>
          <t>45</t>
        </is>
      </c>
      <c r="W11" t="n">
        <v>2</v>
      </c>
      <c r="X11" s="12" t="n">
        <v>1700000</v>
      </c>
      <c r="Y11" s="12" t="n">
        <v>1700000</v>
      </c>
      <c r="Z11" s="9" t="n">
        <v>6</v>
      </c>
      <c r="AA11" s="9" t="n">
        <v>6.5</v>
      </c>
      <c r="AB11" s="9" t="n">
        <v>10</v>
      </c>
      <c r="AC11" s="9" t="n">
        <v>12</v>
      </c>
      <c r="AD11" s="9" t="n">
        <v>16</v>
      </c>
      <c r="AE11" s="9" t="n">
        <v>18.5</v>
      </c>
      <c r="AF11" t="n">
        <v>2024</v>
      </c>
      <c r="AH11" t="inlineStr">
        <is>
          <t>Apartment</t>
        </is>
      </c>
      <c r="AI11" t="inlineStr">
        <is>
          <t>MainstreamSelective</t>
        </is>
      </c>
      <c r="AJ11" t="inlineStr">
        <is>
          <t>TopTier</t>
        </is>
      </c>
      <c r="AK11" t="inlineStr">
        <is>
          <t>Balanced / selective</t>
        </is>
      </c>
      <c r="AL11" s="7" t="inlineStr">
        <is>
          <t>Market remains active but increasingly differentiated by developer, micro-location, livability, and pricing discipline.</t>
        </is>
      </c>
      <c r="AM11" s="9" t="n">
        <v>11</v>
      </c>
      <c r="AN11" s="9" t="n">
        <v>6.25</v>
      </c>
      <c r="AO11" s="10" t="n">
        <v>0.55</v>
      </c>
      <c r="AP11" s="13" t="n">
        <v>0</v>
      </c>
      <c r="AQ11" s="13" t="n">
        <v>0</v>
      </c>
      <c r="AR11" s="13" t="n">
        <v>0</v>
      </c>
      <c r="AS11" s="13" t="n">
        <v>0.01</v>
      </c>
      <c r="AT11" s="13" t="n">
        <v>0.005</v>
      </c>
      <c r="AU11" s="13" t="n">
        <v>0.0025</v>
      </c>
      <c r="AV11" s="13" t="n">
        <v>-0.005</v>
      </c>
      <c r="AW11" s="13">
        <f>IF(X11="","",(AM11/100*AO11)+AP11+AQ11+AR11)</f>
        <v/>
      </c>
      <c r="AX11" s="13">
        <f>IF(X11="","",AS11+AT11+AU11+AV11)</f>
        <v/>
      </c>
      <c r="AY11" s="12">
        <f>IF(AZ11="","",ROUND(AZ11*(1+Assumptions!$B$10),0))</f>
        <v/>
      </c>
      <c r="AZ11" s="12">
        <f>IF(X11="","",ROUND(X11*(1+AW11),0))</f>
        <v/>
      </c>
      <c r="BA11" s="12">
        <f>IF(AZ11="","",ROUND(AZ11*(1+Assumptions!$B$11),0))</f>
        <v/>
      </c>
      <c r="BB11" s="12">
        <f>IF(AZ11="","",ROUND(AZ11*(1+AX11+Assumptions!$B$10),0))</f>
        <v/>
      </c>
      <c r="BC11" s="12">
        <f>IF(AZ11="","",ROUND(AZ11*(1+AX11),0))</f>
        <v/>
      </c>
      <c r="BD11" s="12">
        <f>IF(AZ11="","",ROUND(AZ11*(1+AX11+Assumptions!$B$11),0))</f>
        <v/>
      </c>
      <c r="BE11" s="12">
        <f>IF(AZ11="","",ROUND(AZ11*(1+AX11)*(1+AX11),0))</f>
        <v/>
      </c>
      <c r="BF11" s="7" t="inlineStr">
        <is>
          <t>Rules-based enrichment using launch-price anchor, cap-app realization, and 2026 segment conditions.</t>
        </is>
      </c>
      <c r="BG11" t="inlineStr">
        <is>
          <t>2026-03-17</t>
        </is>
      </c>
      <c r="BH11" s="7" t="inlineStr">
        <is>
          <t>DLD / Digital Dubai / CBUAE / Savills / Knight Frank-Moody’s / Reuters</t>
        </is>
      </c>
    </row>
    <row r="12">
      <c r="A12" t="n">
        <v>11</v>
      </c>
      <c r="B12" s="7" t="inlineStr">
        <is>
          <t>Ocean Cove</t>
        </is>
      </c>
      <c r="C12" t="inlineStr">
        <is>
          <t>Emaar Properties</t>
        </is>
      </c>
      <c r="D12" t="inlineStr">
        <is>
          <t>Rashid Yachts &amp; Marina</t>
        </is>
      </c>
      <c r="E12" t="inlineStr">
        <is>
          <t>Apartments</t>
        </is>
      </c>
      <c r="F12" s="7" t="inlineStr">
        <is>
          <t>Waterfront</t>
        </is>
      </c>
      <c r="G12" t="inlineStr">
        <is>
          <t>1.8M</t>
        </is>
      </c>
      <c r="H12" t="inlineStr">
        <is>
          <t>2200</t>
        </is>
      </c>
      <c r="I12" t="inlineStr">
        <is>
          <t>25</t>
        </is>
      </c>
      <c r="J12" t="inlineStr">
        <is>
          <t>80/20</t>
        </is>
      </c>
      <c r="K12" t="inlineStr">
        <is>
          <t>2024</t>
        </is>
      </c>
      <c r="L12" t="inlineStr">
        <is>
          <t>5.5-6.0</t>
        </is>
      </c>
      <c r="M12" t="inlineStr">
        <is>
          <t>10-12</t>
        </is>
      </c>
      <c r="N12" t="inlineStr">
        <is>
          <t>15.5-18.0</t>
        </is>
      </c>
      <c r="O12" s="7" t="inlineStr">
        <is>
          <t>New Academy School</t>
        </is>
      </c>
      <c r="P12" s="7" t="inlineStr">
        <is>
          <t>Aster Hospital Mankhool</t>
        </is>
      </c>
      <c r="Q12" s="7" t="inlineStr">
        <is>
          <t>Dubai Mall / City Centre</t>
        </is>
      </c>
      <c r="R12" s="7" t="inlineStr">
        <is>
          <t>Al Khaleej / E11</t>
        </is>
      </c>
      <c r="S12" t="inlineStr">
        <is>
          <t>15</t>
        </is>
      </c>
      <c r="T12" t="inlineStr">
        <is>
          <t>25</t>
        </is>
      </c>
      <c r="U12" t="inlineStr">
        <is>
          <t>15</t>
        </is>
      </c>
      <c r="V12" t="inlineStr">
        <is>
          <t>45</t>
        </is>
      </c>
      <c r="W12" t="n">
        <v>2</v>
      </c>
      <c r="X12" s="12" t="n">
        <v>1800000</v>
      </c>
      <c r="Y12" s="12" t="n">
        <v>1800000</v>
      </c>
      <c r="Z12" s="9" t="n">
        <v>5.5</v>
      </c>
      <c r="AA12" s="9" t="n">
        <v>6</v>
      </c>
      <c r="AB12" s="9" t="n">
        <v>10</v>
      </c>
      <c r="AC12" s="9" t="n">
        <v>12</v>
      </c>
      <c r="AD12" s="9" t="n">
        <v>15.5</v>
      </c>
      <c r="AE12" s="9" t="n">
        <v>18</v>
      </c>
      <c r="AF12" t="n">
        <v>2024</v>
      </c>
      <c r="AH12" t="inlineStr">
        <is>
          <t>Apartment</t>
        </is>
      </c>
      <c r="AI12" t="inlineStr">
        <is>
          <t>MainstreamSelective</t>
        </is>
      </c>
      <c r="AJ12" t="inlineStr">
        <is>
          <t>TopTier</t>
        </is>
      </c>
      <c r="AK12" t="inlineStr">
        <is>
          <t>Balanced / selective</t>
        </is>
      </c>
      <c r="AL12" s="7" t="inlineStr">
        <is>
          <t>Market remains active but increasingly differentiated by developer, micro-location, livability, and pricing discipline.</t>
        </is>
      </c>
      <c r="AM12" s="9" t="n">
        <v>11</v>
      </c>
      <c r="AN12" s="9" t="n">
        <v>5.75</v>
      </c>
      <c r="AO12" s="10" t="n">
        <v>0.55</v>
      </c>
      <c r="AP12" s="13" t="n">
        <v>0</v>
      </c>
      <c r="AQ12" s="13" t="n">
        <v>0</v>
      </c>
      <c r="AR12" s="13" t="n">
        <v>0</v>
      </c>
      <c r="AS12" s="13" t="n">
        <v>0.01</v>
      </c>
      <c r="AT12" s="13" t="n">
        <v>0.005</v>
      </c>
      <c r="AU12" s="13" t="n">
        <v>0</v>
      </c>
      <c r="AV12" s="13" t="n">
        <v>-0.005</v>
      </c>
      <c r="AW12" s="13">
        <f>IF(X12="","",(AM12/100*AO12)+AP12+AQ12+AR12)</f>
        <v/>
      </c>
      <c r="AX12" s="13">
        <f>IF(X12="","",AS12+AT12+AU12+AV12)</f>
        <v/>
      </c>
      <c r="AY12" s="12">
        <f>IF(AZ12="","",ROUND(AZ12*(1+Assumptions!$B$10),0))</f>
        <v/>
      </c>
      <c r="AZ12" s="12">
        <f>IF(X12="","",ROUND(X12*(1+AW12),0))</f>
        <v/>
      </c>
      <c r="BA12" s="12">
        <f>IF(AZ12="","",ROUND(AZ12*(1+Assumptions!$B$11),0))</f>
        <v/>
      </c>
      <c r="BB12" s="12">
        <f>IF(AZ12="","",ROUND(AZ12*(1+AX12+Assumptions!$B$10),0))</f>
        <v/>
      </c>
      <c r="BC12" s="12">
        <f>IF(AZ12="","",ROUND(AZ12*(1+AX12),0))</f>
        <v/>
      </c>
      <c r="BD12" s="12">
        <f>IF(AZ12="","",ROUND(AZ12*(1+AX12+Assumptions!$B$11),0))</f>
        <v/>
      </c>
      <c r="BE12" s="12">
        <f>IF(AZ12="","",ROUND(AZ12*(1+AX12)*(1+AX12),0))</f>
        <v/>
      </c>
      <c r="BF12" s="7" t="inlineStr">
        <is>
          <t>Rules-based enrichment using launch-price anchor, cap-app realization, and 2026 segment conditions.</t>
        </is>
      </c>
      <c r="BG12" t="inlineStr">
        <is>
          <t>2026-03-17</t>
        </is>
      </c>
      <c r="BH12" s="7" t="inlineStr">
        <is>
          <t>DLD / Digital Dubai / CBUAE / Savills / Knight Frank-Moody’s / Reuters</t>
        </is>
      </c>
    </row>
    <row r="13">
      <c r="A13" t="n">
        <v>12</v>
      </c>
      <c r="B13" s="7" t="inlineStr">
        <is>
          <t>Baystar</t>
        </is>
      </c>
      <c r="C13" t="inlineStr">
        <is>
          <t>Emaar Properties</t>
        </is>
      </c>
      <c r="D13" t="inlineStr">
        <is>
          <t>Rashid Yachts &amp; Marina</t>
        </is>
      </c>
      <c r="E13" t="inlineStr">
        <is>
          <t>Apartments</t>
        </is>
      </c>
      <c r="F13" s="7" t="inlineStr">
        <is>
          <t>Waterfront</t>
        </is>
      </c>
      <c r="G13" t="inlineStr">
        <is>
          <t>1.75M</t>
        </is>
      </c>
      <c r="H13" t="inlineStr">
        <is>
          <t>2150</t>
        </is>
      </c>
      <c r="I13" t="inlineStr">
        <is>
          <t>25</t>
        </is>
      </c>
      <c r="J13" t="inlineStr">
        <is>
          <t>80/20</t>
        </is>
      </c>
      <c r="K13" t="inlineStr">
        <is>
          <t>2024</t>
        </is>
      </c>
      <c r="L13" t="inlineStr">
        <is>
          <t>5.5-6.0</t>
        </is>
      </c>
      <c r="M13" t="inlineStr">
        <is>
          <t>10-12</t>
        </is>
      </c>
      <c r="N13" t="inlineStr">
        <is>
          <t>15.5-18.0</t>
        </is>
      </c>
      <c r="O13" s="7" t="inlineStr">
        <is>
          <t>New Academy School</t>
        </is>
      </c>
      <c r="P13" s="7" t="inlineStr">
        <is>
          <t>Aster Hospital Mankhool</t>
        </is>
      </c>
      <c r="Q13" s="7" t="inlineStr">
        <is>
          <t>Dubai Mall / City Centre</t>
        </is>
      </c>
      <c r="R13" s="7" t="inlineStr">
        <is>
          <t>Al Khaleej / E11</t>
        </is>
      </c>
      <c r="S13" t="inlineStr">
        <is>
          <t>15</t>
        </is>
      </c>
      <c r="T13" t="inlineStr">
        <is>
          <t>25</t>
        </is>
      </c>
      <c r="U13" t="inlineStr">
        <is>
          <t>15</t>
        </is>
      </c>
      <c r="V13" t="inlineStr">
        <is>
          <t>45</t>
        </is>
      </c>
      <c r="W13" t="n">
        <v>2</v>
      </c>
      <c r="X13" s="12" t="n">
        <v>1750000</v>
      </c>
      <c r="Y13" s="12" t="n">
        <v>1750000</v>
      </c>
      <c r="Z13" s="9" t="n">
        <v>5.5</v>
      </c>
      <c r="AA13" s="9" t="n">
        <v>6</v>
      </c>
      <c r="AB13" s="9" t="n">
        <v>10</v>
      </c>
      <c r="AC13" s="9" t="n">
        <v>12</v>
      </c>
      <c r="AD13" s="9" t="n">
        <v>15.5</v>
      </c>
      <c r="AE13" s="9" t="n">
        <v>18</v>
      </c>
      <c r="AF13" t="n">
        <v>2024</v>
      </c>
      <c r="AH13" t="inlineStr">
        <is>
          <t>Apartment</t>
        </is>
      </c>
      <c r="AI13" t="inlineStr">
        <is>
          <t>MainstreamSelective</t>
        </is>
      </c>
      <c r="AJ13" t="inlineStr">
        <is>
          <t>TopTier</t>
        </is>
      </c>
      <c r="AK13" t="inlineStr">
        <is>
          <t>Balanced / selective</t>
        </is>
      </c>
      <c r="AL13" s="7" t="inlineStr">
        <is>
          <t>Market remains active but increasingly differentiated by developer, micro-location, livability, and pricing discipline.</t>
        </is>
      </c>
      <c r="AM13" s="9" t="n">
        <v>11</v>
      </c>
      <c r="AN13" s="9" t="n">
        <v>5.75</v>
      </c>
      <c r="AO13" s="10" t="n">
        <v>0.55</v>
      </c>
      <c r="AP13" s="13" t="n">
        <v>0</v>
      </c>
      <c r="AQ13" s="13" t="n">
        <v>0</v>
      </c>
      <c r="AR13" s="13" t="n">
        <v>0</v>
      </c>
      <c r="AS13" s="13" t="n">
        <v>0.01</v>
      </c>
      <c r="AT13" s="13" t="n">
        <v>0.005</v>
      </c>
      <c r="AU13" s="13" t="n">
        <v>0</v>
      </c>
      <c r="AV13" s="13" t="n">
        <v>-0.005</v>
      </c>
      <c r="AW13" s="13">
        <f>IF(X13="","",(AM13/100*AO13)+AP13+AQ13+AR13)</f>
        <v/>
      </c>
      <c r="AX13" s="13">
        <f>IF(X13="","",AS13+AT13+AU13+AV13)</f>
        <v/>
      </c>
      <c r="AY13" s="12">
        <f>IF(AZ13="","",ROUND(AZ13*(1+Assumptions!$B$10),0))</f>
        <v/>
      </c>
      <c r="AZ13" s="12">
        <f>IF(X13="","",ROUND(X13*(1+AW13),0))</f>
        <v/>
      </c>
      <c r="BA13" s="12">
        <f>IF(AZ13="","",ROUND(AZ13*(1+Assumptions!$B$11),0))</f>
        <v/>
      </c>
      <c r="BB13" s="12">
        <f>IF(AZ13="","",ROUND(AZ13*(1+AX13+Assumptions!$B$10),0))</f>
        <v/>
      </c>
      <c r="BC13" s="12">
        <f>IF(AZ13="","",ROUND(AZ13*(1+AX13),0))</f>
        <v/>
      </c>
      <c r="BD13" s="12">
        <f>IF(AZ13="","",ROUND(AZ13*(1+AX13+Assumptions!$B$11),0))</f>
        <v/>
      </c>
      <c r="BE13" s="12">
        <f>IF(AZ13="","",ROUND(AZ13*(1+AX13)*(1+AX13),0))</f>
        <v/>
      </c>
      <c r="BF13" s="7" t="inlineStr">
        <is>
          <t>Rules-based enrichment using launch-price anchor, cap-app realization, and 2026 segment conditions.</t>
        </is>
      </c>
      <c r="BG13" t="inlineStr">
        <is>
          <t>2026-03-17</t>
        </is>
      </c>
      <c r="BH13" s="7" t="inlineStr">
        <is>
          <t>DLD / Digital Dubai / CBUAE / Savills / Knight Frank-Moody’s / Reuters</t>
        </is>
      </c>
    </row>
    <row r="14">
      <c r="A14" t="n">
        <v>13</v>
      </c>
      <c r="B14" s="7" t="inlineStr">
        <is>
          <t>Seagate</t>
        </is>
      </c>
      <c r="C14" t="inlineStr">
        <is>
          <t>Emaar Properties</t>
        </is>
      </c>
      <c r="D14" t="inlineStr">
        <is>
          <t>Rashid Yachts &amp; Marina</t>
        </is>
      </c>
      <c r="E14" t="inlineStr">
        <is>
          <t>Apartments</t>
        </is>
      </c>
      <c r="F14" s="7" t="inlineStr">
        <is>
          <t>Waterfront</t>
        </is>
      </c>
      <c r="G14" t="inlineStr">
        <is>
          <t>1.6M</t>
        </is>
      </c>
      <c r="H14" t="inlineStr">
        <is>
          <t>2000</t>
        </is>
      </c>
      <c r="I14" t="inlineStr">
        <is>
          <t>25</t>
        </is>
      </c>
      <c r="J14" t="inlineStr">
        <is>
          <t>80/20</t>
        </is>
      </c>
      <c r="K14" t="inlineStr">
        <is>
          <t>2023</t>
        </is>
      </c>
      <c r="L14" t="inlineStr">
        <is>
          <t>6.0-6.5</t>
        </is>
      </c>
      <c r="M14" t="inlineStr">
        <is>
          <t>8-10</t>
        </is>
      </c>
      <c r="N14" t="inlineStr">
        <is>
          <t>14.0-16.5</t>
        </is>
      </c>
      <c r="O14" s="7" t="inlineStr">
        <is>
          <t>New Academy School</t>
        </is>
      </c>
      <c r="P14" s="7" t="inlineStr">
        <is>
          <t>Aster Hospital Mankhool</t>
        </is>
      </c>
      <c r="Q14" s="7" t="inlineStr">
        <is>
          <t>Dubai Mall / City Centre</t>
        </is>
      </c>
      <c r="R14" s="7" t="inlineStr">
        <is>
          <t>Al Khaleej / E11</t>
        </is>
      </c>
      <c r="S14" t="inlineStr">
        <is>
          <t>15</t>
        </is>
      </c>
      <c r="T14" t="inlineStr">
        <is>
          <t>25</t>
        </is>
      </c>
      <c r="U14" t="inlineStr">
        <is>
          <t>15</t>
        </is>
      </c>
      <c r="V14" t="inlineStr">
        <is>
          <t>45</t>
        </is>
      </c>
      <c r="W14" t="n">
        <v>2</v>
      </c>
      <c r="X14" s="12" t="n">
        <v>1600000</v>
      </c>
      <c r="Y14" s="12" t="n">
        <v>1600000</v>
      </c>
      <c r="Z14" s="9" t="n">
        <v>6</v>
      </c>
      <c r="AA14" s="9" t="n">
        <v>6.5</v>
      </c>
      <c r="AB14" s="9" t="n">
        <v>8</v>
      </c>
      <c r="AC14" s="9" t="n">
        <v>10</v>
      </c>
      <c r="AD14" s="9" t="n">
        <v>14</v>
      </c>
      <c r="AE14" s="9" t="n">
        <v>16.5</v>
      </c>
      <c r="AF14" t="n">
        <v>2023</v>
      </c>
      <c r="AH14" t="inlineStr">
        <is>
          <t>Apartment</t>
        </is>
      </c>
      <c r="AI14" t="inlineStr">
        <is>
          <t>MainstreamSelective</t>
        </is>
      </c>
      <c r="AJ14" t="inlineStr">
        <is>
          <t>TopTier</t>
        </is>
      </c>
      <c r="AK14" t="inlineStr">
        <is>
          <t>Balanced / selective</t>
        </is>
      </c>
      <c r="AL14" s="7" t="inlineStr">
        <is>
          <t>Market remains active but increasingly differentiated by developer, micro-location, livability, and pricing discipline.</t>
        </is>
      </c>
      <c r="AM14" s="9" t="n">
        <v>9</v>
      </c>
      <c r="AN14" s="9" t="n">
        <v>6.25</v>
      </c>
      <c r="AO14" s="10" t="n">
        <v>0.55</v>
      </c>
      <c r="AP14" s="13" t="n">
        <v>0</v>
      </c>
      <c r="AQ14" s="13" t="n">
        <v>0</v>
      </c>
      <c r="AR14" s="13" t="n">
        <v>0</v>
      </c>
      <c r="AS14" s="13" t="n">
        <v>0.01</v>
      </c>
      <c r="AT14" s="13" t="n">
        <v>0.005</v>
      </c>
      <c r="AU14" s="13" t="n">
        <v>0.0025</v>
      </c>
      <c r="AV14" s="13" t="n">
        <v>-0.005</v>
      </c>
      <c r="AW14" s="13">
        <f>IF(X14="","",(AM14/100*AO14)+AP14+AQ14+AR14)</f>
        <v/>
      </c>
      <c r="AX14" s="13">
        <f>IF(X14="","",AS14+AT14+AU14+AV14)</f>
        <v/>
      </c>
      <c r="AY14" s="12">
        <f>IF(AZ14="","",ROUND(AZ14*(1+Assumptions!$B$10),0))</f>
        <v/>
      </c>
      <c r="AZ14" s="12">
        <f>IF(X14="","",ROUND(X14*(1+AW14),0))</f>
        <v/>
      </c>
      <c r="BA14" s="12">
        <f>IF(AZ14="","",ROUND(AZ14*(1+Assumptions!$B$11),0))</f>
        <v/>
      </c>
      <c r="BB14" s="12">
        <f>IF(AZ14="","",ROUND(AZ14*(1+AX14+Assumptions!$B$10),0))</f>
        <v/>
      </c>
      <c r="BC14" s="12">
        <f>IF(AZ14="","",ROUND(AZ14*(1+AX14),0))</f>
        <v/>
      </c>
      <c r="BD14" s="12">
        <f>IF(AZ14="","",ROUND(AZ14*(1+AX14+Assumptions!$B$11),0))</f>
        <v/>
      </c>
      <c r="BE14" s="12">
        <f>IF(AZ14="","",ROUND(AZ14*(1+AX14)*(1+AX14),0))</f>
        <v/>
      </c>
      <c r="BF14" s="7" t="inlineStr">
        <is>
          <t>Rules-based enrichment using launch-price anchor, cap-app realization, and 2026 segment conditions.</t>
        </is>
      </c>
      <c r="BG14" t="inlineStr">
        <is>
          <t>2026-03-17</t>
        </is>
      </c>
      <c r="BH14" s="7" t="inlineStr">
        <is>
          <t>DLD / Digital Dubai / CBUAE / Savills / Knight Frank-Moody’s / Reuters</t>
        </is>
      </c>
    </row>
    <row r="15">
      <c r="A15" t="n">
        <v>14</v>
      </c>
      <c r="B15" s="7" t="inlineStr">
        <is>
          <t>Clearpoint</t>
        </is>
      </c>
      <c r="C15" t="inlineStr">
        <is>
          <t>Emaar Properties</t>
        </is>
      </c>
      <c r="D15" t="inlineStr">
        <is>
          <t>Rashid Yachts &amp; Marina</t>
        </is>
      </c>
      <c r="E15" t="inlineStr">
        <is>
          <t>Apartments</t>
        </is>
      </c>
      <c r="F15" s="7" t="inlineStr">
        <is>
          <t>Waterfront</t>
        </is>
      </c>
      <c r="G15" t="inlineStr">
        <is>
          <t>1.6M</t>
        </is>
      </c>
      <c r="H15" t="inlineStr">
        <is>
          <t>2000</t>
        </is>
      </c>
      <c r="I15" t="inlineStr">
        <is>
          <t>25</t>
        </is>
      </c>
      <c r="J15" t="inlineStr">
        <is>
          <t>80/20</t>
        </is>
      </c>
      <c r="K15" t="inlineStr">
        <is>
          <t>2023</t>
        </is>
      </c>
      <c r="L15" t="inlineStr">
        <is>
          <t>6.0-6.5</t>
        </is>
      </c>
      <c r="M15" t="inlineStr">
        <is>
          <t>8-10</t>
        </is>
      </c>
      <c r="N15" t="inlineStr">
        <is>
          <t>14.0-16.5</t>
        </is>
      </c>
      <c r="O15" s="7" t="inlineStr">
        <is>
          <t>New Academy School</t>
        </is>
      </c>
      <c r="P15" s="7" t="inlineStr">
        <is>
          <t>Aster Hospital Mankhool</t>
        </is>
      </c>
      <c r="Q15" s="7" t="inlineStr">
        <is>
          <t>Dubai Mall / City Centre</t>
        </is>
      </c>
      <c r="R15" s="7" t="inlineStr">
        <is>
          <t>Al Khaleej / E11</t>
        </is>
      </c>
      <c r="S15" t="inlineStr">
        <is>
          <t>15</t>
        </is>
      </c>
      <c r="T15" t="inlineStr">
        <is>
          <t>25</t>
        </is>
      </c>
      <c r="U15" t="inlineStr">
        <is>
          <t>15</t>
        </is>
      </c>
      <c r="V15" t="inlineStr">
        <is>
          <t>45</t>
        </is>
      </c>
      <c r="W15" t="n">
        <v>2</v>
      </c>
      <c r="X15" s="12" t="n">
        <v>1600000</v>
      </c>
      <c r="Y15" s="12" t="n">
        <v>1600000</v>
      </c>
      <c r="Z15" s="9" t="n">
        <v>6</v>
      </c>
      <c r="AA15" s="9" t="n">
        <v>6.5</v>
      </c>
      <c r="AB15" s="9" t="n">
        <v>8</v>
      </c>
      <c r="AC15" s="9" t="n">
        <v>10</v>
      </c>
      <c r="AD15" s="9" t="n">
        <v>14</v>
      </c>
      <c r="AE15" s="9" t="n">
        <v>16.5</v>
      </c>
      <c r="AF15" t="n">
        <v>2023</v>
      </c>
      <c r="AH15" t="inlineStr">
        <is>
          <t>Apartment</t>
        </is>
      </c>
      <c r="AI15" t="inlineStr">
        <is>
          <t>MainstreamSelective</t>
        </is>
      </c>
      <c r="AJ15" t="inlineStr">
        <is>
          <t>TopTier</t>
        </is>
      </c>
      <c r="AK15" t="inlineStr">
        <is>
          <t>Balanced / selective</t>
        </is>
      </c>
      <c r="AL15" s="7" t="inlineStr">
        <is>
          <t>Market remains active but increasingly differentiated by developer, micro-location, livability, and pricing discipline.</t>
        </is>
      </c>
      <c r="AM15" s="9" t="n">
        <v>9</v>
      </c>
      <c r="AN15" s="9" t="n">
        <v>6.25</v>
      </c>
      <c r="AO15" s="10" t="n">
        <v>0.55</v>
      </c>
      <c r="AP15" s="13" t="n">
        <v>0</v>
      </c>
      <c r="AQ15" s="13" t="n">
        <v>0</v>
      </c>
      <c r="AR15" s="13" t="n">
        <v>0</v>
      </c>
      <c r="AS15" s="13" t="n">
        <v>0.01</v>
      </c>
      <c r="AT15" s="13" t="n">
        <v>0.005</v>
      </c>
      <c r="AU15" s="13" t="n">
        <v>0.0025</v>
      </c>
      <c r="AV15" s="13" t="n">
        <v>-0.005</v>
      </c>
      <c r="AW15" s="13">
        <f>IF(X15="","",(AM15/100*AO15)+AP15+AQ15+AR15)</f>
        <v/>
      </c>
      <c r="AX15" s="13">
        <f>IF(X15="","",AS15+AT15+AU15+AV15)</f>
        <v/>
      </c>
      <c r="AY15" s="12">
        <f>IF(AZ15="","",ROUND(AZ15*(1+Assumptions!$B$10),0))</f>
        <v/>
      </c>
      <c r="AZ15" s="12">
        <f>IF(X15="","",ROUND(X15*(1+AW15),0))</f>
        <v/>
      </c>
      <c r="BA15" s="12">
        <f>IF(AZ15="","",ROUND(AZ15*(1+Assumptions!$B$11),0))</f>
        <v/>
      </c>
      <c r="BB15" s="12">
        <f>IF(AZ15="","",ROUND(AZ15*(1+AX15+Assumptions!$B$10),0))</f>
        <v/>
      </c>
      <c r="BC15" s="12">
        <f>IF(AZ15="","",ROUND(AZ15*(1+AX15),0))</f>
        <v/>
      </c>
      <c r="BD15" s="12">
        <f>IF(AZ15="","",ROUND(AZ15*(1+AX15+Assumptions!$B$11),0))</f>
        <v/>
      </c>
      <c r="BE15" s="12">
        <f>IF(AZ15="","",ROUND(AZ15*(1+AX15)*(1+AX15),0))</f>
        <v/>
      </c>
      <c r="BF15" s="7" t="inlineStr">
        <is>
          <t>Rules-based enrichment using launch-price anchor, cap-app realization, and 2026 segment conditions.</t>
        </is>
      </c>
      <c r="BG15" t="inlineStr">
        <is>
          <t>2026-03-17</t>
        </is>
      </c>
      <c r="BH15" s="7" t="inlineStr">
        <is>
          <t>DLD / Digital Dubai / CBUAE / Savills / Knight Frank-Moody’s / Reuters</t>
        </is>
      </c>
    </row>
    <row r="16">
      <c r="A16" t="n">
        <v>15</v>
      </c>
      <c r="B16" s="7" t="inlineStr">
        <is>
          <t>Sunridge</t>
        </is>
      </c>
      <c r="C16" t="inlineStr">
        <is>
          <t>Emaar Properties</t>
        </is>
      </c>
      <c r="D16" t="inlineStr">
        <is>
          <t>Rashid Yachts &amp; Marina</t>
        </is>
      </c>
      <c r="E16" t="inlineStr">
        <is>
          <t>Apartments</t>
        </is>
      </c>
      <c r="F16" s="7" t="inlineStr">
        <is>
          <t>Waterfront</t>
        </is>
      </c>
      <c r="G16" t="inlineStr">
        <is>
          <t>1.55M</t>
        </is>
      </c>
      <c r="H16" t="inlineStr">
        <is>
          <t>1950</t>
        </is>
      </c>
      <c r="I16" t="inlineStr">
        <is>
          <t>25</t>
        </is>
      </c>
      <c r="J16" t="inlineStr">
        <is>
          <t>80/20</t>
        </is>
      </c>
      <c r="K16" t="inlineStr">
        <is>
          <t>2023</t>
        </is>
      </c>
      <c r="L16" t="inlineStr">
        <is>
          <t>6.0-6.5</t>
        </is>
      </c>
      <c r="M16" t="inlineStr">
        <is>
          <t>8-10</t>
        </is>
      </c>
      <c r="N16" t="inlineStr">
        <is>
          <t>14.0-16.5</t>
        </is>
      </c>
      <c r="O16" s="7" t="inlineStr">
        <is>
          <t>New Academy School</t>
        </is>
      </c>
      <c r="P16" s="7" t="inlineStr">
        <is>
          <t>Aster Hospital Mankhool</t>
        </is>
      </c>
      <c r="Q16" s="7" t="inlineStr">
        <is>
          <t>Dubai Mall / City Centre</t>
        </is>
      </c>
      <c r="R16" s="7" t="inlineStr">
        <is>
          <t>Al Khaleej / E11</t>
        </is>
      </c>
      <c r="S16" t="inlineStr">
        <is>
          <t>15</t>
        </is>
      </c>
      <c r="T16" t="inlineStr">
        <is>
          <t>25</t>
        </is>
      </c>
      <c r="U16" t="inlineStr">
        <is>
          <t>15</t>
        </is>
      </c>
      <c r="V16" t="inlineStr">
        <is>
          <t>45</t>
        </is>
      </c>
      <c r="W16" t="n">
        <v>2</v>
      </c>
      <c r="X16" s="12" t="n">
        <v>1550000</v>
      </c>
      <c r="Y16" s="12" t="n">
        <v>1550000</v>
      </c>
      <c r="Z16" s="9" t="n">
        <v>6</v>
      </c>
      <c r="AA16" s="9" t="n">
        <v>6.5</v>
      </c>
      <c r="AB16" s="9" t="n">
        <v>8</v>
      </c>
      <c r="AC16" s="9" t="n">
        <v>10</v>
      </c>
      <c r="AD16" s="9" t="n">
        <v>14</v>
      </c>
      <c r="AE16" s="9" t="n">
        <v>16.5</v>
      </c>
      <c r="AF16" t="n">
        <v>2023</v>
      </c>
      <c r="AH16" t="inlineStr">
        <is>
          <t>Apartment</t>
        </is>
      </c>
      <c r="AI16" t="inlineStr">
        <is>
          <t>MainstreamSelective</t>
        </is>
      </c>
      <c r="AJ16" t="inlineStr">
        <is>
          <t>TopTier</t>
        </is>
      </c>
      <c r="AK16" t="inlineStr">
        <is>
          <t>Balanced / selective</t>
        </is>
      </c>
      <c r="AL16" s="7" t="inlineStr">
        <is>
          <t>Market remains active but increasingly differentiated by developer, micro-location, livability, and pricing discipline.</t>
        </is>
      </c>
      <c r="AM16" s="9" t="n">
        <v>9</v>
      </c>
      <c r="AN16" s="9" t="n">
        <v>6.25</v>
      </c>
      <c r="AO16" s="10" t="n">
        <v>0.55</v>
      </c>
      <c r="AP16" s="13" t="n">
        <v>0</v>
      </c>
      <c r="AQ16" s="13" t="n">
        <v>0</v>
      </c>
      <c r="AR16" s="13" t="n">
        <v>0</v>
      </c>
      <c r="AS16" s="13" t="n">
        <v>0.01</v>
      </c>
      <c r="AT16" s="13" t="n">
        <v>0.005</v>
      </c>
      <c r="AU16" s="13" t="n">
        <v>0.0025</v>
      </c>
      <c r="AV16" s="13" t="n">
        <v>-0.005</v>
      </c>
      <c r="AW16" s="13">
        <f>IF(X16="","",(AM16/100*AO16)+AP16+AQ16+AR16)</f>
        <v/>
      </c>
      <c r="AX16" s="13">
        <f>IF(X16="","",AS16+AT16+AU16+AV16)</f>
        <v/>
      </c>
      <c r="AY16" s="12">
        <f>IF(AZ16="","",ROUND(AZ16*(1+Assumptions!$B$10),0))</f>
        <v/>
      </c>
      <c r="AZ16" s="12">
        <f>IF(X16="","",ROUND(X16*(1+AW16),0))</f>
        <v/>
      </c>
      <c r="BA16" s="12">
        <f>IF(AZ16="","",ROUND(AZ16*(1+Assumptions!$B$11),0))</f>
        <v/>
      </c>
      <c r="BB16" s="12">
        <f>IF(AZ16="","",ROUND(AZ16*(1+AX16+Assumptions!$B$10),0))</f>
        <v/>
      </c>
      <c r="BC16" s="12">
        <f>IF(AZ16="","",ROUND(AZ16*(1+AX16),0))</f>
        <v/>
      </c>
      <c r="BD16" s="12">
        <f>IF(AZ16="","",ROUND(AZ16*(1+AX16+Assumptions!$B$11),0))</f>
        <v/>
      </c>
      <c r="BE16" s="12">
        <f>IF(AZ16="","",ROUND(AZ16*(1+AX16)*(1+AX16),0))</f>
        <v/>
      </c>
      <c r="BF16" s="7" t="inlineStr">
        <is>
          <t>Rules-based enrichment using launch-price anchor, cap-app realization, and 2026 segment conditions.</t>
        </is>
      </c>
      <c r="BG16" t="inlineStr">
        <is>
          <t>2026-03-17</t>
        </is>
      </c>
      <c r="BH16" s="7" t="inlineStr">
        <is>
          <t>DLD / Digital Dubai / CBUAE / Savills / Knight Frank-Moody’s / Reuters</t>
        </is>
      </c>
    </row>
    <row r="17">
      <c r="A17" t="n">
        <v>16</v>
      </c>
      <c r="B17" s="7" t="inlineStr">
        <is>
          <t>Dubai Creek Harbour</t>
        </is>
      </c>
      <c r="C17" t="inlineStr">
        <is>
          <t>Emaar Properties</t>
        </is>
      </c>
      <c r="D17" t="inlineStr">
        <is>
          <t>The Creek</t>
        </is>
      </c>
      <c r="E17" t="inlineStr">
        <is>
          <t>Mixed</t>
        </is>
      </c>
      <c r="F17" s="7" t="inlineStr">
        <is>
          <t>Waterfront / City</t>
        </is>
      </c>
      <c r="I17" t="inlineStr">
        <is>
          <t>25-30</t>
        </is>
      </c>
      <c r="J17" t="inlineStr">
        <is>
          <t>Varies</t>
        </is>
      </c>
      <c r="K17" t="inlineStr">
        <is>
          <t>Ongoing</t>
        </is>
      </c>
      <c r="L17" t="inlineStr">
        <is>
          <t>5.5-6.5</t>
        </is>
      </c>
      <c r="M17" t="inlineStr">
        <is>
          <t>9-12</t>
        </is>
      </c>
      <c r="N17" t="inlineStr">
        <is>
          <t>14.5-18.5</t>
        </is>
      </c>
      <c r="O17" s="7" t="inlineStr">
        <is>
          <t>Swiss Intl School</t>
        </is>
      </c>
      <c r="P17" s="7" t="inlineStr">
        <is>
          <t>American Hospital</t>
        </is>
      </c>
      <c r="Q17" s="7" t="inlineStr">
        <is>
          <t>Dubai Festival City</t>
        </is>
      </c>
      <c r="R17" s="7" t="inlineStr">
        <is>
          <t>Ras Al Khor / E44</t>
        </is>
      </c>
      <c r="S17" t="inlineStr">
        <is>
          <t>12</t>
        </is>
      </c>
      <c r="T17" t="inlineStr">
        <is>
          <t>25</t>
        </is>
      </c>
      <c r="U17" t="inlineStr">
        <is>
          <t>10</t>
        </is>
      </c>
      <c r="V17" t="inlineStr">
        <is>
          <t>40</t>
        </is>
      </c>
      <c r="W17" t="n">
        <v>2</v>
      </c>
      <c r="X17" s="12" t="n"/>
      <c r="Y17" s="12" t="n"/>
      <c r="Z17" s="9" t="n">
        <v>5.5</v>
      </c>
      <c r="AA17" s="9" t="n">
        <v>6.5</v>
      </c>
      <c r="AB17" s="9" t="n">
        <v>9</v>
      </c>
      <c r="AC17" s="9" t="n">
        <v>12</v>
      </c>
      <c r="AD17" s="9" t="n">
        <v>14.5</v>
      </c>
      <c r="AE17" s="9" t="n">
        <v>18.5</v>
      </c>
      <c r="AH17" t="inlineStr">
        <is>
          <t>Mixed/Other</t>
        </is>
      </c>
      <c r="AI17" t="inlineStr">
        <is>
          <t>MainstreamSelective</t>
        </is>
      </c>
      <c r="AJ17" t="inlineStr">
        <is>
          <t>TopTier</t>
        </is>
      </c>
      <c r="AK17" t="inlineStr">
        <is>
          <t>Balanced / selective</t>
        </is>
      </c>
      <c r="AL17" s="7" t="inlineStr">
        <is>
          <t>Market remains active but increasingly differentiated by developer, micro-location, livability, and pricing discipline.</t>
        </is>
      </c>
      <c r="AM17" s="9" t="n">
        <v>10.5</v>
      </c>
      <c r="AN17" s="9" t="n">
        <v>6</v>
      </c>
      <c r="AO17" s="10" t="n">
        <v>0.25</v>
      </c>
      <c r="AP17" s="13" t="n">
        <v>0</v>
      </c>
      <c r="AQ17" s="13" t="n">
        <v>0</v>
      </c>
      <c r="AR17" s="13" t="n">
        <v>0</v>
      </c>
      <c r="AS17" s="13" t="n">
        <v>0.01</v>
      </c>
      <c r="AT17" s="13" t="n">
        <v>0.005</v>
      </c>
      <c r="AU17" s="13" t="n">
        <v>0</v>
      </c>
      <c r="AV17" s="13" t="n">
        <v>-0.005</v>
      </c>
      <c r="AW17" s="13">
        <f>IF(X17="","",(AM17/100*AO17)+AP17+AQ17+AR17)</f>
        <v/>
      </c>
      <c r="AX17" s="13">
        <f>IF(X17="","",AS17+AT17+AU17+AV17)</f>
        <v/>
      </c>
      <c r="AY17" s="12">
        <f>IF(AZ17="","",ROUND(AZ17*(1+Assumptions!$B$10),0))</f>
        <v/>
      </c>
      <c r="AZ17" s="12">
        <f>IF(X17="","",ROUND(X17*(1+AW17),0))</f>
        <v/>
      </c>
      <c r="BA17" s="12">
        <f>IF(AZ17="","",ROUND(AZ17*(1+Assumptions!$B$11),0))</f>
        <v/>
      </c>
      <c r="BB17" s="12">
        <f>IF(AZ17="","",ROUND(AZ17*(1+AX17+Assumptions!$B$10),0))</f>
        <v/>
      </c>
      <c r="BC17" s="12">
        <f>IF(AZ17="","",ROUND(AZ17*(1+AX17),0))</f>
        <v/>
      </c>
      <c r="BD17" s="12">
        <f>IF(AZ17="","",ROUND(AZ17*(1+AX17+Assumptions!$B$11),0))</f>
        <v/>
      </c>
      <c r="BE17" s="12">
        <f>IF(AZ17="","",ROUND(AZ17*(1+AX17)*(1+AX17),0))</f>
        <v/>
      </c>
      <c r="BF17" s="7" t="inlineStr">
        <is>
          <t>Rules-based enrichment using launch-price anchor, cap-app realization, and 2026 segment conditions.</t>
        </is>
      </c>
      <c r="BG17" t="inlineStr">
        <is>
          <t>2026-03-17</t>
        </is>
      </c>
      <c r="BH17" s="7" t="inlineStr">
        <is>
          <t>DLD / Digital Dubai / CBUAE / Savills / Knight Frank-Moody’s / Reuters</t>
        </is>
      </c>
    </row>
    <row r="18">
      <c r="A18" t="n">
        <v>17</v>
      </c>
      <c r="B18" s="7" t="inlineStr">
        <is>
          <t>Valo</t>
        </is>
      </c>
      <c r="C18" t="inlineStr">
        <is>
          <t>Emaar Properties</t>
        </is>
      </c>
      <c r="D18" t="inlineStr">
        <is>
          <t>Dubai Creek Harbour</t>
        </is>
      </c>
      <c r="E18" t="inlineStr">
        <is>
          <t>Apartments</t>
        </is>
      </c>
      <c r="F18" s="7" t="inlineStr">
        <is>
          <t>Waterfront / Metro</t>
        </is>
      </c>
      <c r="G18" t="inlineStr">
        <is>
          <t>1.9M</t>
        </is>
      </c>
      <c r="H18" t="inlineStr">
        <is>
          <t>2300</t>
        </is>
      </c>
      <c r="I18" t="inlineStr">
        <is>
          <t>25</t>
        </is>
      </c>
      <c r="J18" t="inlineStr">
        <is>
          <t>80/20</t>
        </is>
      </c>
      <c r="K18" t="inlineStr">
        <is>
          <t>2024</t>
        </is>
      </c>
      <c r="L18" t="inlineStr">
        <is>
          <t>5.5-6.0</t>
        </is>
      </c>
      <c r="M18" t="inlineStr">
        <is>
          <t>9-12</t>
        </is>
      </c>
      <c r="N18" t="inlineStr">
        <is>
          <t>14.5-18.0</t>
        </is>
      </c>
      <c r="O18" s="7" t="inlineStr">
        <is>
          <t>Swiss Intl School</t>
        </is>
      </c>
      <c r="P18" s="7" t="inlineStr">
        <is>
          <t>American Hospital</t>
        </is>
      </c>
      <c r="Q18" s="7" t="inlineStr">
        <is>
          <t>Dubai Festival City</t>
        </is>
      </c>
      <c r="R18" s="7" t="inlineStr">
        <is>
          <t>Ras Al Khor / E44</t>
        </is>
      </c>
      <c r="S18" t="inlineStr">
        <is>
          <t>12</t>
        </is>
      </c>
      <c r="T18" t="inlineStr">
        <is>
          <t>25</t>
        </is>
      </c>
      <c r="U18" t="inlineStr">
        <is>
          <t>10</t>
        </is>
      </c>
      <c r="V18" t="inlineStr">
        <is>
          <t>40</t>
        </is>
      </c>
      <c r="W18" t="n">
        <v>2</v>
      </c>
      <c r="X18" s="12" t="n">
        <v>1900000</v>
      </c>
      <c r="Y18" s="12" t="n">
        <v>1900000</v>
      </c>
      <c r="Z18" s="9" t="n">
        <v>5.5</v>
      </c>
      <c r="AA18" s="9" t="n">
        <v>6</v>
      </c>
      <c r="AB18" s="9" t="n">
        <v>9</v>
      </c>
      <c r="AC18" s="9" t="n">
        <v>12</v>
      </c>
      <c r="AD18" s="9" t="n">
        <v>14.5</v>
      </c>
      <c r="AE18" s="9" t="n">
        <v>18</v>
      </c>
      <c r="AF18" t="n">
        <v>2024</v>
      </c>
      <c r="AH18" t="inlineStr">
        <is>
          <t>Apartment</t>
        </is>
      </c>
      <c r="AI18" t="inlineStr">
        <is>
          <t>Prime</t>
        </is>
      </c>
      <c r="AJ18" t="inlineStr">
        <is>
          <t>TopTier</t>
        </is>
      </c>
      <c r="AK18" t="inlineStr">
        <is>
          <t>Prime resilient / selective</t>
        </is>
      </c>
      <c r="AL18" s="7" t="inlineStr">
        <is>
          <t>Better support from quality, branding, and scarcer prime stock; still entry-price sensitive.</t>
        </is>
      </c>
      <c r="AM18" s="9" t="n">
        <v>10.5</v>
      </c>
      <c r="AN18" s="9" t="n">
        <v>5.75</v>
      </c>
      <c r="AO18" s="10" t="n">
        <v>0.55</v>
      </c>
      <c r="AP18" s="13" t="n">
        <v>0.02</v>
      </c>
      <c r="AQ18" s="13" t="n">
        <v>0</v>
      </c>
      <c r="AR18" s="13" t="n">
        <v>0</v>
      </c>
      <c r="AS18" s="13" t="n">
        <v>0.03</v>
      </c>
      <c r="AT18" s="13" t="n">
        <v>0.005</v>
      </c>
      <c r="AU18" s="13" t="n">
        <v>0</v>
      </c>
      <c r="AV18" s="13" t="n">
        <v>-0.005</v>
      </c>
      <c r="AW18" s="13">
        <f>IF(X18="","",(AM18/100*AO18)+AP18+AQ18+AR18)</f>
        <v/>
      </c>
      <c r="AX18" s="13">
        <f>IF(X18="","",AS18+AT18+AU18+AV18)</f>
        <v/>
      </c>
      <c r="AY18" s="12">
        <f>IF(AZ18="","",ROUND(AZ18*(1+Assumptions!$B$10),0))</f>
        <v/>
      </c>
      <c r="AZ18" s="12">
        <f>IF(X18="","",ROUND(X18*(1+AW18),0))</f>
        <v/>
      </c>
      <c r="BA18" s="12">
        <f>IF(AZ18="","",ROUND(AZ18*(1+Assumptions!$B$11),0))</f>
        <v/>
      </c>
      <c r="BB18" s="12">
        <f>IF(AZ18="","",ROUND(AZ18*(1+AX18+Assumptions!$B$10),0))</f>
        <v/>
      </c>
      <c r="BC18" s="12">
        <f>IF(AZ18="","",ROUND(AZ18*(1+AX18),0))</f>
        <v/>
      </c>
      <c r="BD18" s="12">
        <f>IF(AZ18="","",ROUND(AZ18*(1+AX18+Assumptions!$B$11),0))</f>
        <v/>
      </c>
      <c r="BE18" s="12">
        <f>IF(AZ18="","",ROUND(AZ18*(1+AX18)*(1+AX18),0))</f>
        <v/>
      </c>
      <c r="BF18" s="7" t="inlineStr">
        <is>
          <t>Rules-based enrichment using launch-price anchor, cap-app realization, and 2026 segment conditions.</t>
        </is>
      </c>
      <c r="BG18" t="inlineStr">
        <is>
          <t>2026-03-17</t>
        </is>
      </c>
      <c r="BH18" s="7" t="inlineStr">
        <is>
          <t>DLD / Digital Dubai / CBUAE / Savills / Knight Frank-Moody’s / Reuters</t>
        </is>
      </c>
    </row>
    <row r="19">
      <c r="A19" t="n">
        <v>18</v>
      </c>
      <c r="B19" s="7" t="inlineStr">
        <is>
          <t>Aeon</t>
        </is>
      </c>
      <c r="C19" t="inlineStr">
        <is>
          <t>Emaar Properties</t>
        </is>
      </c>
      <c r="D19" t="inlineStr">
        <is>
          <t>Dubai Creek Harbour</t>
        </is>
      </c>
      <c r="E19" t="inlineStr">
        <is>
          <t>Apartments</t>
        </is>
      </c>
      <c r="F19" s="7" t="inlineStr">
        <is>
          <t>Waterfront</t>
        </is>
      </c>
      <c r="G19" t="inlineStr">
        <is>
          <t>1.8M</t>
        </is>
      </c>
      <c r="H19" t="inlineStr">
        <is>
          <t>2200</t>
        </is>
      </c>
      <c r="I19" t="inlineStr">
        <is>
          <t>25</t>
        </is>
      </c>
      <c r="J19" t="inlineStr">
        <is>
          <t>80/20</t>
        </is>
      </c>
      <c r="K19" t="inlineStr">
        <is>
          <t>2024</t>
        </is>
      </c>
      <c r="L19" t="inlineStr">
        <is>
          <t>5.5-6.0</t>
        </is>
      </c>
      <c r="M19" t="inlineStr">
        <is>
          <t>9-12</t>
        </is>
      </c>
      <c r="N19" t="inlineStr">
        <is>
          <t>14.5-18.0</t>
        </is>
      </c>
      <c r="O19" s="7" t="inlineStr">
        <is>
          <t>Swiss Intl School</t>
        </is>
      </c>
      <c r="P19" s="7" t="inlineStr">
        <is>
          <t>American Hospital</t>
        </is>
      </c>
      <c r="Q19" s="7" t="inlineStr">
        <is>
          <t>Dubai Festival City</t>
        </is>
      </c>
      <c r="R19" s="7" t="inlineStr">
        <is>
          <t>Ras Al Khor / E44</t>
        </is>
      </c>
      <c r="S19" t="inlineStr">
        <is>
          <t>12</t>
        </is>
      </c>
      <c r="T19" t="inlineStr">
        <is>
          <t>25</t>
        </is>
      </c>
      <c r="U19" t="inlineStr">
        <is>
          <t>10</t>
        </is>
      </c>
      <c r="V19" t="inlineStr">
        <is>
          <t>40</t>
        </is>
      </c>
      <c r="W19" t="n">
        <v>2</v>
      </c>
      <c r="X19" s="12" t="n">
        <v>1800000</v>
      </c>
      <c r="Y19" s="12" t="n">
        <v>1800000</v>
      </c>
      <c r="Z19" s="9" t="n">
        <v>5.5</v>
      </c>
      <c r="AA19" s="9" t="n">
        <v>6</v>
      </c>
      <c r="AB19" s="9" t="n">
        <v>9</v>
      </c>
      <c r="AC19" s="9" t="n">
        <v>12</v>
      </c>
      <c r="AD19" s="9" t="n">
        <v>14.5</v>
      </c>
      <c r="AE19" s="9" t="n">
        <v>18</v>
      </c>
      <c r="AF19" t="n">
        <v>2024</v>
      </c>
      <c r="AH19" t="inlineStr">
        <is>
          <t>Apartment</t>
        </is>
      </c>
      <c r="AI19" t="inlineStr">
        <is>
          <t>Prime</t>
        </is>
      </c>
      <c r="AJ19" t="inlineStr">
        <is>
          <t>TopTier</t>
        </is>
      </c>
      <c r="AK19" t="inlineStr">
        <is>
          <t>Prime resilient / selective</t>
        </is>
      </c>
      <c r="AL19" s="7" t="inlineStr">
        <is>
          <t>Better support from quality, branding, and scarcer prime stock; still entry-price sensitive.</t>
        </is>
      </c>
      <c r="AM19" s="9" t="n">
        <v>10.5</v>
      </c>
      <c r="AN19" s="9" t="n">
        <v>5.75</v>
      </c>
      <c r="AO19" s="10" t="n">
        <v>0.55</v>
      </c>
      <c r="AP19" s="13" t="n">
        <v>0.02</v>
      </c>
      <c r="AQ19" s="13" t="n">
        <v>0</v>
      </c>
      <c r="AR19" s="13" t="n">
        <v>0</v>
      </c>
      <c r="AS19" s="13" t="n">
        <v>0.03</v>
      </c>
      <c r="AT19" s="13" t="n">
        <v>0.005</v>
      </c>
      <c r="AU19" s="13" t="n">
        <v>0</v>
      </c>
      <c r="AV19" s="13" t="n">
        <v>-0.005</v>
      </c>
      <c r="AW19" s="13">
        <f>IF(X19="","",(AM19/100*AO19)+AP19+AQ19+AR19)</f>
        <v/>
      </c>
      <c r="AX19" s="13">
        <f>IF(X19="","",AS19+AT19+AU19+AV19)</f>
        <v/>
      </c>
      <c r="AY19" s="12">
        <f>IF(AZ19="","",ROUND(AZ19*(1+Assumptions!$B$10),0))</f>
        <v/>
      </c>
      <c r="AZ19" s="12">
        <f>IF(X19="","",ROUND(X19*(1+AW19),0))</f>
        <v/>
      </c>
      <c r="BA19" s="12">
        <f>IF(AZ19="","",ROUND(AZ19*(1+Assumptions!$B$11),0))</f>
        <v/>
      </c>
      <c r="BB19" s="12">
        <f>IF(AZ19="","",ROUND(AZ19*(1+AX19+Assumptions!$B$10),0))</f>
        <v/>
      </c>
      <c r="BC19" s="12">
        <f>IF(AZ19="","",ROUND(AZ19*(1+AX19),0))</f>
        <v/>
      </c>
      <c r="BD19" s="12">
        <f>IF(AZ19="","",ROUND(AZ19*(1+AX19+Assumptions!$B$11),0))</f>
        <v/>
      </c>
      <c r="BE19" s="12">
        <f>IF(AZ19="","",ROUND(AZ19*(1+AX19)*(1+AX19),0))</f>
        <v/>
      </c>
      <c r="BF19" s="7" t="inlineStr">
        <is>
          <t>Rules-based enrichment using launch-price anchor, cap-app realization, and 2026 segment conditions.</t>
        </is>
      </c>
      <c r="BG19" t="inlineStr">
        <is>
          <t>2026-03-17</t>
        </is>
      </c>
      <c r="BH19" s="7" t="inlineStr">
        <is>
          <t>DLD / Digital Dubai / CBUAE / Savills / Knight Frank-Moody’s / Reuters</t>
        </is>
      </c>
    </row>
    <row r="20">
      <c r="A20" t="n">
        <v>19</v>
      </c>
      <c r="B20" s="7" t="inlineStr">
        <is>
          <t>Oria</t>
        </is>
      </c>
      <c r="C20" t="inlineStr">
        <is>
          <t>Emaar Properties</t>
        </is>
      </c>
      <c r="D20" t="inlineStr">
        <is>
          <t>Dubai Creek Harbour</t>
        </is>
      </c>
      <c r="E20" t="inlineStr">
        <is>
          <t>Apartments</t>
        </is>
      </c>
      <c r="F20" s="7" t="inlineStr">
        <is>
          <t>Waterfront</t>
        </is>
      </c>
      <c r="G20" t="inlineStr">
        <is>
          <t>1.7M</t>
        </is>
      </c>
      <c r="H20" t="inlineStr">
        <is>
          <t>2100</t>
        </is>
      </c>
      <c r="I20" t="inlineStr">
        <is>
          <t>25</t>
        </is>
      </c>
      <c r="J20" t="inlineStr">
        <is>
          <t>80/20</t>
        </is>
      </c>
      <c r="K20" t="inlineStr">
        <is>
          <t>2024</t>
        </is>
      </c>
      <c r="L20" t="inlineStr">
        <is>
          <t>6.0-6.5</t>
        </is>
      </c>
      <c r="M20" t="inlineStr">
        <is>
          <t>9-12</t>
        </is>
      </c>
      <c r="N20" t="inlineStr">
        <is>
          <t>15.0-18.5</t>
        </is>
      </c>
      <c r="O20" s="7" t="inlineStr">
        <is>
          <t>Swiss Intl School</t>
        </is>
      </c>
      <c r="P20" s="7" t="inlineStr">
        <is>
          <t>American Hospital</t>
        </is>
      </c>
      <c r="Q20" s="7" t="inlineStr">
        <is>
          <t>Dubai Festival City</t>
        </is>
      </c>
      <c r="R20" s="7" t="inlineStr">
        <is>
          <t>Ras Al Khor / E44</t>
        </is>
      </c>
      <c r="S20" t="inlineStr">
        <is>
          <t>12</t>
        </is>
      </c>
      <c r="T20" t="inlineStr">
        <is>
          <t>25</t>
        </is>
      </c>
      <c r="U20" t="inlineStr">
        <is>
          <t>10</t>
        </is>
      </c>
      <c r="V20" t="inlineStr">
        <is>
          <t>40</t>
        </is>
      </c>
      <c r="W20" t="n">
        <v>2</v>
      </c>
      <c r="X20" s="12" t="n">
        <v>1700000</v>
      </c>
      <c r="Y20" s="12" t="n">
        <v>1700000</v>
      </c>
      <c r="Z20" s="9" t="n">
        <v>6</v>
      </c>
      <c r="AA20" s="9" t="n">
        <v>6.5</v>
      </c>
      <c r="AB20" s="9" t="n">
        <v>9</v>
      </c>
      <c r="AC20" s="9" t="n">
        <v>12</v>
      </c>
      <c r="AD20" s="9" t="n">
        <v>15</v>
      </c>
      <c r="AE20" s="9" t="n">
        <v>18.5</v>
      </c>
      <c r="AF20" t="n">
        <v>2024</v>
      </c>
      <c r="AH20" t="inlineStr">
        <is>
          <t>Apartment</t>
        </is>
      </c>
      <c r="AI20" t="inlineStr">
        <is>
          <t>Prime</t>
        </is>
      </c>
      <c r="AJ20" t="inlineStr">
        <is>
          <t>TopTier</t>
        </is>
      </c>
      <c r="AK20" t="inlineStr">
        <is>
          <t>Prime resilient / selective</t>
        </is>
      </c>
      <c r="AL20" s="7" t="inlineStr">
        <is>
          <t>Better support from quality, branding, and scarcer prime stock; still entry-price sensitive.</t>
        </is>
      </c>
      <c r="AM20" s="9" t="n">
        <v>10.5</v>
      </c>
      <c r="AN20" s="9" t="n">
        <v>6.25</v>
      </c>
      <c r="AO20" s="10" t="n">
        <v>0.55</v>
      </c>
      <c r="AP20" s="13" t="n">
        <v>0.02</v>
      </c>
      <c r="AQ20" s="13" t="n">
        <v>0</v>
      </c>
      <c r="AR20" s="13" t="n">
        <v>0</v>
      </c>
      <c r="AS20" s="13" t="n">
        <v>0.03</v>
      </c>
      <c r="AT20" s="13" t="n">
        <v>0.005</v>
      </c>
      <c r="AU20" s="13" t="n">
        <v>0.0025</v>
      </c>
      <c r="AV20" s="13" t="n">
        <v>-0.005</v>
      </c>
      <c r="AW20" s="13">
        <f>IF(X20="","",(AM20/100*AO20)+AP20+AQ20+AR20)</f>
        <v/>
      </c>
      <c r="AX20" s="13">
        <f>IF(X20="","",AS20+AT20+AU20+AV20)</f>
        <v/>
      </c>
      <c r="AY20" s="12">
        <f>IF(AZ20="","",ROUND(AZ20*(1+Assumptions!$B$10),0))</f>
        <v/>
      </c>
      <c r="AZ20" s="12">
        <f>IF(X20="","",ROUND(X20*(1+AW20),0))</f>
        <v/>
      </c>
      <c r="BA20" s="12">
        <f>IF(AZ20="","",ROUND(AZ20*(1+Assumptions!$B$11),0))</f>
        <v/>
      </c>
      <c r="BB20" s="12">
        <f>IF(AZ20="","",ROUND(AZ20*(1+AX20+Assumptions!$B$10),0))</f>
        <v/>
      </c>
      <c r="BC20" s="12">
        <f>IF(AZ20="","",ROUND(AZ20*(1+AX20),0))</f>
        <v/>
      </c>
      <c r="BD20" s="12">
        <f>IF(AZ20="","",ROUND(AZ20*(1+AX20+Assumptions!$B$11),0))</f>
        <v/>
      </c>
      <c r="BE20" s="12">
        <f>IF(AZ20="","",ROUND(AZ20*(1+AX20)*(1+AX20),0))</f>
        <v/>
      </c>
      <c r="BF20" s="7" t="inlineStr">
        <is>
          <t>Rules-based enrichment using launch-price anchor, cap-app realization, and 2026 segment conditions.</t>
        </is>
      </c>
      <c r="BG20" t="inlineStr">
        <is>
          <t>2026-03-17</t>
        </is>
      </c>
      <c r="BH20" s="7" t="inlineStr">
        <is>
          <t>DLD / Digital Dubai / CBUAE / Savills / Knight Frank-Moody’s / Reuters</t>
        </is>
      </c>
    </row>
    <row r="21">
      <c r="A21" t="n">
        <v>20</v>
      </c>
      <c r="B21" s="7" t="inlineStr">
        <is>
          <t>Mangrove (Creek Beach)</t>
        </is>
      </c>
      <c r="C21" t="inlineStr">
        <is>
          <t>Emaar Properties</t>
        </is>
      </c>
      <c r="D21" t="inlineStr">
        <is>
          <t>Dubai Creek Harbour</t>
        </is>
      </c>
      <c r="E21" t="inlineStr">
        <is>
          <t>Apartments</t>
        </is>
      </c>
      <c r="F21" s="7" t="inlineStr">
        <is>
          <t>Beachfront</t>
        </is>
      </c>
      <c r="G21" t="inlineStr">
        <is>
          <t>1.6M</t>
        </is>
      </c>
      <c r="H21" t="inlineStr">
        <is>
          <t>2000</t>
        </is>
      </c>
      <c r="I21" t="inlineStr">
        <is>
          <t>25</t>
        </is>
      </c>
      <c r="J21" t="inlineStr">
        <is>
          <t>80/20</t>
        </is>
      </c>
      <c r="K21" t="inlineStr">
        <is>
          <t>2024</t>
        </is>
      </c>
      <c r="L21" t="inlineStr">
        <is>
          <t>6.0-6.5</t>
        </is>
      </c>
      <c r="M21" t="inlineStr">
        <is>
          <t>9-12</t>
        </is>
      </c>
      <c r="N21" t="inlineStr">
        <is>
          <t>15.0-18.5</t>
        </is>
      </c>
      <c r="O21" s="7" t="inlineStr">
        <is>
          <t>Swiss Intl School</t>
        </is>
      </c>
      <c r="P21" s="7" t="inlineStr">
        <is>
          <t>American Hospital</t>
        </is>
      </c>
      <c r="Q21" s="7" t="inlineStr">
        <is>
          <t>Dubai Festival City</t>
        </is>
      </c>
      <c r="R21" s="7" t="inlineStr">
        <is>
          <t>Ras Al Khor / E44</t>
        </is>
      </c>
      <c r="S21" t="inlineStr">
        <is>
          <t>12</t>
        </is>
      </c>
      <c r="T21" t="inlineStr">
        <is>
          <t>25</t>
        </is>
      </c>
      <c r="U21" t="inlineStr">
        <is>
          <t>10</t>
        </is>
      </c>
      <c r="V21" t="inlineStr">
        <is>
          <t>40</t>
        </is>
      </c>
      <c r="W21" t="n">
        <v>2</v>
      </c>
      <c r="X21" s="12" t="n">
        <v>1600000</v>
      </c>
      <c r="Y21" s="12" t="n">
        <v>1600000</v>
      </c>
      <c r="Z21" s="9" t="n">
        <v>6</v>
      </c>
      <c r="AA21" s="9" t="n">
        <v>6.5</v>
      </c>
      <c r="AB21" s="9" t="n">
        <v>9</v>
      </c>
      <c r="AC21" s="9" t="n">
        <v>12</v>
      </c>
      <c r="AD21" s="9" t="n">
        <v>15</v>
      </c>
      <c r="AE21" s="9" t="n">
        <v>18.5</v>
      </c>
      <c r="AF21" t="n">
        <v>2024</v>
      </c>
      <c r="AH21" t="inlineStr">
        <is>
          <t>Apartment</t>
        </is>
      </c>
      <c r="AI21" t="inlineStr">
        <is>
          <t>Prime</t>
        </is>
      </c>
      <c r="AJ21" t="inlineStr">
        <is>
          <t>TopTier</t>
        </is>
      </c>
      <c r="AK21" t="inlineStr">
        <is>
          <t>Prime resilient / selective</t>
        </is>
      </c>
      <c r="AL21" s="7" t="inlineStr">
        <is>
          <t>Better support from quality, branding, and scarcer prime stock; still entry-price sensitive.</t>
        </is>
      </c>
      <c r="AM21" s="9" t="n">
        <v>10.5</v>
      </c>
      <c r="AN21" s="9" t="n">
        <v>6.25</v>
      </c>
      <c r="AO21" s="10" t="n">
        <v>0.55</v>
      </c>
      <c r="AP21" s="13" t="n">
        <v>0.02</v>
      </c>
      <c r="AQ21" s="13" t="n">
        <v>0</v>
      </c>
      <c r="AR21" s="13" t="n">
        <v>0</v>
      </c>
      <c r="AS21" s="13" t="n">
        <v>0.03</v>
      </c>
      <c r="AT21" s="13" t="n">
        <v>0.005</v>
      </c>
      <c r="AU21" s="13" t="n">
        <v>0.0025</v>
      </c>
      <c r="AV21" s="13" t="n">
        <v>-0.005</v>
      </c>
      <c r="AW21" s="13">
        <f>IF(X21="","",(AM21/100*AO21)+AP21+AQ21+AR21)</f>
        <v/>
      </c>
      <c r="AX21" s="13">
        <f>IF(X21="","",AS21+AT21+AU21+AV21)</f>
        <v/>
      </c>
      <c r="AY21" s="12">
        <f>IF(AZ21="","",ROUND(AZ21*(1+Assumptions!$B$10),0))</f>
        <v/>
      </c>
      <c r="AZ21" s="12">
        <f>IF(X21="","",ROUND(X21*(1+AW21),0))</f>
        <v/>
      </c>
      <c r="BA21" s="12">
        <f>IF(AZ21="","",ROUND(AZ21*(1+Assumptions!$B$11),0))</f>
        <v/>
      </c>
      <c r="BB21" s="12">
        <f>IF(AZ21="","",ROUND(AZ21*(1+AX21+Assumptions!$B$10),0))</f>
        <v/>
      </c>
      <c r="BC21" s="12">
        <f>IF(AZ21="","",ROUND(AZ21*(1+AX21),0))</f>
        <v/>
      </c>
      <c r="BD21" s="12">
        <f>IF(AZ21="","",ROUND(AZ21*(1+AX21+Assumptions!$B$11),0))</f>
        <v/>
      </c>
      <c r="BE21" s="12">
        <f>IF(AZ21="","",ROUND(AZ21*(1+AX21)*(1+AX21),0))</f>
        <v/>
      </c>
      <c r="BF21" s="7" t="inlineStr">
        <is>
          <t>Rules-based enrichment using launch-price anchor, cap-app realization, and 2026 segment conditions.</t>
        </is>
      </c>
      <c r="BG21" t="inlineStr">
        <is>
          <t>2026-03-17</t>
        </is>
      </c>
      <c r="BH21" s="7" t="inlineStr">
        <is>
          <t>DLD / Digital Dubai / CBUAE / Savills / Knight Frank-Moody’s / Reuters</t>
        </is>
      </c>
    </row>
    <row r="22">
      <c r="A22" t="n">
        <v>21</v>
      </c>
      <c r="B22" s="7" t="inlineStr">
        <is>
          <t>Altan</t>
        </is>
      </c>
      <c r="C22" t="inlineStr">
        <is>
          <t>Emaar Properties</t>
        </is>
      </c>
      <c r="D22" t="inlineStr">
        <is>
          <t>Dubai Creek Harbour</t>
        </is>
      </c>
      <c r="E22" t="inlineStr">
        <is>
          <t>Apartments</t>
        </is>
      </c>
      <c r="F22" s="7" t="inlineStr">
        <is>
          <t>Waterfront</t>
        </is>
      </c>
      <c r="G22" t="inlineStr">
        <is>
          <t>1.8M</t>
        </is>
      </c>
      <c r="H22" t="inlineStr">
        <is>
          <t>2200</t>
        </is>
      </c>
      <c r="I22" t="inlineStr">
        <is>
          <t>25</t>
        </is>
      </c>
      <c r="J22" t="inlineStr">
        <is>
          <t>80/20</t>
        </is>
      </c>
      <c r="K22" t="inlineStr">
        <is>
          <t>2024</t>
        </is>
      </c>
      <c r="L22" t="inlineStr">
        <is>
          <t>5.5-6.0</t>
        </is>
      </c>
      <c r="M22" t="inlineStr">
        <is>
          <t>9-12</t>
        </is>
      </c>
      <c r="N22" t="inlineStr">
        <is>
          <t>14.5-18.0</t>
        </is>
      </c>
      <c r="O22" s="7" t="inlineStr">
        <is>
          <t>Swiss Intl School</t>
        </is>
      </c>
      <c r="P22" s="7" t="inlineStr">
        <is>
          <t>American Hospital</t>
        </is>
      </c>
      <c r="Q22" s="7" t="inlineStr">
        <is>
          <t>Dubai Festival City</t>
        </is>
      </c>
      <c r="R22" s="7" t="inlineStr">
        <is>
          <t>Ras Al Khor / E44</t>
        </is>
      </c>
      <c r="S22" t="inlineStr">
        <is>
          <t>12</t>
        </is>
      </c>
      <c r="T22" t="inlineStr">
        <is>
          <t>25</t>
        </is>
      </c>
      <c r="U22" t="inlineStr">
        <is>
          <t>10</t>
        </is>
      </c>
      <c r="V22" t="inlineStr">
        <is>
          <t>40</t>
        </is>
      </c>
      <c r="W22" t="n">
        <v>2</v>
      </c>
      <c r="X22" s="12" t="n">
        <v>1800000</v>
      </c>
      <c r="Y22" s="12" t="n">
        <v>1800000</v>
      </c>
      <c r="Z22" s="9" t="n">
        <v>5.5</v>
      </c>
      <c r="AA22" s="9" t="n">
        <v>6</v>
      </c>
      <c r="AB22" s="9" t="n">
        <v>9</v>
      </c>
      <c r="AC22" s="9" t="n">
        <v>12</v>
      </c>
      <c r="AD22" s="9" t="n">
        <v>14.5</v>
      </c>
      <c r="AE22" s="9" t="n">
        <v>18</v>
      </c>
      <c r="AF22" t="n">
        <v>2024</v>
      </c>
      <c r="AH22" t="inlineStr">
        <is>
          <t>Apartment</t>
        </is>
      </c>
      <c r="AI22" t="inlineStr">
        <is>
          <t>Prime</t>
        </is>
      </c>
      <c r="AJ22" t="inlineStr">
        <is>
          <t>TopTier</t>
        </is>
      </c>
      <c r="AK22" t="inlineStr">
        <is>
          <t>Prime resilient / selective</t>
        </is>
      </c>
      <c r="AL22" s="7" t="inlineStr">
        <is>
          <t>Better support from quality, branding, and scarcer prime stock; still entry-price sensitive.</t>
        </is>
      </c>
      <c r="AM22" s="9" t="n">
        <v>10.5</v>
      </c>
      <c r="AN22" s="9" t="n">
        <v>5.75</v>
      </c>
      <c r="AO22" s="10" t="n">
        <v>0.55</v>
      </c>
      <c r="AP22" s="13" t="n">
        <v>0.02</v>
      </c>
      <c r="AQ22" s="13" t="n">
        <v>0</v>
      </c>
      <c r="AR22" s="13" t="n">
        <v>0</v>
      </c>
      <c r="AS22" s="13" t="n">
        <v>0.03</v>
      </c>
      <c r="AT22" s="13" t="n">
        <v>0.005</v>
      </c>
      <c r="AU22" s="13" t="n">
        <v>0</v>
      </c>
      <c r="AV22" s="13" t="n">
        <v>-0.005</v>
      </c>
      <c r="AW22" s="13">
        <f>IF(X22="","",(AM22/100*AO22)+AP22+AQ22+AR22)</f>
        <v/>
      </c>
      <c r="AX22" s="13">
        <f>IF(X22="","",AS22+AT22+AU22+AV22)</f>
        <v/>
      </c>
      <c r="AY22" s="12">
        <f>IF(AZ22="","",ROUND(AZ22*(1+Assumptions!$B$10),0))</f>
        <v/>
      </c>
      <c r="AZ22" s="12">
        <f>IF(X22="","",ROUND(X22*(1+AW22),0))</f>
        <v/>
      </c>
      <c r="BA22" s="12">
        <f>IF(AZ22="","",ROUND(AZ22*(1+Assumptions!$B$11),0))</f>
        <v/>
      </c>
      <c r="BB22" s="12">
        <f>IF(AZ22="","",ROUND(AZ22*(1+AX22+Assumptions!$B$10),0))</f>
        <v/>
      </c>
      <c r="BC22" s="12">
        <f>IF(AZ22="","",ROUND(AZ22*(1+AX22),0))</f>
        <v/>
      </c>
      <c r="BD22" s="12">
        <f>IF(AZ22="","",ROUND(AZ22*(1+AX22+Assumptions!$B$11),0))</f>
        <v/>
      </c>
      <c r="BE22" s="12">
        <f>IF(AZ22="","",ROUND(AZ22*(1+AX22)*(1+AX22),0))</f>
        <v/>
      </c>
      <c r="BF22" s="7" t="inlineStr">
        <is>
          <t>Rules-based enrichment using launch-price anchor, cap-app realization, and 2026 segment conditions.</t>
        </is>
      </c>
      <c r="BG22" t="inlineStr">
        <is>
          <t>2026-03-17</t>
        </is>
      </c>
      <c r="BH22" s="7" t="inlineStr">
        <is>
          <t>DLD / Digital Dubai / CBUAE / Savills / Knight Frank-Moody’s / Reuters</t>
        </is>
      </c>
    </row>
    <row r="23">
      <c r="A23" t="n">
        <v>22</v>
      </c>
      <c r="B23" s="7" t="inlineStr">
        <is>
          <t>Silva</t>
        </is>
      </c>
      <c r="C23" t="inlineStr">
        <is>
          <t>Emaar Properties</t>
        </is>
      </c>
      <c r="D23" t="inlineStr">
        <is>
          <t>Dubai Creek Harbour</t>
        </is>
      </c>
      <c r="E23" t="inlineStr">
        <is>
          <t>Apartments</t>
        </is>
      </c>
      <c r="F23" s="7" t="inlineStr">
        <is>
          <t>Waterfront</t>
        </is>
      </c>
      <c r="G23" t="inlineStr">
        <is>
          <t>1.85M</t>
        </is>
      </c>
      <c r="H23" t="inlineStr">
        <is>
          <t>2250</t>
        </is>
      </c>
      <c r="I23" t="inlineStr">
        <is>
          <t>25</t>
        </is>
      </c>
      <c r="J23" t="inlineStr">
        <is>
          <t>80/20</t>
        </is>
      </c>
      <c r="K23" t="inlineStr">
        <is>
          <t>2024</t>
        </is>
      </c>
      <c r="L23" t="inlineStr">
        <is>
          <t>5.5-6.0</t>
        </is>
      </c>
      <c r="M23" t="inlineStr">
        <is>
          <t>9-12</t>
        </is>
      </c>
      <c r="N23" t="inlineStr">
        <is>
          <t>14.5-18.0</t>
        </is>
      </c>
      <c r="O23" s="7" t="inlineStr">
        <is>
          <t>Swiss Intl School</t>
        </is>
      </c>
      <c r="P23" s="7" t="inlineStr">
        <is>
          <t>American Hospital</t>
        </is>
      </c>
      <c r="Q23" s="7" t="inlineStr">
        <is>
          <t>Dubai Festival City</t>
        </is>
      </c>
      <c r="R23" s="7" t="inlineStr">
        <is>
          <t>Ras Al Khor / E44</t>
        </is>
      </c>
      <c r="S23" t="inlineStr">
        <is>
          <t>12</t>
        </is>
      </c>
      <c r="T23" t="inlineStr">
        <is>
          <t>25</t>
        </is>
      </c>
      <c r="U23" t="inlineStr">
        <is>
          <t>10</t>
        </is>
      </c>
      <c r="V23" t="inlineStr">
        <is>
          <t>40</t>
        </is>
      </c>
      <c r="W23" t="n">
        <v>2</v>
      </c>
      <c r="X23" s="12" t="n">
        <v>1850000</v>
      </c>
      <c r="Y23" s="12" t="n">
        <v>1850000</v>
      </c>
      <c r="Z23" s="9" t="n">
        <v>5.5</v>
      </c>
      <c r="AA23" s="9" t="n">
        <v>6</v>
      </c>
      <c r="AB23" s="9" t="n">
        <v>9</v>
      </c>
      <c r="AC23" s="9" t="n">
        <v>12</v>
      </c>
      <c r="AD23" s="9" t="n">
        <v>14.5</v>
      </c>
      <c r="AE23" s="9" t="n">
        <v>18</v>
      </c>
      <c r="AF23" t="n">
        <v>2024</v>
      </c>
      <c r="AH23" t="inlineStr">
        <is>
          <t>Apartment</t>
        </is>
      </c>
      <c r="AI23" t="inlineStr">
        <is>
          <t>Prime</t>
        </is>
      </c>
      <c r="AJ23" t="inlineStr">
        <is>
          <t>TopTier</t>
        </is>
      </c>
      <c r="AK23" t="inlineStr">
        <is>
          <t>Prime resilient / selective</t>
        </is>
      </c>
      <c r="AL23" s="7" t="inlineStr">
        <is>
          <t>Better support from quality, branding, and scarcer prime stock; still entry-price sensitive.</t>
        </is>
      </c>
      <c r="AM23" s="9" t="n">
        <v>10.5</v>
      </c>
      <c r="AN23" s="9" t="n">
        <v>5.75</v>
      </c>
      <c r="AO23" s="10" t="n">
        <v>0.55</v>
      </c>
      <c r="AP23" s="13" t="n">
        <v>0.02</v>
      </c>
      <c r="AQ23" s="13" t="n">
        <v>0</v>
      </c>
      <c r="AR23" s="13" t="n">
        <v>0</v>
      </c>
      <c r="AS23" s="13" t="n">
        <v>0.03</v>
      </c>
      <c r="AT23" s="13" t="n">
        <v>0.005</v>
      </c>
      <c r="AU23" s="13" t="n">
        <v>0</v>
      </c>
      <c r="AV23" s="13" t="n">
        <v>-0.005</v>
      </c>
      <c r="AW23" s="13">
        <f>IF(X23="","",(AM23/100*AO23)+AP23+AQ23+AR23)</f>
        <v/>
      </c>
      <c r="AX23" s="13">
        <f>IF(X23="","",AS23+AT23+AU23+AV23)</f>
        <v/>
      </c>
      <c r="AY23" s="12">
        <f>IF(AZ23="","",ROUND(AZ23*(1+Assumptions!$B$10),0))</f>
        <v/>
      </c>
      <c r="AZ23" s="12">
        <f>IF(X23="","",ROUND(X23*(1+AW23),0))</f>
        <v/>
      </c>
      <c r="BA23" s="12">
        <f>IF(AZ23="","",ROUND(AZ23*(1+Assumptions!$B$11),0))</f>
        <v/>
      </c>
      <c r="BB23" s="12">
        <f>IF(AZ23="","",ROUND(AZ23*(1+AX23+Assumptions!$B$10),0))</f>
        <v/>
      </c>
      <c r="BC23" s="12">
        <f>IF(AZ23="","",ROUND(AZ23*(1+AX23),0))</f>
        <v/>
      </c>
      <c r="BD23" s="12">
        <f>IF(AZ23="","",ROUND(AZ23*(1+AX23+Assumptions!$B$11),0))</f>
        <v/>
      </c>
      <c r="BE23" s="12">
        <f>IF(AZ23="","",ROUND(AZ23*(1+AX23)*(1+AX23),0))</f>
        <v/>
      </c>
      <c r="BF23" s="7" t="inlineStr">
        <is>
          <t>Rules-based enrichment using launch-price anchor, cap-app realization, and 2026 segment conditions.</t>
        </is>
      </c>
      <c r="BG23" t="inlineStr">
        <is>
          <t>2026-03-17</t>
        </is>
      </c>
      <c r="BH23" s="7" t="inlineStr">
        <is>
          <t>DLD / Digital Dubai / CBUAE / Savills / Knight Frank-Moody’s / Reuters</t>
        </is>
      </c>
    </row>
    <row r="24">
      <c r="A24" t="n">
        <v>23</v>
      </c>
      <c r="B24" s="7" t="inlineStr">
        <is>
          <t>Albero</t>
        </is>
      </c>
      <c r="C24" t="inlineStr">
        <is>
          <t>Emaar Properties</t>
        </is>
      </c>
      <c r="D24" t="inlineStr">
        <is>
          <t>Dubai Creek Harbour</t>
        </is>
      </c>
      <c r="E24" t="inlineStr">
        <is>
          <t>Apartments</t>
        </is>
      </c>
      <c r="F24" s="7" t="inlineStr">
        <is>
          <t>Waterfront</t>
        </is>
      </c>
      <c r="G24" t="inlineStr">
        <is>
          <t>1.75M</t>
        </is>
      </c>
      <c r="H24" t="inlineStr">
        <is>
          <t>2150</t>
        </is>
      </c>
      <c r="I24" t="inlineStr">
        <is>
          <t>25</t>
        </is>
      </c>
      <c r="J24" t="inlineStr">
        <is>
          <t>80/20</t>
        </is>
      </c>
      <c r="K24" t="inlineStr">
        <is>
          <t>2024</t>
        </is>
      </c>
      <c r="L24" t="inlineStr">
        <is>
          <t>5.5-6.0</t>
        </is>
      </c>
      <c r="M24" t="inlineStr">
        <is>
          <t>9-12</t>
        </is>
      </c>
      <c r="N24" t="inlineStr">
        <is>
          <t>14.5-18.0</t>
        </is>
      </c>
      <c r="O24" s="7" t="inlineStr">
        <is>
          <t>Swiss Intl School</t>
        </is>
      </c>
      <c r="P24" s="7" t="inlineStr">
        <is>
          <t>American Hospital</t>
        </is>
      </c>
      <c r="Q24" s="7" t="inlineStr">
        <is>
          <t>Dubai Festival City</t>
        </is>
      </c>
      <c r="R24" s="7" t="inlineStr">
        <is>
          <t>Ras Al Khor / E44</t>
        </is>
      </c>
      <c r="S24" t="inlineStr">
        <is>
          <t>12</t>
        </is>
      </c>
      <c r="T24" t="inlineStr">
        <is>
          <t>25</t>
        </is>
      </c>
      <c r="U24" t="inlineStr">
        <is>
          <t>10</t>
        </is>
      </c>
      <c r="V24" t="inlineStr">
        <is>
          <t>40</t>
        </is>
      </c>
      <c r="W24" t="n">
        <v>2</v>
      </c>
      <c r="X24" s="12" t="n">
        <v>1750000</v>
      </c>
      <c r="Y24" s="12" t="n">
        <v>1750000</v>
      </c>
      <c r="Z24" s="9" t="n">
        <v>5.5</v>
      </c>
      <c r="AA24" s="9" t="n">
        <v>6</v>
      </c>
      <c r="AB24" s="9" t="n">
        <v>9</v>
      </c>
      <c r="AC24" s="9" t="n">
        <v>12</v>
      </c>
      <c r="AD24" s="9" t="n">
        <v>14.5</v>
      </c>
      <c r="AE24" s="9" t="n">
        <v>18</v>
      </c>
      <c r="AF24" t="n">
        <v>2024</v>
      </c>
      <c r="AH24" t="inlineStr">
        <is>
          <t>Apartment</t>
        </is>
      </c>
      <c r="AI24" t="inlineStr">
        <is>
          <t>Prime</t>
        </is>
      </c>
      <c r="AJ24" t="inlineStr">
        <is>
          <t>TopTier</t>
        </is>
      </c>
      <c r="AK24" t="inlineStr">
        <is>
          <t>Prime resilient / selective</t>
        </is>
      </c>
      <c r="AL24" s="7" t="inlineStr">
        <is>
          <t>Better support from quality, branding, and scarcer prime stock; still entry-price sensitive.</t>
        </is>
      </c>
      <c r="AM24" s="9" t="n">
        <v>10.5</v>
      </c>
      <c r="AN24" s="9" t="n">
        <v>5.75</v>
      </c>
      <c r="AO24" s="10" t="n">
        <v>0.55</v>
      </c>
      <c r="AP24" s="13" t="n">
        <v>0.02</v>
      </c>
      <c r="AQ24" s="13" t="n">
        <v>0</v>
      </c>
      <c r="AR24" s="13" t="n">
        <v>0</v>
      </c>
      <c r="AS24" s="13" t="n">
        <v>0.03</v>
      </c>
      <c r="AT24" s="13" t="n">
        <v>0.005</v>
      </c>
      <c r="AU24" s="13" t="n">
        <v>0</v>
      </c>
      <c r="AV24" s="13" t="n">
        <v>-0.005</v>
      </c>
      <c r="AW24" s="13">
        <f>IF(X24="","",(AM24/100*AO24)+AP24+AQ24+AR24)</f>
        <v/>
      </c>
      <c r="AX24" s="13">
        <f>IF(X24="","",AS24+AT24+AU24+AV24)</f>
        <v/>
      </c>
      <c r="AY24" s="12">
        <f>IF(AZ24="","",ROUND(AZ24*(1+Assumptions!$B$10),0))</f>
        <v/>
      </c>
      <c r="AZ24" s="12">
        <f>IF(X24="","",ROUND(X24*(1+AW24),0))</f>
        <v/>
      </c>
      <c r="BA24" s="12">
        <f>IF(AZ24="","",ROUND(AZ24*(1+Assumptions!$B$11),0))</f>
        <v/>
      </c>
      <c r="BB24" s="12">
        <f>IF(AZ24="","",ROUND(AZ24*(1+AX24+Assumptions!$B$10),0))</f>
        <v/>
      </c>
      <c r="BC24" s="12">
        <f>IF(AZ24="","",ROUND(AZ24*(1+AX24),0))</f>
        <v/>
      </c>
      <c r="BD24" s="12">
        <f>IF(AZ24="","",ROUND(AZ24*(1+AX24+Assumptions!$B$11),0))</f>
        <v/>
      </c>
      <c r="BE24" s="12">
        <f>IF(AZ24="","",ROUND(AZ24*(1+AX24)*(1+AX24),0))</f>
        <v/>
      </c>
      <c r="BF24" s="7" t="inlineStr">
        <is>
          <t>Rules-based enrichment using launch-price anchor, cap-app realization, and 2026 segment conditions.</t>
        </is>
      </c>
      <c r="BG24" t="inlineStr">
        <is>
          <t>2026-03-17</t>
        </is>
      </c>
      <c r="BH24" s="7" t="inlineStr">
        <is>
          <t>DLD / Digital Dubai / CBUAE / Savills / Knight Frank-Moody’s / Reuters</t>
        </is>
      </c>
    </row>
    <row r="25">
      <c r="A25" t="n">
        <v>24</v>
      </c>
      <c r="B25" s="7" t="inlineStr">
        <is>
          <t>Montiva</t>
        </is>
      </c>
      <c r="C25" t="inlineStr">
        <is>
          <t>Emaar Properties</t>
        </is>
      </c>
      <c r="D25" t="inlineStr">
        <is>
          <t>Dubai Creek Harbour</t>
        </is>
      </c>
      <c r="E25" t="inlineStr">
        <is>
          <t>Apartments</t>
        </is>
      </c>
      <c r="F25" s="7" t="inlineStr">
        <is>
          <t>Waterfront</t>
        </is>
      </c>
      <c r="G25" t="inlineStr">
        <is>
          <t>1.8M</t>
        </is>
      </c>
      <c r="H25" t="inlineStr">
        <is>
          <t>2200</t>
        </is>
      </c>
      <c r="I25" t="inlineStr">
        <is>
          <t>25</t>
        </is>
      </c>
      <c r="J25" t="inlineStr">
        <is>
          <t>80/20</t>
        </is>
      </c>
      <c r="K25" t="inlineStr">
        <is>
          <t>2024</t>
        </is>
      </c>
      <c r="L25" t="inlineStr">
        <is>
          <t>5.5-6.0</t>
        </is>
      </c>
      <c r="M25" t="inlineStr">
        <is>
          <t>9-12</t>
        </is>
      </c>
      <c r="N25" t="inlineStr">
        <is>
          <t>14.5-18.0</t>
        </is>
      </c>
      <c r="O25" s="7" t="inlineStr">
        <is>
          <t>Swiss Intl School</t>
        </is>
      </c>
      <c r="P25" s="7" t="inlineStr">
        <is>
          <t>American Hospital</t>
        </is>
      </c>
      <c r="Q25" s="7" t="inlineStr">
        <is>
          <t>Dubai Festival City</t>
        </is>
      </c>
      <c r="R25" s="7" t="inlineStr">
        <is>
          <t>Ras Al Khor / E44</t>
        </is>
      </c>
      <c r="S25" t="inlineStr">
        <is>
          <t>12</t>
        </is>
      </c>
      <c r="T25" t="inlineStr">
        <is>
          <t>25</t>
        </is>
      </c>
      <c r="U25" t="inlineStr">
        <is>
          <t>10</t>
        </is>
      </c>
      <c r="V25" t="inlineStr">
        <is>
          <t>40</t>
        </is>
      </c>
      <c r="W25" t="n">
        <v>2</v>
      </c>
      <c r="X25" s="12" t="n">
        <v>1800000</v>
      </c>
      <c r="Y25" s="12" t="n">
        <v>1800000</v>
      </c>
      <c r="Z25" s="9" t="n">
        <v>5.5</v>
      </c>
      <c r="AA25" s="9" t="n">
        <v>6</v>
      </c>
      <c r="AB25" s="9" t="n">
        <v>9</v>
      </c>
      <c r="AC25" s="9" t="n">
        <v>12</v>
      </c>
      <c r="AD25" s="9" t="n">
        <v>14.5</v>
      </c>
      <c r="AE25" s="9" t="n">
        <v>18</v>
      </c>
      <c r="AF25" t="n">
        <v>2024</v>
      </c>
      <c r="AH25" t="inlineStr">
        <is>
          <t>Apartment</t>
        </is>
      </c>
      <c r="AI25" t="inlineStr">
        <is>
          <t>Prime</t>
        </is>
      </c>
      <c r="AJ25" t="inlineStr">
        <is>
          <t>TopTier</t>
        </is>
      </c>
      <c r="AK25" t="inlineStr">
        <is>
          <t>Prime resilient / selective</t>
        </is>
      </c>
      <c r="AL25" s="7" t="inlineStr">
        <is>
          <t>Better support from quality, branding, and scarcer prime stock; still entry-price sensitive.</t>
        </is>
      </c>
      <c r="AM25" s="9" t="n">
        <v>10.5</v>
      </c>
      <c r="AN25" s="9" t="n">
        <v>5.75</v>
      </c>
      <c r="AO25" s="10" t="n">
        <v>0.55</v>
      </c>
      <c r="AP25" s="13" t="n">
        <v>0.02</v>
      </c>
      <c r="AQ25" s="13" t="n">
        <v>0</v>
      </c>
      <c r="AR25" s="13" t="n">
        <v>0</v>
      </c>
      <c r="AS25" s="13" t="n">
        <v>0.03</v>
      </c>
      <c r="AT25" s="13" t="n">
        <v>0.005</v>
      </c>
      <c r="AU25" s="13" t="n">
        <v>0</v>
      </c>
      <c r="AV25" s="13" t="n">
        <v>-0.005</v>
      </c>
      <c r="AW25" s="13">
        <f>IF(X25="","",(AM25/100*AO25)+AP25+AQ25+AR25)</f>
        <v/>
      </c>
      <c r="AX25" s="13">
        <f>IF(X25="","",AS25+AT25+AU25+AV25)</f>
        <v/>
      </c>
      <c r="AY25" s="12">
        <f>IF(AZ25="","",ROUND(AZ25*(1+Assumptions!$B$10),0))</f>
        <v/>
      </c>
      <c r="AZ25" s="12">
        <f>IF(X25="","",ROUND(X25*(1+AW25),0))</f>
        <v/>
      </c>
      <c r="BA25" s="12">
        <f>IF(AZ25="","",ROUND(AZ25*(1+Assumptions!$B$11),0))</f>
        <v/>
      </c>
      <c r="BB25" s="12">
        <f>IF(AZ25="","",ROUND(AZ25*(1+AX25+Assumptions!$B$10),0))</f>
        <v/>
      </c>
      <c r="BC25" s="12">
        <f>IF(AZ25="","",ROUND(AZ25*(1+AX25),0))</f>
        <v/>
      </c>
      <c r="BD25" s="12">
        <f>IF(AZ25="","",ROUND(AZ25*(1+AX25+Assumptions!$B$11),0))</f>
        <v/>
      </c>
      <c r="BE25" s="12">
        <f>IF(AZ25="","",ROUND(AZ25*(1+AX25)*(1+AX25),0))</f>
        <v/>
      </c>
      <c r="BF25" s="7" t="inlineStr">
        <is>
          <t>Rules-based enrichment using launch-price anchor, cap-app realization, and 2026 segment conditions.</t>
        </is>
      </c>
      <c r="BG25" t="inlineStr">
        <is>
          <t>2026-03-17</t>
        </is>
      </c>
      <c r="BH25" s="7" t="inlineStr">
        <is>
          <t>DLD / Digital Dubai / CBUAE / Savills / Knight Frank-Moody’s / Reuters</t>
        </is>
      </c>
    </row>
    <row r="26">
      <c r="A26" t="n">
        <v>25</v>
      </c>
      <c r="B26" s="7" t="inlineStr">
        <is>
          <t>Creek Waters 1</t>
        </is>
      </c>
      <c r="C26" t="inlineStr">
        <is>
          <t>Emaar Properties</t>
        </is>
      </c>
      <c r="D26" t="inlineStr">
        <is>
          <t>Dubai Creek Harbour</t>
        </is>
      </c>
      <c r="E26" t="inlineStr">
        <is>
          <t>Apartments</t>
        </is>
      </c>
      <c r="F26" s="7" t="inlineStr">
        <is>
          <t>Waterfront / Island</t>
        </is>
      </c>
      <c r="G26" t="inlineStr">
        <is>
          <t>2.2M</t>
        </is>
      </c>
      <c r="H26" t="inlineStr">
        <is>
          <t>2400</t>
        </is>
      </c>
      <c r="I26" t="inlineStr">
        <is>
          <t>25</t>
        </is>
      </c>
      <c r="J26" t="inlineStr">
        <is>
          <t>80/20</t>
        </is>
      </c>
      <c r="K26" t="inlineStr">
        <is>
          <t>2023</t>
        </is>
      </c>
      <c r="L26" t="inlineStr">
        <is>
          <t>5.0-5.5</t>
        </is>
      </c>
      <c r="M26" t="inlineStr">
        <is>
          <t>8-10</t>
        </is>
      </c>
      <c r="N26" t="inlineStr">
        <is>
          <t>13.0-15.5</t>
        </is>
      </c>
      <c r="O26" s="7" t="inlineStr">
        <is>
          <t>Swiss Intl School</t>
        </is>
      </c>
      <c r="P26" s="7" t="inlineStr">
        <is>
          <t>American Hospital</t>
        </is>
      </c>
      <c r="Q26" s="7" t="inlineStr">
        <is>
          <t>Dubai Festival City</t>
        </is>
      </c>
      <c r="R26" s="7" t="inlineStr">
        <is>
          <t>Ras Al Khor / E44</t>
        </is>
      </c>
      <c r="S26" t="inlineStr">
        <is>
          <t>12</t>
        </is>
      </c>
      <c r="T26" t="inlineStr">
        <is>
          <t>25</t>
        </is>
      </c>
      <c r="U26" t="inlineStr">
        <is>
          <t>10</t>
        </is>
      </c>
      <c r="V26" t="inlineStr">
        <is>
          <t>40</t>
        </is>
      </c>
      <c r="W26" t="n">
        <v>2</v>
      </c>
      <c r="X26" s="12" t="n">
        <v>2200000</v>
      </c>
      <c r="Y26" s="12" t="n">
        <v>2200000</v>
      </c>
      <c r="Z26" s="9" t="n">
        <v>5</v>
      </c>
      <c r="AA26" s="9" t="n">
        <v>5.5</v>
      </c>
      <c r="AB26" s="9" t="n">
        <v>8</v>
      </c>
      <c r="AC26" s="9" t="n">
        <v>10</v>
      </c>
      <c r="AD26" s="9" t="n">
        <v>13</v>
      </c>
      <c r="AE26" s="9" t="n">
        <v>15.5</v>
      </c>
      <c r="AF26" t="n">
        <v>2023</v>
      </c>
      <c r="AH26" t="inlineStr">
        <is>
          <t>Apartment</t>
        </is>
      </c>
      <c r="AI26" t="inlineStr">
        <is>
          <t>Prime</t>
        </is>
      </c>
      <c r="AJ26" t="inlineStr">
        <is>
          <t>TopTier</t>
        </is>
      </c>
      <c r="AK26" t="inlineStr">
        <is>
          <t>Prime resilient / selective</t>
        </is>
      </c>
      <c r="AL26" s="7" t="inlineStr">
        <is>
          <t>Better support from quality, branding, and scarcer prime stock; still entry-price sensitive.</t>
        </is>
      </c>
      <c r="AM26" s="9" t="n">
        <v>9</v>
      </c>
      <c r="AN26" s="9" t="n">
        <v>5.25</v>
      </c>
      <c r="AO26" s="10" t="n">
        <v>0.55</v>
      </c>
      <c r="AP26" s="13" t="n">
        <v>0.02</v>
      </c>
      <c r="AQ26" s="13" t="n">
        <v>0</v>
      </c>
      <c r="AR26" s="13" t="n">
        <v>0</v>
      </c>
      <c r="AS26" s="13" t="n">
        <v>0.03</v>
      </c>
      <c r="AT26" s="13" t="n">
        <v>0.005</v>
      </c>
      <c r="AU26" s="13" t="n">
        <v>0</v>
      </c>
      <c r="AV26" s="13" t="n">
        <v>-0.005</v>
      </c>
      <c r="AW26" s="13">
        <f>IF(X26="","",(AM26/100*AO26)+AP26+AQ26+AR26)</f>
        <v/>
      </c>
      <c r="AX26" s="13">
        <f>IF(X26="","",AS26+AT26+AU26+AV26)</f>
        <v/>
      </c>
      <c r="AY26" s="12">
        <f>IF(AZ26="","",ROUND(AZ26*(1+Assumptions!$B$10),0))</f>
        <v/>
      </c>
      <c r="AZ26" s="12">
        <f>IF(X26="","",ROUND(X26*(1+AW26),0))</f>
        <v/>
      </c>
      <c r="BA26" s="12">
        <f>IF(AZ26="","",ROUND(AZ26*(1+Assumptions!$B$11),0))</f>
        <v/>
      </c>
      <c r="BB26" s="12">
        <f>IF(AZ26="","",ROUND(AZ26*(1+AX26+Assumptions!$B$10),0))</f>
        <v/>
      </c>
      <c r="BC26" s="12">
        <f>IF(AZ26="","",ROUND(AZ26*(1+AX26),0))</f>
        <v/>
      </c>
      <c r="BD26" s="12">
        <f>IF(AZ26="","",ROUND(AZ26*(1+AX26+Assumptions!$B$11),0))</f>
        <v/>
      </c>
      <c r="BE26" s="12">
        <f>IF(AZ26="","",ROUND(AZ26*(1+AX26)*(1+AX26),0))</f>
        <v/>
      </c>
      <c r="BF26" s="7" t="inlineStr">
        <is>
          <t>Rules-based enrichment using launch-price anchor, cap-app realization, and 2026 segment conditions.</t>
        </is>
      </c>
      <c r="BG26" t="inlineStr">
        <is>
          <t>2026-03-17</t>
        </is>
      </c>
      <c r="BH26" s="7" t="inlineStr">
        <is>
          <t>DLD / Digital Dubai / CBUAE / Savills / Knight Frank-Moody’s / Reuters</t>
        </is>
      </c>
    </row>
    <row r="27">
      <c r="A27" t="n">
        <v>26</v>
      </c>
      <c r="B27" s="7" t="inlineStr">
        <is>
          <t>Creek Waters 2</t>
        </is>
      </c>
      <c r="C27" t="inlineStr">
        <is>
          <t>Emaar Properties</t>
        </is>
      </c>
      <c r="D27" t="inlineStr">
        <is>
          <t>Dubai Creek Harbour</t>
        </is>
      </c>
      <c r="E27" t="inlineStr">
        <is>
          <t>Apartments</t>
        </is>
      </c>
      <c r="F27" s="7" t="inlineStr">
        <is>
          <t>Waterfront / Island</t>
        </is>
      </c>
      <c r="G27" t="inlineStr">
        <is>
          <t>2.3M</t>
        </is>
      </c>
      <c r="H27" t="inlineStr">
        <is>
          <t>2450</t>
        </is>
      </c>
      <c r="I27" t="inlineStr">
        <is>
          <t>25</t>
        </is>
      </c>
      <c r="J27" t="inlineStr">
        <is>
          <t>80/20</t>
        </is>
      </c>
      <c r="K27" t="inlineStr">
        <is>
          <t>2023</t>
        </is>
      </c>
      <c r="L27" t="inlineStr">
        <is>
          <t>5.0-5.5</t>
        </is>
      </c>
      <c r="M27" t="inlineStr">
        <is>
          <t>8-10</t>
        </is>
      </c>
      <c r="N27" t="inlineStr">
        <is>
          <t>13.0-15.5</t>
        </is>
      </c>
      <c r="O27" s="7" t="inlineStr">
        <is>
          <t>Swiss Intl School</t>
        </is>
      </c>
      <c r="P27" s="7" t="inlineStr">
        <is>
          <t>American Hospital</t>
        </is>
      </c>
      <c r="Q27" s="7" t="inlineStr">
        <is>
          <t>Dubai Festival City</t>
        </is>
      </c>
      <c r="R27" s="7" t="inlineStr">
        <is>
          <t>Ras Al Khor / E44</t>
        </is>
      </c>
      <c r="S27" t="inlineStr">
        <is>
          <t>12</t>
        </is>
      </c>
      <c r="T27" t="inlineStr">
        <is>
          <t>25</t>
        </is>
      </c>
      <c r="U27" t="inlineStr">
        <is>
          <t>10</t>
        </is>
      </c>
      <c r="V27" t="inlineStr">
        <is>
          <t>40</t>
        </is>
      </c>
      <c r="W27" t="n">
        <v>2</v>
      </c>
      <c r="X27" s="12" t="n">
        <v>2300000</v>
      </c>
      <c r="Y27" s="12" t="n">
        <v>2300000</v>
      </c>
      <c r="Z27" s="9" t="n">
        <v>5</v>
      </c>
      <c r="AA27" s="9" t="n">
        <v>5.5</v>
      </c>
      <c r="AB27" s="9" t="n">
        <v>8</v>
      </c>
      <c r="AC27" s="9" t="n">
        <v>10</v>
      </c>
      <c r="AD27" s="9" t="n">
        <v>13</v>
      </c>
      <c r="AE27" s="9" t="n">
        <v>15.5</v>
      </c>
      <c r="AF27" t="n">
        <v>2023</v>
      </c>
      <c r="AH27" t="inlineStr">
        <is>
          <t>Apartment</t>
        </is>
      </c>
      <c r="AI27" t="inlineStr">
        <is>
          <t>Prime</t>
        </is>
      </c>
      <c r="AJ27" t="inlineStr">
        <is>
          <t>TopTier</t>
        </is>
      </c>
      <c r="AK27" t="inlineStr">
        <is>
          <t>Prime resilient / selective</t>
        </is>
      </c>
      <c r="AL27" s="7" t="inlineStr">
        <is>
          <t>Better support from quality, branding, and scarcer prime stock; still entry-price sensitive.</t>
        </is>
      </c>
      <c r="AM27" s="9" t="n">
        <v>9</v>
      </c>
      <c r="AN27" s="9" t="n">
        <v>5.25</v>
      </c>
      <c r="AO27" s="10" t="n">
        <v>0.55</v>
      </c>
      <c r="AP27" s="13" t="n">
        <v>0.02</v>
      </c>
      <c r="AQ27" s="13" t="n">
        <v>0</v>
      </c>
      <c r="AR27" s="13" t="n">
        <v>0</v>
      </c>
      <c r="AS27" s="13" t="n">
        <v>0.03</v>
      </c>
      <c r="AT27" s="13" t="n">
        <v>0.005</v>
      </c>
      <c r="AU27" s="13" t="n">
        <v>0</v>
      </c>
      <c r="AV27" s="13" t="n">
        <v>-0.005</v>
      </c>
      <c r="AW27" s="13">
        <f>IF(X27="","",(AM27/100*AO27)+AP27+AQ27+AR27)</f>
        <v/>
      </c>
      <c r="AX27" s="13">
        <f>IF(X27="","",AS27+AT27+AU27+AV27)</f>
        <v/>
      </c>
      <c r="AY27" s="12">
        <f>IF(AZ27="","",ROUND(AZ27*(1+Assumptions!$B$10),0))</f>
        <v/>
      </c>
      <c r="AZ27" s="12">
        <f>IF(X27="","",ROUND(X27*(1+AW27),0))</f>
        <v/>
      </c>
      <c r="BA27" s="12">
        <f>IF(AZ27="","",ROUND(AZ27*(1+Assumptions!$B$11),0))</f>
        <v/>
      </c>
      <c r="BB27" s="12">
        <f>IF(AZ27="","",ROUND(AZ27*(1+AX27+Assumptions!$B$10),0))</f>
        <v/>
      </c>
      <c r="BC27" s="12">
        <f>IF(AZ27="","",ROUND(AZ27*(1+AX27),0))</f>
        <v/>
      </c>
      <c r="BD27" s="12">
        <f>IF(AZ27="","",ROUND(AZ27*(1+AX27+Assumptions!$B$11),0))</f>
        <v/>
      </c>
      <c r="BE27" s="12">
        <f>IF(AZ27="","",ROUND(AZ27*(1+AX27)*(1+AX27),0))</f>
        <v/>
      </c>
      <c r="BF27" s="7" t="inlineStr">
        <is>
          <t>Rules-based enrichment using launch-price anchor, cap-app realization, and 2026 segment conditions.</t>
        </is>
      </c>
      <c r="BG27" t="inlineStr">
        <is>
          <t>2026-03-17</t>
        </is>
      </c>
      <c r="BH27" s="7" t="inlineStr">
        <is>
          <t>DLD / Digital Dubai / CBUAE / Savills / Knight Frank-Moody’s / Reuters</t>
        </is>
      </c>
    </row>
    <row r="28">
      <c r="A28" t="n">
        <v>27</v>
      </c>
      <c r="B28" s="7" t="inlineStr">
        <is>
          <t>Creek Gate</t>
        </is>
      </c>
      <c r="C28" t="inlineStr">
        <is>
          <t>Emaar Properties</t>
        </is>
      </c>
      <c r="D28" t="inlineStr">
        <is>
          <t>Dubai Creek Harbour</t>
        </is>
      </c>
      <c r="E28" t="inlineStr">
        <is>
          <t>Apartments</t>
        </is>
      </c>
      <c r="F28" s="7" t="inlineStr">
        <is>
          <t>Waterfront</t>
        </is>
      </c>
      <c r="G28" t="inlineStr">
        <is>
          <t>Resale</t>
        </is>
      </c>
      <c r="H28" t="inlineStr">
        <is>
          <t>1800</t>
        </is>
      </c>
      <c r="I28" t="inlineStr">
        <is>
          <t>25</t>
        </is>
      </c>
      <c r="J28" t="inlineStr">
        <is>
          <t>Completed</t>
        </is>
      </c>
      <c r="K28" t="inlineStr">
        <is>
          <t>2017</t>
        </is>
      </c>
      <c r="L28" t="inlineStr">
        <is>
          <t>6.0-6.5</t>
        </is>
      </c>
      <c r="M28" t="inlineStr">
        <is>
          <t>5-7</t>
        </is>
      </c>
      <c r="N28" t="inlineStr">
        <is>
          <t>11.0-13.5</t>
        </is>
      </c>
      <c r="O28" s="7" t="inlineStr">
        <is>
          <t>Swiss Intl School</t>
        </is>
      </c>
      <c r="P28" s="7" t="inlineStr">
        <is>
          <t>American Hospital</t>
        </is>
      </c>
      <c r="Q28" s="7" t="inlineStr">
        <is>
          <t>Dubai Festival City</t>
        </is>
      </c>
      <c r="R28" s="7" t="inlineStr">
        <is>
          <t>Ras Al Khor / E44</t>
        </is>
      </c>
      <c r="S28" t="inlineStr">
        <is>
          <t>12</t>
        </is>
      </c>
      <c r="T28" t="inlineStr">
        <is>
          <t>25</t>
        </is>
      </c>
      <c r="U28" t="inlineStr">
        <is>
          <t>10</t>
        </is>
      </c>
      <c r="V28" t="inlineStr">
        <is>
          <t>40</t>
        </is>
      </c>
      <c r="W28" t="n">
        <v>2</v>
      </c>
      <c r="X28" s="12" t="n"/>
      <c r="Y28" s="12" t="n"/>
      <c r="Z28" s="9" t="n">
        <v>6</v>
      </c>
      <c r="AA28" s="9" t="n">
        <v>6.5</v>
      </c>
      <c r="AB28" s="9" t="n">
        <v>5</v>
      </c>
      <c r="AC28" s="9" t="n">
        <v>7</v>
      </c>
      <c r="AD28" s="9" t="n">
        <v>11</v>
      </c>
      <c r="AE28" s="9" t="n">
        <v>13.5</v>
      </c>
      <c r="AF28" t="n">
        <v>2017</v>
      </c>
      <c r="AH28" t="inlineStr">
        <is>
          <t>Apartment</t>
        </is>
      </c>
      <c r="AI28" t="inlineStr">
        <is>
          <t>Prime</t>
        </is>
      </c>
      <c r="AJ28" t="inlineStr">
        <is>
          <t>TopTier</t>
        </is>
      </c>
      <c r="AK28" t="inlineStr">
        <is>
          <t>Prime resilient / selective</t>
        </is>
      </c>
      <c r="AL28" s="7" t="inlineStr">
        <is>
          <t>Better support from quality, branding, and scarcer prime stock; still entry-price sensitive.</t>
        </is>
      </c>
      <c r="AM28" s="9" t="n">
        <v>6</v>
      </c>
      <c r="AN28" s="9" t="n">
        <v>6.25</v>
      </c>
      <c r="AO28" s="10" t="n">
        <v>0.55</v>
      </c>
      <c r="AP28" s="13" t="n">
        <v>0.02</v>
      </c>
      <c r="AQ28" s="13" t="n">
        <v>0</v>
      </c>
      <c r="AR28" s="13" t="n">
        <v>0</v>
      </c>
      <c r="AS28" s="13" t="n">
        <v>0.03</v>
      </c>
      <c r="AT28" s="13" t="n">
        <v>0.005</v>
      </c>
      <c r="AU28" s="13" t="n">
        <v>0.0025</v>
      </c>
      <c r="AV28" s="13" t="n">
        <v>-0.005</v>
      </c>
      <c r="AW28" s="13">
        <f>IF(X28="","",(AM28/100*AO28)+AP28+AQ28+AR28)</f>
        <v/>
      </c>
      <c r="AX28" s="13">
        <f>IF(X28="","",AS28+AT28+AU28+AV28)</f>
        <v/>
      </c>
      <c r="AY28" s="12">
        <f>IF(AZ28="","",ROUND(AZ28*(1+Assumptions!$B$10),0))</f>
        <v/>
      </c>
      <c r="AZ28" s="12">
        <f>IF(X28="","",ROUND(X28*(1+AW28),0))</f>
        <v/>
      </c>
      <c r="BA28" s="12">
        <f>IF(AZ28="","",ROUND(AZ28*(1+Assumptions!$B$11),0))</f>
        <v/>
      </c>
      <c r="BB28" s="12">
        <f>IF(AZ28="","",ROUND(AZ28*(1+AX28+Assumptions!$B$10),0))</f>
        <v/>
      </c>
      <c r="BC28" s="12">
        <f>IF(AZ28="","",ROUND(AZ28*(1+AX28),0))</f>
        <v/>
      </c>
      <c r="BD28" s="12">
        <f>IF(AZ28="","",ROUND(AZ28*(1+AX28+Assumptions!$B$11),0))</f>
        <v/>
      </c>
      <c r="BE28" s="12">
        <f>IF(AZ28="","",ROUND(AZ28*(1+AX28)*(1+AX28),0))</f>
        <v/>
      </c>
      <c r="BF28" s="7" t="inlineStr">
        <is>
          <t>Rules-based enrichment using launch-price anchor, cap-app realization, and 2026 segment conditions.</t>
        </is>
      </c>
      <c r="BG28" t="inlineStr">
        <is>
          <t>2026-03-17</t>
        </is>
      </c>
      <c r="BH28" s="7" t="inlineStr">
        <is>
          <t>DLD / Digital Dubai / CBUAE / Savills / Knight Frank-Moody’s / Reuters</t>
        </is>
      </c>
    </row>
    <row r="29">
      <c r="A29" t="n">
        <v>28</v>
      </c>
      <c r="B29" s="7" t="inlineStr">
        <is>
          <t>Address Grand Creek</t>
        </is>
      </c>
      <c r="C29" t="inlineStr">
        <is>
          <t>Emaar Properties</t>
        </is>
      </c>
      <c r="D29" t="inlineStr">
        <is>
          <t>Dubai Creek Harbour</t>
        </is>
      </c>
      <c r="E29" t="inlineStr">
        <is>
          <t>Branded Residences</t>
        </is>
      </c>
      <c r="F29" s="7" t="inlineStr">
        <is>
          <t>Luxury Hotel</t>
        </is>
      </c>
      <c r="G29" t="inlineStr">
        <is>
          <t>3.5M</t>
        </is>
      </c>
      <c r="H29" t="inlineStr">
        <is>
          <t>3500</t>
        </is>
      </c>
      <c r="I29" t="inlineStr">
        <is>
          <t>45+</t>
        </is>
      </c>
      <c r="J29" t="inlineStr">
        <is>
          <t>Varies</t>
        </is>
      </c>
      <c r="K29" t="inlineStr">
        <is>
          <t>2023</t>
        </is>
      </c>
      <c r="L29" t="inlineStr">
        <is>
          <t>4.0-5.0</t>
        </is>
      </c>
      <c r="M29" t="inlineStr">
        <is>
          <t>8-10</t>
        </is>
      </c>
      <c r="N29" t="inlineStr">
        <is>
          <t>12.0-15.0</t>
        </is>
      </c>
      <c r="O29" s="7" t="inlineStr">
        <is>
          <t>Swiss Intl School</t>
        </is>
      </c>
      <c r="P29" s="7" t="inlineStr">
        <is>
          <t>American Hospital</t>
        </is>
      </c>
      <c r="Q29" s="7" t="inlineStr">
        <is>
          <t>Dubai Festival City</t>
        </is>
      </c>
      <c r="R29" s="7" t="inlineStr">
        <is>
          <t>Ras Al Khor / E44</t>
        </is>
      </c>
      <c r="S29" t="inlineStr">
        <is>
          <t>12</t>
        </is>
      </c>
      <c r="T29" t="inlineStr">
        <is>
          <t>25</t>
        </is>
      </c>
      <c r="U29" t="inlineStr">
        <is>
          <t>10</t>
        </is>
      </c>
      <c r="V29" t="inlineStr">
        <is>
          <t>40</t>
        </is>
      </c>
      <c r="W29" t="n">
        <v>2</v>
      </c>
      <c r="X29" s="12" t="n">
        <v>3500000</v>
      </c>
      <c r="Y29" s="12" t="n">
        <v>3500000</v>
      </c>
      <c r="Z29" s="9" t="n">
        <v>4</v>
      </c>
      <c r="AA29" s="9" t="n">
        <v>5</v>
      </c>
      <c r="AB29" s="9" t="n">
        <v>8</v>
      </c>
      <c r="AC29" s="9" t="n">
        <v>10</v>
      </c>
      <c r="AD29" s="9" t="n">
        <v>12</v>
      </c>
      <c r="AE29" s="9" t="n">
        <v>15</v>
      </c>
      <c r="AF29" t="n">
        <v>2023</v>
      </c>
      <c r="AH29" t="inlineStr">
        <is>
          <t>Apartment</t>
        </is>
      </c>
      <c r="AI29" t="inlineStr">
        <is>
          <t>Prime</t>
        </is>
      </c>
      <c r="AJ29" t="inlineStr">
        <is>
          <t>TopTier</t>
        </is>
      </c>
      <c r="AK29" t="inlineStr">
        <is>
          <t>Prime resilient / selective</t>
        </is>
      </c>
      <c r="AL29" s="7" t="inlineStr">
        <is>
          <t>Better support from quality, branding, and scarcer prime stock; still entry-price sensitive.</t>
        </is>
      </c>
      <c r="AM29" s="9" t="n">
        <v>9</v>
      </c>
      <c r="AN29" s="9" t="n">
        <v>4.5</v>
      </c>
      <c r="AO29" s="10" t="n">
        <v>0.55</v>
      </c>
      <c r="AP29" s="13" t="n">
        <v>0.02</v>
      </c>
      <c r="AQ29" s="13" t="n">
        <v>0</v>
      </c>
      <c r="AR29" s="13" t="n">
        <v>0</v>
      </c>
      <c r="AS29" s="13" t="n">
        <v>0.03</v>
      </c>
      <c r="AT29" s="13" t="n">
        <v>0.005</v>
      </c>
      <c r="AU29" s="13" t="n">
        <v>0</v>
      </c>
      <c r="AV29" s="13" t="n">
        <v>-0.005</v>
      </c>
      <c r="AW29" s="13">
        <f>IF(X29="","",(AM29/100*AO29)+AP29+AQ29+AR29)</f>
        <v/>
      </c>
      <c r="AX29" s="13">
        <f>IF(X29="","",AS29+AT29+AU29+AV29)</f>
        <v/>
      </c>
      <c r="AY29" s="12">
        <f>IF(AZ29="","",ROUND(AZ29*(1+Assumptions!$B$10),0))</f>
        <v/>
      </c>
      <c r="AZ29" s="12">
        <f>IF(X29="","",ROUND(X29*(1+AW29),0))</f>
        <v/>
      </c>
      <c r="BA29" s="12">
        <f>IF(AZ29="","",ROUND(AZ29*(1+Assumptions!$B$11),0))</f>
        <v/>
      </c>
      <c r="BB29" s="12">
        <f>IF(AZ29="","",ROUND(AZ29*(1+AX29+Assumptions!$B$10),0))</f>
        <v/>
      </c>
      <c r="BC29" s="12">
        <f>IF(AZ29="","",ROUND(AZ29*(1+AX29),0))</f>
        <v/>
      </c>
      <c r="BD29" s="12">
        <f>IF(AZ29="","",ROUND(AZ29*(1+AX29+Assumptions!$B$11),0))</f>
        <v/>
      </c>
      <c r="BE29" s="12">
        <f>IF(AZ29="","",ROUND(AZ29*(1+AX29)*(1+AX29),0))</f>
        <v/>
      </c>
      <c r="BF29" s="7" t="inlineStr">
        <is>
          <t>Rules-based enrichment using launch-price anchor, cap-app realization, and 2026 segment conditions.</t>
        </is>
      </c>
      <c r="BG29" t="inlineStr">
        <is>
          <t>2026-03-17</t>
        </is>
      </c>
      <c r="BH29" s="7" t="inlineStr">
        <is>
          <t>DLD / Digital Dubai / CBUAE / Savills / Knight Frank-Moody’s / Reuters</t>
        </is>
      </c>
    </row>
    <row r="30">
      <c r="A30" t="n">
        <v>29</v>
      </c>
      <c r="B30" s="7" t="inlineStr">
        <is>
          <t>Dubai Hills Estate</t>
        </is>
      </c>
      <c r="C30" t="inlineStr">
        <is>
          <t>Emaar Properties</t>
        </is>
      </c>
      <c r="D30" t="inlineStr">
        <is>
          <t>Al Khail Road</t>
        </is>
      </c>
      <c r="E30" t="inlineStr">
        <is>
          <t>Mixed</t>
        </is>
      </c>
      <c r="F30" s="7" t="inlineStr">
        <is>
          <t>Golf / Central Park</t>
        </is>
      </c>
      <c r="I30" t="inlineStr">
        <is>
          <t>20-25</t>
        </is>
      </c>
      <c r="J30" t="inlineStr">
        <is>
          <t>Varies</t>
        </is>
      </c>
      <c r="K30" t="inlineStr">
        <is>
          <t>Ongoing</t>
        </is>
      </c>
      <c r="L30" t="inlineStr">
        <is>
          <t>5.5-6.5</t>
        </is>
      </c>
      <c r="M30" t="inlineStr">
        <is>
          <t>8-12</t>
        </is>
      </c>
      <c r="N30" t="inlineStr">
        <is>
          <t>13.5-18.5</t>
        </is>
      </c>
      <c r="O30" s="7" t="inlineStr">
        <is>
          <t>GEMS Wellington</t>
        </is>
      </c>
      <c r="P30" s="7" t="inlineStr">
        <is>
          <t>King's College Hospital</t>
        </is>
      </c>
      <c r="Q30" s="7" t="inlineStr">
        <is>
          <t>Dubai Hills Mall</t>
        </is>
      </c>
      <c r="R30" s="7" t="inlineStr">
        <is>
          <t>Al Khail E44</t>
        </is>
      </c>
      <c r="S30" t="inlineStr">
        <is>
          <t>15</t>
        </is>
      </c>
      <c r="T30" t="inlineStr">
        <is>
          <t>15</t>
        </is>
      </c>
      <c r="U30" t="inlineStr">
        <is>
          <t>20</t>
        </is>
      </c>
      <c r="V30" t="inlineStr">
        <is>
          <t>30</t>
        </is>
      </c>
      <c r="W30" t="n">
        <v>2</v>
      </c>
      <c r="X30" s="12" t="n"/>
      <c r="Y30" s="12" t="n"/>
      <c r="Z30" s="9" t="n">
        <v>5.5</v>
      </c>
      <c r="AA30" s="9" t="n">
        <v>6.5</v>
      </c>
      <c r="AB30" s="9" t="n">
        <v>8</v>
      </c>
      <c r="AC30" s="9" t="n">
        <v>12</v>
      </c>
      <c r="AD30" s="9" t="n">
        <v>13.5</v>
      </c>
      <c r="AE30" s="9" t="n">
        <v>18.5</v>
      </c>
      <c r="AH30" t="inlineStr">
        <is>
          <t>Mixed/Other</t>
        </is>
      </c>
      <c r="AI30" t="inlineStr">
        <is>
          <t>MainstreamSelective</t>
        </is>
      </c>
      <c r="AJ30" t="inlineStr">
        <is>
          <t>TopTier</t>
        </is>
      </c>
      <c r="AK30" t="inlineStr">
        <is>
          <t>Balanced / selective</t>
        </is>
      </c>
      <c r="AL30" s="7" t="inlineStr">
        <is>
          <t>Market remains active but increasingly differentiated by developer, micro-location, livability, and pricing discipline.</t>
        </is>
      </c>
      <c r="AM30" s="9" t="n">
        <v>10</v>
      </c>
      <c r="AN30" s="9" t="n">
        <v>6</v>
      </c>
      <c r="AO30" s="10" t="n">
        <v>0.25</v>
      </c>
      <c r="AP30" s="13" t="n">
        <v>0</v>
      </c>
      <c r="AQ30" s="13" t="n">
        <v>0</v>
      </c>
      <c r="AR30" s="13" t="n">
        <v>0</v>
      </c>
      <c r="AS30" s="13" t="n">
        <v>0.01</v>
      </c>
      <c r="AT30" s="13" t="n">
        <v>0.005</v>
      </c>
      <c r="AU30" s="13" t="n">
        <v>0</v>
      </c>
      <c r="AV30" s="13" t="n">
        <v>-0.005</v>
      </c>
      <c r="AW30" s="13">
        <f>IF(X30="","",(AM30/100*AO30)+AP30+AQ30+AR30)</f>
        <v/>
      </c>
      <c r="AX30" s="13">
        <f>IF(X30="","",AS30+AT30+AU30+AV30)</f>
        <v/>
      </c>
      <c r="AY30" s="12">
        <f>IF(AZ30="","",ROUND(AZ30*(1+Assumptions!$B$10),0))</f>
        <v/>
      </c>
      <c r="AZ30" s="12">
        <f>IF(X30="","",ROUND(X30*(1+AW30),0))</f>
        <v/>
      </c>
      <c r="BA30" s="12">
        <f>IF(AZ30="","",ROUND(AZ30*(1+Assumptions!$B$11),0))</f>
        <v/>
      </c>
      <c r="BB30" s="12">
        <f>IF(AZ30="","",ROUND(AZ30*(1+AX30+Assumptions!$B$10),0))</f>
        <v/>
      </c>
      <c r="BC30" s="12">
        <f>IF(AZ30="","",ROUND(AZ30*(1+AX30),0))</f>
        <v/>
      </c>
      <c r="BD30" s="12">
        <f>IF(AZ30="","",ROUND(AZ30*(1+AX30+Assumptions!$B$11),0))</f>
        <v/>
      </c>
      <c r="BE30" s="12">
        <f>IF(AZ30="","",ROUND(AZ30*(1+AX30)*(1+AX30),0))</f>
        <v/>
      </c>
      <c r="BF30" s="7" t="inlineStr">
        <is>
          <t>Rules-based enrichment using launch-price anchor, cap-app realization, and 2026 segment conditions.</t>
        </is>
      </c>
      <c r="BG30" t="inlineStr">
        <is>
          <t>2026-03-17</t>
        </is>
      </c>
      <c r="BH30" s="7" t="inlineStr">
        <is>
          <t>DLD / Digital Dubai / CBUAE / Savills / Knight Frank-Moody’s / Reuters</t>
        </is>
      </c>
    </row>
    <row r="31">
      <c r="A31" t="n">
        <v>30</v>
      </c>
      <c r="B31" s="7" t="inlineStr">
        <is>
          <t>Park Gate 2</t>
        </is>
      </c>
      <c r="C31" t="inlineStr">
        <is>
          <t>Emaar Properties</t>
        </is>
      </c>
      <c r="D31" t="inlineStr">
        <is>
          <t>Dubai Hills Estate</t>
        </is>
      </c>
      <c r="E31" t="inlineStr">
        <is>
          <t>Villas</t>
        </is>
      </c>
      <c r="F31" s="7" t="inlineStr">
        <is>
          <t>Gated / Park</t>
        </is>
      </c>
      <c r="G31" t="inlineStr">
        <is>
          <t>4.5M</t>
        </is>
      </c>
      <c r="H31" t="inlineStr">
        <is>
          <t>1800</t>
        </is>
      </c>
      <c r="I31" t="inlineStr">
        <is>
          <t>20</t>
        </is>
      </c>
      <c r="J31" t="inlineStr">
        <is>
          <t>80/20</t>
        </is>
      </c>
      <c r="K31" t="inlineStr">
        <is>
          <t>2024</t>
        </is>
      </c>
      <c r="L31" t="inlineStr">
        <is>
          <t>5.0-5.5</t>
        </is>
      </c>
      <c r="M31" t="inlineStr">
        <is>
          <t>8-12</t>
        </is>
      </c>
      <c r="N31" t="inlineStr">
        <is>
          <t>13.0-17.5</t>
        </is>
      </c>
      <c r="O31" s="7" t="inlineStr">
        <is>
          <t>GEMS Wellington</t>
        </is>
      </c>
      <c r="P31" s="7" t="inlineStr">
        <is>
          <t>King's College Hospital</t>
        </is>
      </c>
      <c r="Q31" s="7" t="inlineStr">
        <is>
          <t>Dubai Hills Mall</t>
        </is>
      </c>
      <c r="R31" s="7" t="inlineStr">
        <is>
          <t>Al Khail E44</t>
        </is>
      </c>
      <c r="S31" t="inlineStr">
        <is>
          <t>15</t>
        </is>
      </c>
      <c r="T31" t="inlineStr">
        <is>
          <t>15</t>
        </is>
      </c>
      <c r="U31" t="inlineStr">
        <is>
          <t>20</t>
        </is>
      </c>
      <c r="V31" t="inlineStr">
        <is>
          <t>30</t>
        </is>
      </c>
      <c r="W31" t="n">
        <v>2</v>
      </c>
      <c r="X31" s="12" t="n">
        <v>4500000</v>
      </c>
      <c r="Y31" s="12" t="n">
        <v>4500000</v>
      </c>
      <c r="Z31" s="9" t="n">
        <v>5</v>
      </c>
      <c r="AA31" s="9" t="n">
        <v>5.5</v>
      </c>
      <c r="AB31" s="9" t="n">
        <v>8</v>
      </c>
      <c r="AC31" s="9" t="n">
        <v>12</v>
      </c>
      <c r="AD31" s="9" t="n">
        <v>13</v>
      </c>
      <c r="AE31" s="9" t="n">
        <v>17.5</v>
      </c>
      <c r="AF31" t="n">
        <v>2024</v>
      </c>
      <c r="AH31" t="inlineStr">
        <is>
          <t>Villa</t>
        </is>
      </c>
      <c r="AI31" t="inlineStr">
        <is>
          <t>Prime</t>
        </is>
      </c>
      <c r="AJ31" t="inlineStr">
        <is>
          <t>TopTier</t>
        </is>
      </c>
      <c r="AK31" t="inlineStr">
        <is>
          <t>Prime resilient / selective</t>
        </is>
      </c>
      <c r="AL31" s="7" t="inlineStr">
        <is>
          <t>Better support from quality, branding, and scarcer prime stock; still entry-price sensitive.</t>
        </is>
      </c>
      <c r="AM31" s="9" t="n">
        <v>10</v>
      </c>
      <c r="AN31" s="9" t="n">
        <v>5.25</v>
      </c>
      <c r="AO31" s="10" t="n">
        <v>0.55</v>
      </c>
      <c r="AP31" s="13" t="n">
        <v>0.02</v>
      </c>
      <c r="AQ31" s="13" t="n">
        <v>0.015</v>
      </c>
      <c r="AR31" s="13" t="n">
        <v>0</v>
      </c>
      <c r="AS31" s="13" t="n">
        <v>0.03</v>
      </c>
      <c r="AT31" s="13" t="n">
        <v>0.005</v>
      </c>
      <c r="AU31" s="13" t="n">
        <v>0</v>
      </c>
      <c r="AV31" s="13" t="n">
        <v>-0.005</v>
      </c>
      <c r="AW31" s="13">
        <f>IF(X31="","",(AM31/100*AO31)+AP31+AQ31+AR31)</f>
        <v/>
      </c>
      <c r="AX31" s="13">
        <f>IF(X31="","",AS31+AT31+AU31+AV31)</f>
        <v/>
      </c>
      <c r="AY31" s="12">
        <f>IF(AZ31="","",ROUND(AZ31*(1+Assumptions!$B$10),0))</f>
        <v/>
      </c>
      <c r="AZ31" s="12">
        <f>IF(X31="","",ROUND(X31*(1+AW31),0))</f>
        <v/>
      </c>
      <c r="BA31" s="12">
        <f>IF(AZ31="","",ROUND(AZ31*(1+Assumptions!$B$11),0))</f>
        <v/>
      </c>
      <c r="BB31" s="12">
        <f>IF(AZ31="","",ROUND(AZ31*(1+AX31+Assumptions!$B$10),0))</f>
        <v/>
      </c>
      <c r="BC31" s="12">
        <f>IF(AZ31="","",ROUND(AZ31*(1+AX31),0))</f>
        <v/>
      </c>
      <c r="BD31" s="12">
        <f>IF(AZ31="","",ROUND(AZ31*(1+AX31+Assumptions!$B$11),0))</f>
        <v/>
      </c>
      <c r="BE31" s="12">
        <f>IF(AZ31="","",ROUND(AZ31*(1+AX31)*(1+AX31),0))</f>
        <v/>
      </c>
      <c r="BF31" s="7" t="inlineStr">
        <is>
          <t>Rules-based enrichment using launch-price anchor, cap-app realization, and 2026 segment conditions.</t>
        </is>
      </c>
      <c r="BG31" t="inlineStr">
        <is>
          <t>2026-03-17</t>
        </is>
      </c>
      <c r="BH31" s="7" t="inlineStr">
        <is>
          <t>DLD / Digital Dubai / CBUAE / Savills / Knight Frank-Moody’s / Reuters</t>
        </is>
      </c>
    </row>
    <row r="32">
      <c r="A32" t="n">
        <v>31</v>
      </c>
      <c r="B32" s="7" t="inlineStr">
        <is>
          <t>Rosehill</t>
        </is>
      </c>
      <c r="C32" t="inlineStr">
        <is>
          <t>Emaar Properties</t>
        </is>
      </c>
      <c r="D32" t="inlineStr">
        <is>
          <t>Dubai Hills Estate</t>
        </is>
      </c>
      <c r="E32" t="inlineStr">
        <is>
          <t>Apartments</t>
        </is>
      </c>
      <c r="F32" s="7" t="inlineStr">
        <is>
          <t>Community View</t>
        </is>
      </c>
      <c r="G32" t="inlineStr">
        <is>
          <t>1.6M</t>
        </is>
      </c>
      <c r="H32" t="inlineStr">
        <is>
          <t>1900</t>
        </is>
      </c>
      <c r="I32" t="inlineStr">
        <is>
          <t>22</t>
        </is>
      </c>
      <c r="J32" t="inlineStr">
        <is>
          <t>80/20</t>
        </is>
      </c>
      <c r="K32" t="inlineStr">
        <is>
          <t>2024</t>
        </is>
      </c>
      <c r="L32" t="inlineStr">
        <is>
          <t>6.0-6.5</t>
        </is>
      </c>
      <c r="M32" t="inlineStr">
        <is>
          <t>8-12</t>
        </is>
      </c>
      <c r="N32" t="inlineStr">
        <is>
          <t>14.0-18.5</t>
        </is>
      </c>
      <c r="O32" s="7" t="inlineStr">
        <is>
          <t>GEMS Wellington</t>
        </is>
      </c>
      <c r="P32" s="7" t="inlineStr">
        <is>
          <t>King's College Hospital</t>
        </is>
      </c>
      <c r="Q32" s="7" t="inlineStr">
        <is>
          <t>Dubai Hills Mall</t>
        </is>
      </c>
      <c r="R32" s="7" t="inlineStr">
        <is>
          <t>Al Khail E44</t>
        </is>
      </c>
      <c r="S32" t="inlineStr">
        <is>
          <t>15</t>
        </is>
      </c>
      <c r="T32" t="inlineStr">
        <is>
          <t>15</t>
        </is>
      </c>
      <c r="U32" t="inlineStr">
        <is>
          <t>20</t>
        </is>
      </c>
      <c r="V32" t="inlineStr">
        <is>
          <t>30</t>
        </is>
      </c>
      <c r="W32" t="n">
        <v>2</v>
      </c>
      <c r="X32" s="12" t="n">
        <v>1600000</v>
      </c>
      <c r="Y32" s="12" t="n">
        <v>1600000</v>
      </c>
      <c r="Z32" s="9" t="n">
        <v>6</v>
      </c>
      <c r="AA32" s="9" t="n">
        <v>6.5</v>
      </c>
      <c r="AB32" s="9" t="n">
        <v>8</v>
      </c>
      <c r="AC32" s="9" t="n">
        <v>12</v>
      </c>
      <c r="AD32" s="9" t="n">
        <v>14</v>
      </c>
      <c r="AE32" s="9" t="n">
        <v>18.5</v>
      </c>
      <c r="AF32" t="n">
        <v>2024</v>
      </c>
      <c r="AH32" t="inlineStr">
        <is>
          <t>Apartment</t>
        </is>
      </c>
      <c r="AI32" t="inlineStr">
        <is>
          <t>Prime</t>
        </is>
      </c>
      <c r="AJ32" t="inlineStr">
        <is>
          <t>TopTier</t>
        </is>
      </c>
      <c r="AK32" t="inlineStr">
        <is>
          <t>Prime resilient / selective</t>
        </is>
      </c>
      <c r="AL32" s="7" t="inlineStr">
        <is>
          <t>Better support from quality, branding, and scarcer prime stock; still entry-price sensitive.</t>
        </is>
      </c>
      <c r="AM32" s="9" t="n">
        <v>10</v>
      </c>
      <c r="AN32" s="9" t="n">
        <v>6.25</v>
      </c>
      <c r="AO32" s="10" t="n">
        <v>0.55</v>
      </c>
      <c r="AP32" s="13" t="n">
        <v>0.02</v>
      </c>
      <c r="AQ32" s="13" t="n">
        <v>0</v>
      </c>
      <c r="AR32" s="13" t="n">
        <v>0</v>
      </c>
      <c r="AS32" s="13" t="n">
        <v>0.03</v>
      </c>
      <c r="AT32" s="13" t="n">
        <v>0.005</v>
      </c>
      <c r="AU32" s="13" t="n">
        <v>0.0025</v>
      </c>
      <c r="AV32" s="13" t="n">
        <v>-0.005</v>
      </c>
      <c r="AW32" s="13">
        <f>IF(X32="","",(AM32/100*AO32)+AP32+AQ32+AR32)</f>
        <v/>
      </c>
      <c r="AX32" s="13">
        <f>IF(X32="","",AS32+AT32+AU32+AV32)</f>
        <v/>
      </c>
      <c r="AY32" s="12">
        <f>IF(AZ32="","",ROUND(AZ32*(1+Assumptions!$B$10),0))</f>
        <v/>
      </c>
      <c r="AZ32" s="12">
        <f>IF(X32="","",ROUND(X32*(1+AW32),0))</f>
        <v/>
      </c>
      <c r="BA32" s="12">
        <f>IF(AZ32="","",ROUND(AZ32*(1+Assumptions!$B$11),0))</f>
        <v/>
      </c>
      <c r="BB32" s="12">
        <f>IF(AZ32="","",ROUND(AZ32*(1+AX32+Assumptions!$B$10),0))</f>
        <v/>
      </c>
      <c r="BC32" s="12">
        <f>IF(AZ32="","",ROUND(AZ32*(1+AX32),0))</f>
        <v/>
      </c>
      <c r="BD32" s="12">
        <f>IF(AZ32="","",ROUND(AZ32*(1+AX32+Assumptions!$B$11),0))</f>
        <v/>
      </c>
      <c r="BE32" s="12">
        <f>IF(AZ32="","",ROUND(AZ32*(1+AX32)*(1+AX32),0))</f>
        <v/>
      </c>
      <c r="BF32" s="7" t="inlineStr">
        <is>
          <t>Rules-based enrichment using launch-price anchor, cap-app realization, and 2026 segment conditions.</t>
        </is>
      </c>
      <c r="BG32" t="inlineStr">
        <is>
          <t>2026-03-17</t>
        </is>
      </c>
      <c r="BH32" s="7" t="inlineStr">
        <is>
          <t>DLD / Digital Dubai / CBUAE / Savills / Knight Frank-Moody’s / Reuters</t>
        </is>
      </c>
    </row>
    <row r="33">
      <c r="A33" t="n">
        <v>32</v>
      </c>
      <c r="B33" s="7" t="inlineStr">
        <is>
          <t>Greencrest</t>
        </is>
      </c>
      <c r="C33" t="inlineStr">
        <is>
          <t>Emaar Properties</t>
        </is>
      </c>
      <c r="D33" t="inlineStr">
        <is>
          <t>Dubai Hills Estate</t>
        </is>
      </c>
      <c r="E33" t="inlineStr">
        <is>
          <t>Apartments</t>
        </is>
      </c>
      <c r="F33" s="7" t="inlineStr">
        <is>
          <t>Community View</t>
        </is>
      </c>
      <c r="G33" t="inlineStr">
        <is>
          <t>1.55M</t>
        </is>
      </c>
      <c r="H33" t="inlineStr">
        <is>
          <t>1850</t>
        </is>
      </c>
      <c r="I33" t="inlineStr">
        <is>
          <t>22</t>
        </is>
      </c>
      <c r="J33" t="inlineStr">
        <is>
          <t>80/20</t>
        </is>
      </c>
      <c r="K33" t="inlineStr">
        <is>
          <t>2024</t>
        </is>
      </c>
      <c r="L33" t="inlineStr">
        <is>
          <t>6.0-6.5</t>
        </is>
      </c>
      <c r="M33" t="inlineStr">
        <is>
          <t>8-12</t>
        </is>
      </c>
      <c r="N33" t="inlineStr">
        <is>
          <t>14.0-18.5</t>
        </is>
      </c>
      <c r="O33" s="7" t="inlineStr">
        <is>
          <t>GEMS Wellington</t>
        </is>
      </c>
      <c r="P33" s="7" t="inlineStr">
        <is>
          <t>King's College Hospital</t>
        </is>
      </c>
      <c r="Q33" s="7" t="inlineStr">
        <is>
          <t>Dubai Hills Mall</t>
        </is>
      </c>
      <c r="R33" s="7" t="inlineStr">
        <is>
          <t>Al Khail E44</t>
        </is>
      </c>
      <c r="S33" t="inlineStr">
        <is>
          <t>15</t>
        </is>
      </c>
      <c r="T33" t="inlineStr">
        <is>
          <t>15</t>
        </is>
      </c>
      <c r="U33" t="inlineStr">
        <is>
          <t>20</t>
        </is>
      </c>
      <c r="V33" t="inlineStr">
        <is>
          <t>30</t>
        </is>
      </c>
      <c r="W33" t="n">
        <v>2</v>
      </c>
      <c r="X33" s="12" t="n">
        <v>1550000</v>
      </c>
      <c r="Y33" s="12" t="n">
        <v>1550000</v>
      </c>
      <c r="Z33" s="9" t="n">
        <v>6</v>
      </c>
      <c r="AA33" s="9" t="n">
        <v>6.5</v>
      </c>
      <c r="AB33" s="9" t="n">
        <v>8</v>
      </c>
      <c r="AC33" s="9" t="n">
        <v>12</v>
      </c>
      <c r="AD33" s="9" t="n">
        <v>14</v>
      </c>
      <c r="AE33" s="9" t="n">
        <v>18.5</v>
      </c>
      <c r="AF33" t="n">
        <v>2024</v>
      </c>
      <c r="AH33" t="inlineStr">
        <is>
          <t>Apartment</t>
        </is>
      </c>
      <c r="AI33" t="inlineStr">
        <is>
          <t>Prime</t>
        </is>
      </c>
      <c r="AJ33" t="inlineStr">
        <is>
          <t>TopTier</t>
        </is>
      </c>
      <c r="AK33" t="inlineStr">
        <is>
          <t>Prime resilient / selective</t>
        </is>
      </c>
      <c r="AL33" s="7" t="inlineStr">
        <is>
          <t>Better support from quality, branding, and scarcer prime stock; still entry-price sensitive.</t>
        </is>
      </c>
      <c r="AM33" s="9" t="n">
        <v>10</v>
      </c>
      <c r="AN33" s="9" t="n">
        <v>6.25</v>
      </c>
      <c r="AO33" s="10" t="n">
        <v>0.55</v>
      </c>
      <c r="AP33" s="13" t="n">
        <v>0.02</v>
      </c>
      <c r="AQ33" s="13" t="n">
        <v>0</v>
      </c>
      <c r="AR33" s="13" t="n">
        <v>0</v>
      </c>
      <c r="AS33" s="13" t="n">
        <v>0.03</v>
      </c>
      <c r="AT33" s="13" t="n">
        <v>0.005</v>
      </c>
      <c r="AU33" s="13" t="n">
        <v>0.0025</v>
      </c>
      <c r="AV33" s="13" t="n">
        <v>-0.005</v>
      </c>
      <c r="AW33" s="13">
        <f>IF(X33="","",(AM33/100*AO33)+AP33+AQ33+AR33)</f>
        <v/>
      </c>
      <c r="AX33" s="13">
        <f>IF(X33="","",AS33+AT33+AU33+AV33)</f>
        <v/>
      </c>
      <c r="AY33" s="12">
        <f>IF(AZ33="","",ROUND(AZ33*(1+Assumptions!$B$10),0))</f>
        <v/>
      </c>
      <c r="AZ33" s="12">
        <f>IF(X33="","",ROUND(X33*(1+AW33),0))</f>
        <v/>
      </c>
      <c r="BA33" s="12">
        <f>IF(AZ33="","",ROUND(AZ33*(1+Assumptions!$B$11),0))</f>
        <v/>
      </c>
      <c r="BB33" s="12">
        <f>IF(AZ33="","",ROUND(AZ33*(1+AX33+Assumptions!$B$10),0))</f>
        <v/>
      </c>
      <c r="BC33" s="12">
        <f>IF(AZ33="","",ROUND(AZ33*(1+AX33),0))</f>
        <v/>
      </c>
      <c r="BD33" s="12">
        <f>IF(AZ33="","",ROUND(AZ33*(1+AX33+Assumptions!$B$11),0))</f>
        <v/>
      </c>
      <c r="BE33" s="12">
        <f>IF(AZ33="","",ROUND(AZ33*(1+AX33)*(1+AX33),0))</f>
        <v/>
      </c>
      <c r="BF33" s="7" t="inlineStr">
        <is>
          <t>Rules-based enrichment using launch-price anchor, cap-app realization, and 2026 segment conditions.</t>
        </is>
      </c>
      <c r="BG33" t="inlineStr">
        <is>
          <t>2026-03-17</t>
        </is>
      </c>
      <c r="BH33" s="7" t="inlineStr">
        <is>
          <t>DLD / Digital Dubai / CBUAE / Savills / Knight Frank-Moody’s / Reuters</t>
        </is>
      </c>
    </row>
    <row r="34">
      <c r="A34" t="n">
        <v>33</v>
      </c>
      <c r="B34" s="7" t="inlineStr">
        <is>
          <t>Palace Residences Hillside</t>
        </is>
      </c>
      <c r="C34" t="inlineStr">
        <is>
          <t>Emaar Properties</t>
        </is>
      </c>
      <c r="D34" t="inlineStr">
        <is>
          <t>Dubai Hills Estate</t>
        </is>
      </c>
      <c r="E34" t="inlineStr">
        <is>
          <t>Branded Apartments</t>
        </is>
      </c>
      <c r="F34" s="7" t="inlineStr">
        <is>
          <t>Golf / Park</t>
        </is>
      </c>
      <c r="G34" t="inlineStr">
        <is>
          <t>2.5M</t>
        </is>
      </c>
      <c r="H34" t="inlineStr">
        <is>
          <t>2400</t>
        </is>
      </c>
      <c r="I34" t="inlineStr">
        <is>
          <t>35</t>
        </is>
      </c>
      <c r="J34" t="inlineStr">
        <is>
          <t>80/20</t>
        </is>
      </c>
      <c r="K34" t="inlineStr">
        <is>
          <t>2024</t>
        </is>
      </c>
      <c r="L34" t="inlineStr">
        <is>
          <t>4.5-5.0</t>
        </is>
      </c>
      <c r="M34" t="inlineStr">
        <is>
          <t>8-12</t>
        </is>
      </c>
      <c r="N34" t="inlineStr">
        <is>
          <t>12.5-17.0</t>
        </is>
      </c>
      <c r="O34" s="7" t="inlineStr">
        <is>
          <t>GEMS Wellington</t>
        </is>
      </c>
      <c r="P34" s="7" t="inlineStr">
        <is>
          <t>King's College Hospital</t>
        </is>
      </c>
      <c r="Q34" s="7" t="inlineStr">
        <is>
          <t>Dubai Hills Mall</t>
        </is>
      </c>
      <c r="R34" s="7" t="inlineStr">
        <is>
          <t>Al Khail E44</t>
        </is>
      </c>
      <c r="S34" t="inlineStr">
        <is>
          <t>15</t>
        </is>
      </c>
      <c r="T34" t="inlineStr">
        <is>
          <t>15</t>
        </is>
      </c>
      <c r="U34" t="inlineStr">
        <is>
          <t>20</t>
        </is>
      </c>
      <c r="V34" t="inlineStr">
        <is>
          <t>30</t>
        </is>
      </c>
      <c r="W34" t="n">
        <v>2</v>
      </c>
      <c r="X34" s="12" t="n">
        <v>2500000</v>
      </c>
      <c r="Y34" s="12" t="n">
        <v>2500000</v>
      </c>
      <c r="Z34" s="9" t="n">
        <v>4.5</v>
      </c>
      <c r="AA34" s="9" t="n">
        <v>5</v>
      </c>
      <c r="AB34" s="9" t="n">
        <v>8</v>
      </c>
      <c r="AC34" s="9" t="n">
        <v>12</v>
      </c>
      <c r="AD34" s="9" t="n">
        <v>12.5</v>
      </c>
      <c r="AE34" s="9" t="n">
        <v>17</v>
      </c>
      <c r="AF34" t="n">
        <v>2024</v>
      </c>
      <c r="AH34" t="inlineStr">
        <is>
          <t>Apartment</t>
        </is>
      </c>
      <c r="AI34" t="inlineStr">
        <is>
          <t>Prime</t>
        </is>
      </c>
      <c r="AJ34" t="inlineStr">
        <is>
          <t>TopTier</t>
        </is>
      </c>
      <c r="AK34" t="inlineStr">
        <is>
          <t>Prime resilient / selective</t>
        </is>
      </c>
      <c r="AL34" s="7" t="inlineStr">
        <is>
          <t>Better support from quality, branding, and scarcer prime stock; still entry-price sensitive.</t>
        </is>
      </c>
      <c r="AM34" s="9" t="n">
        <v>10</v>
      </c>
      <c r="AN34" s="9" t="n">
        <v>4.75</v>
      </c>
      <c r="AO34" s="10" t="n">
        <v>0.55</v>
      </c>
      <c r="AP34" s="13" t="n">
        <v>0.02</v>
      </c>
      <c r="AQ34" s="13" t="n">
        <v>0</v>
      </c>
      <c r="AR34" s="13" t="n">
        <v>0</v>
      </c>
      <c r="AS34" s="13" t="n">
        <v>0.03</v>
      </c>
      <c r="AT34" s="13" t="n">
        <v>0.005</v>
      </c>
      <c r="AU34" s="13" t="n">
        <v>0</v>
      </c>
      <c r="AV34" s="13" t="n">
        <v>-0.005</v>
      </c>
      <c r="AW34" s="13">
        <f>IF(X34="","",(AM34/100*AO34)+AP34+AQ34+AR34)</f>
        <v/>
      </c>
      <c r="AX34" s="13">
        <f>IF(X34="","",AS34+AT34+AU34+AV34)</f>
        <v/>
      </c>
      <c r="AY34" s="12">
        <f>IF(AZ34="","",ROUND(AZ34*(1+Assumptions!$B$10),0))</f>
        <v/>
      </c>
      <c r="AZ34" s="12">
        <f>IF(X34="","",ROUND(X34*(1+AW34),0))</f>
        <v/>
      </c>
      <c r="BA34" s="12">
        <f>IF(AZ34="","",ROUND(AZ34*(1+Assumptions!$B$11),0))</f>
        <v/>
      </c>
      <c r="BB34" s="12">
        <f>IF(AZ34="","",ROUND(AZ34*(1+AX34+Assumptions!$B$10),0))</f>
        <v/>
      </c>
      <c r="BC34" s="12">
        <f>IF(AZ34="","",ROUND(AZ34*(1+AX34),0))</f>
        <v/>
      </c>
      <c r="BD34" s="12">
        <f>IF(AZ34="","",ROUND(AZ34*(1+AX34+Assumptions!$B$11),0))</f>
        <v/>
      </c>
      <c r="BE34" s="12">
        <f>IF(AZ34="","",ROUND(AZ34*(1+AX34)*(1+AX34),0))</f>
        <v/>
      </c>
      <c r="BF34" s="7" t="inlineStr">
        <is>
          <t>Rules-based enrichment using launch-price anchor, cap-app realization, and 2026 segment conditions.</t>
        </is>
      </c>
      <c r="BG34" t="inlineStr">
        <is>
          <t>2026-03-17</t>
        </is>
      </c>
      <c r="BH34" s="7" t="inlineStr">
        <is>
          <t>DLD / Digital Dubai / CBUAE / Savills / Knight Frank-Moody’s / Reuters</t>
        </is>
      </c>
    </row>
    <row r="35">
      <c r="A35" t="n">
        <v>34</v>
      </c>
      <c r="B35" s="7" t="inlineStr">
        <is>
          <t>Vida Residences Hillside</t>
        </is>
      </c>
      <c r="C35" t="inlineStr">
        <is>
          <t>Emaar Properties</t>
        </is>
      </c>
      <c r="D35" t="inlineStr">
        <is>
          <t>Dubai Hills Estate</t>
        </is>
      </c>
      <c r="E35" t="inlineStr">
        <is>
          <t>Branded Apartments</t>
        </is>
      </c>
      <c r="F35" s="7" t="inlineStr">
        <is>
          <t>Golf / Park</t>
        </is>
      </c>
      <c r="G35" t="inlineStr">
        <is>
          <t>2.2M</t>
        </is>
      </c>
      <c r="H35" t="inlineStr">
        <is>
          <t>2200</t>
        </is>
      </c>
      <c r="I35" t="inlineStr">
        <is>
          <t>30</t>
        </is>
      </c>
      <c r="J35" t="inlineStr">
        <is>
          <t>80/20</t>
        </is>
      </c>
      <c r="K35" t="inlineStr">
        <is>
          <t>2024</t>
        </is>
      </c>
      <c r="L35" t="inlineStr">
        <is>
          <t>5.0-5.5</t>
        </is>
      </c>
      <c r="M35" t="inlineStr">
        <is>
          <t>8-12</t>
        </is>
      </c>
      <c r="N35" t="inlineStr">
        <is>
          <t>13.0-17.5</t>
        </is>
      </c>
      <c r="O35" s="7" t="inlineStr">
        <is>
          <t>GEMS Wellington</t>
        </is>
      </c>
      <c r="P35" s="7" t="inlineStr">
        <is>
          <t>King's College Hospital</t>
        </is>
      </c>
      <c r="Q35" s="7" t="inlineStr">
        <is>
          <t>Dubai Hills Mall</t>
        </is>
      </c>
      <c r="R35" s="7" t="inlineStr">
        <is>
          <t>Al Khail E44</t>
        </is>
      </c>
      <c r="S35" t="inlineStr">
        <is>
          <t>15</t>
        </is>
      </c>
      <c r="T35" t="inlineStr">
        <is>
          <t>15</t>
        </is>
      </c>
      <c r="U35" t="inlineStr">
        <is>
          <t>20</t>
        </is>
      </c>
      <c r="V35" t="inlineStr">
        <is>
          <t>30</t>
        </is>
      </c>
      <c r="W35" t="n">
        <v>2</v>
      </c>
      <c r="X35" s="12" t="n">
        <v>2200000</v>
      </c>
      <c r="Y35" s="12" t="n">
        <v>2200000</v>
      </c>
      <c r="Z35" s="9" t="n">
        <v>5</v>
      </c>
      <c r="AA35" s="9" t="n">
        <v>5.5</v>
      </c>
      <c r="AB35" s="9" t="n">
        <v>8</v>
      </c>
      <c r="AC35" s="9" t="n">
        <v>12</v>
      </c>
      <c r="AD35" s="9" t="n">
        <v>13</v>
      </c>
      <c r="AE35" s="9" t="n">
        <v>17.5</v>
      </c>
      <c r="AF35" t="n">
        <v>2024</v>
      </c>
      <c r="AH35" t="inlineStr">
        <is>
          <t>Apartment</t>
        </is>
      </c>
      <c r="AI35" t="inlineStr">
        <is>
          <t>Prime</t>
        </is>
      </c>
      <c r="AJ35" t="inlineStr">
        <is>
          <t>TopTier</t>
        </is>
      </c>
      <c r="AK35" t="inlineStr">
        <is>
          <t>Prime resilient / selective</t>
        </is>
      </c>
      <c r="AL35" s="7" t="inlineStr">
        <is>
          <t>Better support from quality, branding, and scarcer prime stock; still entry-price sensitive.</t>
        </is>
      </c>
      <c r="AM35" s="9" t="n">
        <v>10</v>
      </c>
      <c r="AN35" s="9" t="n">
        <v>5.25</v>
      </c>
      <c r="AO35" s="10" t="n">
        <v>0.55</v>
      </c>
      <c r="AP35" s="13" t="n">
        <v>0.02</v>
      </c>
      <c r="AQ35" s="13" t="n">
        <v>0</v>
      </c>
      <c r="AR35" s="13" t="n">
        <v>0</v>
      </c>
      <c r="AS35" s="13" t="n">
        <v>0.03</v>
      </c>
      <c r="AT35" s="13" t="n">
        <v>0.005</v>
      </c>
      <c r="AU35" s="13" t="n">
        <v>0</v>
      </c>
      <c r="AV35" s="13" t="n">
        <v>-0.005</v>
      </c>
      <c r="AW35" s="13">
        <f>IF(X35="","",(AM35/100*AO35)+AP35+AQ35+AR35)</f>
        <v/>
      </c>
      <c r="AX35" s="13">
        <f>IF(X35="","",AS35+AT35+AU35+AV35)</f>
        <v/>
      </c>
      <c r="AY35" s="12">
        <f>IF(AZ35="","",ROUND(AZ35*(1+Assumptions!$B$10),0))</f>
        <v/>
      </c>
      <c r="AZ35" s="12">
        <f>IF(X35="","",ROUND(X35*(1+AW35),0))</f>
        <v/>
      </c>
      <c r="BA35" s="12">
        <f>IF(AZ35="","",ROUND(AZ35*(1+Assumptions!$B$11),0))</f>
        <v/>
      </c>
      <c r="BB35" s="12">
        <f>IF(AZ35="","",ROUND(AZ35*(1+AX35+Assumptions!$B$10),0))</f>
        <v/>
      </c>
      <c r="BC35" s="12">
        <f>IF(AZ35="","",ROUND(AZ35*(1+AX35),0))</f>
        <v/>
      </c>
      <c r="BD35" s="12">
        <f>IF(AZ35="","",ROUND(AZ35*(1+AX35+Assumptions!$B$11),0))</f>
        <v/>
      </c>
      <c r="BE35" s="12">
        <f>IF(AZ35="","",ROUND(AZ35*(1+AX35)*(1+AX35),0))</f>
        <v/>
      </c>
      <c r="BF35" s="7" t="inlineStr">
        <is>
          <t>Rules-based enrichment using launch-price anchor, cap-app realization, and 2026 segment conditions.</t>
        </is>
      </c>
      <c r="BG35" t="inlineStr">
        <is>
          <t>2026-03-17</t>
        </is>
      </c>
      <c r="BH35" s="7" t="inlineStr">
        <is>
          <t>DLD / Digital Dubai / CBUAE / Savills / Knight Frank-Moody’s / Reuters</t>
        </is>
      </c>
    </row>
    <row r="36">
      <c r="A36" t="n">
        <v>35</v>
      </c>
      <c r="B36" s="7" t="inlineStr">
        <is>
          <t>Golf Hillside</t>
        </is>
      </c>
      <c r="C36" t="inlineStr">
        <is>
          <t>Emaar Properties</t>
        </is>
      </c>
      <c r="D36" t="inlineStr">
        <is>
          <t>Dubai Hills Estate</t>
        </is>
      </c>
      <c r="E36" t="inlineStr">
        <is>
          <t>Apartments</t>
        </is>
      </c>
      <c r="F36" s="7" t="inlineStr">
        <is>
          <t>Golf Course</t>
        </is>
      </c>
      <c r="G36" t="inlineStr">
        <is>
          <t>1.8M</t>
        </is>
      </c>
      <c r="H36" t="inlineStr">
        <is>
          <t>2000</t>
        </is>
      </c>
      <c r="I36" t="inlineStr">
        <is>
          <t>22</t>
        </is>
      </c>
      <c r="J36" t="inlineStr">
        <is>
          <t>80/20</t>
        </is>
      </c>
      <c r="K36" t="inlineStr">
        <is>
          <t>2024</t>
        </is>
      </c>
      <c r="L36" t="inlineStr">
        <is>
          <t>5.5-6.0</t>
        </is>
      </c>
      <c r="M36" t="inlineStr">
        <is>
          <t>8-12</t>
        </is>
      </c>
      <c r="N36" t="inlineStr">
        <is>
          <t>13.5-18.0</t>
        </is>
      </c>
      <c r="O36" s="7" t="inlineStr">
        <is>
          <t>GEMS Wellington</t>
        </is>
      </c>
      <c r="P36" s="7" t="inlineStr">
        <is>
          <t>King's College Hospital</t>
        </is>
      </c>
      <c r="Q36" s="7" t="inlineStr">
        <is>
          <t>Dubai Hills Mall</t>
        </is>
      </c>
      <c r="R36" s="7" t="inlineStr">
        <is>
          <t>Al Khail E44</t>
        </is>
      </c>
      <c r="S36" t="inlineStr">
        <is>
          <t>15</t>
        </is>
      </c>
      <c r="T36" t="inlineStr">
        <is>
          <t>15</t>
        </is>
      </c>
      <c r="U36" t="inlineStr">
        <is>
          <t>20</t>
        </is>
      </c>
      <c r="V36" t="inlineStr">
        <is>
          <t>30</t>
        </is>
      </c>
      <c r="W36" t="n">
        <v>2</v>
      </c>
      <c r="X36" s="12" t="n">
        <v>1800000</v>
      </c>
      <c r="Y36" s="12" t="n">
        <v>1800000</v>
      </c>
      <c r="Z36" s="9" t="n">
        <v>5.5</v>
      </c>
      <c r="AA36" s="9" t="n">
        <v>6</v>
      </c>
      <c r="AB36" s="9" t="n">
        <v>8</v>
      </c>
      <c r="AC36" s="9" t="n">
        <v>12</v>
      </c>
      <c r="AD36" s="9" t="n">
        <v>13.5</v>
      </c>
      <c r="AE36" s="9" t="n">
        <v>18</v>
      </c>
      <c r="AF36" t="n">
        <v>2024</v>
      </c>
      <c r="AH36" t="inlineStr">
        <is>
          <t>Apartment</t>
        </is>
      </c>
      <c r="AI36" t="inlineStr">
        <is>
          <t>Prime</t>
        </is>
      </c>
      <c r="AJ36" t="inlineStr">
        <is>
          <t>TopTier</t>
        </is>
      </c>
      <c r="AK36" t="inlineStr">
        <is>
          <t>Prime resilient / selective</t>
        </is>
      </c>
      <c r="AL36" s="7" t="inlineStr">
        <is>
          <t>Better support from quality, branding, and scarcer prime stock; still entry-price sensitive.</t>
        </is>
      </c>
      <c r="AM36" s="9" t="n">
        <v>10</v>
      </c>
      <c r="AN36" s="9" t="n">
        <v>5.75</v>
      </c>
      <c r="AO36" s="10" t="n">
        <v>0.55</v>
      </c>
      <c r="AP36" s="13" t="n">
        <v>0.02</v>
      </c>
      <c r="AQ36" s="13" t="n">
        <v>0</v>
      </c>
      <c r="AR36" s="13" t="n">
        <v>0</v>
      </c>
      <c r="AS36" s="13" t="n">
        <v>0.03</v>
      </c>
      <c r="AT36" s="13" t="n">
        <v>0.005</v>
      </c>
      <c r="AU36" s="13" t="n">
        <v>0</v>
      </c>
      <c r="AV36" s="13" t="n">
        <v>-0.005</v>
      </c>
      <c r="AW36" s="13">
        <f>IF(X36="","",(AM36/100*AO36)+AP36+AQ36+AR36)</f>
        <v/>
      </c>
      <c r="AX36" s="13">
        <f>IF(X36="","",AS36+AT36+AU36+AV36)</f>
        <v/>
      </c>
      <c r="AY36" s="12">
        <f>IF(AZ36="","",ROUND(AZ36*(1+Assumptions!$B$10),0))</f>
        <v/>
      </c>
      <c r="AZ36" s="12">
        <f>IF(X36="","",ROUND(X36*(1+AW36),0))</f>
        <v/>
      </c>
      <c r="BA36" s="12">
        <f>IF(AZ36="","",ROUND(AZ36*(1+Assumptions!$B$11),0))</f>
        <v/>
      </c>
      <c r="BB36" s="12">
        <f>IF(AZ36="","",ROUND(AZ36*(1+AX36+Assumptions!$B$10),0))</f>
        <v/>
      </c>
      <c r="BC36" s="12">
        <f>IF(AZ36="","",ROUND(AZ36*(1+AX36),0))</f>
        <v/>
      </c>
      <c r="BD36" s="12">
        <f>IF(AZ36="","",ROUND(AZ36*(1+AX36+Assumptions!$B$11),0))</f>
        <v/>
      </c>
      <c r="BE36" s="12">
        <f>IF(AZ36="","",ROUND(AZ36*(1+AX36)*(1+AX36),0))</f>
        <v/>
      </c>
      <c r="BF36" s="7" t="inlineStr">
        <is>
          <t>Rules-based enrichment using launch-price anchor, cap-app realization, and 2026 segment conditions.</t>
        </is>
      </c>
      <c r="BG36" t="inlineStr">
        <is>
          <t>2026-03-17</t>
        </is>
      </c>
      <c r="BH36" s="7" t="inlineStr">
        <is>
          <t>DLD / Digital Dubai / CBUAE / Savills / Knight Frank-Moody’s / Reuters</t>
        </is>
      </c>
    </row>
    <row r="37">
      <c r="A37" t="n">
        <v>36</v>
      </c>
      <c r="B37" s="7" t="inlineStr">
        <is>
          <t>Parkland</t>
        </is>
      </c>
      <c r="C37" t="inlineStr">
        <is>
          <t>Emaar Properties</t>
        </is>
      </c>
      <c r="D37" t="inlineStr">
        <is>
          <t>Dubai Hills Estate</t>
        </is>
      </c>
      <c r="E37" t="inlineStr">
        <is>
          <t>Apartments</t>
        </is>
      </c>
      <c r="F37" s="7" t="inlineStr">
        <is>
          <t>Park View</t>
        </is>
      </c>
      <c r="G37" t="inlineStr">
        <is>
          <t>1.7M</t>
        </is>
      </c>
      <c r="H37" t="inlineStr">
        <is>
          <t>1950</t>
        </is>
      </c>
      <c r="I37" t="inlineStr">
        <is>
          <t>22</t>
        </is>
      </c>
      <c r="J37" t="inlineStr">
        <is>
          <t>80/20</t>
        </is>
      </c>
      <c r="K37" t="inlineStr">
        <is>
          <t>2024</t>
        </is>
      </c>
      <c r="L37" t="inlineStr">
        <is>
          <t>5.5-6.0</t>
        </is>
      </c>
      <c r="M37" t="inlineStr">
        <is>
          <t>8-12</t>
        </is>
      </c>
      <c r="N37" t="inlineStr">
        <is>
          <t>13.5-18.0</t>
        </is>
      </c>
      <c r="O37" s="7" t="inlineStr">
        <is>
          <t>GEMS Wellington</t>
        </is>
      </c>
      <c r="P37" s="7" t="inlineStr">
        <is>
          <t>King's College Hospital</t>
        </is>
      </c>
      <c r="Q37" s="7" t="inlineStr">
        <is>
          <t>Dubai Hills Mall</t>
        </is>
      </c>
      <c r="R37" s="7" t="inlineStr">
        <is>
          <t>Al Khail E44</t>
        </is>
      </c>
      <c r="S37" t="inlineStr">
        <is>
          <t>15</t>
        </is>
      </c>
      <c r="T37" t="inlineStr">
        <is>
          <t>15</t>
        </is>
      </c>
      <c r="U37" t="inlineStr">
        <is>
          <t>20</t>
        </is>
      </c>
      <c r="V37" t="inlineStr">
        <is>
          <t>30</t>
        </is>
      </c>
      <c r="W37" t="n">
        <v>2</v>
      </c>
      <c r="X37" s="12" t="n">
        <v>1700000</v>
      </c>
      <c r="Y37" s="12" t="n">
        <v>1700000</v>
      </c>
      <c r="Z37" s="9" t="n">
        <v>5.5</v>
      </c>
      <c r="AA37" s="9" t="n">
        <v>6</v>
      </c>
      <c r="AB37" s="9" t="n">
        <v>8</v>
      </c>
      <c r="AC37" s="9" t="n">
        <v>12</v>
      </c>
      <c r="AD37" s="9" t="n">
        <v>13.5</v>
      </c>
      <c r="AE37" s="9" t="n">
        <v>18</v>
      </c>
      <c r="AF37" t="n">
        <v>2024</v>
      </c>
      <c r="AH37" t="inlineStr">
        <is>
          <t>Apartment</t>
        </is>
      </c>
      <c r="AI37" t="inlineStr">
        <is>
          <t>Prime</t>
        </is>
      </c>
      <c r="AJ37" t="inlineStr">
        <is>
          <t>TopTier</t>
        </is>
      </c>
      <c r="AK37" t="inlineStr">
        <is>
          <t>Prime resilient / selective</t>
        </is>
      </c>
      <c r="AL37" s="7" t="inlineStr">
        <is>
          <t>Better support from quality, branding, and scarcer prime stock; still entry-price sensitive.</t>
        </is>
      </c>
      <c r="AM37" s="9" t="n">
        <v>10</v>
      </c>
      <c r="AN37" s="9" t="n">
        <v>5.75</v>
      </c>
      <c r="AO37" s="10" t="n">
        <v>0.55</v>
      </c>
      <c r="AP37" s="13" t="n">
        <v>0.02</v>
      </c>
      <c r="AQ37" s="13" t="n">
        <v>0</v>
      </c>
      <c r="AR37" s="13" t="n">
        <v>0</v>
      </c>
      <c r="AS37" s="13" t="n">
        <v>0.03</v>
      </c>
      <c r="AT37" s="13" t="n">
        <v>0.005</v>
      </c>
      <c r="AU37" s="13" t="n">
        <v>0</v>
      </c>
      <c r="AV37" s="13" t="n">
        <v>-0.005</v>
      </c>
      <c r="AW37" s="13">
        <f>IF(X37="","",(AM37/100*AO37)+AP37+AQ37+AR37)</f>
        <v/>
      </c>
      <c r="AX37" s="13">
        <f>IF(X37="","",AS37+AT37+AU37+AV37)</f>
        <v/>
      </c>
      <c r="AY37" s="12">
        <f>IF(AZ37="","",ROUND(AZ37*(1+Assumptions!$B$10),0))</f>
        <v/>
      </c>
      <c r="AZ37" s="12">
        <f>IF(X37="","",ROUND(X37*(1+AW37),0))</f>
        <v/>
      </c>
      <c r="BA37" s="12">
        <f>IF(AZ37="","",ROUND(AZ37*(1+Assumptions!$B$11),0))</f>
        <v/>
      </c>
      <c r="BB37" s="12">
        <f>IF(AZ37="","",ROUND(AZ37*(1+AX37+Assumptions!$B$10),0))</f>
        <v/>
      </c>
      <c r="BC37" s="12">
        <f>IF(AZ37="","",ROUND(AZ37*(1+AX37),0))</f>
        <v/>
      </c>
      <c r="BD37" s="12">
        <f>IF(AZ37="","",ROUND(AZ37*(1+AX37+Assumptions!$B$11),0))</f>
        <v/>
      </c>
      <c r="BE37" s="12">
        <f>IF(AZ37="","",ROUND(AZ37*(1+AX37)*(1+AX37),0))</f>
        <v/>
      </c>
      <c r="BF37" s="7" t="inlineStr">
        <is>
          <t>Rules-based enrichment using launch-price anchor, cap-app realization, and 2026 segment conditions.</t>
        </is>
      </c>
      <c r="BG37" t="inlineStr">
        <is>
          <t>2026-03-17</t>
        </is>
      </c>
      <c r="BH37" s="7" t="inlineStr">
        <is>
          <t>DLD / Digital Dubai / CBUAE / Savills / Knight Frank-Moody’s / Reuters</t>
        </is>
      </c>
    </row>
    <row r="38">
      <c r="A38" t="n">
        <v>37</v>
      </c>
      <c r="B38" s="7" t="inlineStr">
        <is>
          <t>Sidra Villas</t>
        </is>
      </c>
      <c r="C38" t="inlineStr">
        <is>
          <t>Emaar Properties</t>
        </is>
      </c>
      <c r="D38" t="inlineStr">
        <is>
          <t>Dubai Hills Estate</t>
        </is>
      </c>
      <c r="E38" t="inlineStr">
        <is>
          <t>Villas</t>
        </is>
      </c>
      <c r="F38" s="7" t="inlineStr">
        <is>
          <t>Gated Community</t>
        </is>
      </c>
      <c r="G38" t="inlineStr">
        <is>
          <t>Resale (5M+)</t>
        </is>
      </c>
      <c r="H38" t="inlineStr">
        <is>
          <t>1600</t>
        </is>
      </c>
      <c r="I38" t="inlineStr">
        <is>
          <t>15</t>
        </is>
      </c>
      <c r="J38" t="inlineStr">
        <is>
          <t>Completed</t>
        </is>
      </c>
      <c r="K38" t="inlineStr">
        <is>
          <t>2016</t>
        </is>
      </c>
      <c r="L38" t="inlineStr">
        <is>
          <t>5.5-6.0</t>
        </is>
      </c>
      <c r="M38" t="inlineStr">
        <is>
          <t>6-8</t>
        </is>
      </c>
      <c r="N38" t="inlineStr">
        <is>
          <t>11.5-14.0</t>
        </is>
      </c>
      <c r="O38" s="7" t="inlineStr">
        <is>
          <t>GEMS Wellington</t>
        </is>
      </c>
      <c r="P38" s="7" t="inlineStr">
        <is>
          <t>King's College Hospital</t>
        </is>
      </c>
      <c r="Q38" s="7" t="inlineStr">
        <is>
          <t>Dubai Hills Mall</t>
        </is>
      </c>
      <c r="R38" s="7" t="inlineStr">
        <is>
          <t>Al Khail E44</t>
        </is>
      </c>
      <c r="S38" t="inlineStr">
        <is>
          <t>15</t>
        </is>
      </c>
      <c r="T38" t="inlineStr">
        <is>
          <t>15</t>
        </is>
      </c>
      <c r="U38" t="inlineStr">
        <is>
          <t>20</t>
        </is>
      </c>
      <c r="V38" t="inlineStr">
        <is>
          <t>30</t>
        </is>
      </c>
      <c r="W38" t="n">
        <v>2</v>
      </c>
      <c r="X38" s="12" t="n">
        <v>5000000</v>
      </c>
      <c r="Y38" s="12" t="n">
        <v>5000000</v>
      </c>
      <c r="Z38" s="9" t="n">
        <v>5.5</v>
      </c>
      <c r="AA38" s="9" t="n">
        <v>6</v>
      </c>
      <c r="AB38" s="9" t="n">
        <v>6</v>
      </c>
      <c r="AC38" s="9" t="n">
        <v>8</v>
      </c>
      <c r="AD38" s="9" t="n">
        <v>11.5</v>
      </c>
      <c r="AE38" s="9" t="n">
        <v>14</v>
      </c>
      <c r="AF38" t="n">
        <v>2016</v>
      </c>
      <c r="AH38" t="inlineStr">
        <is>
          <t>Villa</t>
        </is>
      </c>
      <c r="AI38" t="inlineStr">
        <is>
          <t>Prime</t>
        </is>
      </c>
      <c r="AJ38" t="inlineStr">
        <is>
          <t>TopTier</t>
        </is>
      </c>
      <c r="AK38" t="inlineStr">
        <is>
          <t>Prime resilient / selective</t>
        </is>
      </c>
      <c r="AL38" s="7" t="inlineStr">
        <is>
          <t>Better support from quality, branding, and scarcer prime stock; still entry-price sensitive.</t>
        </is>
      </c>
      <c r="AM38" s="9" t="n">
        <v>7</v>
      </c>
      <c r="AN38" s="9" t="n">
        <v>5.75</v>
      </c>
      <c r="AO38" s="10" t="n">
        <v>0.55</v>
      </c>
      <c r="AP38" s="13" t="n">
        <v>0.02</v>
      </c>
      <c r="AQ38" s="13" t="n">
        <v>0.015</v>
      </c>
      <c r="AR38" s="13" t="n">
        <v>0</v>
      </c>
      <c r="AS38" s="13" t="n">
        <v>0.03</v>
      </c>
      <c r="AT38" s="13" t="n">
        <v>0.005</v>
      </c>
      <c r="AU38" s="13" t="n">
        <v>0</v>
      </c>
      <c r="AV38" s="13" t="n">
        <v>-0.005</v>
      </c>
      <c r="AW38" s="13">
        <f>IF(X38="","",(AM38/100*AO38)+AP38+AQ38+AR38)</f>
        <v/>
      </c>
      <c r="AX38" s="13">
        <f>IF(X38="","",AS38+AT38+AU38+AV38)</f>
        <v/>
      </c>
      <c r="AY38" s="12">
        <f>IF(AZ38="","",ROUND(AZ38*(1+Assumptions!$B$10),0))</f>
        <v/>
      </c>
      <c r="AZ38" s="12">
        <f>IF(X38="","",ROUND(X38*(1+AW38),0))</f>
        <v/>
      </c>
      <c r="BA38" s="12">
        <f>IF(AZ38="","",ROUND(AZ38*(1+Assumptions!$B$11),0))</f>
        <v/>
      </c>
      <c r="BB38" s="12">
        <f>IF(AZ38="","",ROUND(AZ38*(1+AX38+Assumptions!$B$10),0))</f>
        <v/>
      </c>
      <c r="BC38" s="12">
        <f>IF(AZ38="","",ROUND(AZ38*(1+AX38),0))</f>
        <v/>
      </c>
      <c r="BD38" s="12">
        <f>IF(AZ38="","",ROUND(AZ38*(1+AX38+Assumptions!$B$11),0))</f>
        <v/>
      </c>
      <c r="BE38" s="12">
        <f>IF(AZ38="","",ROUND(AZ38*(1+AX38)*(1+AX38),0))</f>
        <v/>
      </c>
      <c r="BF38" s="7" t="inlineStr">
        <is>
          <t>Rules-based enrichment using launch-price anchor, cap-app realization, and 2026 segment conditions.</t>
        </is>
      </c>
      <c r="BG38" t="inlineStr">
        <is>
          <t>2026-03-17</t>
        </is>
      </c>
      <c r="BH38" s="7" t="inlineStr">
        <is>
          <t>DLD / Digital Dubai / CBUAE / Savills / Knight Frank-Moody’s / Reuters</t>
        </is>
      </c>
    </row>
    <row r="39">
      <c r="A39" t="n">
        <v>38</v>
      </c>
      <c r="B39" s="7" t="inlineStr">
        <is>
          <t>Maple Townhouses</t>
        </is>
      </c>
      <c r="C39" t="inlineStr">
        <is>
          <t>Emaar Properties</t>
        </is>
      </c>
      <c r="D39" t="inlineStr">
        <is>
          <t>Dubai Hills Estate</t>
        </is>
      </c>
      <c r="E39" t="inlineStr">
        <is>
          <t>Townhouses</t>
        </is>
      </c>
      <c r="F39" s="7" t="inlineStr">
        <is>
          <t>Gated Community</t>
        </is>
      </c>
      <c r="G39" t="inlineStr">
        <is>
          <t>Resale (3.5M+)</t>
        </is>
      </c>
      <c r="H39" t="inlineStr">
        <is>
          <t>1500</t>
        </is>
      </c>
      <c r="I39" t="inlineStr">
        <is>
          <t>15</t>
        </is>
      </c>
      <c r="J39" t="inlineStr">
        <is>
          <t>Completed</t>
        </is>
      </c>
      <c r="K39" t="inlineStr">
        <is>
          <t>2016</t>
        </is>
      </c>
      <c r="L39" t="inlineStr">
        <is>
          <t>6.0-6.5</t>
        </is>
      </c>
      <c r="M39" t="inlineStr">
        <is>
          <t>6-8</t>
        </is>
      </c>
      <c r="N39" t="inlineStr">
        <is>
          <t>12.0-14.5</t>
        </is>
      </c>
      <c r="O39" s="7" t="inlineStr">
        <is>
          <t>GEMS Wellington</t>
        </is>
      </c>
      <c r="P39" s="7" t="inlineStr">
        <is>
          <t>King's College Hospital</t>
        </is>
      </c>
      <c r="Q39" s="7" t="inlineStr">
        <is>
          <t>Dubai Hills Mall</t>
        </is>
      </c>
      <c r="R39" s="7" t="inlineStr">
        <is>
          <t>Al Khail E44</t>
        </is>
      </c>
      <c r="S39" t="inlineStr">
        <is>
          <t>15</t>
        </is>
      </c>
      <c r="T39" t="inlineStr">
        <is>
          <t>15</t>
        </is>
      </c>
      <c r="U39" t="inlineStr">
        <is>
          <t>20</t>
        </is>
      </c>
      <c r="V39" t="inlineStr">
        <is>
          <t>30</t>
        </is>
      </c>
      <c r="W39" t="n">
        <v>2</v>
      </c>
      <c r="X39" s="12" t="n">
        <v>3500000</v>
      </c>
      <c r="Y39" s="12" t="n">
        <v>3500000</v>
      </c>
      <c r="Z39" s="9" t="n">
        <v>6</v>
      </c>
      <c r="AA39" s="9" t="n">
        <v>6.5</v>
      </c>
      <c r="AB39" s="9" t="n">
        <v>6</v>
      </c>
      <c r="AC39" s="9" t="n">
        <v>8</v>
      </c>
      <c r="AD39" s="9" t="n">
        <v>12</v>
      </c>
      <c r="AE39" s="9" t="n">
        <v>14.5</v>
      </c>
      <c r="AF39" t="n">
        <v>2016</v>
      </c>
      <c r="AH39" t="inlineStr">
        <is>
          <t>Townhouse</t>
        </is>
      </c>
      <c r="AI39" t="inlineStr">
        <is>
          <t>Prime</t>
        </is>
      </c>
      <c r="AJ39" t="inlineStr">
        <is>
          <t>TopTier</t>
        </is>
      </c>
      <c r="AK39" t="inlineStr">
        <is>
          <t>Prime resilient / selective</t>
        </is>
      </c>
      <c r="AL39" s="7" t="inlineStr">
        <is>
          <t>Better support from quality, branding, and scarcer prime stock; still entry-price sensitive.</t>
        </is>
      </c>
      <c r="AM39" s="9" t="n">
        <v>7</v>
      </c>
      <c r="AN39" s="9" t="n">
        <v>6.25</v>
      </c>
      <c r="AO39" s="10" t="n">
        <v>0.55</v>
      </c>
      <c r="AP39" s="13" t="n">
        <v>0.02</v>
      </c>
      <c r="AQ39" s="13" t="n">
        <v>0.015</v>
      </c>
      <c r="AR39" s="13" t="n">
        <v>0</v>
      </c>
      <c r="AS39" s="13" t="n">
        <v>0.03</v>
      </c>
      <c r="AT39" s="13" t="n">
        <v>0.005</v>
      </c>
      <c r="AU39" s="13" t="n">
        <v>0.0025</v>
      </c>
      <c r="AV39" s="13" t="n">
        <v>-0.005</v>
      </c>
      <c r="AW39" s="13">
        <f>IF(X39="","",(AM39/100*AO39)+AP39+AQ39+AR39)</f>
        <v/>
      </c>
      <c r="AX39" s="13">
        <f>IF(X39="","",AS39+AT39+AU39+AV39)</f>
        <v/>
      </c>
      <c r="AY39" s="12">
        <f>IF(AZ39="","",ROUND(AZ39*(1+Assumptions!$B$10),0))</f>
        <v/>
      </c>
      <c r="AZ39" s="12">
        <f>IF(X39="","",ROUND(X39*(1+AW39),0))</f>
        <v/>
      </c>
      <c r="BA39" s="12">
        <f>IF(AZ39="","",ROUND(AZ39*(1+Assumptions!$B$11),0))</f>
        <v/>
      </c>
      <c r="BB39" s="12">
        <f>IF(AZ39="","",ROUND(AZ39*(1+AX39+Assumptions!$B$10),0))</f>
        <v/>
      </c>
      <c r="BC39" s="12">
        <f>IF(AZ39="","",ROUND(AZ39*(1+AX39),0))</f>
        <v/>
      </c>
      <c r="BD39" s="12">
        <f>IF(AZ39="","",ROUND(AZ39*(1+AX39+Assumptions!$B$11),0))</f>
        <v/>
      </c>
      <c r="BE39" s="12">
        <f>IF(AZ39="","",ROUND(AZ39*(1+AX39)*(1+AX39),0))</f>
        <v/>
      </c>
      <c r="BF39" s="7" t="inlineStr">
        <is>
          <t>Rules-based enrichment using launch-price anchor, cap-app realization, and 2026 segment conditions.</t>
        </is>
      </c>
      <c r="BG39" t="inlineStr">
        <is>
          <t>2026-03-17</t>
        </is>
      </c>
      <c r="BH39" s="7" t="inlineStr">
        <is>
          <t>DLD / Digital Dubai / CBUAE / Savills / Knight Frank-Moody’s / Reuters</t>
        </is>
      </c>
    </row>
    <row r="40">
      <c r="A40" t="n">
        <v>39</v>
      </c>
      <c r="B40" s="7" t="inlineStr">
        <is>
          <t>Address Villas Hillcrest</t>
        </is>
      </c>
      <c r="C40" t="inlineStr">
        <is>
          <t>Emaar Properties</t>
        </is>
      </c>
      <c r="D40" t="inlineStr">
        <is>
          <t>Dubai Hills Estate</t>
        </is>
      </c>
      <c r="E40" t="inlineStr">
        <is>
          <t>Villas</t>
        </is>
      </c>
      <c r="F40" s="7" t="inlineStr">
        <is>
          <t>Luxury / Golf</t>
        </is>
      </c>
      <c r="G40" t="inlineStr">
        <is>
          <t>8.0M</t>
        </is>
      </c>
      <c r="H40" t="inlineStr">
        <is>
          <t>2200</t>
        </is>
      </c>
      <c r="I40" t="inlineStr">
        <is>
          <t>25</t>
        </is>
      </c>
      <c r="J40" t="inlineStr">
        <is>
          <t>80/20</t>
        </is>
      </c>
      <c r="K40" t="inlineStr">
        <is>
          <t>2023</t>
        </is>
      </c>
      <c r="L40" t="inlineStr">
        <is>
          <t>4.5-5.0</t>
        </is>
      </c>
      <c r="M40" t="inlineStr">
        <is>
          <t>8-10</t>
        </is>
      </c>
      <c r="N40" t="inlineStr">
        <is>
          <t>12.5-15.0</t>
        </is>
      </c>
      <c r="O40" s="7" t="inlineStr">
        <is>
          <t>GEMS Wellington</t>
        </is>
      </c>
      <c r="P40" s="7" t="inlineStr">
        <is>
          <t>King's College Hospital</t>
        </is>
      </c>
      <c r="Q40" s="7" t="inlineStr">
        <is>
          <t>Dubai Hills Mall</t>
        </is>
      </c>
      <c r="R40" s="7" t="inlineStr">
        <is>
          <t>Al Khail E44</t>
        </is>
      </c>
      <c r="S40" t="inlineStr">
        <is>
          <t>15</t>
        </is>
      </c>
      <c r="T40" t="inlineStr">
        <is>
          <t>15</t>
        </is>
      </c>
      <c r="U40" t="inlineStr">
        <is>
          <t>20</t>
        </is>
      </c>
      <c r="V40" t="inlineStr">
        <is>
          <t>30</t>
        </is>
      </c>
      <c r="W40" t="n">
        <v>2</v>
      </c>
      <c r="X40" s="12" t="n">
        <v>8000000</v>
      </c>
      <c r="Y40" s="12" t="n">
        <v>8000000</v>
      </c>
      <c r="Z40" s="9" t="n">
        <v>4.5</v>
      </c>
      <c r="AA40" s="9" t="n">
        <v>5</v>
      </c>
      <c r="AB40" s="9" t="n">
        <v>8</v>
      </c>
      <c r="AC40" s="9" t="n">
        <v>10</v>
      </c>
      <c r="AD40" s="9" t="n">
        <v>12.5</v>
      </c>
      <c r="AE40" s="9" t="n">
        <v>15</v>
      </c>
      <c r="AF40" t="n">
        <v>2023</v>
      </c>
      <c r="AH40" t="inlineStr">
        <is>
          <t>Villa</t>
        </is>
      </c>
      <c r="AI40" t="inlineStr">
        <is>
          <t>Prime</t>
        </is>
      </c>
      <c r="AJ40" t="inlineStr">
        <is>
          <t>TopTier</t>
        </is>
      </c>
      <c r="AK40" t="inlineStr">
        <is>
          <t>Prime resilient / selective</t>
        </is>
      </c>
      <c r="AL40" s="7" t="inlineStr">
        <is>
          <t>Better support from quality, branding, and scarcer prime stock; still entry-price sensitive.</t>
        </is>
      </c>
      <c r="AM40" s="9" t="n">
        <v>9</v>
      </c>
      <c r="AN40" s="9" t="n">
        <v>4.75</v>
      </c>
      <c r="AO40" s="10" t="n">
        <v>0.55</v>
      </c>
      <c r="AP40" s="13" t="n">
        <v>0.02</v>
      </c>
      <c r="AQ40" s="13" t="n">
        <v>0.015</v>
      </c>
      <c r="AR40" s="13" t="n">
        <v>0</v>
      </c>
      <c r="AS40" s="13" t="n">
        <v>0.03</v>
      </c>
      <c r="AT40" s="13" t="n">
        <v>0.005</v>
      </c>
      <c r="AU40" s="13" t="n">
        <v>0</v>
      </c>
      <c r="AV40" s="13" t="n">
        <v>-0.005</v>
      </c>
      <c r="AW40" s="13">
        <f>IF(X40="","",(AM40/100*AO40)+AP40+AQ40+AR40)</f>
        <v/>
      </c>
      <c r="AX40" s="13">
        <f>IF(X40="","",AS40+AT40+AU40+AV40)</f>
        <v/>
      </c>
      <c r="AY40" s="12">
        <f>IF(AZ40="","",ROUND(AZ40*(1+Assumptions!$B$10),0))</f>
        <v/>
      </c>
      <c r="AZ40" s="12">
        <f>IF(X40="","",ROUND(X40*(1+AW40),0))</f>
        <v/>
      </c>
      <c r="BA40" s="12">
        <f>IF(AZ40="","",ROUND(AZ40*(1+Assumptions!$B$11),0))</f>
        <v/>
      </c>
      <c r="BB40" s="12">
        <f>IF(AZ40="","",ROUND(AZ40*(1+AX40+Assumptions!$B$10),0))</f>
        <v/>
      </c>
      <c r="BC40" s="12">
        <f>IF(AZ40="","",ROUND(AZ40*(1+AX40),0))</f>
        <v/>
      </c>
      <c r="BD40" s="12">
        <f>IF(AZ40="","",ROUND(AZ40*(1+AX40+Assumptions!$B$11),0))</f>
        <v/>
      </c>
      <c r="BE40" s="12">
        <f>IF(AZ40="","",ROUND(AZ40*(1+AX40)*(1+AX40),0))</f>
        <v/>
      </c>
      <c r="BF40" s="7" t="inlineStr">
        <is>
          <t>Rules-based enrichment using launch-price anchor, cap-app realization, and 2026 segment conditions.</t>
        </is>
      </c>
      <c r="BG40" t="inlineStr">
        <is>
          <t>2026-03-17</t>
        </is>
      </c>
      <c r="BH40" s="7" t="inlineStr">
        <is>
          <t>DLD / Digital Dubai / CBUAE / Savills / Knight Frank-Moody’s / Reuters</t>
        </is>
      </c>
    </row>
    <row r="41">
      <c r="A41" t="n">
        <v>40</v>
      </c>
      <c r="B41" s="7" t="inlineStr">
        <is>
          <t>The Valley (Master Community)</t>
        </is>
      </c>
      <c r="C41" t="inlineStr">
        <is>
          <t>Emaar Properties</t>
        </is>
      </c>
      <c r="D41" t="inlineStr">
        <is>
          <t>Dubailand (Al Ain Rd)</t>
        </is>
      </c>
      <c r="E41" t="inlineStr">
        <is>
          <t>Mixed</t>
        </is>
      </c>
      <c r="F41" s="7" t="inlineStr">
        <is>
          <t>Suburban / Family</t>
        </is>
      </c>
      <c r="I41" t="inlineStr">
        <is>
          <t>12-15</t>
        </is>
      </c>
      <c r="J41" t="inlineStr">
        <is>
          <t>Varies</t>
        </is>
      </c>
      <c r="K41" t="inlineStr">
        <is>
          <t>Ongoing</t>
        </is>
      </c>
      <c r="L41" t="inlineStr">
        <is>
          <t>6.5-7.5</t>
        </is>
      </c>
      <c r="M41" t="inlineStr">
        <is>
          <t>10-15</t>
        </is>
      </c>
      <c r="N41" t="inlineStr">
        <is>
          <t>16.5-22.5</t>
        </is>
      </c>
      <c r="O41" s="7" t="inlineStr">
        <is>
          <t>The Aquila School</t>
        </is>
      </c>
      <c r="P41" s="7" t="inlineStr">
        <is>
          <t>Fakeeh University Hosp</t>
        </is>
      </c>
      <c r="Q41" s="7" t="inlineStr">
        <is>
          <t>Dubai Outlet Mall</t>
        </is>
      </c>
      <c r="R41" s="7" t="inlineStr">
        <is>
          <t>Al Ain Rd E66</t>
        </is>
      </c>
      <c r="S41" t="inlineStr">
        <is>
          <t>25</t>
        </is>
      </c>
      <c r="T41" t="inlineStr">
        <is>
          <t>35</t>
        </is>
      </c>
      <c r="U41" t="inlineStr">
        <is>
          <t>25</t>
        </is>
      </c>
      <c r="V41" t="inlineStr">
        <is>
          <t>35</t>
        </is>
      </c>
      <c r="W41" t="n">
        <v>2</v>
      </c>
      <c r="X41" s="12" t="n"/>
      <c r="Y41" s="12" t="n"/>
      <c r="Z41" s="9" t="n">
        <v>6.5</v>
      </c>
      <c r="AA41" s="9" t="n">
        <v>7.5</v>
      </c>
      <c r="AB41" s="9" t="n">
        <v>10</v>
      </c>
      <c r="AC41" s="9" t="n">
        <v>15</v>
      </c>
      <c r="AD41" s="9" t="n">
        <v>16.5</v>
      </c>
      <c r="AE41" s="9" t="n">
        <v>22.5</v>
      </c>
      <c r="AH41" t="inlineStr">
        <is>
          <t>Mixed/Other</t>
        </is>
      </c>
      <c r="AI41" t="inlineStr">
        <is>
          <t>MainstreamSelective</t>
        </is>
      </c>
      <c r="AJ41" t="inlineStr">
        <is>
          <t>TopTier</t>
        </is>
      </c>
      <c r="AK41" t="inlineStr">
        <is>
          <t>Balanced / selective</t>
        </is>
      </c>
      <c r="AL41" s="7" t="inlineStr">
        <is>
          <t>Market remains active but increasingly differentiated by developer, micro-location, livability, and pricing discipline.</t>
        </is>
      </c>
      <c r="AM41" s="9" t="n">
        <v>12.5</v>
      </c>
      <c r="AN41" s="9" t="n">
        <v>7</v>
      </c>
      <c r="AO41" s="10" t="n">
        <v>0.25</v>
      </c>
      <c r="AP41" s="13" t="n">
        <v>0</v>
      </c>
      <c r="AQ41" s="13" t="n">
        <v>0</v>
      </c>
      <c r="AR41" s="13" t="n">
        <v>0</v>
      </c>
      <c r="AS41" s="13" t="n">
        <v>0.01</v>
      </c>
      <c r="AT41" s="13" t="n">
        <v>0.005</v>
      </c>
      <c r="AU41" s="13" t="n">
        <v>0.0025</v>
      </c>
      <c r="AV41" s="13" t="n">
        <v>-0.005</v>
      </c>
      <c r="AW41" s="13">
        <f>IF(X41="","",(AM41/100*AO41)+AP41+AQ41+AR41)</f>
        <v/>
      </c>
      <c r="AX41" s="13">
        <f>IF(X41="","",AS41+AT41+AU41+AV41)</f>
        <v/>
      </c>
      <c r="AY41" s="12">
        <f>IF(AZ41="","",ROUND(AZ41*(1+Assumptions!$B$10),0))</f>
        <v/>
      </c>
      <c r="AZ41" s="12">
        <f>IF(X41="","",ROUND(X41*(1+AW41),0))</f>
        <v/>
      </c>
      <c r="BA41" s="12">
        <f>IF(AZ41="","",ROUND(AZ41*(1+Assumptions!$B$11),0))</f>
        <v/>
      </c>
      <c r="BB41" s="12">
        <f>IF(AZ41="","",ROUND(AZ41*(1+AX41+Assumptions!$B$10),0))</f>
        <v/>
      </c>
      <c r="BC41" s="12">
        <f>IF(AZ41="","",ROUND(AZ41*(1+AX41),0))</f>
        <v/>
      </c>
      <c r="BD41" s="12">
        <f>IF(AZ41="","",ROUND(AZ41*(1+AX41+Assumptions!$B$11),0))</f>
        <v/>
      </c>
      <c r="BE41" s="12">
        <f>IF(AZ41="","",ROUND(AZ41*(1+AX41)*(1+AX41),0))</f>
        <v/>
      </c>
      <c r="BF41" s="7" t="inlineStr">
        <is>
          <t>Rules-based enrichment using launch-price anchor, cap-app realization, and 2026 segment conditions.</t>
        </is>
      </c>
      <c r="BG41" t="inlineStr">
        <is>
          <t>2026-03-17</t>
        </is>
      </c>
      <c r="BH41" s="7" t="inlineStr">
        <is>
          <t>DLD / Digital Dubai / CBUAE / Savills / Knight Frank-Moody’s / Reuters</t>
        </is>
      </c>
    </row>
    <row r="42">
      <c r="A42" t="n">
        <v>41</v>
      </c>
      <c r="B42" s="7" t="inlineStr">
        <is>
          <t>Velora</t>
        </is>
      </c>
      <c r="C42" t="inlineStr">
        <is>
          <t>Emaar Properties</t>
        </is>
      </c>
      <c r="D42" t="inlineStr">
        <is>
          <t>The Valley (Phase 2)</t>
        </is>
      </c>
      <c r="E42" t="inlineStr">
        <is>
          <t>Townhouses</t>
        </is>
      </c>
      <c r="F42" s="7" t="inlineStr">
        <is>
          <t>Nature / Hills</t>
        </is>
      </c>
      <c r="G42" t="inlineStr">
        <is>
          <t>2.48M</t>
        </is>
      </c>
      <c r="H42" t="inlineStr">
        <is>
          <t>1100</t>
        </is>
      </c>
      <c r="I42" t="inlineStr">
        <is>
          <t>15</t>
        </is>
      </c>
      <c r="J42" t="inlineStr">
        <is>
          <t>80/20</t>
        </is>
      </c>
      <c r="K42" t="inlineStr">
        <is>
          <t>Aug 2028</t>
        </is>
      </c>
      <c r="L42" t="inlineStr">
        <is>
          <t>6.5-7.0</t>
        </is>
      </c>
      <c r="M42" t="inlineStr">
        <is>
          <t>10-15</t>
        </is>
      </c>
      <c r="N42" t="inlineStr">
        <is>
          <t>16.5-22.0</t>
        </is>
      </c>
      <c r="O42" s="7" t="inlineStr">
        <is>
          <t>The Aquila School</t>
        </is>
      </c>
      <c r="P42" s="7" t="inlineStr">
        <is>
          <t>Fakeeh University Hosp</t>
        </is>
      </c>
      <c r="Q42" s="7" t="inlineStr">
        <is>
          <t>Dubai Outlet Mall</t>
        </is>
      </c>
      <c r="R42" s="7" t="inlineStr">
        <is>
          <t>Al Ain Rd E66</t>
        </is>
      </c>
      <c r="S42" t="inlineStr">
        <is>
          <t>25</t>
        </is>
      </c>
      <c r="T42" t="inlineStr">
        <is>
          <t>35</t>
        </is>
      </c>
      <c r="U42" t="inlineStr">
        <is>
          <t>25</t>
        </is>
      </c>
      <c r="V42" t="inlineStr">
        <is>
          <t>35</t>
        </is>
      </c>
      <c r="W42" t="n">
        <v>2</v>
      </c>
      <c r="X42" s="12" t="n">
        <v>2480000</v>
      </c>
      <c r="Y42" s="12" t="n">
        <v>2480000</v>
      </c>
      <c r="Z42" s="9" t="n">
        <v>6.5</v>
      </c>
      <c r="AA42" s="9" t="n">
        <v>7</v>
      </c>
      <c r="AB42" s="9" t="n">
        <v>10</v>
      </c>
      <c r="AC42" s="9" t="n">
        <v>15</v>
      </c>
      <c r="AD42" s="9" t="n">
        <v>16.5</v>
      </c>
      <c r="AE42" s="9" t="n">
        <v>22</v>
      </c>
      <c r="AF42" t="n">
        <v>2028</v>
      </c>
      <c r="AH42" t="inlineStr">
        <is>
          <t>Townhouse</t>
        </is>
      </c>
      <c r="AI42" t="inlineStr">
        <is>
          <t>MainstreamSelective</t>
        </is>
      </c>
      <c r="AJ42" t="inlineStr">
        <is>
          <t>TopTier</t>
        </is>
      </c>
      <c r="AK42" t="inlineStr">
        <is>
          <t>Family-villa resilient</t>
        </is>
      </c>
      <c r="AL42" s="7" t="inlineStr">
        <is>
          <t>Villa/townhouse demand remains relatively firmer, though growth should be slower than the post-2020 surge.</t>
        </is>
      </c>
      <c r="AM42" s="9" t="n">
        <v>12.5</v>
      </c>
      <c r="AN42" s="9" t="n">
        <v>6.75</v>
      </c>
      <c r="AO42" s="10" t="n">
        <v>0.25</v>
      </c>
      <c r="AP42" s="13" t="n">
        <v>0</v>
      </c>
      <c r="AQ42" s="13" t="n">
        <v>0.015</v>
      </c>
      <c r="AR42" s="13" t="n">
        <v>0</v>
      </c>
      <c r="AS42" s="13" t="n">
        <v>0.025</v>
      </c>
      <c r="AT42" s="13" t="n">
        <v>0.005</v>
      </c>
      <c r="AU42" s="13" t="n">
        <v>0.0025</v>
      </c>
      <c r="AV42" s="13" t="n">
        <v>-0.005</v>
      </c>
      <c r="AW42" s="13">
        <f>IF(X42="","",(AM42/100*AO42)+AP42+AQ42+AR42)</f>
        <v/>
      </c>
      <c r="AX42" s="13">
        <f>IF(X42="","",AS42+AT42+AU42+AV42)</f>
        <v/>
      </c>
      <c r="AY42" s="12">
        <f>IF(AZ42="","",ROUND(AZ42*(1+Assumptions!$B$10),0))</f>
        <v/>
      </c>
      <c r="AZ42" s="12">
        <f>IF(X42="","",ROUND(X42*(1+AW42),0))</f>
        <v/>
      </c>
      <c r="BA42" s="12">
        <f>IF(AZ42="","",ROUND(AZ42*(1+Assumptions!$B$11),0))</f>
        <v/>
      </c>
      <c r="BB42" s="12">
        <f>IF(AZ42="","",ROUND(AZ42*(1+AX42+Assumptions!$B$10),0))</f>
        <v/>
      </c>
      <c r="BC42" s="12">
        <f>IF(AZ42="","",ROUND(AZ42*(1+AX42),0))</f>
        <v/>
      </c>
      <c r="BD42" s="12">
        <f>IF(AZ42="","",ROUND(AZ42*(1+AX42+Assumptions!$B$11),0))</f>
        <v/>
      </c>
      <c r="BE42" s="12">
        <f>IF(AZ42="","",ROUND(AZ42*(1+AX42)*(1+AX42),0))</f>
        <v/>
      </c>
      <c r="BF42" s="7" t="inlineStr">
        <is>
          <t>Rules-based enrichment using launch-price anchor, cap-app realization, and 2026 segment conditions.</t>
        </is>
      </c>
      <c r="BG42" t="inlineStr">
        <is>
          <t>2026-03-17</t>
        </is>
      </c>
      <c r="BH42" s="7" t="inlineStr">
        <is>
          <t>DLD / Digital Dubai / CBUAE / Savills / Knight Frank-Moody’s / Reuters</t>
        </is>
      </c>
    </row>
    <row r="43">
      <c r="A43" t="n">
        <v>42</v>
      </c>
      <c r="B43" s="7" t="inlineStr">
        <is>
          <t>Venera</t>
        </is>
      </c>
      <c r="C43" t="inlineStr">
        <is>
          <t>Emaar Properties</t>
        </is>
      </c>
      <c r="D43" t="inlineStr">
        <is>
          <t>The Valley (Phase 2)</t>
        </is>
      </c>
      <c r="E43" t="inlineStr">
        <is>
          <t>Townhouses</t>
        </is>
      </c>
      <c r="F43" s="7" t="inlineStr">
        <is>
          <t>Nature / Hills</t>
        </is>
      </c>
      <c r="G43" t="inlineStr">
        <is>
          <t>2.5M</t>
        </is>
      </c>
      <c r="H43" t="inlineStr">
        <is>
          <t>1100</t>
        </is>
      </c>
      <c r="I43" t="inlineStr">
        <is>
          <t>15</t>
        </is>
      </c>
      <c r="J43" t="inlineStr">
        <is>
          <t>80/20</t>
        </is>
      </c>
      <c r="K43" t="inlineStr">
        <is>
          <t>2024</t>
        </is>
      </c>
      <c r="L43" t="inlineStr">
        <is>
          <t>6.5-7.0</t>
        </is>
      </c>
      <c r="M43" t="inlineStr">
        <is>
          <t>10-15</t>
        </is>
      </c>
      <c r="N43" t="inlineStr">
        <is>
          <t>16.5-22.0</t>
        </is>
      </c>
      <c r="O43" s="7" t="inlineStr">
        <is>
          <t>The Aquila School</t>
        </is>
      </c>
      <c r="P43" s="7" t="inlineStr">
        <is>
          <t>Fakeeh University Hosp</t>
        </is>
      </c>
      <c r="Q43" s="7" t="inlineStr">
        <is>
          <t>Dubai Outlet Mall</t>
        </is>
      </c>
      <c r="R43" s="7" t="inlineStr">
        <is>
          <t>Al Ain Rd E66</t>
        </is>
      </c>
      <c r="S43" t="inlineStr">
        <is>
          <t>25</t>
        </is>
      </c>
      <c r="T43" t="inlineStr">
        <is>
          <t>35</t>
        </is>
      </c>
      <c r="U43" t="inlineStr">
        <is>
          <t>25</t>
        </is>
      </c>
      <c r="V43" t="inlineStr">
        <is>
          <t>35</t>
        </is>
      </c>
      <c r="W43" t="n">
        <v>2</v>
      </c>
      <c r="X43" s="12" t="n">
        <v>2500000</v>
      </c>
      <c r="Y43" s="12" t="n">
        <v>2500000</v>
      </c>
      <c r="Z43" s="9" t="n">
        <v>6.5</v>
      </c>
      <c r="AA43" s="9" t="n">
        <v>7</v>
      </c>
      <c r="AB43" s="9" t="n">
        <v>10</v>
      </c>
      <c r="AC43" s="9" t="n">
        <v>15</v>
      </c>
      <c r="AD43" s="9" t="n">
        <v>16.5</v>
      </c>
      <c r="AE43" s="9" t="n">
        <v>22</v>
      </c>
      <c r="AF43" t="n">
        <v>2024</v>
      </c>
      <c r="AH43" t="inlineStr">
        <is>
          <t>Townhouse</t>
        </is>
      </c>
      <c r="AI43" t="inlineStr">
        <is>
          <t>MainstreamSelective</t>
        </is>
      </c>
      <c r="AJ43" t="inlineStr">
        <is>
          <t>TopTier</t>
        </is>
      </c>
      <c r="AK43" t="inlineStr">
        <is>
          <t>Family-villa resilient</t>
        </is>
      </c>
      <c r="AL43" s="7" t="inlineStr">
        <is>
          <t>Villa/townhouse demand remains relatively firmer, though growth should be slower than the post-2020 surge.</t>
        </is>
      </c>
      <c r="AM43" s="9" t="n">
        <v>12.5</v>
      </c>
      <c r="AN43" s="9" t="n">
        <v>6.75</v>
      </c>
      <c r="AO43" s="10" t="n">
        <v>0.55</v>
      </c>
      <c r="AP43" s="13" t="n">
        <v>0</v>
      </c>
      <c r="AQ43" s="13" t="n">
        <v>0.015</v>
      </c>
      <c r="AR43" s="13" t="n">
        <v>0</v>
      </c>
      <c r="AS43" s="13" t="n">
        <v>0.025</v>
      </c>
      <c r="AT43" s="13" t="n">
        <v>0.005</v>
      </c>
      <c r="AU43" s="13" t="n">
        <v>0.0025</v>
      </c>
      <c r="AV43" s="13" t="n">
        <v>-0.005</v>
      </c>
      <c r="AW43" s="13">
        <f>IF(X43="","",(AM43/100*AO43)+AP43+AQ43+AR43)</f>
        <v/>
      </c>
      <c r="AX43" s="13">
        <f>IF(X43="","",AS43+AT43+AU43+AV43)</f>
        <v/>
      </c>
      <c r="AY43" s="12">
        <f>IF(AZ43="","",ROUND(AZ43*(1+Assumptions!$B$10),0))</f>
        <v/>
      </c>
      <c r="AZ43" s="12">
        <f>IF(X43="","",ROUND(X43*(1+AW43),0))</f>
        <v/>
      </c>
      <c r="BA43" s="12">
        <f>IF(AZ43="","",ROUND(AZ43*(1+Assumptions!$B$11),0))</f>
        <v/>
      </c>
      <c r="BB43" s="12">
        <f>IF(AZ43="","",ROUND(AZ43*(1+AX43+Assumptions!$B$10),0))</f>
        <v/>
      </c>
      <c r="BC43" s="12">
        <f>IF(AZ43="","",ROUND(AZ43*(1+AX43),0))</f>
        <v/>
      </c>
      <c r="BD43" s="12">
        <f>IF(AZ43="","",ROUND(AZ43*(1+AX43+Assumptions!$B$11),0))</f>
        <v/>
      </c>
      <c r="BE43" s="12">
        <f>IF(AZ43="","",ROUND(AZ43*(1+AX43)*(1+AX43),0))</f>
        <v/>
      </c>
      <c r="BF43" s="7" t="inlineStr">
        <is>
          <t>Rules-based enrichment using launch-price anchor, cap-app realization, and 2026 segment conditions.</t>
        </is>
      </c>
      <c r="BG43" t="inlineStr">
        <is>
          <t>2026-03-17</t>
        </is>
      </c>
      <c r="BH43" s="7" t="inlineStr">
        <is>
          <t>DLD / Digital Dubai / CBUAE / Savills / Knight Frank-Moody’s / Reuters</t>
        </is>
      </c>
    </row>
    <row r="44">
      <c r="A44" t="n">
        <v>43</v>
      </c>
      <c r="B44" s="7" t="inlineStr">
        <is>
          <t>Rivera</t>
        </is>
      </c>
      <c r="C44" t="inlineStr">
        <is>
          <t>Emaar Properties</t>
        </is>
      </c>
      <c r="D44" t="inlineStr">
        <is>
          <t>The Valley</t>
        </is>
      </c>
      <c r="E44" t="inlineStr">
        <is>
          <t>Townhouses</t>
        </is>
      </c>
      <c r="F44" s="7" t="inlineStr">
        <is>
          <t>Water / Lagoon</t>
        </is>
      </c>
      <c r="G44" t="inlineStr">
        <is>
          <t>2.6M</t>
        </is>
      </c>
      <c r="H44" t="inlineStr">
        <is>
          <t>1150</t>
        </is>
      </c>
      <c r="I44" t="inlineStr">
        <is>
          <t>15</t>
        </is>
      </c>
      <c r="J44" t="inlineStr">
        <is>
          <t>80/20</t>
        </is>
      </c>
      <c r="K44" t="inlineStr">
        <is>
          <t>2024</t>
        </is>
      </c>
      <c r="L44" t="inlineStr">
        <is>
          <t>6.5-7.0</t>
        </is>
      </c>
      <c r="M44" t="inlineStr">
        <is>
          <t>10-15</t>
        </is>
      </c>
      <c r="N44" t="inlineStr">
        <is>
          <t>16.5-22.0</t>
        </is>
      </c>
      <c r="O44" s="7" t="inlineStr">
        <is>
          <t>The Aquila School</t>
        </is>
      </c>
      <c r="P44" s="7" t="inlineStr">
        <is>
          <t>Fakeeh University Hosp</t>
        </is>
      </c>
      <c r="Q44" s="7" t="inlineStr">
        <is>
          <t>Dubai Outlet Mall</t>
        </is>
      </c>
      <c r="R44" s="7" t="inlineStr">
        <is>
          <t>Al Ain Rd E66</t>
        </is>
      </c>
      <c r="S44" t="inlineStr">
        <is>
          <t>25</t>
        </is>
      </c>
      <c r="T44" t="inlineStr">
        <is>
          <t>35</t>
        </is>
      </c>
      <c r="U44" t="inlineStr">
        <is>
          <t>25</t>
        </is>
      </c>
      <c r="V44" t="inlineStr">
        <is>
          <t>35</t>
        </is>
      </c>
      <c r="W44" t="n">
        <v>2</v>
      </c>
      <c r="X44" s="12" t="n">
        <v>2600000</v>
      </c>
      <c r="Y44" s="12" t="n">
        <v>2600000</v>
      </c>
      <c r="Z44" s="9" t="n">
        <v>6.5</v>
      </c>
      <c r="AA44" s="9" t="n">
        <v>7</v>
      </c>
      <c r="AB44" s="9" t="n">
        <v>10</v>
      </c>
      <c r="AC44" s="9" t="n">
        <v>15</v>
      </c>
      <c r="AD44" s="9" t="n">
        <v>16.5</v>
      </c>
      <c r="AE44" s="9" t="n">
        <v>22</v>
      </c>
      <c r="AF44" t="n">
        <v>2024</v>
      </c>
      <c r="AH44" t="inlineStr">
        <is>
          <t>Townhouse</t>
        </is>
      </c>
      <c r="AI44" t="inlineStr">
        <is>
          <t>FamilyVilla</t>
        </is>
      </c>
      <c r="AJ44" t="inlineStr">
        <is>
          <t>TopTier</t>
        </is>
      </c>
      <c r="AK44" t="inlineStr">
        <is>
          <t>Family-villa resilient</t>
        </is>
      </c>
      <c r="AL44" s="7" t="inlineStr">
        <is>
          <t>Villa/townhouse demand remains relatively firmer, though growth should be slower than the post-2020 surge.</t>
        </is>
      </c>
      <c r="AM44" s="9" t="n">
        <v>12.5</v>
      </c>
      <c r="AN44" s="9" t="n">
        <v>6.75</v>
      </c>
      <c r="AO44" s="10" t="n">
        <v>0.55</v>
      </c>
      <c r="AP44" s="13" t="n">
        <v>0</v>
      </c>
      <c r="AQ44" s="13" t="n">
        <v>0.015</v>
      </c>
      <c r="AR44" s="13" t="n">
        <v>0</v>
      </c>
      <c r="AS44" s="13" t="n">
        <v>0.025</v>
      </c>
      <c r="AT44" s="13" t="n">
        <v>0.005</v>
      </c>
      <c r="AU44" s="13" t="n">
        <v>0.0025</v>
      </c>
      <c r="AV44" s="13" t="n">
        <v>-0.005</v>
      </c>
      <c r="AW44" s="13">
        <f>IF(X44="","",(AM44/100*AO44)+AP44+AQ44+AR44)</f>
        <v/>
      </c>
      <c r="AX44" s="13">
        <f>IF(X44="","",AS44+AT44+AU44+AV44)</f>
        <v/>
      </c>
      <c r="AY44" s="12">
        <f>IF(AZ44="","",ROUND(AZ44*(1+Assumptions!$B$10),0))</f>
        <v/>
      </c>
      <c r="AZ44" s="12">
        <f>IF(X44="","",ROUND(X44*(1+AW44),0))</f>
        <v/>
      </c>
      <c r="BA44" s="12">
        <f>IF(AZ44="","",ROUND(AZ44*(1+Assumptions!$B$11),0))</f>
        <v/>
      </c>
      <c r="BB44" s="12">
        <f>IF(AZ44="","",ROUND(AZ44*(1+AX44+Assumptions!$B$10),0))</f>
        <v/>
      </c>
      <c r="BC44" s="12">
        <f>IF(AZ44="","",ROUND(AZ44*(1+AX44),0))</f>
        <v/>
      </c>
      <c r="BD44" s="12">
        <f>IF(AZ44="","",ROUND(AZ44*(1+AX44+Assumptions!$B$11),0))</f>
        <v/>
      </c>
      <c r="BE44" s="12">
        <f>IF(AZ44="","",ROUND(AZ44*(1+AX44)*(1+AX44),0))</f>
        <v/>
      </c>
      <c r="BF44" s="7" t="inlineStr">
        <is>
          <t>Rules-based enrichment using launch-price anchor, cap-app realization, and 2026 segment conditions.</t>
        </is>
      </c>
      <c r="BG44" t="inlineStr">
        <is>
          <t>2026-03-17</t>
        </is>
      </c>
      <c r="BH44" s="7" t="inlineStr">
        <is>
          <t>DLD / Digital Dubai / CBUAE / Savills / Knight Frank-Moody’s / Reuters</t>
        </is>
      </c>
    </row>
    <row r="45">
      <c r="A45" t="n">
        <v>44</v>
      </c>
      <c r="B45" s="7" t="inlineStr">
        <is>
          <t>Avena</t>
        </is>
      </c>
      <c r="C45" t="inlineStr">
        <is>
          <t>Emaar Properties</t>
        </is>
      </c>
      <c r="D45" t="inlineStr">
        <is>
          <t>The Valley</t>
        </is>
      </c>
      <c r="E45" t="inlineStr">
        <is>
          <t>Villas</t>
        </is>
      </c>
      <c r="F45" s="7" t="inlineStr">
        <is>
          <t>Nature</t>
        </is>
      </c>
      <c r="G45" t="inlineStr">
        <is>
          <t>3.2M</t>
        </is>
      </c>
      <c r="H45" t="inlineStr">
        <is>
          <t>1200</t>
        </is>
      </c>
      <c r="I45" t="inlineStr">
        <is>
          <t>15</t>
        </is>
      </c>
      <c r="J45" t="inlineStr">
        <is>
          <t>80/20</t>
        </is>
      </c>
      <c r="K45" t="inlineStr">
        <is>
          <t>2024</t>
        </is>
      </c>
      <c r="L45" t="inlineStr">
        <is>
          <t>6.0-6.5</t>
        </is>
      </c>
      <c r="M45" t="inlineStr">
        <is>
          <t>10-15</t>
        </is>
      </c>
      <c r="N45" t="inlineStr">
        <is>
          <t>16.0-21.5</t>
        </is>
      </c>
      <c r="O45" s="7" t="inlineStr">
        <is>
          <t>The Aquila School</t>
        </is>
      </c>
      <c r="P45" s="7" t="inlineStr">
        <is>
          <t>Fakeeh University Hosp</t>
        </is>
      </c>
      <c r="Q45" s="7" t="inlineStr">
        <is>
          <t>Dubai Outlet Mall</t>
        </is>
      </c>
      <c r="R45" s="7" t="inlineStr">
        <is>
          <t>Al Ain Rd E66</t>
        </is>
      </c>
      <c r="S45" t="inlineStr">
        <is>
          <t>25</t>
        </is>
      </c>
      <c r="T45" t="inlineStr">
        <is>
          <t>35</t>
        </is>
      </c>
      <c r="U45" t="inlineStr">
        <is>
          <t>25</t>
        </is>
      </c>
      <c r="V45" t="inlineStr">
        <is>
          <t>35</t>
        </is>
      </c>
      <c r="W45" t="n">
        <v>2</v>
      </c>
      <c r="X45" s="12" t="n">
        <v>3200000</v>
      </c>
      <c r="Y45" s="12" t="n">
        <v>3200000</v>
      </c>
      <c r="Z45" s="9" t="n">
        <v>6</v>
      </c>
      <c r="AA45" s="9" t="n">
        <v>6.5</v>
      </c>
      <c r="AB45" s="9" t="n">
        <v>10</v>
      </c>
      <c r="AC45" s="9" t="n">
        <v>15</v>
      </c>
      <c r="AD45" s="9" t="n">
        <v>16</v>
      </c>
      <c r="AE45" s="9" t="n">
        <v>21.5</v>
      </c>
      <c r="AF45" t="n">
        <v>2024</v>
      </c>
      <c r="AH45" t="inlineStr">
        <is>
          <t>Villa</t>
        </is>
      </c>
      <c r="AI45" t="inlineStr">
        <is>
          <t>FamilyVilla</t>
        </is>
      </c>
      <c r="AJ45" t="inlineStr">
        <is>
          <t>TopTier</t>
        </is>
      </c>
      <c r="AK45" t="inlineStr">
        <is>
          <t>Family-villa resilient</t>
        </is>
      </c>
      <c r="AL45" s="7" t="inlineStr">
        <is>
          <t>Villa/townhouse demand remains relatively firmer, though growth should be slower than the post-2020 surge.</t>
        </is>
      </c>
      <c r="AM45" s="9" t="n">
        <v>12.5</v>
      </c>
      <c r="AN45" s="9" t="n">
        <v>6.25</v>
      </c>
      <c r="AO45" s="10" t="n">
        <v>0.55</v>
      </c>
      <c r="AP45" s="13" t="n">
        <v>0</v>
      </c>
      <c r="AQ45" s="13" t="n">
        <v>0.015</v>
      </c>
      <c r="AR45" s="13" t="n">
        <v>0</v>
      </c>
      <c r="AS45" s="13" t="n">
        <v>0.025</v>
      </c>
      <c r="AT45" s="13" t="n">
        <v>0.005</v>
      </c>
      <c r="AU45" s="13" t="n">
        <v>0.0025</v>
      </c>
      <c r="AV45" s="13" t="n">
        <v>-0.005</v>
      </c>
      <c r="AW45" s="13">
        <f>IF(X45="","",(AM45/100*AO45)+AP45+AQ45+AR45)</f>
        <v/>
      </c>
      <c r="AX45" s="13">
        <f>IF(X45="","",AS45+AT45+AU45+AV45)</f>
        <v/>
      </c>
      <c r="AY45" s="12">
        <f>IF(AZ45="","",ROUND(AZ45*(1+Assumptions!$B$10),0))</f>
        <v/>
      </c>
      <c r="AZ45" s="12">
        <f>IF(X45="","",ROUND(X45*(1+AW45),0))</f>
        <v/>
      </c>
      <c r="BA45" s="12">
        <f>IF(AZ45="","",ROUND(AZ45*(1+Assumptions!$B$11),0))</f>
        <v/>
      </c>
      <c r="BB45" s="12">
        <f>IF(AZ45="","",ROUND(AZ45*(1+AX45+Assumptions!$B$10),0))</f>
        <v/>
      </c>
      <c r="BC45" s="12">
        <f>IF(AZ45="","",ROUND(AZ45*(1+AX45),0))</f>
        <v/>
      </c>
      <c r="BD45" s="12">
        <f>IF(AZ45="","",ROUND(AZ45*(1+AX45+Assumptions!$B$11),0))</f>
        <v/>
      </c>
      <c r="BE45" s="12">
        <f>IF(AZ45="","",ROUND(AZ45*(1+AX45)*(1+AX45),0))</f>
        <v/>
      </c>
      <c r="BF45" s="7" t="inlineStr">
        <is>
          <t>Rules-based enrichment using launch-price anchor, cap-app realization, and 2026 segment conditions.</t>
        </is>
      </c>
      <c r="BG45" t="inlineStr">
        <is>
          <t>2026-03-17</t>
        </is>
      </c>
      <c r="BH45" s="7" t="inlineStr">
        <is>
          <t>DLD / Digital Dubai / CBUAE / Savills / Knight Frank-Moody’s / Reuters</t>
        </is>
      </c>
    </row>
    <row r="46">
      <c r="A46" t="n">
        <v>45</v>
      </c>
      <c r="B46" s="7" t="inlineStr">
        <is>
          <t>Ovelle</t>
        </is>
      </c>
      <c r="C46" t="inlineStr">
        <is>
          <t>Emaar Properties</t>
        </is>
      </c>
      <c r="D46" t="inlineStr">
        <is>
          <t>The Valley</t>
        </is>
      </c>
      <c r="E46" t="inlineStr">
        <is>
          <t>Townhouses</t>
        </is>
      </c>
      <c r="F46" s="7" t="inlineStr">
        <is>
          <t>Family</t>
        </is>
      </c>
      <c r="G46" t="inlineStr">
        <is>
          <t>2.4M</t>
        </is>
      </c>
      <c r="H46" t="inlineStr">
        <is>
          <t>1050</t>
        </is>
      </c>
      <c r="I46" t="inlineStr">
        <is>
          <t>15</t>
        </is>
      </c>
      <c r="J46" t="inlineStr">
        <is>
          <t>80/20</t>
        </is>
      </c>
      <c r="K46" t="inlineStr">
        <is>
          <t>2024</t>
        </is>
      </c>
      <c r="L46" t="inlineStr">
        <is>
          <t>6.5-7.0</t>
        </is>
      </c>
      <c r="M46" t="inlineStr">
        <is>
          <t>10-15</t>
        </is>
      </c>
      <c r="N46" t="inlineStr">
        <is>
          <t>16.5-22.0</t>
        </is>
      </c>
      <c r="O46" s="7" t="inlineStr">
        <is>
          <t>The Aquila School</t>
        </is>
      </c>
      <c r="P46" s="7" t="inlineStr">
        <is>
          <t>Fakeeh University Hosp</t>
        </is>
      </c>
      <c r="Q46" s="7" t="inlineStr">
        <is>
          <t>Dubai Outlet Mall</t>
        </is>
      </c>
      <c r="R46" s="7" t="inlineStr">
        <is>
          <t>Al Ain Rd E66</t>
        </is>
      </c>
      <c r="S46" t="inlineStr">
        <is>
          <t>25</t>
        </is>
      </c>
      <c r="T46" t="inlineStr">
        <is>
          <t>35</t>
        </is>
      </c>
      <c r="U46" t="inlineStr">
        <is>
          <t>25</t>
        </is>
      </c>
      <c r="V46" t="inlineStr">
        <is>
          <t>35</t>
        </is>
      </c>
      <c r="W46" t="n">
        <v>2</v>
      </c>
      <c r="X46" s="12" t="n">
        <v>2400000</v>
      </c>
      <c r="Y46" s="12" t="n">
        <v>2400000</v>
      </c>
      <c r="Z46" s="9" t="n">
        <v>6.5</v>
      </c>
      <c r="AA46" s="9" t="n">
        <v>7</v>
      </c>
      <c r="AB46" s="9" t="n">
        <v>10</v>
      </c>
      <c r="AC46" s="9" t="n">
        <v>15</v>
      </c>
      <c r="AD46" s="9" t="n">
        <v>16.5</v>
      </c>
      <c r="AE46" s="9" t="n">
        <v>22</v>
      </c>
      <c r="AF46" t="n">
        <v>2024</v>
      </c>
      <c r="AH46" t="inlineStr">
        <is>
          <t>Townhouse</t>
        </is>
      </c>
      <c r="AI46" t="inlineStr">
        <is>
          <t>FamilyVilla</t>
        </is>
      </c>
      <c r="AJ46" t="inlineStr">
        <is>
          <t>TopTier</t>
        </is>
      </c>
      <c r="AK46" t="inlineStr">
        <is>
          <t>Family-villa resilient</t>
        </is>
      </c>
      <c r="AL46" s="7" t="inlineStr">
        <is>
          <t>Villa/townhouse demand remains relatively firmer, though growth should be slower than the post-2020 surge.</t>
        </is>
      </c>
      <c r="AM46" s="9" t="n">
        <v>12.5</v>
      </c>
      <c r="AN46" s="9" t="n">
        <v>6.75</v>
      </c>
      <c r="AO46" s="10" t="n">
        <v>0.55</v>
      </c>
      <c r="AP46" s="13" t="n">
        <v>0</v>
      </c>
      <c r="AQ46" s="13" t="n">
        <v>0.015</v>
      </c>
      <c r="AR46" s="13" t="n">
        <v>0</v>
      </c>
      <c r="AS46" s="13" t="n">
        <v>0.025</v>
      </c>
      <c r="AT46" s="13" t="n">
        <v>0.005</v>
      </c>
      <c r="AU46" s="13" t="n">
        <v>0.0025</v>
      </c>
      <c r="AV46" s="13" t="n">
        <v>-0.005</v>
      </c>
      <c r="AW46" s="13">
        <f>IF(X46="","",(AM46/100*AO46)+AP46+AQ46+AR46)</f>
        <v/>
      </c>
      <c r="AX46" s="13">
        <f>IF(X46="","",AS46+AT46+AU46+AV46)</f>
        <v/>
      </c>
      <c r="AY46" s="12">
        <f>IF(AZ46="","",ROUND(AZ46*(1+Assumptions!$B$10),0))</f>
        <v/>
      </c>
      <c r="AZ46" s="12">
        <f>IF(X46="","",ROUND(X46*(1+AW46),0))</f>
        <v/>
      </c>
      <c r="BA46" s="12">
        <f>IF(AZ46="","",ROUND(AZ46*(1+Assumptions!$B$11),0))</f>
        <v/>
      </c>
      <c r="BB46" s="12">
        <f>IF(AZ46="","",ROUND(AZ46*(1+AX46+Assumptions!$B$10),0))</f>
        <v/>
      </c>
      <c r="BC46" s="12">
        <f>IF(AZ46="","",ROUND(AZ46*(1+AX46),0))</f>
        <v/>
      </c>
      <c r="BD46" s="12">
        <f>IF(AZ46="","",ROUND(AZ46*(1+AX46+Assumptions!$B$11),0))</f>
        <v/>
      </c>
      <c r="BE46" s="12">
        <f>IF(AZ46="","",ROUND(AZ46*(1+AX46)*(1+AX46),0))</f>
        <v/>
      </c>
      <c r="BF46" s="7" t="inlineStr">
        <is>
          <t>Rules-based enrichment using launch-price anchor, cap-app realization, and 2026 segment conditions.</t>
        </is>
      </c>
      <c r="BG46" t="inlineStr">
        <is>
          <t>2026-03-17</t>
        </is>
      </c>
      <c r="BH46" s="7" t="inlineStr">
        <is>
          <t>DLD / Digital Dubai / CBUAE / Savills / Knight Frank-Moody’s / Reuters</t>
        </is>
      </c>
    </row>
    <row r="47">
      <c r="A47" t="n">
        <v>46</v>
      </c>
      <c r="B47" s="7" t="inlineStr">
        <is>
          <t>Avelia</t>
        </is>
      </c>
      <c r="C47" t="inlineStr">
        <is>
          <t>Emaar Properties</t>
        </is>
      </c>
      <c r="D47" t="inlineStr">
        <is>
          <t>The Valley</t>
        </is>
      </c>
      <c r="E47" t="inlineStr">
        <is>
          <t>Townhouses</t>
        </is>
      </c>
      <c r="F47" s="7" t="inlineStr">
        <is>
          <t>Family</t>
        </is>
      </c>
      <c r="G47" t="inlineStr">
        <is>
          <t>2.3M</t>
        </is>
      </c>
      <c r="H47" t="inlineStr">
        <is>
          <t>1000</t>
        </is>
      </c>
      <c r="I47" t="inlineStr">
        <is>
          <t>15</t>
        </is>
      </c>
      <c r="J47" t="inlineStr">
        <is>
          <t>80/20</t>
        </is>
      </c>
      <c r="K47" t="inlineStr">
        <is>
          <t>2024</t>
        </is>
      </c>
      <c r="L47" t="inlineStr">
        <is>
          <t>6.5-7.0</t>
        </is>
      </c>
      <c r="M47" t="inlineStr">
        <is>
          <t>10-15</t>
        </is>
      </c>
      <c r="N47" t="inlineStr">
        <is>
          <t>16.5-22.0</t>
        </is>
      </c>
      <c r="O47" s="7" t="inlineStr">
        <is>
          <t>The Aquila School</t>
        </is>
      </c>
      <c r="P47" s="7" t="inlineStr">
        <is>
          <t>Fakeeh University Hosp</t>
        </is>
      </c>
      <c r="Q47" s="7" t="inlineStr">
        <is>
          <t>Dubai Outlet Mall</t>
        </is>
      </c>
      <c r="R47" s="7" t="inlineStr">
        <is>
          <t>Al Ain Rd E66</t>
        </is>
      </c>
      <c r="S47" t="inlineStr">
        <is>
          <t>25</t>
        </is>
      </c>
      <c r="T47" t="inlineStr">
        <is>
          <t>35</t>
        </is>
      </c>
      <c r="U47" t="inlineStr">
        <is>
          <t>25</t>
        </is>
      </c>
      <c r="V47" t="inlineStr">
        <is>
          <t>35</t>
        </is>
      </c>
      <c r="W47" t="n">
        <v>2</v>
      </c>
      <c r="X47" s="12" t="n">
        <v>2300000</v>
      </c>
      <c r="Y47" s="12" t="n">
        <v>2300000</v>
      </c>
      <c r="Z47" s="9" t="n">
        <v>6.5</v>
      </c>
      <c r="AA47" s="9" t="n">
        <v>7</v>
      </c>
      <c r="AB47" s="9" t="n">
        <v>10</v>
      </c>
      <c r="AC47" s="9" t="n">
        <v>15</v>
      </c>
      <c r="AD47" s="9" t="n">
        <v>16.5</v>
      </c>
      <c r="AE47" s="9" t="n">
        <v>22</v>
      </c>
      <c r="AF47" t="n">
        <v>2024</v>
      </c>
      <c r="AH47" t="inlineStr">
        <is>
          <t>Townhouse</t>
        </is>
      </c>
      <c r="AI47" t="inlineStr">
        <is>
          <t>FamilyVilla</t>
        </is>
      </c>
      <c r="AJ47" t="inlineStr">
        <is>
          <t>TopTier</t>
        </is>
      </c>
      <c r="AK47" t="inlineStr">
        <is>
          <t>Family-villa resilient</t>
        </is>
      </c>
      <c r="AL47" s="7" t="inlineStr">
        <is>
          <t>Villa/townhouse demand remains relatively firmer, though growth should be slower than the post-2020 surge.</t>
        </is>
      </c>
      <c r="AM47" s="9" t="n">
        <v>12.5</v>
      </c>
      <c r="AN47" s="9" t="n">
        <v>6.75</v>
      </c>
      <c r="AO47" s="10" t="n">
        <v>0.55</v>
      </c>
      <c r="AP47" s="13" t="n">
        <v>0</v>
      </c>
      <c r="AQ47" s="13" t="n">
        <v>0.015</v>
      </c>
      <c r="AR47" s="13" t="n">
        <v>0</v>
      </c>
      <c r="AS47" s="13" t="n">
        <v>0.025</v>
      </c>
      <c r="AT47" s="13" t="n">
        <v>0.005</v>
      </c>
      <c r="AU47" s="13" t="n">
        <v>0.0025</v>
      </c>
      <c r="AV47" s="13" t="n">
        <v>-0.005</v>
      </c>
      <c r="AW47" s="13">
        <f>IF(X47="","",(AM47/100*AO47)+AP47+AQ47+AR47)</f>
        <v/>
      </c>
      <c r="AX47" s="13">
        <f>IF(X47="","",AS47+AT47+AU47+AV47)</f>
        <v/>
      </c>
      <c r="AY47" s="12">
        <f>IF(AZ47="","",ROUND(AZ47*(1+Assumptions!$B$10),0))</f>
        <v/>
      </c>
      <c r="AZ47" s="12">
        <f>IF(X47="","",ROUND(X47*(1+AW47),0))</f>
        <v/>
      </c>
      <c r="BA47" s="12">
        <f>IF(AZ47="","",ROUND(AZ47*(1+Assumptions!$B$11),0))</f>
        <v/>
      </c>
      <c r="BB47" s="12">
        <f>IF(AZ47="","",ROUND(AZ47*(1+AX47+Assumptions!$B$10),0))</f>
        <v/>
      </c>
      <c r="BC47" s="12">
        <f>IF(AZ47="","",ROUND(AZ47*(1+AX47),0))</f>
        <v/>
      </c>
      <c r="BD47" s="12">
        <f>IF(AZ47="","",ROUND(AZ47*(1+AX47+Assumptions!$B$11),0))</f>
        <v/>
      </c>
      <c r="BE47" s="12">
        <f>IF(AZ47="","",ROUND(AZ47*(1+AX47)*(1+AX47),0))</f>
        <v/>
      </c>
      <c r="BF47" s="7" t="inlineStr">
        <is>
          <t>Rules-based enrichment using launch-price anchor, cap-app realization, and 2026 segment conditions.</t>
        </is>
      </c>
      <c r="BG47" t="inlineStr">
        <is>
          <t>2026-03-17</t>
        </is>
      </c>
      <c r="BH47" s="7" t="inlineStr">
        <is>
          <t>DLD / Digital Dubai / CBUAE / Savills / Knight Frank-Moody’s / Reuters</t>
        </is>
      </c>
    </row>
    <row r="48">
      <c r="A48" t="n">
        <v>47</v>
      </c>
      <c r="B48" s="7" t="inlineStr">
        <is>
          <t>Elora</t>
        </is>
      </c>
      <c r="C48" t="inlineStr">
        <is>
          <t>Emaar Properties</t>
        </is>
      </c>
      <c r="D48" t="inlineStr">
        <is>
          <t>The Valley</t>
        </is>
      </c>
      <c r="E48" t="inlineStr">
        <is>
          <t>Townhouses</t>
        </is>
      </c>
      <c r="F48" s="7" t="inlineStr">
        <is>
          <t>Family</t>
        </is>
      </c>
      <c r="G48" t="inlineStr">
        <is>
          <t>2.1M</t>
        </is>
      </c>
      <c r="H48" t="inlineStr">
        <is>
          <t>1000</t>
        </is>
      </c>
      <c r="I48" t="inlineStr">
        <is>
          <t>15</t>
        </is>
      </c>
      <c r="J48" t="inlineStr">
        <is>
          <t>80/20</t>
        </is>
      </c>
      <c r="K48" t="inlineStr">
        <is>
          <t>2023</t>
        </is>
      </c>
      <c r="L48" t="inlineStr">
        <is>
          <t>7.0-7.5</t>
        </is>
      </c>
      <c r="M48" t="inlineStr">
        <is>
          <t>10-12</t>
        </is>
      </c>
      <c r="N48" t="inlineStr">
        <is>
          <t>17.0-19.5</t>
        </is>
      </c>
      <c r="O48" s="7" t="inlineStr">
        <is>
          <t>The Aquila School</t>
        </is>
      </c>
      <c r="P48" s="7" t="inlineStr">
        <is>
          <t>Fakeeh University Hosp</t>
        </is>
      </c>
      <c r="Q48" s="7" t="inlineStr">
        <is>
          <t>Dubai Outlet Mall</t>
        </is>
      </c>
      <c r="R48" s="7" t="inlineStr">
        <is>
          <t>Al Ain Rd E66</t>
        </is>
      </c>
      <c r="S48" t="inlineStr">
        <is>
          <t>25</t>
        </is>
      </c>
      <c r="T48" t="inlineStr">
        <is>
          <t>35</t>
        </is>
      </c>
      <c r="U48" t="inlineStr">
        <is>
          <t>25</t>
        </is>
      </c>
      <c r="V48" t="inlineStr">
        <is>
          <t>35</t>
        </is>
      </c>
      <c r="W48" t="n">
        <v>2</v>
      </c>
      <c r="X48" s="12" t="n">
        <v>2100000</v>
      </c>
      <c r="Y48" s="12" t="n">
        <v>2100000</v>
      </c>
      <c r="Z48" s="9" t="n">
        <v>7</v>
      </c>
      <c r="AA48" s="9" t="n">
        <v>7.5</v>
      </c>
      <c r="AB48" s="9" t="n">
        <v>10</v>
      </c>
      <c r="AC48" s="9" t="n">
        <v>12</v>
      </c>
      <c r="AD48" s="9" t="n">
        <v>17</v>
      </c>
      <c r="AE48" s="9" t="n">
        <v>19.5</v>
      </c>
      <c r="AF48" t="n">
        <v>2023</v>
      </c>
      <c r="AH48" t="inlineStr">
        <is>
          <t>Townhouse</t>
        </is>
      </c>
      <c r="AI48" t="inlineStr">
        <is>
          <t>FamilyVilla</t>
        </is>
      </c>
      <c r="AJ48" t="inlineStr">
        <is>
          <t>TopTier</t>
        </is>
      </c>
      <c r="AK48" t="inlineStr">
        <is>
          <t>Family-villa resilient</t>
        </is>
      </c>
      <c r="AL48" s="7" t="inlineStr">
        <is>
          <t>Villa/townhouse demand remains relatively firmer, though growth should be slower than the post-2020 surge.</t>
        </is>
      </c>
      <c r="AM48" s="9" t="n">
        <v>11</v>
      </c>
      <c r="AN48" s="9" t="n">
        <v>7.25</v>
      </c>
      <c r="AO48" s="10" t="n">
        <v>0.55</v>
      </c>
      <c r="AP48" s="13" t="n">
        <v>0</v>
      </c>
      <c r="AQ48" s="13" t="n">
        <v>0.015</v>
      </c>
      <c r="AR48" s="13" t="n">
        <v>0</v>
      </c>
      <c r="AS48" s="13" t="n">
        <v>0.025</v>
      </c>
      <c r="AT48" s="13" t="n">
        <v>0.005</v>
      </c>
      <c r="AU48" s="13" t="n">
        <v>0.0025</v>
      </c>
      <c r="AV48" s="13" t="n">
        <v>-0.005</v>
      </c>
      <c r="AW48" s="13">
        <f>IF(X48="","",(AM48/100*AO48)+AP48+AQ48+AR48)</f>
        <v/>
      </c>
      <c r="AX48" s="13">
        <f>IF(X48="","",AS48+AT48+AU48+AV48)</f>
        <v/>
      </c>
      <c r="AY48" s="12">
        <f>IF(AZ48="","",ROUND(AZ48*(1+Assumptions!$B$10),0))</f>
        <v/>
      </c>
      <c r="AZ48" s="12">
        <f>IF(X48="","",ROUND(X48*(1+AW48),0))</f>
        <v/>
      </c>
      <c r="BA48" s="12">
        <f>IF(AZ48="","",ROUND(AZ48*(1+Assumptions!$B$11),0))</f>
        <v/>
      </c>
      <c r="BB48" s="12">
        <f>IF(AZ48="","",ROUND(AZ48*(1+AX48+Assumptions!$B$10),0))</f>
        <v/>
      </c>
      <c r="BC48" s="12">
        <f>IF(AZ48="","",ROUND(AZ48*(1+AX48),0))</f>
        <v/>
      </c>
      <c r="BD48" s="12">
        <f>IF(AZ48="","",ROUND(AZ48*(1+AX48+Assumptions!$B$11),0))</f>
        <v/>
      </c>
      <c r="BE48" s="12">
        <f>IF(AZ48="","",ROUND(AZ48*(1+AX48)*(1+AX48),0))</f>
        <v/>
      </c>
      <c r="BF48" s="7" t="inlineStr">
        <is>
          <t>Rules-based enrichment using launch-price anchor, cap-app realization, and 2026 segment conditions.</t>
        </is>
      </c>
      <c r="BG48" t="inlineStr">
        <is>
          <t>2026-03-17</t>
        </is>
      </c>
      <c r="BH48" s="7" t="inlineStr">
        <is>
          <t>DLD / Digital Dubai / CBUAE / Savills / Knight Frank-Moody’s / Reuters</t>
        </is>
      </c>
    </row>
    <row r="49">
      <c r="A49" t="n">
        <v>48</v>
      </c>
      <c r="B49" s="7" t="inlineStr">
        <is>
          <t>Rivana</t>
        </is>
      </c>
      <c r="C49" t="inlineStr">
        <is>
          <t>Emaar Properties</t>
        </is>
      </c>
      <c r="D49" t="inlineStr">
        <is>
          <t>The Valley</t>
        </is>
      </c>
      <c r="E49" t="inlineStr">
        <is>
          <t>Villas</t>
        </is>
      </c>
      <c r="F49" s="7" t="inlineStr">
        <is>
          <t>Twin Villas</t>
        </is>
      </c>
      <c r="G49" t="inlineStr">
        <is>
          <t>2.8M</t>
        </is>
      </c>
      <c r="H49" t="inlineStr">
        <is>
          <t>1100</t>
        </is>
      </c>
      <c r="I49" t="inlineStr">
        <is>
          <t>15</t>
        </is>
      </c>
      <c r="J49" t="inlineStr">
        <is>
          <t>80/20</t>
        </is>
      </c>
      <c r="K49" t="inlineStr">
        <is>
          <t>2023</t>
        </is>
      </c>
      <c r="L49" t="inlineStr">
        <is>
          <t>6.5-7.0</t>
        </is>
      </c>
      <c r="M49" t="inlineStr">
        <is>
          <t>10-12</t>
        </is>
      </c>
      <c r="N49" t="inlineStr">
        <is>
          <t>16.5-19.0</t>
        </is>
      </c>
      <c r="O49" s="7" t="inlineStr">
        <is>
          <t>The Aquila School</t>
        </is>
      </c>
      <c r="P49" s="7" t="inlineStr">
        <is>
          <t>Fakeeh University Hosp</t>
        </is>
      </c>
      <c r="Q49" s="7" t="inlineStr">
        <is>
          <t>Dubai Outlet Mall</t>
        </is>
      </c>
      <c r="R49" s="7" t="inlineStr">
        <is>
          <t>Al Ain Rd E66</t>
        </is>
      </c>
      <c r="S49" t="inlineStr">
        <is>
          <t>25</t>
        </is>
      </c>
      <c r="T49" t="inlineStr">
        <is>
          <t>35</t>
        </is>
      </c>
      <c r="U49" t="inlineStr">
        <is>
          <t>25</t>
        </is>
      </c>
      <c r="V49" t="inlineStr">
        <is>
          <t>35</t>
        </is>
      </c>
      <c r="W49" t="n">
        <v>2</v>
      </c>
      <c r="X49" s="12" t="n">
        <v>2800000</v>
      </c>
      <c r="Y49" s="12" t="n">
        <v>2800000</v>
      </c>
      <c r="Z49" s="9" t="n">
        <v>6.5</v>
      </c>
      <c r="AA49" s="9" t="n">
        <v>7</v>
      </c>
      <c r="AB49" s="9" t="n">
        <v>10</v>
      </c>
      <c r="AC49" s="9" t="n">
        <v>12</v>
      </c>
      <c r="AD49" s="9" t="n">
        <v>16.5</v>
      </c>
      <c r="AE49" s="9" t="n">
        <v>19</v>
      </c>
      <c r="AF49" t="n">
        <v>2023</v>
      </c>
      <c r="AH49" t="inlineStr">
        <is>
          <t>Villa</t>
        </is>
      </c>
      <c r="AI49" t="inlineStr">
        <is>
          <t>FamilyVilla</t>
        </is>
      </c>
      <c r="AJ49" t="inlineStr">
        <is>
          <t>TopTier</t>
        </is>
      </c>
      <c r="AK49" t="inlineStr">
        <is>
          <t>Family-villa resilient</t>
        </is>
      </c>
      <c r="AL49" s="7" t="inlineStr">
        <is>
          <t>Villa/townhouse demand remains relatively firmer, though growth should be slower than the post-2020 surge.</t>
        </is>
      </c>
      <c r="AM49" s="9" t="n">
        <v>11</v>
      </c>
      <c r="AN49" s="9" t="n">
        <v>6.75</v>
      </c>
      <c r="AO49" s="10" t="n">
        <v>0.55</v>
      </c>
      <c r="AP49" s="13" t="n">
        <v>0</v>
      </c>
      <c r="AQ49" s="13" t="n">
        <v>0.015</v>
      </c>
      <c r="AR49" s="13" t="n">
        <v>0</v>
      </c>
      <c r="AS49" s="13" t="n">
        <v>0.025</v>
      </c>
      <c r="AT49" s="13" t="n">
        <v>0.005</v>
      </c>
      <c r="AU49" s="13" t="n">
        <v>0.0025</v>
      </c>
      <c r="AV49" s="13" t="n">
        <v>-0.005</v>
      </c>
      <c r="AW49" s="13">
        <f>IF(X49="","",(AM49/100*AO49)+AP49+AQ49+AR49)</f>
        <v/>
      </c>
      <c r="AX49" s="13">
        <f>IF(X49="","",AS49+AT49+AU49+AV49)</f>
        <v/>
      </c>
      <c r="AY49" s="12">
        <f>IF(AZ49="","",ROUND(AZ49*(1+Assumptions!$B$10),0))</f>
        <v/>
      </c>
      <c r="AZ49" s="12">
        <f>IF(X49="","",ROUND(X49*(1+AW49),0))</f>
        <v/>
      </c>
      <c r="BA49" s="12">
        <f>IF(AZ49="","",ROUND(AZ49*(1+Assumptions!$B$11),0))</f>
        <v/>
      </c>
      <c r="BB49" s="12">
        <f>IF(AZ49="","",ROUND(AZ49*(1+AX49+Assumptions!$B$10),0))</f>
        <v/>
      </c>
      <c r="BC49" s="12">
        <f>IF(AZ49="","",ROUND(AZ49*(1+AX49),0))</f>
        <v/>
      </c>
      <c r="BD49" s="12">
        <f>IF(AZ49="","",ROUND(AZ49*(1+AX49+Assumptions!$B$11),0))</f>
        <v/>
      </c>
      <c r="BE49" s="12">
        <f>IF(AZ49="","",ROUND(AZ49*(1+AX49)*(1+AX49),0))</f>
        <v/>
      </c>
      <c r="BF49" s="7" t="inlineStr">
        <is>
          <t>Rules-based enrichment using launch-price anchor, cap-app realization, and 2026 segment conditions.</t>
        </is>
      </c>
      <c r="BG49" t="inlineStr">
        <is>
          <t>2026-03-17</t>
        </is>
      </c>
      <c r="BH49" s="7" t="inlineStr">
        <is>
          <t>DLD / Digital Dubai / CBUAE / Savills / Knight Frank-Moody’s / Reuters</t>
        </is>
      </c>
    </row>
    <row r="50">
      <c r="A50" t="n">
        <v>49</v>
      </c>
      <c r="B50" s="7" t="inlineStr">
        <is>
          <t>Farm Gardens</t>
        </is>
      </c>
      <c r="C50" t="inlineStr">
        <is>
          <t>Emaar Properties</t>
        </is>
      </c>
      <c r="D50" t="inlineStr">
        <is>
          <t>The Valley</t>
        </is>
      </c>
      <c r="E50" t="inlineStr">
        <is>
          <t>Villas (Estate)</t>
        </is>
      </c>
      <c r="F50" s="7" t="inlineStr">
        <is>
          <t>Farm / Luxury</t>
        </is>
      </c>
      <c r="G50" t="inlineStr">
        <is>
          <t>5.5M</t>
        </is>
      </c>
      <c r="H50" t="inlineStr">
        <is>
          <t>1300</t>
        </is>
      </c>
      <c r="I50" t="inlineStr">
        <is>
          <t>15</t>
        </is>
      </c>
      <c r="J50" t="inlineStr">
        <is>
          <t>80/20</t>
        </is>
      </c>
      <c r="K50" t="inlineStr">
        <is>
          <t>2023</t>
        </is>
      </c>
      <c r="L50" t="inlineStr">
        <is>
          <t>5.5-6.0</t>
        </is>
      </c>
      <c r="M50" t="inlineStr">
        <is>
          <t>10-12</t>
        </is>
      </c>
      <c r="N50" t="inlineStr">
        <is>
          <t>15.5-18.0</t>
        </is>
      </c>
      <c r="O50" s="7" t="inlineStr">
        <is>
          <t>The Aquila School</t>
        </is>
      </c>
      <c r="P50" s="7" t="inlineStr">
        <is>
          <t>Fakeeh University Hosp</t>
        </is>
      </c>
      <c r="Q50" s="7" t="inlineStr">
        <is>
          <t>Dubai Outlet Mall</t>
        </is>
      </c>
      <c r="R50" s="7" t="inlineStr">
        <is>
          <t>Al Ain Rd E66</t>
        </is>
      </c>
      <c r="S50" t="inlineStr">
        <is>
          <t>25</t>
        </is>
      </c>
      <c r="T50" t="inlineStr">
        <is>
          <t>35</t>
        </is>
      </c>
      <c r="U50" t="inlineStr">
        <is>
          <t>25</t>
        </is>
      </c>
      <c r="V50" t="inlineStr">
        <is>
          <t>35</t>
        </is>
      </c>
      <c r="W50" t="n">
        <v>2</v>
      </c>
      <c r="X50" s="12" t="n">
        <v>5500000</v>
      </c>
      <c r="Y50" s="12" t="n">
        <v>5500000</v>
      </c>
      <c r="Z50" s="9" t="n">
        <v>5.5</v>
      </c>
      <c r="AA50" s="9" t="n">
        <v>6</v>
      </c>
      <c r="AB50" s="9" t="n">
        <v>10</v>
      </c>
      <c r="AC50" s="9" t="n">
        <v>12</v>
      </c>
      <c r="AD50" s="9" t="n">
        <v>15.5</v>
      </c>
      <c r="AE50" s="9" t="n">
        <v>18</v>
      </c>
      <c r="AF50" t="n">
        <v>2023</v>
      </c>
      <c r="AH50" t="inlineStr">
        <is>
          <t>Villa</t>
        </is>
      </c>
      <c r="AI50" t="inlineStr">
        <is>
          <t>FamilyVilla</t>
        </is>
      </c>
      <c r="AJ50" t="inlineStr">
        <is>
          <t>TopTier</t>
        </is>
      </c>
      <c r="AK50" t="inlineStr">
        <is>
          <t>Family-villa resilient</t>
        </is>
      </c>
      <c r="AL50" s="7" t="inlineStr">
        <is>
          <t>Villa/townhouse demand remains relatively firmer, though growth should be slower than the post-2020 surge.</t>
        </is>
      </c>
      <c r="AM50" s="9" t="n">
        <v>11</v>
      </c>
      <c r="AN50" s="9" t="n">
        <v>5.75</v>
      </c>
      <c r="AO50" s="10" t="n">
        <v>0.55</v>
      </c>
      <c r="AP50" s="13" t="n">
        <v>0</v>
      </c>
      <c r="AQ50" s="13" t="n">
        <v>0.015</v>
      </c>
      <c r="AR50" s="13" t="n">
        <v>0</v>
      </c>
      <c r="AS50" s="13" t="n">
        <v>0.025</v>
      </c>
      <c r="AT50" s="13" t="n">
        <v>0.005</v>
      </c>
      <c r="AU50" s="13" t="n">
        <v>0</v>
      </c>
      <c r="AV50" s="13" t="n">
        <v>-0.005</v>
      </c>
      <c r="AW50" s="13">
        <f>IF(X50="","",(AM50/100*AO50)+AP50+AQ50+AR50)</f>
        <v/>
      </c>
      <c r="AX50" s="13">
        <f>IF(X50="","",AS50+AT50+AU50+AV50)</f>
        <v/>
      </c>
      <c r="AY50" s="12">
        <f>IF(AZ50="","",ROUND(AZ50*(1+Assumptions!$B$10),0))</f>
        <v/>
      </c>
      <c r="AZ50" s="12">
        <f>IF(X50="","",ROUND(X50*(1+AW50),0))</f>
        <v/>
      </c>
      <c r="BA50" s="12">
        <f>IF(AZ50="","",ROUND(AZ50*(1+Assumptions!$B$11),0))</f>
        <v/>
      </c>
      <c r="BB50" s="12">
        <f>IF(AZ50="","",ROUND(AZ50*(1+AX50+Assumptions!$B$10),0))</f>
        <v/>
      </c>
      <c r="BC50" s="12">
        <f>IF(AZ50="","",ROUND(AZ50*(1+AX50),0))</f>
        <v/>
      </c>
      <c r="BD50" s="12">
        <f>IF(AZ50="","",ROUND(AZ50*(1+AX50+Assumptions!$B$11),0))</f>
        <v/>
      </c>
      <c r="BE50" s="12">
        <f>IF(AZ50="","",ROUND(AZ50*(1+AX50)*(1+AX50),0))</f>
        <v/>
      </c>
      <c r="BF50" s="7" t="inlineStr">
        <is>
          <t>Rules-based enrichment using launch-price anchor, cap-app realization, and 2026 segment conditions.</t>
        </is>
      </c>
      <c r="BG50" t="inlineStr">
        <is>
          <t>2026-03-17</t>
        </is>
      </c>
      <c r="BH50" s="7" t="inlineStr">
        <is>
          <t>DLD / Digital Dubai / CBUAE / Savills / Knight Frank-Moody’s / Reuters</t>
        </is>
      </c>
    </row>
    <row r="51">
      <c r="A51" t="n">
        <v>50</v>
      </c>
      <c r="B51" s="7" t="inlineStr">
        <is>
          <t>The Oasis (Master Community)</t>
        </is>
      </c>
      <c r="C51" t="inlineStr">
        <is>
          <t>Emaar Properties</t>
        </is>
      </c>
      <c r="D51" t="inlineStr">
        <is>
          <t>Near DIP</t>
        </is>
      </c>
      <c r="E51" t="inlineStr">
        <is>
          <t>Villas &amp; Mansions</t>
        </is>
      </c>
      <c r="F51" s="7" t="inlineStr">
        <is>
          <t>Blue Lagoons / Luxury</t>
        </is>
      </c>
      <c r="I51" t="inlineStr">
        <is>
          <t>TBA</t>
        </is>
      </c>
      <c r="J51" t="inlineStr">
        <is>
          <t>Varies</t>
        </is>
      </c>
      <c r="K51" t="inlineStr">
        <is>
          <t>2024</t>
        </is>
      </c>
      <c r="L51" t="inlineStr">
        <is>
          <t>4.5-5.5</t>
        </is>
      </c>
      <c r="M51" t="inlineStr">
        <is>
          <t>12-18</t>
        </is>
      </c>
      <c r="N51" t="inlineStr">
        <is>
          <t>16.5-23.5</t>
        </is>
      </c>
      <c r="O51" s="7" t="inlineStr">
        <is>
          <t>Victory Heights</t>
        </is>
      </c>
      <c r="P51" s="7" t="inlineStr">
        <is>
          <t>NMC Royal DIP</t>
        </is>
      </c>
      <c r="Q51" s="7" t="inlineStr">
        <is>
          <t>First Avenue Mall</t>
        </is>
      </c>
      <c r="R51" s="7" t="inlineStr">
        <is>
          <t>Yalayis St / E611</t>
        </is>
      </c>
      <c r="S51" t="inlineStr">
        <is>
          <t>25</t>
        </is>
      </c>
      <c r="T51" t="inlineStr">
        <is>
          <t>20</t>
        </is>
      </c>
      <c r="U51" t="inlineStr">
        <is>
          <t>30</t>
        </is>
      </c>
      <c r="V51" t="inlineStr">
        <is>
          <t>18</t>
        </is>
      </c>
      <c r="W51" t="n">
        <v>2</v>
      </c>
      <c r="X51" s="12" t="n"/>
      <c r="Y51" s="12" t="n"/>
      <c r="Z51" s="9" t="n">
        <v>4.5</v>
      </c>
      <c r="AA51" s="9" t="n">
        <v>5.5</v>
      </c>
      <c r="AB51" s="9" t="n">
        <v>12</v>
      </c>
      <c r="AC51" s="9" t="n">
        <v>18</v>
      </c>
      <c r="AD51" s="9" t="n">
        <v>16.5</v>
      </c>
      <c r="AE51" s="9" t="n">
        <v>23.5</v>
      </c>
      <c r="AF51" t="n">
        <v>2024</v>
      </c>
      <c r="AH51" t="inlineStr">
        <is>
          <t>Villa</t>
        </is>
      </c>
      <c r="AI51" t="inlineStr">
        <is>
          <t>MainstreamSelective</t>
        </is>
      </c>
      <c r="AJ51" t="inlineStr">
        <is>
          <t>TopTier</t>
        </is>
      </c>
      <c r="AK51" t="inlineStr">
        <is>
          <t>Family-villa resilient</t>
        </is>
      </c>
      <c r="AL51" s="7" t="inlineStr">
        <is>
          <t>Villa/townhouse demand remains relatively firmer, though growth should be slower than the post-2020 surge.</t>
        </is>
      </c>
      <c r="AM51" s="9" t="n">
        <v>15</v>
      </c>
      <c r="AN51" s="9" t="n">
        <v>5</v>
      </c>
      <c r="AO51" s="10" t="n">
        <v>0.55</v>
      </c>
      <c r="AP51" s="13" t="n">
        <v>0</v>
      </c>
      <c r="AQ51" s="13" t="n">
        <v>0.015</v>
      </c>
      <c r="AR51" s="13" t="n">
        <v>0</v>
      </c>
      <c r="AS51" s="13" t="n">
        <v>0.025</v>
      </c>
      <c r="AT51" s="13" t="n">
        <v>0.005</v>
      </c>
      <c r="AU51" s="13" t="n">
        <v>0</v>
      </c>
      <c r="AV51" s="13" t="n">
        <v>-0.005</v>
      </c>
      <c r="AW51" s="13">
        <f>IF(X51="","",(AM51/100*AO51)+AP51+AQ51+AR51)</f>
        <v/>
      </c>
      <c r="AX51" s="13">
        <f>IF(X51="","",AS51+AT51+AU51+AV51)</f>
        <v/>
      </c>
      <c r="AY51" s="12">
        <f>IF(AZ51="","",ROUND(AZ51*(1+Assumptions!$B$10),0))</f>
        <v/>
      </c>
      <c r="AZ51" s="12">
        <f>IF(X51="","",ROUND(X51*(1+AW51),0))</f>
        <v/>
      </c>
      <c r="BA51" s="12">
        <f>IF(AZ51="","",ROUND(AZ51*(1+Assumptions!$B$11),0))</f>
        <v/>
      </c>
      <c r="BB51" s="12">
        <f>IF(AZ51="","",ROUND(AZ51*(1+AX51+Assumptions!$B$10),0))</f>
        <v/>
      </c>
      <c r="BC51" s="12">
        <f>IF(AZ51="","",ROUND(AZ51*(1+AX51),0))</f>
        <v/>
      </c>
      <c r="BD51" s="12">
        <f>IF(AZ51="","",ROUND(AZ51*(1+AX51+Assumptions!$B$11),0))</f>
        <v/>
      </c>
      <c r="BE51" s="12">
        <f>IF(AZ51="","",ROUND(AZ51*(1+AX51)*(1+AX51),0))</f>
        <v/>
      </c>
      <c r="BF51" s="7" t="inlineStr">
        <is>
          <t>Rules-based enrichment using launch-price anchor, cap-app realization, and 2026 segment conditions.</t>
        </is>
      </c>
      <c r="BG51" t="inlineStr">
        <is>
          <t>2026-03-17</t>
        </is>
      </c>
      <c r="BH51" s="7" t="inlineStr">
        <is>
          <t>DLD / Digital Dubai / CBUAE / Savills / Knight Frank-Moody’s / Reuters</t>
        </is>
      </c>
    </row>
    <row r="52">
      <c r="A52" t="n">
        <v>51</v>
      </c>
      <c r="B52" s="7" t="inlineStr">
        <is>
          <t>Palmiera</t>
        </is>
      </c>
      <c r="C52" t="inlineStr">
        <is>
          <t>Emaar Properties</t>
        </is>
      </c>
      <c r="D52" t="inlineStr">
        <is>
          <t>The Oasis</t>
        </is>
      </c>
      <c r="E52" t="inlineStr">
        <is>
          <t>Villas</t>
        </is>
      </c>
      <c r="F52" s="7" t="inlineStr">
        <is>
          <t>Luxury / Water</t>
        </is>
      </c>
      <c r="G52" t="inlineStr">
        <is>
          <t>8.5M</t>
        </is>
      </c>
      <c r="H52" t="inlineStr">
        <is>
          <t>1800</t>
        </is>
      </c>
      <c r="I52" t="inlineStr">
        <is>
          <t>20</t>
        </is>
      </c>
      <c r="J52" t="inlineStr">
        <is>
          <t>80/20</t>
        </is>
      </c>
      <c r="K52" t="inlineStr">
        <is>
          <t>2024</t>
        </is>
      </c>
      <c r="L52" t="inlineStr">
        <is>
          <t>4.5-5.0</t>
        </is>
      </c>
      <c r="M52" t="inlineStr">
        <is>
          <t>12-18</t>
        </is>
      </c>
      <c r="N52" t="inlineStr">
        <is>
          <t>16.5-23.0</t>
        </is>
      </c>
      <c r="O52" s="7" t="inlineStr">
        <is>
          <t>Victory Heights</t>
        </is>
      </c>
      <c r="P52" s="7" t="inlineStr">
        <is>
          <t>NMC Royal DIP</t>
        </is>
      </c>
      <c r="Q52" s="7" t="inlineStr">
        <is>
          <t>First Avenue Mall</t>
        </is>
      </c>
      <c r="R52" s="7" t="inlineStr">
        <is>
          <t>Yalayis St / E611</t>
        </is>
      </c>
      <c r="S52" t="inlineStr">
        <is>
          <t>25</t>
        </is>
      </c>
      <c r="T52" t="inlineStr">
        <is>
          <t>20</t>
        </is>
      </c>
      <c r="U52" t="inlineStr">
        <is>
          <t>30</t>
        </is>
      </c>
      <c r="V52" t="inlineStr">
        <is>
          <t>18</t>
        </is>
      </c>
      <c r="W52" t="n">
        <v>2</v>
      </c>
      <c r="X52" s="12" t="n">
        <v>8500000</v>
      </c>
      <c r="Y52" s="12" t="n">
        <v>8500000</v>
      </c>
      <c r="Z52" s="9" t="n">
        <v>4.5</v>
      </c>
      <c r="AA52" s="9" t="n">
        <v>5</v>
      </c>
      <c r="AB52" s="9" t="n">
        <v>12</v>
      </c>
      <c r="AC52" s="9" t="n">
        <v>18</v>
      </c>
      <c r="AD52" s="9" t="n">
        <v>16.5</v>
      </c>
      <c r="AE52" s="9" t="n">
        <v>23</v>
      </c>
      <c r="AF52" t="n">
        <v>2024</v>
      </c>
      <c r="AH52" t="inlineStr">
        <is>
          <t>Villa</t>
        </is>
      </c>
      <c r="AI52" t="inlineStr">
        <is>
          <t>FamilyVilla</t>
        </is>
      </c>
      <c r="AJ52" t="inlineStr">
        <is>
          <t>TopTier</t>
        </is>
      </c>
      <c r="AK52" t="inlineStr">
        <is>
          <t>Family-villa resilient</t>
        </is>
      </c>
      <c r="AL52" s="7" t="inlineStr">
        <is>
          <t>Villa/townhouse demand remains relatively firmer, though growth should be slower than the post-2020 surge.</t>
        </is>
      </c>
      <c r="AM52" s="9" t="n">
        <v>15</v>
      </c>
      <c r="AN52" s="9" t="n">
        <v>4.75</v>
      </c>
      <c r="AO52" s="10" t="n">
        <v>0.55</v>
      </c>
      <c r="AP52" s="13" t="n">
        <v>0</v>
      </c>
      <c r="AQ52" s="13" t="n">
        <v>0.015</v>
      </c>
      <c r="AR52" s="13" t="n">
        <v>0</v>
      </c>
      <c r="AS52" s="13" t="n">
        <v>0.025</v>
      </c>
      <c r="AT52" s="13" t="n">
        <v>0.005</v>
      </c>
      <c r="AU52" s="13" t="n">
        <v>0</v>
      </c>
      <c r="AV52" s="13" t="n">
        <v>-0.005</v>
      </c>
      <c r="AW52" s="13">
        <f>IF(X52="","",(AM52/100*AO52)+AP52+AQ52+AR52)</f>
        <v/>
      </c>
      <c r="AX52" s="13">
        <f>IF(X52="","",AS52+AT52+AU52+AV52)</f>
        <v/>
      </c>
      <c r="AY52" s="12">
        <f>IF(AZ52="","",ROUND(AZ52*(1+Assumptions!$B$10),0))</f>
        <v/>
      </c>
      <c r="AZ52" s="12">
        <f>IF(X52="","",ROUND(X52*(1+AW52),0))</f>
        <v/>
      </c>
      <c r="BA52" s="12">
        <f>IF(AZ52="","",ROUND(AZ52*(1+Assumptions!$B$11),0))</f>
        <v/>
      </c>
      <c r="BB52" s="12">
        <f>IF(AZ52="","",ROUND(AZ52*(1+AX52+Assumptions!$B$10),0))</f>
        <v/>
      </c>
      <c r="BC52" s="12">
        <f>IF(AZ52="","",ROUND(AZ52*(1+AX52),0))</f>
        <v/>
      </c>
      <c r="BD52" s="12">
        <f>IF(AZ52="","",ROUND(AZ52*(1+AX52+Assumptions!$B$11),0))</f>
        <v/>
      </c>
      <c r="BE52" s="12">
        <f>IF(AZ52="","",ROUND(AZ52*(1+AX52)*(1+AX52),0))</f>
        <v/>
      </c>
      <c r="BF52" s="7" t="inlineStr">
        <is>
          <t>Rules-based enrichment using launch-price anchor, cap-app realization, and 2026 segment conditions.</t>
        </is>
      </c>
      <c r="BG52" t="inlineStr">
        <is>
          <t>2026-03-17</t>
        </is>
      </c>
      <c r="BH52" s="7" t="inlineStr">
        <is>
          <t>DLD / Digital Dubai / CBUAE / Savills / Knight Frank-Moody’s / Reuters</t>
        </is>
      </c>
    </row>
    <row r="53">
      <c r="A53" t="n">
        <v>52</v>
      </c>
      <c r="B53" s="7" t="inlineStr">
        <is>
          <t>Marèva 1</t>
        </is>
      </c>
      <c r="C53" t="inlineStr">
        <is>
          <t>Emaar Properties</t>
        </is>
      </c>
      <c r="D53" t="inlineStr">
        <is>
          <t>The Oasis</t>
        </is>
      </c>
      <c r="E53" t="inlineStr">
        <is>
          <t>Villas</t>
        </is>
      </c>
      <c r="F53" s="7" t="inlineStr">
        <is>
          <t>Luxury / Water</t>
        </is>
      </c>
      <c r="G53" t="inlineStr">
        <is>
          <t>9.0M</t>
        </is>
      </c>
      <c r="H53" t="inlineStr">
        <is>
          <t>1900</t>
        </is>
      </c>
      <c r="I53" t="inlineStr">
        <is>
          <t>20</t>
        </is>
      </c>
      <c r="J53" t="inlineStr">
        <is>
          <t>80/20</t>
        </is>
      </c>
      <c r="K53" t="inlineStr">
        <is>
          <t>2024</t>
        </is>
      </c>
      <c r="L53" t="inlineStr">
        <is>
          <t>4.5-5.0</t>
        </is>
      </c>
      <c r="M53" t="inlineStr">
        <is>
          <t>12-18</t>
        </is>
      </c>
      <c r="N53" t="inlineStr">
        <is>
          <t>16.5-23.0</t>
        </is>
      </c>
      <c r="O53" s="7" t="inlineStr">
        <is>
          <t>Victory Heights</t>
        </is>
      </c>
      <c r="P53" s="7" t="inlineStr">
        <is>
          <t>NMC Royal DIP</t>
        </is>
      </c>
      <c r="Q53" s="7" t="inlineStr">
        <is>
          <t>First Avenue Mall</t>
        </is>
      </c>
      <c r="R53" s="7" t="inlineStr">
        <is>
          <t>Yalayis St / E611</t>
        </is>
      </c>
      <c r="S53" t="inlineStr">
        <is>
          <t>25</t>
        </is>
      </c>
      <c r="T53" t="inlineStr">
        <is>
          <t>20</t>
        </is>
      </c>
      <c r="U53" t="inlineStr">
        <is>
          <t>30</t>
        </is>
      </c>
      <c r="V53" t="inlineStr">
        <is>
          <t>18</t>
        </is>
      </c>
      <c r="W53" t="n">
        <v>2</v>
      </c>
      <c r="X53" s="12" t="n">
        <v>9000000</v>
      </c>
      <c r="Y53" s="12" t="n">
        <v>9000000</v>
      </c>
      <c r="Z53" s="9" t="n">
        <v>4.5</v>
      </c>
      <c r="AA53" s="9" t="n">
        <v>5</v>
      </c>
      <c r="AB53" s="9" t="n">
        <v>12</v>
      </c>
      <c r="AC53" s="9" t="n">
        <v>18</v>
      </c>
      <c r="AD53" s="9" t="n">
        <v>16.5</v>
      </c>
      <c r="AE53" s="9" t="n">
        <v>23</v>
      </c>
      <c r="AF53" t="n">
        <v>2024</v>
      </c>
      <c r="AH53" t="inlineStr">
        <is>
          <t>Villa</t>
        </is>
      </c>
      <c r="AI53" t="inlineStr">
        <is>
          <t>FamilyVilla</t>
        </is>
      </c>
      <c r="AJ53" t="inlineStr">
        <is>
          <t>TopTier</t>
        </is>
      </c>
      <c r="AK53" t="inlineStr">
        <is>
          <t>Family-villa resilient</t>
        </is>
      </c>
      <c r="AL53" s="7" t="inlineStr">
        <is>
          <t>Villa/townhouse demand remains relatively firmer, though growth should be slower than the post-2020 surge.</t>
        </is>
      </c>
      <c r="AM53" s="9" t="n">
        <v>15</v>
      </c>
      <c r="AN53" s="9" t="n">
        <v>4.75</v>
      </c>
      <c r="AO53" s="10" t="n">
        <v>0.55</v>
      </c>
      <c r="AP53" s="13" t="n">
        <v>0</v>
      </c>
      <c r="AQ53" s="13" t="n">
        <v>0.015</v>
      </c>
      <c r="AR53" s="13" t="n">
        <v>0</v>
      </c>
      <c r="AS53" s="13" t="n">
        <v>0.025</v>
      </c>
      <c r="AT53" s="13" t="n">
        <v>0.005</v>
      </c>
      <c r="AU53" s="13" t="n">
        <v>0</v>
      </c>
      <c r="AV53" s="13" t="n">
        <v>-0.005</v>
      </c>
      <c r="AW53" s="13">
        <f>IF(X53="","",(AM53/100*AO53)+AP53+AQ53+AR53)</f>
        <v/>
      </c>
      <c r="AX53" s="13">
        <f>IF(X53="","",AS53+AT53+AU53+AV53)</f>
        <v/>
      </c>
      <c r="AY53" s="12">
        <f>IF(AZ53="","",ROUND(AZ53*(1+Assumptions!$B$10),0))</f>
        <v/>
      </c>
      <c r="AZ53" s="12">
        <f>IF(X53="","",ROUND(X53*(1+AW53),0))</f>
        <v/>
      </c>
      <c r="BA53" s="12">
        <f>IF(AZ53="","",ROUND(AZ53*(1+Assumptions!$B$11),0))</f>
        <v/>
      </c>
      <c r="BB53" s="12">
        <f>IF(AZ53="","",ROUND(AZ53*(1+AX53+Assumptions!$B$10),0))</f>
        <v/>
      </c>
      <c r="BC53" s="12">
        <f>IF(AZ53="","",ROUND(AZ53*(1+AX53),0))</f>
        <v/>
      </c>
      <c r="BD53" s="12">
        <f>IF(AZ53="","",ROUND(AZ53*(1+AX53+Assumptions!$B$11),0))</f>
        <v/>
      </c>
      <c r="BE53" s="12">
        <f>IF(AZ53="","",ROUND(AZ53*(1+AX53)*(1+AX53),0))</f>
        <v/>
      </c>
      <c r="BF53" s="7" t="inlineStr">
        <is>
          <t>Rules-based enrichment using launch-price anchor, cap-app realization, and 2026 segment conditions.</t>
        </is>
      </c>
      <c r="BG53" t="inlineStr">
        <is>
          <t>2026-03-17</t>
        </is>
      </c>
      <c r="BH53" s="7" t="inlineStr">
        <is>
          <t>DLD / Digital Dubai / CBUAE / Savills / Knight Frank-Moody’s / Reuters</t>
        </is>
      </c>
    </row>
    <row r="54">
      <c r="A54" t="n">
        <v>53</v>
      </c>
      <c r="B54" s="7" t="inlineStr">
        <is>
          <t>Marèva 2</t>
        </is>
      </c>
      <c r="C54" t="inlineStr">
        <is>
          <t>Emaar Properties</t>
        </is>
      </c>
      <c r="D54" t="inlineStr">
        <is>
          <t>The Oasis</t>
        </is>
      </c>
      <c r="E54" t="inlineStr">
        <is>
          <t>Villas</t>
        </is>
      </c>
      <c r="F54" s="7" t="inlineStr">
        <is>
          <t>Luxury / Water</t>
        </is>
      </c>
      <c r="G54" t="inlineStr">
        <is>
          <t>13.47M</t>
        </is>
      </c>
      <c r="H54" t="inlineStr">
        <is>
          <t>2000</t>
        </is>
      </c>
      <c r="I54" t="inlineStr">
        <is>
          <t>20</t>
        </is>
      </c>
      <c r="J54" t="inlineStr">
        <is>
          <t>80/20</t>
        </is>
      </c>
      <c r="K54" t="inlineStr">
        <is>
          <t>2024</t>
        </is>
      </c>
      <c r="L54" t="inlineStr">
        <is>
          <t>4.0-4.5</t>
        </is>
      </c>
      <c r="M54" t="inlineStr">
        <is>
          <t>12-18</t>
        </is>
      </c>
      <c r="N54" t="inlineStr">
        <is>
          <t>16.0-22.5</t>
        </is>
      </c>
      <c r="O54" s="7" t="inlineStr">
        <is>
          <t>Victory Heights</t>
        </is>
      </c>
      <c r="P54" s="7" t="inlineStr">
        <is>
          <t>NMC Royal DIP</t>
        </is>
      </c>
      <c r="Q54" s="7" t="inlineStr">
        <is>
          <t>First Avenue Mall</t>
        </is>
      </c>
      <c r="R54" s="7" t="inlineStr">
        <is>
          <t>Yalayis St / E611</t>
        </is>
      </c>
      <c r="S54" t="inlineStr">
        <is>
          <t>25</t>
        </is>
      </c>
      <c r="T54" t="inlineStr">
        <is>
          <t>20</t>
        </is>
      </c>
      <c r="U54" t="inlineStr">
        <is>
          <t>30</t>
        </is>
      </c>
      <c r="V54" t="inlineStr">
        <is>
          <t>18</t>
        </is>
      </c>
      <c r="W54" t="n">
        <v>2</v>
      </c>
      <c r="X54" s="12" t="n">
        <v>13470000</v>
      </c>
      <c r="Y54" s="12" t="n">
        <v>13470000</v>
      </c>
      <c r="Z54" s="9" t="n">
        <v>4</v>
      </c>
      <c r="AA54" s="9" t="n">
        <v>4.5</v>
      </c>
      <c r="AB54" s="9" t="n">
        <v>12</v>
      </c>
      <c r="AC54" s="9" t="n">
        <v>18</v>
      </c>
      <c r="AD54" s="9" t="n">
        <v>16</v>
      </c>
      <c r="AE54" s="9" t="n">
        <v>22.5</v>
      </c>
      <c r="AF54" t="n">
        <v>2024</v>
      </c>
      <c r="AH54" t="inlineStr">
        <is>
          <t>Villa</t>
        </is>
      </c>
      <c r="AI54" t="inlineStr">
        <is>
          <t>FamilyVilla</t>
        </is>
      </c>
      <c r="AJ54" t="inlineStr">
        <is>
          <t>TopTier</t>
        </is>
      </c>
      <c r="AK54" t="inlineStr">
        <is>
          <t>Family-villa resilient</t>
        </is>
      </c>
      <c r="AL54" s="7" t="inlineStr">
        <is>
          <t>Villa/townhouse demand remains relatively firmer, though growth should be slower than the post-2020 surge.</t>
        </is>
      </c>
      <c r="AM54" s="9" t="n">
        <v>15</v>
      </c>
      <c r="AN54" s="9" t="n">
        <v>4.25</v>
      </c>
      <c r="AO54" s="10" t="n">
        <v>0.55</v>
      </c>
      <c r="AP54" s="13" t="n">
        <v>0</v>
      </c>
      <c r="AQ54" s="13" t="n">
        <v>0.015</v>
      </c>
      <c r="AR54" s="13" t="n">
        <v>0</v>
      </c>
      <c r="AS54" s="13" t="n">
        <v>0.025</v>
      </c>
      <c r="AT54" s="13" t="n">
        <v>0.005</v>
      </c>
      <c r="AU54" s="13" t="n">
        <v>0</v>
      </c>
      <c r="AV54" s="13" t="n">
        <v>-0.005</v>
      </c>
      <c r="AW54" s="13">
        <f>IF(X54="","",(AM54/100*AO54)+AP54+AQ54+AR54)</f>
        <v/>
      </c>
      <c r="AX54" s="13">
        <f>IF(X54="","",AS54+AT54+AU54+AV54)</f>
        <v/>
      </c>
      <c r="AY54" s="12">
        <f>IF(AZ54="","",ROUND(AZ54*(1+Assumptions!$B$10),0))</f>
        <v/>
      </c>
      <c r="AZ54" s="12">
        <f>IF(X54="","",ROUND(X54*(1+AW54),0))</f>
        <v/>
      </c>
      <c r="BA54" s="12">
        <f>IF(AZ54="","",ROUND(AZ54*(1+Assumptions!$B$11),0))</f>
        <v/>
      </c>
      <c r="BB54" s="12">
        <f>IF(AZ54="","",ROUND(AZ54*(1+AX54+Assumptions!$B$10),0))</f>
        <v/>
      </c>
      <c r="BC54" s="12">
        <f>IF(AZ54="","",ROUND(AZ54*(1+AX54),0))</f>
        <v/>
      </c>
      <c r="BD54" s="12">
        <f>IF(AZ54="","",ROUND(AZ54*(1+AX54+Assumptions!$B$11),0))</f>
        <v/>
      </c>
      <c r="BE54" s="12">
        <f>IF(AZ54="","",ROUND(AZ54*(1+AX54)*(1+AX54),0))</f>
        <v/>
      </c>
      <c r="BF54" s="7" t="inlineStr">
        <is>
          <t>Rules-based enrichment using launch-price anchor, cap-app realization, and 2026 segment conditions.</t>
        </is>
      </c>
      <c r="BG54" t="inlineStr">
        <is>
          <t>2026-03-17</t>
        </is>
      </c>
      <c r="BH54" s="7" t="inlineStr">
        <is>
          <t>DLD / Digital Dubai / CBUAE / Savills / Knight Frank-Moody’s / Reuters</t>
        </is>
      </c>
    </row>
    <row r="55">
      <c r="A55" t="n">
        <v>54</v>
      </c>
      <c r="B55" s="7" t="inlineStr">
        <is>
          <t>Emaar South (Master Community)</t>
        </is>
      </c>
      <c r="C55" t="inlineStr">
        <is>
          <t>Emaar Properties</t>
        </is>
      </c>
      <c r="D55" t="inlineStr">
        <is>
          <t>Dubai South (Airport)</t>
        </is>
      </c>
      <c r="E55" t="inlineStr">
        <is>
          <t>Mixed</t>
        </is>
      </c>
      <c r="F55" s="7" t="inlineStr">
        <is>
          <t>Golf / Airport</t>
        </is>
      </c>
      <c r="I55" t="inlineStr">
        <is>
          <t>10-12</t>
        </is>
      </c>
      <c r="J55" t="inlineStr">
        <is>
          <t>Varies</t>
        </is>
      </c>
      <c r="K55" t="inlineStr">
        <is>
          <t>Ongoing</t>
        </is>
      </c>
      <c r="L55" t="inlineStr">
        <is>
          <t>7.0-8.5</t>
        </is>
      </c>
      <c r="M55" t="inlineStr">
        <is>
          <t>8-12</t>
        </is>
      </c>
      <c r="N55" t="inlineStr">
        <is>
          <t>15.0-20.5</t>
        </is>
      </c>
      <c r="O55" s="7" t="inlineStr">
        <is>
          <t>Greenfield Intl</t>
        </is>
      </c>
      <c r="P55" s="7" t="inlineStr">
        <is>
          <t>NMC Royal DIP</t>
        </is>
      </c>
      <c r="Q55" s="7" t="inlineStr">
        <is>
          <t>Urban Centre (Local)</t>
        </is>
      </c>
      <c r="R55" s="7" t="inlineStr">
        <is>
          <t>Expo Rd / E611</t>
        </is>
      </c>
      <c r="S55" t="inlineStr">
        <is>
          <t>40</t>
        </is>
      </c>
      <c r="T55" t="inlineStr">
        <is>
          <t>25</t>
        </is>
      </c>
      <c r="U55" t="inlineStr">
        <is>
          <t>45</t>
        </is>
      </c>
      <c r="V55" t="inlineStr">
        <is>
          <t>7</t>
        </is>
      </c>
      <c r="W55" t="n">
        <v>2</v>
      </c>
      <c r="X55" s="12" t="n"/>
      <c r="Y55" s="12" t="n"/>
      <c r="Z55" s="9" t="n">
        <v>7</v>
      </c>
      <c r="AA55" s="9" t="n">
        <v>8.5</v>
      </c>
      <c r="AB55" s="9" t="n">
        <v>8</v>
      </c>
      <c r="AC55" s="9" t="n">
        <v>12</v>
      </c>
      <c r="AD55" s="9" t="n">
        <v>15</v>
      </c>
      <c r="AE55" s="9" t="n">
        <v>20.5</v>
      </c>
      <c r="AH55" t="inlineStr">
        <is>
          <t>Mixed/Other</t>
        </is>
      </c>
      <c r="AI55" t="inlineStr">
        <is>
          <t>MainstreamSelective</t>
        </is>
      </c>
      <c r="AJ55" t="inlineStr">
        <is>
          <t>TopTier</t>
        </is>
      </c>
      <c r="AK55" t="inlineStr">
        <is>
          <t>Balanced / selective</t>
        </is>
      </c>
      <c r="AL55" s="7" t="inlineStr">
        <is>
          <t>Market remains active but increasingly differentiated by developer, micro-location, livability, and pricing discipline.</t>
        </is>
      </c>
      <c r="AM55" s="9" t="n">
        <v>10</v>
      </c>
      <c r="AN55" s="9" t="n">
        <v>7.75</v>
      </c>
      <c r="AO55" s="10" t="n">
        <v>0.25</v>
      </c>
      <c r="AP55" s="13" t="n">
        <v>0</v>
      </c>
      <c r="AQ55" s="13" t="n">
        <v>0</v>
      </c>
      <c r="AR55" s="13" t="n">
        <v>0</v>
      </c>
      <c r="AS55" s="13" t="n">
        <v>0.01</v>
      </c>
      <c r="AT55" s="13" t="n">
        <v>0.005</v>
      </c>
      <c r="AU55" s="13" t="n">
        <v>0.0025</v>
      </c>
      <c r="AV55" s="13" t="n">
        <v>-0.005</v>
      </c>
      <c r="AW55" s="13">
        <f>IF(X55="","",(AM55/100*AO55)+AP55+AQ55+AR55)</f>
        <v/>
      </c>
      <c r="AX55" s="13">
        <f>IF(X55="","",AS55+AT55+AU55+AV55)</f>
        <v/>
      </c>
      <c r="AY55" s="12">
        <f>IF(AZ55="","",ROUND(AZ55*(1+Assumptions!$B$10),0))</f>
        <v/>
      </c>
      <c r="AZ55" s="12">
        <f>IF(X55="","",ROUND(X55*(1+AW55),0))</f>
        <v/>
      </c>
      <c r="BA55" s="12">
        <f>IF(AZ55="","",ROUND(AZ55*(1+Assumptions!$B$11),0))</f>
        <v/>
      </c>
      <c r="BB55" s="12">
        <f>IF(AZ55="","",ROUND(AZ55*(1+AX55+Assumptions!$B$10),0))</f>
        <v/>
      </c>
      <c r="BC55" s="12">
        <f>IF(AZ55="","",ROUND(AZ55*(1+AX55),0))</f>
        <v/>
      </c>
      <c r="BD55" s="12">
        <f>IF(AZ55="","",ROUND(AZ55*(1+AX55+Assumptions!$B$11),0))</f>
        <v/>
      </c>
      <c r="BE55" s="12">
        <f>IF(AZ55="","",ROUND(AZ55*(1+AX55)*(1+AX55),0))</f>
        <v/>
      </c>
      <c r="BF55" s="7" t="inlineStr">
        <is>
          <t>Rules-based enrichment using launch-price anchor, cap-app realization, and 2026 segment conditions.</t>
        </is>
      </c>
      <c r="BG55" t="inlineStr">
        <is>
          <t>2026-03-17</t>
        </is>
      </c>
      <c r="BH55" s="7" t="inlineStr">
        <is>
          <t>DLD / Digital Dubai / CBUAE / Savills / Knight Frank-Moody’s / Reuters</t>
        </is>
      </c>
    </row>
    <row r="56">
      <c r="A56" t="n">
        <v>55</v>
      </c>
      <c r="B56" s="7" t="inlineStr">
        <is>
          <t>Golf Hills 2</t>
        </is>
      </c>
      <c r="C56" t="inlineStr">
        <is>
          <t>Emaar Properties</t>
        </is>
      </c>
      <c r="D56" t="inlineStr">
        <is>
          <t>Emaar South</t>
        </is>
      </c>
      <c r="E56" t="inlineStr">
        <is>
          <t>Apartments</t>
        </is>
      </c>
      <c r="F56" s="7" t="inlineStr">
        <is>
          <t>Golf View</t>
        </is>
      </c>
      <c r="G56" t="inlineStr">
        <is>
          <t>1.1M</t>
        </is>
      </c>
      <c r="H56" t="inlineStr">
        <is>
          <t>1200</t>
        </is>
      </c>
      <c r="I56" t="inlineStr">
        <is>
          <t>15</t>
        </is>
      </c>
      <c r="J56" t="inlineStr">
        <is>
          <t>80/20</t>
        </is>
      </c>
      <c r="K56" t="inlineStr">
        <is>
          <t>2024</t>
        </is>
      </c>
      <c r="L56" t="inlineStr">
        <is>
          <t>7.0-7.5</t>
        </is>
      </c>
      <c r="M56" t="inlineStr">
        <is>
          <t>8-12</t>
        </is>
      </c>
      <c r="N56" t="inlineStr">
        <is>
          <t>15.0-19.5</t>
        </is>
      </c>
      <c r="O56" s="7" t="inlineStr">
        <is>
          <t>Greenfield Intl</t>
        </is>
      </c>
      <c r="P56" s="7" t="inlineStr">
        <is>
          <t>NMC Royal DIP</t>
        </is>
      </c>
      <c r="Q56" s="7" t="inlineStr">
        <is>
          <t>Urban Centre (Local)</t>
        </is>
      </c>
      <c r="R56" s="7" t="inlineStr">
        <is>
          <t>Expo Rd / E611</t>
        </is>
      </c>
      <c r="S56" t="inlineStr">
        <is>
          <t>40</t>
        </is>
      </c>
      <c r="T56" t="inlineStr">
        <is>
          <t>25</t>
        </is>
      </c>
      <c r="U56" t="inlineStr">
        <is>
          <t>45</t>
        </is>
      </c>
      <c r="V56" t="inlineStr">
        <is>
          <t>7</t>
        </is>
      </c>
      <c r="W56" t="n">
        <v>2</v>
      </c>
      <c r="X56" s="12" t="n">
        <v>1100000</v>
      </c>
      <c r="Y56" s="12" t="n">
        <v>1100000</v>
      </c>
      <c r="Z56" s="9" t="n">
        <v>7</v>
      </c>
      <c r="AA56" s="9" t="n">
        <v>7.5</v>
      </c>
      <c r="AB56" s="9" t="n">
        <v>8</v>
      </c>
      <c r="AC56" s="9" t="n">
        <v>12</v>
      </c>
      <c r="AD56" s="9" t="n">
        <v>15</v>
      </c>
      <c r="AE56" s="9" t="n">
        <v>19.5</v>
      </c>
      <c r="AF56" t="n">
        <v>2024</v>
      </c>
      <c r="AH56" t="inlineStr">
        <is>
          <t>Apartment</t>
        </is>
      </c>
      <c r="AI56" t="inlineStr">
        <is>
          <t>MainstreamSelective</t>
        </is>
      </c>
      <c r="AJ56" t="inlineStr">
        <is>
          <t>TopTier</t>
        </is>
      </c>
      <c r="AK56" t="inlineStr">
        <is>
          <t>Balanced / selective</t>
        </is>
      </c>
      <c r="AL56" s="7" t="inlineStr">
        <is>
          <t>Market remains active but increasingly differentiated by developer, micro-location, livability, and pricing discipline.</t>
        </is>
      </c>
      <c r="AM56" s="9" t="n">
        <v>10</v>
      </c>
      <c r="AN56" s="9" t="n">
        <v>7.25</v>
      </c>
      <c r="AO56" s="10" t="n">
        <v>0.55</v>
      </c>
      <c r="AP56" s="13" t="n">
        <v>0</v>
      </c>
      <c r="AQ56" s="13" t="n">
        <v>0</v>
      </c>
      <c r="AR56" s="13" t="n">
        <v>0</v>
      </c>
      <c r="AS56" s="13" t="n">
        <v>0.01</v>
      </c>
      <c r="AT56" s="13" t="n">
        <v>0.005</v>
      </c>
      <c r="AU56" s="13" t="n">
        <v>0.0025</v>
      </c>
      <c r="AV56" s="13" t="n">
        <v>-0.005</v>
      </c>
      <c r="AW56" s="13">
        <f>IF(X56="","",(AM56/100*AO56)+AP56+AQ56+AR56)</f>
        <v/>
      </c>
      <c r="AX56" s="13">
        <f>IF(X56="","",AS56+AT56+AU56+AV56)</f>
        <v/>
      </c>
      <c r="AY56" s="12">
        <f>IF(AZ56="","",ROUND(AZ56*(1+Assumptions!$B$10),0))</f>
        <v/>
      </c>
      <c r="AZ56" s="12">
        <f>IF(X56="","",ROUND(X56*(1+AW56),0))</f>
        <v/>
      </c>
      <c r="BA56" s="12">
        <f>IF(AZ56="","",ROUND(AZ56*(1+Assumptions!$B$11),0))</f>
        <v/>
      </c>
      <c r="BB56" s="12">
        <f>IF(AZ56="","",ROUND(AZ56*(1+AX56+Assumptions!$B$10),0))</f>
        <v/>
      </c>
      <c r="BC56" s="12">
        <f>IF(AZ56="","",ROUND(AZ56*(1+AX56),0))</f>
        <v/>
      </c>
      <c r="BD56" s="12">
        <f>IF(AZ56="","",ROUND(AZ56*(1+AX56+Assumptions!$B$11),0))</f>
        <v/>
      </c>
      <c r="BE56" s="12">
        <f>IF(AZ56="","",ROUND(AZ56*(1+AX56)*(1+AX56),0))</f>
        <v/>
      </c>
      <c r="BF56" s="7" t="inlineStr">
        <is>
          <t>Rules-based enrichment using launch-price anchor, cap-app realization, and 2026 segment conditions.</t>
        </is>
      </c>
      <c r="BG56" t="inlineStr">
        <is>
          <t>2026-03-17</t>
        </is>
      </c>
      <c r="BH56" s="7" t="inlineStr">
        <is>
          <t>DLD / Digital Dubai / CBUAE / Savills / Knight Frank-Moody’s / Reuters</t>
        </is>
      </c>
    </row>
    <row r="57">
      <c r="A57" t="n">
        <v>56</v>
      </c>
      <c r="B57" s="7" t="inlineStr">
        <is>
          <t>Vista Ridge</t>
        </is>
      </c>
      <c r="C57" t="inlineStr">
        <is>
          <t>Emaar Properties</t>
        </is>
      </c>
      <c r="D57" t="inlineStr">
        <is>
          <t>Emaar South</t>
        </is>
      </c>
      <c r="E57" t="inlineStr">
        <is>
          <t>Townhouses</t>
        </is>
      </c>
      <c r="F57" s="7" t="inlineStr">
        <is>
          <t>Golf View</t>
        </is>
      </c>
      <c r="G57" t="inlineStr">
        <is>
          <t>1.8M</t>
        </is>
      </c>
      <c r="H57" t="inlineStr">
        <is>
          <t>1100</t>
        </is>
      </c>
      <c r="I57" t="inlineStr">
        <is>
          <t>15</t>
        </is>
      </c>
      <c r="J57" t="inlineStr">
        <is>
          <t>80/20</t>
        </is>
      </c>
      <c r="K57" t="inlineStr">
        <is>
          <t>2024</t>
        </is>
      </c>
      <c r="L57" t="inlineStr">
        <is>
          <t>6.5-7.0</t>
        </is>
      </c>
      <c r="M57" t="inlineStr">
        <is>
          <t>8-12</t>
        </is>
      </c>
      <c r="N57" t="inlineStr">
        <is>
          <t>14.5-19.0</t>
        </is>
      </c>
      <c r="O57" s="7" t="inlineStr">
        <is>
          <t>Greenfield Intl</t>
        </is>
      </c>
      <c r="P57" s="7" t="inlineStr">
        <is>
          <t>NMC Royal DIP</t>
        </is>
      </c>
      <c r="Q57" s="7" t="inlineStr">
        <is>
          <t>Urban Centre (Local)</t>
        </is>
      </c>
      <c r="R57" s="7" t="inlineStr">
        <is>
          <t>Expo Rd / E611</t>
        </is>
      </c>
      <c r="S57" t="inlineStr">
        <is>
          <t>40</t>
        </is>
      </c>
      <c r="T57" t="inlineStr">
        <is>
          <t>25</t>
        </is>
      </c>
      <c r="U57" t="inlineStr">
        <is>
          <t>45</t>
        </is>
      </c>
      <c r="V57" t="inlineStr">
        <is>
          <t>7</t>
        </is>
      </c>
      <c r="W57" t="n">
        <v>2</v>
      </c>
      <c r="X57" s="12" t="n">
        <v>1800000</v>
      </c>
      <c r="Y57" s="12" t="n">
        <v>1800000</v>
      </c>
      <c r="Z57" s="9" t="n">
        <v>6.5</v>
      </c>
      <c r="AA57" s="9" t="n">
        <v>7</v>
      </c>
      <c r="AB57" s="9" t="n">
        <v>8</v>
      </c>
      <c r="AC57" s="9" t="n">
        <v>12</v>
      </c>
      <c r="AD57" s="9" t="n">
        <v>14.5</v>
      </c>
      <c r="AE57" s="9" t="n">
        <v>19</v>
      </c>
      <c r="AF57" t="n">
        <v>2024</v>
      </c>
      <c r="AH57" t="inlineStr">
        <is>
          <t>Townhouse</t>
        </is>
      </c>
      <c r="AI57" t="inlineStr">
        <is>
          <t>MainstreamSelective</t>
        </is>
      </c>
      <c r="AJ57" t="inlineStr">
        <is>
          <t>TopTier</t>
        </is>
      </c>
      <c r="AK57" t="inlineStr">
        <is>
          <t>Family-villa resilient</t>
        </is>
      </c>
      <c r="AL57" s="7" t="inlineStr">
        <is>
          <t>Villa/townhouse demand remains relatively firmer, though growth should be slower than the post-2020 surge.</t>
        </is>
      </c>
      <c r="AM57" s="9" t="n">
        <v>10</v>
      </c>
      <c r="AN57" s="9" t="n">
        <v>6.75</v>
      </c>
      <c r="AO57" s="10" t="n">
        <v>0.55</v>
      </c>
      <c r="AP57" s="13" t="n">
        <v>0</v>
      </c>
      <c r="AQ57" s="13" t="n">
        <v>0.015</v>
      </c>
      <c r="AR57" s="13" t="n">
        <v>0</v>
      </c>
      <c r="AS57" s="13" t="n">
        <v>0.025</v>
      </c>
      <c r="AT57" s="13" t="n">
        <v>0.005</v>
      </c>
      <c r="AU57" s="13" t="n">
        <v>0.0025</v>
      </c>
      <c r="AV57" s="13" t="n">
        <v>-0.005</v>
      </c>
      <c r="AW57" s="13">
        <f>IF(X57="","",(AM57/100*AO57)+AP57+AQ57+AR57)</f>
        <v/>
      </c>
      <c r="AX57" s="13">
        <f>IF(X57="","",AS57+AT57+AU57+AV57)</f>
        <v/>
      </c>
      <c r="AY57" s="12">
        <f>IF(AZ57="","",ROUND(AZ57*(1+Assumptions!$B$10),0))</f>
        <v/>
      </c>
      <c r="AZ57" s="12">
        <f>IF(X57="","",ROUND(X57*(1+AW57),0))</f>
        <v/>
      </c>
      <c r="BA57" s="12">
        <f>IF(AZ57="","",ROUND(AZ57*(1+Assumptions!$B$11),0))</f>
        <v/>
      </c>
      <c r="BB57" s="12">
        <f>IF(AZ57="","",ROUND(AZ57*(1+AX57+Assumptions!$B$10),0))</f>
        <v/>
      </c>
      <c r="BC57" s="12">
        <f>IF(AZ57="","",ROUND(AZ57*(1+AX57),0))</f>
        <v/>
      </c>
      <c r="BD57" s="12">
        <f>IF(AZ57="","",ROUND(AZ57*(1+AX57+Assumptions!$B$11),0))</f>
        <v/>
      </c>
      <c r="BE57" s="12">
        <f>IF(AZ57="","",ROUND(AZ57*(1+AX57)*(1+AX57),0))</f>
        <v/>
      </c>
      <c r="BF57" s="7" t="inlineStr">
        <is>
          <t>Rules-based enrichment using launch-price anchor, cap-app realization, and 2026 segment conditions.</t>
        </is>
      </c>
      <c r="BG57" t="inlineStr">
        <is>
          <t>2026-03-17</t>
        </is>
      </c>
      <c r="BH57" s="7" t="inlineStr">
        <is>
          <t>DLD / Digital Dubai / CBUAE / Savills / Knight Frank-Moody’s / Reuters</t>
        </is>
      </c>
    </row>
    <row r="58">
      <c r="A58" t="n">
        <v>57</v>
      </c>
      <c r="B58" s="7" t="inlineStr">
        <is>
          <t>Grove Ridge</t>
        </is>
      </c>
      <c r="C58" t="inlineStr">
        <is>
          <t>Emaar Properties</t>
        </is>
      </c>
      <c r="D58" t="inlineStr">
        <is>
          <t>Emaar South</t>
        </is>
      </c>
      <c r="E58" t="inlineStr">
        <is>
          <t>Townhouses</t>
        </is>
      </c>
      <c r="F58" s="7" t="inlineStr">
        <is>
          <t>Family</t>
        </is>
      </c>
      <c r="G58" t="inlineStr">
        <is>
          <t>1.7M</t>
        </is>
      </c>
      <c r="H58" t="inlineStr">
        <is>
          <t>1050</t>
        </is>
      </c>
      <c r="I58" t="inlineStr">
        <is>
          <t>15</t>
        </is>
      </c>
      <c r="J58" t="inlineStr">
        <is>
          <t>80/20</t>
        </is>
      </c>
      <c r="K58" t="inlineStr">
        <is>
          <t>2024</t>
        </is>
      </c>
      <c r="L58" t="inlineStr">
        <is>
          <t>6.5-7.0</t>
        </is>
      </c>
      <c r="M58" t="inlineStr">
        <is>
          <t>8-12</t>
        </is>
      </c>
      <c r="N58" t="inlineStr">
        <is>
          <t>14.5-19.0</t>
        </is>
      </c>
      <c r="O58" s="7" t="inlineStr">
        <is>
          <t>Greenfield Intl</t>
        </is>
      </c>
      <c r="P58" s="7" t="inlineStr">
        <is>
          <t>NMC Royal DIP</t>
        </is>
      </c>
      <c r="Q58" s="7" t="inlineStr">
        <is>
          <t>Urban Centre (Local)</t>
        </is>
      </c>
      <c r="R58" s="7" t="inlineStr">
        <is>
          <t>Expo Rd / E611</t>
        </is>
      </c>
      <c r="S58" t="inlineStr">
        <is>
          <t>40</t>
        </is>
      </c>
      <c r="T58" t="inlineStr">
        <is>
          <t>25</t>
        </is>
      </c>
      <c r="U58" t="inlineStr">
        <is>
          <t>45</t>
        </is>
      </c>
      <c r="V58" t="inlineStr">
        <is>
          <t>7</t>
        </is>
      </c>
      <c r="W58" t="n">
        <v>2</v>
      </c>
      <c r="X58" s="12" t="n">
        <v>1700000</v>
      </c>
      <c r="Y58" s="12" t="n">
        <v>1700000</v>
      </c>
      <c r="Z58" s="9" t="n">
        <v>6.5</v>
      </c>
      <c r="AA58" s="9" t="n">
        <v>7</v>
      </c>
      <c r="AB58" s="9" t="n">
        <v>8</v>
      </c>
      <c r="AC58" s="9" t="n">
        <v>12</v>
      </c>
      <c r="AD58" s="9" t="n">
        <v>14.5</v>
      </c>
      <c r="AE58" s="9" t="n">
        <v>19</v>
      </c>
      <c r="AF58" t="n">
        <v>2024</v>
      </c>
      <c r="AH58" t="inlineStr">
        <is>
          <t>Townhouse</t>
        </is>
      </c>
      <c r="AI58" t="inlineStr">
        <is>
          <t>MainstreamSelective</t>
        </is>
      </c>
      <c r="AJ58" t="inlineStr">
        <is>
          <t>TopTier</t>
        </is>
      </c>
      <c r="AK58" t="inlineStr">
        <is>
          <t>Family-villa resilient</t>
        </is>
      </c>
      <c r="AL58" s="7" t="inlineStr">
        <is>
          <t>Villa/townhouse demand remains relatively firmer, though growth should be slower than the post-2020 surge.</t>
        </is>
      </c>
      <c r="AM58" s="9" t="n">
        <v>10</v>
      </c>
      <c r="AN58" s="9" t="n">
        <v>6.75</v>
      </c>
      <c r="AO58" s="10" t="n">
        <v>0.55</v>
      </c>
      <c r="AP58" s="13" t="n">
        <v>0</v>
      </c>
      <c r="AQ58" s="13" t="n">
        <v>0.015</v>
      </c>
      <c r="AR58" s="13" t="n">
        <v>0</v>
      </c>
      <c r="AS58" s="13" t="n">
        <v>0.025</v>
      </c>
      <c r="AT58" s="13" t="n">
        <v>0.005</v>
      </c>
      <c r="AU58" s="13" t="n">
        <v>0.0025</v>
      </c>
      <c r="AV58" s="13" t="n">
        <v>-0.005</v>
      </c>
      <c r="AW58" s="13">
        <f>IF(X58="","",(AM58/100*AO58)+AP58+AQ58+AR58)</f>
        <v/>
      </c>
      <c r="AX58" s="13">
        <f>IF(X58="","",AS58+AT58+AU58+AV58)</f>
        <v/>
      </c>
      <c r="AY58" s="12">
        <f>IF(AZ58="","",ROUND(AZ58*(1+Assumptions!$B$10),0))</f>
        <v/>
      </c>
      <c r="AZ58" s="12">
        <f>IF(X58="","",ROUND(X58*(1+AW58),0))</f>
        <v/>
      </c>
      <c r="BA58" s="12">
        <f>IF(AZ58="","",ROUND(AZ58*(1+Assumptions!$B$11),0))</f>
        <v/>
      </c>
      <c r="BB58" s="12">
        <f>IF(AZ58="","",ROUND(AZ58*(1+AX58+Assumptions!$B$10),0))</f>
        <v/>
      </c>
      <c r="BC58" s="12">
        <f>IF(AZ58="","",ROUND(AZ58*(1+AX58),0))</f>
        <v/>
      </c>
      <c r="BD58" s="12">
        <f>IF(AZ58="","",ROUND(AZ58*(1+AX58+Assumptions!$B$11),0))</f>
        <v/>
      </c>
      <c r="BE58" s="12">
        <f>IF(AZ58="","",ROUND(AZ58*(1+AX58)*(1+AX58),0))</f>
        <v/>
      </c>
      <c r="BF58" s="7" t="inlineStr">
        <is>
          <t>Rules-based enrichment using launch-price anchor, cap-app realization, and 2026 segment conditions.</t>
        </is>
      </c>
      <c r="BG58" t="inlineStr">
        <is>
          <t>2026-03-17</t>
        </is>
      </c>
      <c r="BH58" s="7" t="inlineStr">
        <is>
          <t>DLD / Digital Dubai / CBUAE / Savills / Knight Frank-Moody’s / Reuters</t>
        </is>
      </c>
    </row>
    <row r="59">
      <c r="A59" t="n">
        <v>58</v>
      </c>
      <c r="B59" s="7" t="inlineStr">
        <is>
          <t>Expo Golf Villas</t>
        </is>
      </c>
      <c r="C59" t="inlineStr">
        <is>
          <t>Emaar Properties</t>
        </is>
      </c>
      <c r="D59" t="inlineStr">
        <is>
          <t>Emaar South</t>
        </is>
      </c>
      <c r="E59" t="inlineStr">
        <is>
          <t>Villas</t>
        </is>
      </c>
      <c r="F59" s="7" t="inlineStr">
        <is>
          <t>Golf</t>
        </is>
      </c>
      <c r="G59" t="inlineStr">
        <is>
          <t>Resale (1.5M+)</t>
        </is>
      </c>
      <c r="H59" t="inlineStr">
        <is>
          <t>1000</t>
        </is>
      </c>
      <c r="I59" t="inlineStr">
        <is>
          <t>15</t>
        </is>
      </c>
      <c r="J59" t="inlineStr">
        <is>
          <t>Completed</t>
        </is>
      </c>
      <c r="K59" t="inlineStr">
        <is>
          <t>2019</t>
        </is>
      </c>
      <c r="L59" t="inlineStr">
        <is>
          <t>7.0-7.5</t>
        </is>
      </c>
      <c r="M59" t="inlineStr">
        <is>
          <t>6-8</t>
        </is>
      </c>
      <c r="N59" t="inlineStr">
        <is>
          <t>13.0-15.5</t>
        </is>
      </c>
      <c r="O59" s="7" t="inlineStr">
        <is>
          <t>Greenfield Intl</t>
        </is>
      </c>
      <c r="P59" s="7" t="inlineStr">
        <is>
          <t>NMC Royal DIP</t>
        </is>
      </c>
      <c r="Q59" s="7" t="inlineStr">
        <is>
          <t>Urban Centre (Local)</t>
        </is>
      </c>
      <c r="R59" s="7" t="inlineStr">
        <is>
          <t>Expo Rd / E611</t>
        </is>
      </c>
      <c r="S59" t="inlineStr">
        <is>
          <t>40</t>
        </is>
      </c>
      <c r="T59" t="inlineStr">
        <is>
          <t>25</t>
        </is>
      </c>
      <c r="U59" t="inlineStr">
        <is>
          <t>45</t>
        </is>
      </c>
      <c r="V59" t="inlineStr">
        <is>
          <t>7</t>
        </is>
      </c>
      <c r="W59" t="n">
        <v>2</v>
      </c>
      <c r="X59" s="12" t="n">
        <v>1500000</v>
      </c>
      <c r="Y59" s="12" t="n">
        <v>1500000</v>
      </c>
      <c r="Z59" s="9" t="n">
        <v>7</v>
      </c>
      <c r="AA59" s="9" t="n">
        <v>7.5</v>
      </c>
      <c r="AB59" s="9" t="n">
        <v>6</v>
      </c>
      <c r="AC59" s="9" t="n">
        <v>8</v>
      </c>
      <c r="AD59" s="9" t="n">
        <v>13</v>
      </c>
      <c r="AE59" s="9" t="n">
        <v>15.5</v>
      </c>
      <c r="AF59" t="n">
        <v>2019</v>
      </c>
      <c r="AH59" t="inlineStr">
        <is>
          <t>Villa</t>
        </is>
      </c>
      <c r="AI59" t="inlineStr">
        <is>
          <t>MainstreamSelective</t>
        </is>
      </c>
      <c r="AJ59" t="inlineStr">
        <is>
          <t>TopTier</t>
        </is>
      </c>
      <c r="AK59" t="inlineStr">
        <is>
          <t>Family-villa resilient</t>
        </is>
      </c>
      <c r="AL59" s="7" t="inlineStr">
        <is>
          <t>Villa/townhouse demand remains relatively firmer, though growth should be slower than the post-2020 surge.</t>
        </is>
      </c>
      <c r="AM59" s="9" t="n">
        <v>7</v>
      </c>
      <c r="AN59" s="9" t="n">
        <v>7.25</v>
      </c>
      <c r="AO59" s="10" t="n">
        <v>0.55</v>
      </c>
      <c r="AP59" s="13" t="n">
        <v>0</v>
      </c>
      <c r="AQ59" s="13" t="n">
        <v>0.015</v>
      </c>
      <c r="AR59" s="13" t="n">
        <v>0</v>
      </c>
      <c r="AS59" s="13" t="n">
        <v>0.025</v>
      </c>
      <c r="AT59" s="13" t="n">
        <v>0.005</v>
      </c>
      <c r="AU59" s="13" t="n">
        <v>0.0025</v>
      </c>
      <c r="AV59" s="13" t="n">
        <v>-0.005</v>
      </c>
      <c r="AW59" s="13">
        <f>IF(X59="","",(AM59/100*AO59)+AP59+AQ59+AR59)</f>
        <v/>
      </c>
      <c r="AX59" s="13">
        <f>IF(X59="","",AS59+AT59+AU59+AV59)</f>
        <v/>
      </c>
      <c r="AY59" s="12">
        <f>IF(AZ59="","",ROUND(AZ59*(1+Assumptions!$B$10),0))</f>
        <v/>
      </c>
      <c r="AZ59" s="12">
        <f>IF(X59="","",ROUND(X59*(1+AW59),0))</f>
        <v/>
      </c>
      <c r="BA59" s="12">
        <f>IF(AZ59="","",ROUND(AZ59*(1+Assumptions!$B$11),0))</f>
        <v/>
      </c>
      <c r="BB59" s="12">
        <f>IF(AZ59="","",ROUND(AZ59*(1+AX59+Assumptions!$B$10),0))</f>
        <v/>
      </c>
      <c r="BC59" s="12">
        <f>IF(AZ59="","",ROUND(AZ59*(1+AX59),0))</f>
        <v/>
      </c>
      <c r="BD59" s="12">
        <f>IF(AZ59="","",ROUND(AZ59*(1+AX59+Assumptions!$B$11),0))</f>
        <v/>
      </c>
      <c r="BE59" s="12">
        <f>IF(AZ59="","",ROUND(AZ59*(1+AX59)*(1+AX59),0))</f>
        <v/>
      </c>
      <c r="BF59" s="7" t="inlineStr">
        <is>
          <t>Rules-based enrichment using launch-price anchor, cap-app realization, and 2026 segment conditions.</t>
        </is>
      </c>
      <c r="BG59" t="inlineStr">
        <is>
          <t>2026-03-17</t>
        </is>
      </c>
      <c r="BH59" s="7" t="inlineStr">
        <is>
          <t>DLD / Digital Dubai / CBUAE / Savills / Knight Frank-Moody’s / Reuters</t>
        </is>
      </c>
    </row>
    <row r="60">
      <c r="A60" t="n">
        <v>59</v>
      </c>
      <c r="B60" s="7" t="inlineStr">
        <is>
          <t>Urbana</t>
        </is>
      </c>
      <c r="C60" t="inlineStr">
        <is>
          <t>Emaar Properties</t>
        </is>
      </c>
      <c r="D60" t="inlineStr">
        <is>
          <t>Emaar South</t>
        </is>
      </c>
      <c r="E60" t="inlineStr">
        <is>
          <t>Townhouses</t>
        </is>
      </c>
      <c r="F60" s="7" t="inlineStr">
        <is>
          <t>Gated</t>
        </is>
      </c>
      <c r="G60" t="inlineStr">
        <is>
          <t>Resale (1.2M+)</t>
        </is>
      </c>
      <c r="H60" t="inlineStr">
        <is>
          <t>950</t>
        </is>
      </c>
      <c r="I60" t="inlineStr">
        <is>
          <t>15</t>
        </is>
      </c>
      <c r="J60" t="inlineStr">
        <is>
          <t>Completed</t>
        </is>
      </c>
      <c r="K60" t="inlineStr">
        <is>
          <t>2018</t>
        </is>
      </c>
      <c r="L60" t="inlineStr">
        <is>
          <t>7.5-8.0</t>
        </is>
      </c>
      <c r="M60" t="inlineStr">
        <is>
          <t>6-8</t>
        </is>
      </c>
      <c r="N60" t="inlineStr">
        <is>
          <t>13.5-16.0</t>
        </is>
      </c>
      <c r="O60" s="7" t="inlineStr">
        <is>
          <t>Greenfield Intl</t>
        </is>
      </c>
      <c r="P60" s="7" t="inlineStr">
        <is>
          <t>NMC Royal DIP</t>
        </is>
      </c>
      <c r="Q60" s="7" t="inlineStr">
        <is>
          <t>Urban Centre (Local)</t>
        </is>
      </c>
      <c r="R60" s="7" t="inlineStr">
        <is>
          <t>Expo Rd / E611</t>
        </is>
      </c>
      <c r="S60" t="inlineStr">
        <is>
          <t>40</t>
        </is>
      </c>
      <c r="T60" t="inlineStr">
        <is>
          <t>25</t>
        </is>
      </c>
      <c r="U60" t="inlineStr">
        <is>
          <t>45</t>
        </is>
      </c>
      <c r="V60" t="inlineStr">
        <is>
          <t>7</t>
        </is>
      </c>
      <c r="W60" t="n">
        <v>2</v>
      </c>
      <c r="X60" s="12" t="n">
        <v>1200000</v>
      </c>
      <c r="Y60" s="12" t="n">
        <v>1200000</v>
      </c>
      <c r="Z60" s="9" t="n">
        <v>7.5</v>
      </c>
      <c r="AA60" s="9" t="n">
        <v>8</v>
      </c>
      <c r="AB60" s="9" t="n">
        <v>6</v>
      </c>
      <c r="AC60" s="9" t="n">
        <v>8</v>
      </c>
      <c r="AD60" s="9" t="n">
        <v>13.5</v>
      </c>
      <c r="AE60" s="9" t="n">
        <v>16</v>
      </c>
      <c r="AF60" t="n">
        <v>2018</v>
      </c>
      <c r="AH60" t="inlineStr">
        <is>
          <t>Townhouse</t>
        </is>
      </c>
      <c r="AI60" t="inlineStr">
        <is>
          <t>MainstreamSelective</t>
        </is>
      </c>
      <c r="AJ60" t="inlineStr">
        <is>
          <t>TopTier</t>
        </is>
      </c>
      <c r="AK60" t="inlineStr">
        <is>
          <t>Family-villa resilient</t>
        </is>
      </c>
      <c r="AL60" s="7" t="inlineStr">
        <is>
          <t>Villa/townhouse demand remains relatively firmer, though growth should be slower than the post-2020 surge.</t>
        </is>
      </c>
      <c r="AM60" s="9" t="n">
        <v>7</v>
      </c>
      <c r="AN60" s="9" t="n">
        <v>7.75</v>
      </c>
      <c r="AO60" s="10" t="n">
        <v>0.55</v>
      </c>
      <c r="AP60" s="13" t="n">
        <v>0</v>
      </c>
      <c r="AQ60" s="13" t="n">
        <v>0.015</v>
      </c>
      <c r="AR60" s="13" t="n">
        <v>0</v>
      </c>
      <c r="AS60" s="13" t="n">
        <v>0.025</v>
      </c>
      <c r="AT60" s="13" t="n">
        <v>0.005</v>
      </c>
      <c r="AU60" s="13" t="n">
        <v>0.0025</v>
      </c>
      <c r="AV60" s="13" t="n">
        <v>-0.005</v>
      </c>
      <c r="AW60" s="13">
        <f>IF(X60="","",(AM60/100*AO60)+AP60+AQ60+AR60)</f>
        <v/>
      </c>
      <c r="AX60" s="13">
        <f>IF(X60="","",AS60+AT60+AU60+AV60)</f>
        <v/>
      </c>
      <c r="AY60" s="12">
        <f>IF(AZ60="","",ROUND(AZ60*(1+Assumptions!$B$10),0))</f>
        <v/>
      </c>
      <c r="AZ60" s="12">
        <f>IF(X60="","",ROUND(X60*(1+AW60),0))</f>
        <v/>
      </c>
      <c r="BA60" s="12">
        <f>IF(AZ60="","",ROUND(AZ60*(1+Assumptions!$B$11),0))</f>
        <v/>
      </c>
      <c r="BB60" s="12">
        <f>IF(AZ60="","",ROUND(AZ60*(1+AX60+Assumptions!$B$10),0))</f>
        <v/>
      </c>
      <c r="BC60" s="12">
        <f>IF(AZ60="","",ROUND(AZ60*(1+AX60),0))</f>
        <v/>
      </c>
      <c r="BD60" s="12">
        <f>IF(AZ60="","",ROUND(AZ60*(1+AX60+Assumptions!$B$11),0))</f>
        <v/>
      </c>
      <c r="BE60" s="12">
        <f>IF(AZ60="","",ROUND(AZ60*(1+AX60)*(1+AX60),0))</f>
        <v/>
      </c>
      <c r="BF60" s="7" t="inlineStr">
        <is>
          <t>Rules-based enrichment using launch-price anchor, cap-app realization, and 2026 segment conditions.</t>
        </is>
      </c>
      <c r="BG60" t="inlineStr">
        <is>
          <t>2026-03-17</t>
        </is>
      </c>
      <c r="BH60" s="7" t="inlineStr">
        <is>
          <t>DLD / Digital Dubai / CBUAE / Savills / Knight Frank-Moody’s / Reuters</t>
        </is>
      </c>
    </row>
    <row r="61">
      <c r="A61" t="n">
        <v>60</v>
      </c>
      <c r="B61" s="7" t="inlineStr">
        <is>
          <t>Expo Living (Master Community)</t>
        </is>
      </c>
      <c r="C61" t="inlineStr">
        <is>
          <t>Emaar Properties</t>
        </is>
      </c>
      <c r="D61" t="inlineStr">
        <is>
          <t>Dubai South</t>
        </is>
      </c>
      <c r="E61" t="inlineStr">
        <is>
          <t>Apartments</t>
        </is>
      </c>
      <c r="F61" s="7" t="inlineStr">
        <is>
          <t>Expo City Proximity</t>
        </is>
      </c>
      <c r="I61" t="inlineStr">
        <is>
          <t>15</t>
        </is>
      </c>
      <c r="J61" t="inlineStr">
        <is>
          <t>Varies</t>
        </is>
      </c>
      <c r="K61" t="inlineStr">
        <is>
          <t>2024</t>
        </is>
      </c>
      <c r="L61" t="inlineStr">
        <is>
          <t>7.0-8.0</t>
        </is>
      </c>
      <c r="M61" t="inlineStr">
        <is>
          <t>10-12</t>
        </is>
      </c>
      <c r="N61" t="inlineStr">
        <is>
          <t>17.0-20.0</t>
        </is>
      </c>
      <c r="O61" s="7" t="inlineStr">
        <is>
          <t>Dove Green</t>
        </is>
      </c>
      <c r="P61" s="7" t="inlineStr">
        <is>
          <t>NMC Royal DIP</t>
        </is>
      </c>
      <c r="Q61" s="7" t="inlineStr">
        <is>
          <t>Expo City Mall</t>
        </is>
      </c>
      <c r="R61" s="7" t="inlineStr">
        <is>
          <t>Expo Rd</t>
        </is>
      </c>
      <c r="S61" t="inlineStr">
        <is>
          <t>35</t>
        </is>
      </c>
      <c r="T61" t="inlineStr">
        <is>
          <t>20</t>
        </is>
      </c>
      <c r="U61" t="inlineStr">
        <is>
          <t>40</t>
        </is>
      </c>
      <c r="V61" t="inlineStr">
        <is>
          <t>10</t>
        </is>
      </c>
      <c r="W61" t="n">
        <v>2</v>
      </c>
      <c r="X61" s="12" t="n"/>
      <c r="Y61" s="12" t="n"/>
      <c r="Z61" s="9" t="n">
        <v>7</v>
      </c>
      <c r="AA61" s="9" t="n">
        <v>8</v>
      </c>
      <c r="AB61" s="9" t="n">
        <v>10</v>
      </c>
      <c r="AC61" s="9" t="n">
        <v>12</v>
      </c>
      <c r="AD61" s="9" t="n">
        <v>17</v>
      </c>
      <c r="AE61" s="9" t="n">
        <v>20</v>
      </c>
      <c r="AF61" t="n">
        <v>2024</v>
      </c>
      <c r="AH61" t="inlineStr">
        <is>
          <t>Apartment</t>
        </is>
      </c>
      <c r="AI61" t="inlineStr">
        <is>
          <t>SupplySensitiveApartment</t>
        </is>
      </c>
      <c r="AJ61" t="inlineStr">
        <is>
          <t>TopTier</t>
        </is>
      </c>
      <c r="AK61" t="inlineStr">
        <is>
          <t>Supply-sensitive / selective</t>
        </is>
      </c>
      <c r="AL61" s="7" t="inlineStr">
        <is>
          <t>Higher delivery risk in more price-sensitive apartment clusters; building selection and exit liquidity matter.</t>
        </is>
      </c>
      <c r="AM61" s="9" t="n">
        <v>11</v>
      </c>
      <c r="AN61" s="9" t="n">
        <v>7.5</v>
      </c>
      <c r="AO61" s="10" t="n">
        <v>0.55</v>
      </c>
      <c r="AP61" s="13" t="n">
        <v>0</v>
      </c>
      <c r="AQ61" s="13" t="n">
        <v>0</v>
      </c>
      <c r="AR61" s="13" t="n">
        <v>-0.01</v>
      </c>
      <c r="AS61" s="13" t="n">
        <v>-0.01</v>
      </c>
      <c r="AT61" s="13" t="n">
        <v>0.005</v>
      </c>
      <c r="AU61" s="13" t="n">
        <v>0.0025</v>
      </c>
      <c r="AV61" s="13" t="n">
        <v>-0.005</v>
      </c>
      <c r="AW61" s="13">
        <f>IF(X61="","",(AM61/100*AO61)+AP61+AQ61+AR61)</f>
        <v/>
      </c>
      <c r="AX61" s="13">
        <f>IF(X61="","",AS61+AT61+AU61+AV61)</f>
        <v/>
      </c>
      <c r="AY61" s="12">
        <f>IF(AZ61="","",ROUND(AZ61*(1+Assumptions!$B$10),0))</f>
        <v/>
      </c>
      <c r="AZ61" s="12">
        <f>IF(X61="","",ROUND(X61*(1+AW61),0))</f>
        <v/>
      </c>
      <c r="BA61" s="12">
        <f>IF(AZ61="","",ROUND(AZ61*(1+Assumptions!$B$11),0))</f>
        <v/>
      </c>
      <c r="BB61" s="12">
        <f>IF(AZ61="","",ROUND(AZ61*(1+AX61+Assumptions!$B$10),0))</f>
        <v/>
      </c>
      <c r="BC61" s="12">
        <f>IF(AZ61="","",ROUND(AZ61*(1+AX61),0))</f>
        <v/>
      </c>
      <c r="BD61" s="12">
        <f>IF(AZ61="","",ROUND(AZ61*(1+AX61+Assumptions!$B$11),0))</f>
        <v/>
      </c>
      <c r="BE61" s="12">
        <f>IF(AZ61="","",ROUND(AZ61*(1+AX61)*(1+AX61),0))</f>
        <v/>
      </c>
      <c r="BF61" s="7" t="inlineStr">
        <is>
          <t>Rules-based enrichment using launch-price anchor, cap-app realization, and 2026 segment conditions.</t>
        </is>
      </c>
      <c r="BG61" t="inlineStr">
        <is>
          <t>2026-03-17</t>
        </is>
      </c>
      <c r="BH61" s="7" t="inlineStr">
        <is>
          <t>DLD / Digital Dubai / CBUAE / Savills / Knight Frank-Moody’s / Reuters</t>
        </is>
      </c>
    </row>
    <row r="62">
      <c r="A62" t="n">
        <v>61</v>
      </c>
      <c r="B62" s="7" t="inlineStr">
        <is>
          <t>Terra Gardens</t>
        </is>
      </c>
      <c r="C62" t="inlineStr">
        <is>
          <t>Emaar Properties</t>
        </is>
      </c>
      <c r="D62" t="inlineStr">
        <is>
          <t>Expo Living</t>
        </is>
      </c>
      <c r="E62" t="inlineStr">
        <is>
          <t>Apartments</t>
        </is>
      </c>
      <c r="F62" s="7" t="inlineStr">
        <is>
          <t>Green / Modern</t>
        </is>
      </c>
      <c r="G62" t="inlineStr">
        <is>
          <t>1.3M</t>
        </is>
      </c>
      <c r="H62" t="inlineStr">
        <is>
          <t>1400</t>
        </is>
      </c>
      <c r="I62" t="inlineStr">
        <is>
          <t>15</t>
        </is>
      </c>
      <c r="J62" t="inlineStr">
        <is>
          <t>80/20</t>
        </is>
      </c>
      <c r="K62" t="inlineStr">
        <is>
          <t>2024</t>
        </is>
      </c>
      <c r="L62" t="inlineStr">
        <is>
          <t>7.0-7.5</t>
        </is>
      </c>
      <c r="M62" t="inlineStr">
        <is>
          <t>10-12</t>
        </is>
      </c>
      <c r="N62" t="inlineStr">
        <is>
          <t>17.0-19.5</t>
        </is>
      </c>
      <c r="O62" s="7" t="inlineStr">
        <is>
          <t>Dove Green</t>
        </is>
      </c>
      <c r="P62" s="7" t="inlineStr">
        <is>
          <t>NMC Royal DIP</t>
        </is>
      </c>
      <c r="Q62" s="7" t="inlineStr">
        <is>
          <t>Expo City Mall</t>
        </is>
      </c>
      <c r="R62" s="7" t="inlineStr">
        <is>
          <t>Expo Rd</t>
        </is>
      </c>
      <c r="S62" t="inlineStr">
        <is>
          <t>35</t>
        </is>
      </c>
      <c r="T62" t="inlineStr">
        <is>
          <t>20</t>
        </is>
      </c>
      <c r="U62" t="inlineStr">
        <is>
          <t>40</t>
        </is>
      </c>
      <c r="V62" t="inlineStr">
        <is>
          <t>10</t>
        </is>
      </c>
      <c r="W62" t="n">
        <v>2</v>
      </c>
      <c r="X62" s="12" t="n">
        <v>1300000</v>
      </c>
      <c r="Y62" s="12" t="n">
        <v>1300000</v>
      </c>
      <c r="Z62" s="9" t="n">
        <v>7</v>
      </c>
      <c r="AA62" s="9" t="n">
        <v>7.5</v>
      </c>
      <c r="AB62" s="9" t="n">
        <v>10</v>
      </c>
      <c r="AC62" s="9" t="n">
        <v>12</v>
      </c>
      <c r="AD62" s="9" t="n">
        <v>17</v>
      </c>
      <c r="AE62" s="9" t="n">
        <v>19.5</v>
      </c>
      <c r="AF62" t="n">
        <v>2024</v>
      </c>
      <c r="AH62" t="inlineStr">
        <is>
          <t>Apartment</t>
        </is>
      </c>
      <c r="AI62" t="inlineStr">
        <is>
          <t>MainstreamSelective</t>
        </is>
      </c>
      <c r="AJ62" t="inlineStr">
        <is>
          <t>TopTier</t>
        </is>
      </c>
      <c r="AK62" t="inlineStr">
        <is>
          <t>Balanced / selective</t>
        </is>
      </c>
      <c r="AL62" s="7" t="inlineStr">
        <is>
          <t>Market remains active but increasingly differentiated by developer, micro-location, livability, and pricing discipline.</t>
        </is>
      </c>
      <c r="AM62" s="9" t="n">
        <v>11</v>
      </c>
      <c r="AN62" s="9" t="n">
        <v>7.25</v>
      </c>
      <c r="AO62" s="10" t="n">
        <v>0.55</v>
      </c>
      <c r="AP62" s="13" t="n">
        <v>0</v>
      </c>
      <c r="AQ62" s="13" t="n">
        <v>0</v>
      </c>
      <c r="AR62" s="13" t="n">
        <v>0</v>
      </c>
      <c r="AS62" s="13" t="n">
        <v>0.01</v>
      </c>
      <c r="AT62" s="13" t="n">
        <v>0.005</v>
      </c>
      <c r="AU62" s="13" t="n">
        <v>0.0025</v>
      </c>
      <c r="AV62" s="13" t="n">
        <v>-0.005</v>
      </c>
      <c r="AW62" s="13">
        <f>IF(X62="","",(AM62/100*AO62)+AP62+AQ62+AR62)</f>
        <v/>
      </c>
      <c r="AX62" s="13">
        <f>IF(X62="","",AS62+AT62+AU62+AV62)</f>
        <v/>
      </c>
      <c r="AY62" s="12">
        <f>IF(AZ62="","",ROUND(AZ62*(1+Assumptions!$B$10),0))</f>
        <v/>
      </c>
      <c r="AZ62" s="12">
        <f>IF(X62="","",ROUND(X62*(1+AW62),0))</f>
        <v/>
      </c>
      <c r="BA62" s="12">
        <f>IF(AZ62="","",ROUND(AZ62*(1+Assumptions!$B$11),0))</f>
        <v/>
      </c>
      <c r="BB62" s="12">
        <f>IF(AZ62="","",ROUND(AZ62*(1+AX62+Assumptions!$B$10),0))</f>
        <v/>
      </c>
      <c r="BC62" s="12">
        <f>IF(AZ62="","",ROUND(AZ62*(1+AX62),0))</f>
        <v/>
      </c>
      <c r="BD62" s="12">
        <f>IF(AZ62="","",ROUND(AZ62*(1+AX62+Assumptions!$B$11),0))</f>
        <v/>
      </c>
      <c r="BE62" s="12">
        <f>IF(AZ62="","",ROUND(AZ62*(1+AX62)*(1+AX62),0))</f>
        <v/>
      </c>
      <c r="BF62" s="7" t="inlineStr">
        <is>
          <t>Rules-based enrichment using launch-price anchor, cap-app realization, and 2026 segment conditions.</t>
        </is>
      </c>
      <c r="BG62" t="inlineStr">
        <is>
          <t>2026-03-17</t>
        </is>
      </c>
      <c r="BH62" s="7" t="inlineStr">
        <is>
          <t>DLD / Digital Dubai / CBUAE / Savills / Knight Frank-Moody’s / Reuters</t>
        </is>
      </c>
    </row>
    <row r="63">
      <c r="A63" t="n">
        <v>62</v>
      </c>
      <c r="B63" s="7" t="inlineStr">
        <is>
          <t>St. Regis Residences</t>
        </is>
      </c>
      <c r="C63" t="inlineStr">
        <is>
          <t>Emaar Properties</t>
        </is>
      </c>
      <c r="D63" t="inlineStr">
        <is>
          <t>Downtown Dubai</t>
        </is>
      </c>
      <c r="E63" t="inlineStr">
        <is>
          <t>Branded Apartments</t>
        </is>
      </c>
      <c r="F63" s="7" t="inlineStr">
        <is>
          <t>Luxury / Burj View</t>
        </is>
      </c>
      <c r="G63" t="inlineStr">
        <is>
          <t>3.8M</t>
        </is>
      </c>
      <c r="H63" t="inlineStr">
        <is>
          <t>3500</t>
        </is>
      </c>
      <c r="I63" t="inlineStr">
        <is>
          <t>45+</t>
        </is>
      </c>
      <c r="J63" t="inlineStr">
        <is>
          <t>70/30</t>
        </is>
      </c>
      <c r="K63" t="inlineStr">
        <is>
          <t>2022</t>
        </is>
      </c>
      <c r="L63" t="inlineStr">
        <is>
          <t>4.0-4.5</t>
        </is>
      </c>
      <c r="M63" t="inlineStr">
        <is>
          <t>10-15</t>
        </is>
      </c>
      <c r="N63" t="inlineStr">
        <is>
          <t>14.0-19.5</t>
        </is>
      </c>
      <c r="O63" s="7" t="inlineStr">
        <is>
          <t>Hartland Intl</t>
        </is>
      </c>
      <c r="P63" s="7" t="inlineStr">
        <is>
          <t>Mediclinic Dubai Mall</t>
        </is>
      </c>
      <c r="Q63" s="7" t="inlineStr">
        <is>
          <t>Dubai Mall</t>
        </is>
      </c>
      <c r="R63" s="7" t="inlineStr">
        <is>
          <t>Financial Ctr Rd</t>
        </is>
      </c>
      <c r="S63" t="inlineStr">
        <is>
          <t>5</t>
        </is>
      </c>
      <c r="T63" t="inlineStr">
        <is>
          <t>20</t>
        </is>
      </c>
      <c r="U63" t="inlineStr">
        <is>
          <t>15</t>
        </is>
      </c>
      <c r="V63" t="inlineStr">
        <is>
          <t>35</t>
        </is>
      </c>
      <c r="W63" t="n">
        <v>2</v>
      </c>
      <c r="X63" s="12" t="n">
        <v>3800000</v>
      </c>
      <c r="Y63" s="12" t="n">
        <v>3800000</v>
      </c>
      <c r="Z63" s="9" t="n">
        <v>4</v>
      </c>
      <c r="AA63" s="9" t="n">
        <v>4.5</v>
      </c>
      <c r="AB63" s="9" t="n">
        <v>10</v>
      </c>
      <c r="AC63" s="9" t="n">
        <v>15</v>
      </c>
      <c r="AD63" s="9" t="n">
        <v>14</v>
      </c>
      <c r="AE63" s="9" t="n">
        <v>19.5</v>
      </c>
      <c r="AF63" t="n">
        <v>2022</v>
      </c>
      <c r="AH63" t="inlineStr">
        <is>
          <t>Apartment</t>
        </is>
      </c>
      <c r="AI63" t="inlineStr">
        <is>
          <t>Prime</t>
        </is>
      </c>
      <c r="AJ63" t="inlineStr">
        <is>
          <t>TopTier</t>
        </is>
      </c>
      <c r="AK63" t="inlineStr">
        <is>
          <t>Prime resilient / selective</t>
        </is>
      </c>
      <c r="AL63" s="7" t="inlineStr">
        <is>
          <t>Better support from quality, branding, and scarcer prime stock; still entry-price sensitive.</t>
        </is>
      </c>
      <c r="AM63" s="9" t="n">
        <v>12.5</v>
      </c>
      <c r="AN63" s="9" t="n">
        <v>4.25</v>
      </c>
      <c r="AO63" s="10" t="n">
        <v>0.55</v>
      </c>
      <c r="AP63" s="13" t="n">
        <v>0.02</v>
      </c>
      <c r="AQ63" s="13" t="n">
        <v>0</v>
      </c>
      <c r="AR63" s="13" t="n">
        <v>0</v>
      </c>
      <c r="AS63" s="13" t="n">
        <v>0.03</v>
      </c>
      <c r="AT63" s="13" t="n">
        <v>0.005</v>
      </c>
      <c r="AU63" s="13" t="n">
        <v>0</v>
      </c>
      <c r="AV63" s="13" t="n">
        <v>-0.005</v>
      </c>
      <c r="AW63" s="13">
        <f>IF(X63="","",(AM63/100*AO63)+AP63+AQ63+AR63)</f>
        <v/>
      </c>
      <c r="AX63" s="13">
        <f>IF(X63="","",AS63+AT63+AU63+AV63)</f>
        <v/>
      </c>
      <c r="AY63" s="12">
        <f>IF(AZ63="","",ROUND(AZ63*(1+Assumptions!$B$10),0))</f>
        <v/>
      </c>
      <c r="AZ63" s="12">
        <f>IF(X63="","",ROUND(X63*(1+AW63),0))</f>
        <v/>
      </c>
      <c r="BA63" s="12">
        <f>IF(AZ63="","",ROUND(AZ63*(1+Assumptions!$B$11),0))</f>
        <v/>
      </c>
      <c r="BB63" s="12">
        <f>IF(AZ63="","",ROUND(AZ63*(1+AX63+Assumptions!$B$10),0))</f>
        <v/>
      </c>
      <c r="BC63" s="12">
        <f>IF(AZ63="","",ROUND(AZ63*(1+AX63),0))</f>
        <v/>
      </c>
      <c r="BD63" s="12">
        <f>IF(AZ63="","",ROUND(AZ63*(1+AX63+Assumptions!$B$11),0))</f>
        <v/>
      </c>
      <c r="BE63" s="12">
        <f>IF(AZ63="","",ROUND(AZ63*(1+AX63)*(1+AX63),0))</f>
        <v/>
      </c>
      <c r="BF63" s="7" t="inlineStr">
        <is>
          <t>Rules-based enrichment using launch-price anchor, cap-app realization, and 2026 segment conditions.</t>
        </is>
      </c>
      <c r="BG63" t="inlineStr">
        <is>
          <t>2026-03-17</t>
        </is>
      </c>
      <c r="BH63" s="7" t="inlineStr">
        <is>
          <t>DLD / Digital Dubai / CBUAE / Savills / Knight Frank-Moody’s / Reuters</t>
        </is>
      </c>
    </row>
    <row r="64">
      <c r="A64" t="n">
        <v>63</v>
      </c>
      <c r="B64" s="7" t="inlineStr">
        <is>
          <t>Burj Crown</t>
        </is>
      </c>
      <c r="C64" t="inlineStr">
        <is>
          <t>Emaar Properties</t>
        </is>
      </c>
      <c r="D64" t="inlineStr">
        <is>
          <t>Downtown Dubai</t>
        </is>
      </c>
      <c r="E64" t="inlineStr">
        <is>
          <t>Apartments</t>
        </is>
      </c>
      <c r="F64" s="7" t="inlineStr">
        <is>
          <t>City Centre</t>
        </is>
      </c>
      <c r="G64" t="inlineStr">
        <is>
          <t>2.2M</t>
        </is>
      </c>
      <c r="H64" t="inlineStr">
        <is>
          <t>2800</t>
        </is>
      </c>
      <c r="I64" t="inlineStr">
        <is>
          <t>30</t>
        </is>
      </c>
      <c r="J64" t="inlineStr">
        <is>
          <t>Completed</t>
        </is>
      </c>
      <c r="K64" t="inlineStr">
        <is>
          <t>2020</t>
        </is>
      </c>
      <c r="L64" t="inlineStr">
        <is>
          <t>5.0-5.5</t>
        </is>
      </c>
      <c r="M64" t="inlineStr">
        <is>
          <t>8-10</t>
        </is>
      </c>
      <c r="N64" t="inlineStr">
        <is>
          <t>13.0-15.5</t>
        </is>
      </c>
      <c r="O64" s="7" t="inlineStr">
        <is>
          <t>Hartland Intl</t>
        </is>
      </c>
      <c r="P64" s="7" t="inlineStr">
        <is>
          <t>Mediclinic Dubai Mall</t>
        </is>
      </c>
      <c r="Q64" s="7" t="inlineStr">
        <is>
          <t>Dubai Mall</t>
        </is>
      </c>
      <c r="R64" s="7" t="inlineStr">
        <is>
          <t>Financial Ctr Rd</t>
        </is>
      </c>
      <c r="S64" t="inlineStr">
        <is>
          <t>5</t>
        </is>
      </c>
      <c r="T64" t="inlineStr">
        <is>
          <t>20</t>
        </is>
      </c>
      <c r="U64" t="inlineStr">
        <is>
          <t>15</t>
        </is>
      </c>
      <c r="V64" t="inlineStr">
        <is>
          <t>35</t>
        </is>
      </c>
      <c r="W64" t="n">
        <v>2</v>
      </c>
      <c r="X64" s="12" t="n">
        <v>2200000</v>
      </c>
      <c r="Y64" s="12" t="n">
        <v>2200000</v>
      </c>
      <c r="Z64" s="9" t="n">
        <v>5</v>
      </c>
      <c r="AA64" s="9" t="n">
        <v>5.5</v>
      </c>
      <c r="AB64" s="9" t="n">
        <v>8</v>
      </c>
      <c r="AC64" s="9" t="n">
        <v>10</v>
      </c>
      <c r="AD64" s="9" t="n">
        <v>13</v>
      </c>
      <c r="AE64" s="9" t="n">
        <v>15.5</v>
      </c>
      <c r="AF64" t="n">
        <v>2020</v>
      </c>
      <c r="AH64" t="inlineStr">
        <is>
          <t>Apartment</t>
        </is>
      </c>
      <c r="AI64" t="inlineStr">
        <is>
          <t>Prime</t>
        </is>
      </c>
      <c r="AJ64" t="inlineStr">
        <is>
          <t>TopTier</t>
        </is>
      </c>
      <c r="AK64" t="inlineStr">
        <is>
          <t>Prime resilient / selective</t>
        </is>
      </c>
      <c r="AL64" s="7" t="inlineStr">
        <is>
          <t>Better support from quality, branding, and scarcer prime stock; still entry-price sensitive.</t>
        </is>
      </c>
      <c r="AM64" s="9" t="n">
        <v>9</v>
      </c>
      <c r="AN64" s="9" t="n">
        <v>5.25</v>
      </c>
      <c r="AO64" s="10" t="n">
        <v>0.55</v>
      </c>
      <c r="AP64" s="13" t="n">
        <v>0.02</v>
      </c>
      <c r="AQ64" s="13" t="n">
        <v>0</v>
      </c>
      <c r="AR64" s="13" t="n">
        <v>0</v>
      </c>
      <c r="AS64" s="13" t="n">
        <v>0.03</v>
      </c>
      <c r="AT64" s="13" t="n">
        <v>0.005</v>
      </c>
      <c r="AU64" s="13" t="n">
        <v>0</v>
      </c>
      <c r="AV64" s="13" t="n">
        <v>-0.005</v>
      </c>
      <c r="AW64" s="13">
        <f>IF(X64="","",(AM64/100*AO64)+AP64+AQ64+AR64)</f>
        <v/>
      </c>
      <c r="AX64" s="13">
        <f>IF(X64="","",AS64+AT64+AU64+AV64)</f>
        <v/>
      </c>
      <c r="AY64" s="12">
        <f>IF(AZ64="","",ROUND(AZ64*(1+Assumptions!$B$10),0))</f>
        <v/>
      </c>
      <c r="AZ64" s="12">
        <f>IF(X64="","",ROUND(X64*(1+AW64),0))</f>
        <v/>
      </c>
      <c r="BA64" s="12">
        <f>IF(AZ64="","",ROUND(AZ64*(1+Assumptions!$B$11),0))</f>
        <v/>
      </c>
      <c r="BB64" s="12">
        <f>IF(AZ64="","",ROUND(AZ64*(1+AX64+Assumptions!$B$10),0))</f>
        <v/>
      </c>
      <c r="BC64" s="12">
        <f>IF(AZ64="","",ROUND(AZ64*(1+AX64),0))</f>
        <v/>
      </c>
      <c r="BD64" s="12">
        <f>IF(AZ64="","",ROUND(AZ64*(1+AX64+Assumptions!$B$11),0))</f>
        <v/>
      </c>
      <c r="BE64" s="12">
        <f>IF(AZ64="","",ROUND(AZ64*(1+AX64)*(1+AX64),0))</f>
        <v/>
      </c>
      <c r="BF64" s="7" t="inlineStr">
        <is>
          <t>Rules-based enrichment using launch-price anchor, cap-app realization, and 2026 segment conditions.</t>
        </is>
      </c>
      <c r="BG64" t="inlineStr">
        <is>
          <t>2026-03-17</t>
        </is>
      </c>
      <c r="BH64" s="7" t="inlineStr">
        <is>
          <t>DLD / Digital Dubai / CBUAE / Savills / Knight Frank-Moody’s / Reuters</t>
        </is>
      </c>
    </row>
    <row r="65">
      <c r="A65" t="n">
        <v>64</v>
      </c>
      <c r="B65" s="7" t="inlineStr">
        <is>
          <t>Grande</t>
        </is>
      </c>
      <c r="C65" t="inlineStr">
        <is>
          <t>Emaar Properties</t>
        </is>
      </c>
      <c r="D65" t="inlineStr">
        <is>
          <t>Downtown Dubai</t>
        </is>
      </c>
      <c r="E65" t="inlineStr">
        <is>
          <t>Apartments</t>
        </is>
      </c>
      <c r="F65" s="7" t="inlineStr">
        <is>
          <t>Opera District</t>
        </is>
      </c>
      <c r="G65" t="inlineStr">
        <is>
          <t>2.5M</t>
        </is>
      </c>
      <c r="H65" t="inlineStr">
        <is>
          <t>3000</t>
        </is>
      </c>
      <c r="I65" t="inlineStr">
        <is>
          <t>30</t>
        </is>
      </c>
      <c r="J65" t="inlineStr">
        <is>
          <t>Completed</t>
        </is>
      </c>
      <c r="K65" t="inlineStr">
        <is>
          <t>2019</t>
        </is>
      </c>
      <c r="L65" t="inlineStr">
        <is>
          <t>5.0-5.5</t>
        </is>
      </c>
      <c r="M65" t="inlineStr">
        <is>
          <t>8-10</t>
        </is>
      </c>
      <c r="N65" t="inlineStr">
        <is>
          <t>13.0-15.5</t>
        </is>
      </c>
      <c r="O65" s="7" t="inlineStr">
        <is>
          <t>Hartland Intl</t>
        </is>
      </c>
      <c r="P65" s="7" t="inlineStr">
        <is>
          <t>Mediclinic Dubai Mall</t>
        </is>
      </c>
      <c r="Q65" s="7" t="inlineStr">
        <is>
          <t>Dubai Mall</t>
        </is>
      </c>
      <c r="R65" s="7" t="inlineStr">
        <is>
          <t>Financial Ctr Rd</t>
        </is>
      </c>
      <c r="S65" t="inlineStr">
        <is>
          <t>5</t>
        </is>
      </c>
      <c r="T65" t="inlineStr">
        <is>
          <t>20</t>
        </is>
      </c>
      <c r="U65" t="inlineStr">
        <is>
          <t>15</t>
        </is>
      </c>
      <c r="V65" t="inlineStr">
        <is>
          <t>35</t>
        </is>
      </c>
      <c r="W65" t="n">
        <v>2</v>
      </c>
      <c r="X65" s="12" t="n">
        <v>2500000</v>
      </c>
      <c r="Y65" s="12" t="n">
        <v>2500000</v>
      </c>
      <c r="Z65" s="9" t="n">
        <v>5</v>
      </c>
      <c r="AA65" s="9" t="n">
        <v>5.5</v>
      </c>
      <c r="AB65" s="9" t="n">
        <v>8</v>
      </c>
      <c r="AC65" s="9" t="n">
        <v>10</v>
      </c>
      <c r="AD65" s="9" t="n">
        <v>13</v>
      </c>
      <c r="AE65" s="9" t="n">
        <v>15.5</v>
      </c>
      <c r="AF65" t="n">
        <v>2019</v>
      </c>
      <c r="AH65" t="inlineStr">
        <is>
          <t>Apartment</t>
        </is>
      </c>
      <c r="AI65" t="inlineStr">
        <is>
          <t>Prime</t>
        </is>
      </c>
      <c r="AJ65" t="inlineStr">
        <is>
          <t>TopTier</t>
        </is>
      </c>
      <c r="AK65" t="inlineStr">
        <is>
          <t>Prime resilient / selective</t>
        </is>
      </c>
      <c r="AL65" s="7" t="inlineStr">
        <is>
          <t>Better support from quality, branding, and scarcer prime stock; still entry-price sensitive.</t>
        </is>
      </c>
      <c r="AM65" s="9" t="n">
        <v>9</v>
      </c>
      <c r="AN65" s="9" t="n">
        <v>5.25</v>
      </c>
      <c r="AO65" s="10" t="n">
        <v>0.55</v>
      </c>
      <c r="AP65" s="13" t="n">
        <v>0.02</v>
      </c>
      <c r="AQ65" s="13" t="n">
        <v>0</v>
      </c>
      <c r="AR65" s="13" t="n">
        <v>0</v>
      </c>
      <c r="AS65" s="13" t="n">
        <v>0.03</v>
      </c>
      <c r="AT65" s="13" t="n">
        <v>0.005</v>
      </c>
      <c r="AU65" s="13" t="n">
        <v>0</v>
      </c>
      <c r="AV65" s="13" t="n">
        <v>-0.005</v>
      </c>
      <c r="AW65" s="13">
        <f>IF(X65="","",(AM65/100*AO65)+AP65+AQ65+AR65)</f>
        <v/>
      </c>
      <c r="AX65" s="13">
        <f>IF(X65="","",AS65+AT65+AU65+AV65)</f>
        <v/>
      </c>
      <c r="AY65" s="12">
        <f>IF(AZ65="","",ROUND(AZ65*(1+Assumptions!$B$10),0))</f>
        <v/>
      </c>
      <c r="AZ65" s="12">
        <f>IF(X65="","",ROUND(X65*(1+AW65),0))</f>
        <v/>
      </c>
      <c r="BA65" s="12">
        <f>IF(AZ65="","",ROUND(AZ65*(1+Assumptions!$B$11),0))</f>
        <v/>
      </c>
      <c r="BB65" s="12">
        <f>IF(AZ65="","",ROUND(AZ65*(1+AX65+Assumptions!$B$10),0))</f>
        <v/>
      </c>
      <c r="BC65" s="12">
        <f>IF(AZ65="","",ROUND(AZ65*(1+AX65),0))</f>
        <v/>
      </c>
      <c r="BD65" s="12">
        <f>IF(AZ65="","",ROUND(AZ65*(1+AX65+Assumptions!$B$11),0))</f>
        <v/>
      </c>
      <c r="BE65" s="12">
        <f>IF(AZ65="","",ROUND(AZ65*(1+AX65)*(1+AX65),0))</f>
        <v/>
      </c>
      <c r="BF65" s="7" t="inlineStr">
        <is>
          <t>Rules-based enrichment using launch-price anchor, cap-app realization, and 2026 segment conditions.</t>
        </is>
      </c>
      <c r="BG65" t="inlineStr">
        <is>
          <t>2026-03-17</t>
        </is>
      </c>
      <c r="BH65" s="7" t="inlineStr">
        <is>
          <t>DLD / Digital Dubai / CBUAE / Savills / Knight Frank-Moody’s / Reuters</t>
        </is>
      </c>
    </row>
    <row r="66">
      <c r="A66" t="n">
        <v>65</v>
      </c>
      <c r="B66" s="7" t="inlineStr">
        <is>
          <t>Act One | Act Two</t>
        </is>
      </c>
      <c r="C66" t="inlineStr">
        <is>
          <t>Emaar Properties</t>
        </is>
      </c>
      <c r="D66" t="inlineStr">
        <is>
          <t>Downtown Dubai</t>
        </is>
      </c>
      <c r="E66" t="inlineStr">
        <is>
          <t>Apartments</t>
        </is>
      </c>
      <c r="F66" s="7" t="inlineStr">
        <is>
          <t>Opera District</t>
        </is>
      </c>
      <c r="G66" t="inlineStr">
        <is>
          <t>2.1M</t>
        </is>
      </c>
      <c r="H66" t="inlineStr">
        <is>
          <t>2600</t>
        </is>
      </c>
      <c r="I66" t="inlineStr">
        <is>
          <t>30</t>
        </is>
      </c>
      <c r="J66" t="inlineStr">
        <is>
          <t>Completed</t>
        </is>
      </c>
      <c r="K66" t="inlineStr">
        <is>
          <t>2018</t>
        </is>
      </c>
      <c r="L66" t="inlineStr">
        <is>
          <t>5.5-6.0</t>
        </is>
      </c>
      <c r="M66" t="inlineStr">
        <is>
          <t>7-9</t>
        </is>
      </c>
      <c r="N66" t="inlineStr">
        <is>
          <t>12.5-15.0</t>
        </is>
      </c>
      <c r="O66" s="7" t="inlineStr">
        <is>
          <t>Hartland Intl</t>
        </is>
      </c>
      <c r="P66" s="7" t="inlineStr">
        <is>
          <t>Mediclinic Dubai Mall</t>
        </is>
      </c>
      <c r="Q66" s="7" t="inlineStr">
        <is>
          <t>Dubai Mall</t>
        </is>
      </c>
      <c r="R66" s="7" t="inlineStr">
        <is>
          <t>Financial Ctr Rd</t>
        </is>
      </c>
      <c r="S66" t="inlineStr">
        <is>
          <t>5</t>
        </is>
      </c>
      <c r="T66" t="inlineStr">
        <is>
          <t>20</t>
        </is>
      </c>
      <c r="U66" t="inlineStr">
        <is>
          <t>15</t>
        </is>
      </c>
      <c r="V66" t="inlineStr">
        <is>
          <t>35</t>
        </is>
      </c>
      <c r="W66" t="n">
        <v>2</v>
      </c>
      <c r="X66" s="12" t="n">
        <v>2100000</v>
      </c>
      <c r="Y66" s="12" t="n">
        <v>2100000</v>
      </c>
      <c r="Z66" s="9" t="n">
        <v>5.5</v>
      </c>
      <c r="AA66" s="9" t="n">
        <v>6</v>
      </c>
      <c r="AB66" s="9" t="n">
        <v>7</v>
      </c>
      <c r="AC66" s="9" t="n">
        <v>9</v>
      </c>
      <c r="AD66" s="9" t="n">
        <v>12.5</v>
      </c>
      <c r="AE66" s="9" t="n">
        <v>15</v>
      </c>
      <c r="AF66" t="n">
        <v>2018</v>
      </c>
      <c r="AH66" t="inlineStr">
        <is>
          <t>Apartment</t>
        </is>
      </c>
      <c r="AI66" t="inlineStr">
        <is>
          <t>Prime</t>
        </is>
      </c>
      <c r="AJ66" t="inlineStr">
        <is>
          <t>TopTier</t>
        </is>
      </c>
      <c r="AK66" t="inlineStr">
        <is>
          <t>Prime resilient / selective</t>
        </is>
      </c>
      <c r="AL66" s="7" t="inlineStr">
        <is>
          <t>Better support from quality, branding, and scarcer prime stock; still entry-price sensitive.</t>
        </is>
      </c>
      <c r="AM66" s="9" t="n">
        <v>8</v>
      </c>
      <c r="AN66" s="9" t="n">
        <v>5.75</v>
      </c>
      <c r="AO66" s="10" t="n">
        <v>0.55</v>
      </c>
      <c r="AP66" s="13" t="n">
        <v>0.02</v>
      </c>
      <c r="AQ66" s="13" t="n">
        <v>0</v>
      </c>
      <c r="AR66" s="13" t="n">
        <v>0</v>
      </c>
      <c r="AS66" s="13" t="n">
        <v>0.03</v>
      </c>
      <c r="AT66" s="13" t="n">
        <v>0.005</v>
      </c>
      <c r="AU66" s="13" t="n">
        <v>0</v>
      </c>
      <c r="AV66" s="13" t="n">
        <v>-0.005</v>
      </c>
      <c r="AW66" s="13">
        <f>IF(X66="","",(AM66/100*AO66)+AP66+AQ66+AR66)</f>
        <v/>
      </c>
      <c r="AX66" s="13">
        <f>IF(X66="","",AS66+AT66+AU66+AV66)</f>
        <v/>
      </c>
      <c r="AY66" s="12">
        <f>IF(AZ66="","",ROUND(AZ66*(1+Assumptions!$B$10),0))</f>
        <v/>
      </c>
      <c r="AZ66" s="12">
        <f>IF(X66="","",ROUND(X66*(1+AW66),0))</f>
        <v/>
      </c>
      <c r="BA66" s="12">
        <f>IF(AZ66="","",ROUND(AZ66*(1+Assumptions!$B$11),0))</f>
        <v/>
      </c>
      <c r="BB66" s="12">
        <f>IF(AZ66="","",ROUND(AZ66*(1+AX66+Assumptions!$B$10),0))</f>
        <v/>
      </c>
      <c r="BC66" s="12">
        <f>IF(AZ66="","",ROUND(AZ66*(1+AX66),0))</f>
        <v/>
      </c>
      <c r="BD66" s="12">
        <f>IF(AZ66="","",ROUND(AZ66*(1+AX66+Assumptions!$B$11),0))</f>
        <v/>
      </c>
      <c r="BE66" s="12">
        <f>IF(AZ66="","",ROUND(AZ66*(1+AX66)*(1+AX66),0))</f>
        <v/>
      </c>
      <c r="BF66" s="7" t="inlineStr">
        <is>
          <t>Rules-based enrichment using launch-price anchor, cap-app realization, and 2026 segment conditions.</t>
        </is>
      </c>
      <c r="BG66" t="inlineStr">
        <is>
          <t>2026-03-17</t>
        </is>
      </c>
      <c r="BH66" s="7" t="inlineStr">
        <is>
          <t>DLD / Digital Dubai / CBUAE / Savills / Knight Frank-Moody’s / Reuters</t>
        </is>
      </c>
    </row>
    <row r="67">
      <c r="A67" t="n">
        <v>66</v>
      </c>
      <c r="B67" s="7" t="inlineStr">
        <is>
          <t>Il Primo</t>
        </is>
      </c>
      <c r="C67" t="inlineStr">
        <is>
          <t>Emaar Properties</t>
        </is>
      </c>
      <c r="D67" t="inlineStr">
        <is>
          <t>Downtown Dubai</t>
        </is>
      </c>
      <c r="E67" t="inlineStr">
        <is>
          <t>Penthouse/Luxury</t>
        </is>
      </c>
      <c r="F67" s="7" t="inlineStr">
        <is>
          <t>Opera District</t>
        </is>
      </c>
      <c r="G67" t="inlineStr">
        <is>
          <t>18M+</t>
        </is>
      </c>
      <c r="H67" t="inlineStr">
        <is>
          <t>4500</t>
        </is>
      </c>
      <c r="I67" t="inlineStr">
        <is>
          <t>45+</t>
        </is>
      </c>
      <c r="J67" t="inlineStr">
        <is>
          <t>Completed</t>
        </is>
      </c>
      <c r="K67" t="inlineStr">
        <is>
          <t>2018</t>
        </is>
      </c>
      <c r="L67" t="inlineStr">
        <is>
          <t>3.5-4.0</t>
        </is>
      </c>
      <c r="M67" t="inlineStr">
        <is>
          <t>8-10</t>
        </is>
      </c>
      <c r="N67" t="inlineStr">
        <is>
          <t>11.5-14.0</t>
        </is>
      </c>
      <c r="O67" s="7" t="inlineStr">
        <is>
          <t>Hartland Intl</t>
        </is>
      </c>
      <c r="P67" s="7" t="inlineStr">
        <is>
          <t>Mediclinic Dubai Mall</t>
        </is>
      </c>
      <c r="Q67" s="7" t="inlineStr">
        <is>
          <t>Dubai Mall</t>
        </is>
      </c>
      <c r="R67" s="7" t="inlineStr">
        <is>
          <t>Financial Ctr Rd</t>
        </is>
      </c>
      <c r="S67" t="inlineStr">
        <is>
          <t>5</t>
        </is>
      </c>
      <c r="T67" t="inlineStr">
        <is>
          <t>20</t>
        </is>
      </c>
      <c r="U67" t="inlineStr">
        <is>
          <t>15</t>
        </is>
      </c>
      <c r="V67" t="inlineStr">
        <is>
          <t>35</t>
        </is>
      </c>
      <c r="W67" t="n">
        <v>2</v>
      </c>
      <c r="X67" s="12" t="n">
        <v>18000000</v>
      </c>
      <c r="Y67" s="12" t="n">
        <v>18000000</v>
      </c>
      <c r="Z67" s="9" t="n">
        <v>3.5</v>
      </c>
      <c r="AA67" s="9" t="n">
        <v>4</v>
      </c>
      <c r="AB67" s="9" t="n">
        <v>8</v>
      </c>
      <c r="AC67" s="9" t="n">
        <v>10</v>
      </c>
      <c r="AD67" s="9" t="n">
        <v>11.5</v>
      </c>
      <c r="AE67" s="9" t="n">
        <v>14</v>
      </c>
      <c r="AF67" t="n">
        <v>2018</v>
      </c>
      <c r="AH67" t="inlineStr">
        <is>
          <t>Mixed/Other</t>
        </is>
      </c>
      <c r="AI67" t="inlineStr">
        <is>
          <t>Prime</t>
        </is>
      </c>
      <c r="AJ67" t="inlineStr">
        <is>
          <t>TopTier</t>
        </is>
      </c>
      <c r="AK67" t="inlineStr">
        <is>
          <t>Prime resilient / selective</t>
        </is>
      </c>
      <c r="AL67" s="7" t="inlineStr">
        <is>
          <t>Better support from quality, branding, and scarcer prime stock; still entry-price sensitive.</t>
        </is>
      </c>
      <c r="AM67" s="9" t="n">
        <v>9</v>
      </c>
      <c r="AN67" s="9" t="n">
        <v>3.75</v>
      </c>
      <c r="AO67" s="10" t="n">
        <v>0.55</v>
      </c>
      <c r="AP67" s="13" t="n">
        <v>0.02</v>
      </c>
      <c r="AQ67" s="13" t="n">
        <v>0</v>
      </c>
      <c r="AR67" s="13" t="n">
        <v>0</v>
      </c>
      <c r="AS67" s="13" t="n">
        <v>0.03</v>
      </c>
      <c r="AT67" s="13" t="n">
        <v>0.005</v>
      </c>
      <c r="AU67" s="13" t="n">
        <v>0</v>
      </c>
      <c r="AV67" s="13" t="n">
        <v>-0.005</v>
      </c>
      <c r="AW67" s="13">
        <f>IF(X67="","",(AM67/100*AO67)+AP67+AQ67+AR67)</f>
        <v/>
      </c>
      <c r="AX67" s="13">
        <f>IF(X67="","",AS67+AT67+AU67+AV67)</f>
        <v/>
      </c>
      <c r="AY67" s="12">
        <f>IF(AZ67="","",ROUND(AZ67*(1+Assumptions!$B$10),0))</f>
        <v/>
      </c>
      <c r="AZ67" s="12">
        <f>IF(X67="","",ROUND(X67*(1+AW67),0))</f>
        <v/>
      </c>
      <c r="BA67" s="12">
        <f>IF(AZ67="","",ROUND(AZ67*(1+Assumptions!$B$11),0))</f>
        <v/>
      </c>
      <c r="BB67" s="12">
        <f>IF(AZ67="","",ROUND(AZ67*(1+AX67+Assumptions!$B$10),0))</f>
        <v/>
      </c>
      <c r="BC67" s="12">
        <f>IF(AZ67="","",ROUND(AZ67*(1+AX67),0))</f>
        <v/>
      </c>
      <c r="BD67" s="12">
        <f>IF(AZ67="","",ROUND(AZ67*(1+AX67+Assumptions!$B$11),0))</f>
        <v/>
      </c>
      <c r="BE67" s="12">
        <f>IF(AZ67="","",ROUND(AZ67*(1+AX67)*(1+AX67),0))</f>
        <v/>
      </c>
      <c r="BF67" s="7" t="inlineStr">
        <is>
          <t>Rules-based enrichment using launch-price anchor, cap-app realization, and 2026 segment conditions.</t>
        </is>
      </c>
      <c r="BG67" t="inlineStr">
        <is>
          <t>2026-03-17</t>
        </is>
      </c>
      <c r="BH67" s="7" t="inlineStr">
        <is>
          <t>DLD / Digital Dubai / CBUAE / Savills / Knight Frank-Moody’s / Reuters</t>
        </is>
      </c>
    </row>
    <row r="68">
      <c r="A68" t="n">
        <v>67</v>
      </c>
      <c r="B68" s="7" t="inlineStr">
        <is>
          <t>Palm Jebel Ali</t>
        </is>
      </c>
      <c r="C68" t="inlineStr">
        <is>
          <t>Nakheel</t>
        </is>
      </c>
      <c r="D68" t="inlineStr">
        <is>
          <t>Jebel Ali Waterfront</t>
        </is>
      </c>
      <c r="E68" t="inlineStr">
        <is>
          <t>Villas &amp; Plots</t>
        </is>
      </c>
      <c r="F68" s="7" t="inlineStr">
        <is>
          <t>Mega Island / Beach</t>
        </is>
      </c>
      <c r="G68" t="inlineStr">
        <is>
          <t>18.5M</t>
        </is>
      </c>
      <c r="H68" t="inlineStr">
        <is>
          <t>2500+</t>
        </is>
      </c>
      <c r="I68" t="inlineStr">
        <is>
          <t>TBA</t>
        </is>
      </c>
      <c r="J68" t="inlineStr">
        <is>
          <t>80/20</t>
        </is>
      </c>
      <c r="K68" t="inlineStr">
        <is>
          <t>2023</t>
        </is>
      </c>
      <c r="L68" t="inlineStr">
        <is>
          <t>3.5-4.5</t>
        </is>
      </c>
      <c r="M68" t="inlineStr">
        <is>
          <t>15-20</t>
        </is>
      </c>
      <c r="N68" t="inlineStr">
        <is>
          <t>18.5-24.5</t>
        </is>
      </c>
      <c r="O68" s="7" t="inlineStr">
        <is>
          <t>Dove Green (DIP)</t>
        </is>
      </c>
      <c r="P68" s="7" t="inlineStr">
        <is>
          <t>Aster Cedars Jebel Ali</t>
        </is>
      </c>
      <c r="Q68" s="7" t="inlineStr">
        <is>
          <t>Ibn Battuta Mall</t>
        </is>
      </c>
      <c r="R68" s="7" t="inlineStr">
        <is>
          <t>Sheikh Zayed E11</t>
        </is>
      </c>
      <c r="S68" t="inlineStr">
        <is>
          <t>40</t>
        </is>
      </c>
      <c r="T68" t="inlineStr">
        <is>
          <t>20</t>
        </is>
      </c>
      <c r="U68" t="inlineStr">
        <is>
          <t>45</t>
        </is>
      </c>
      <c r="V68" t="inlineStr">
        <is>
          <t>20</t>
        </is>
      </c>
      <c r="W68" t="n">
        <v>2</v>
      </c>
      <c r="X68" s="12" t="n">
        <v>18500000</v>
      </c>
      <c r="Y68" s="12" t="n">
        <v>18500000</v>
      </c>
      <c r="Z68" s="9" t="n">
        <v>3.5</v>
      </c>
      <c r="AA68" s="9" t="n">
        <v>4.5</v>
      </c>
      <c r="AB68" s="9" t="n">
        <v>15</v>
      </c>
      <c r="AC68" s="9" t="n">
        <v>20</v>
      </c>
      <c r="AD68" s="9" t="n">
        <v>18.5</v>
      </c>
      <c r="AE68" s="9" t="n">
        <v>24.5</v>
      </c>
      <c r="AF68" t="n">
        <v>2023</v>
      </c>
      <c r="AH68" t="inlineStr">
        <is>
          <t>Villa</t>
        </is>
      </c>
      <c r="AI68" t="inlineStr">
        <is>
          <t>MainstreamSelective</t>
        </is>
      </c>
      <c r="AJ68" t="inlineStr">
        <is>
          <t>TopTier</t>
        </is>
      </c>
      <c r="AK68" t="inlineStr">
        <is>
          <t>Family-villa resilient</t>
        </is>
      </c>
      <c r="AL68" s="7" t="inlineStr">
        <is>
          <t>Villa/townhouse demand remains relatively firmer, though growth should be slower than the post-2020 surge.</t>
        </is>
      </c>
      <c r="AM68" s="9" t="n">
        <v>17.5</v>
      </c>
      <c r="AN68" s="9" t="n">
        <v>4</v>
      </c>
      <c r="AO68" s="10" t="n">
        <v>0.55</v>
      </c>
      <c r="AP68" s="13" t="n">
        <v>0</v>
      </c>
      <c r="AQ68" s="13" t="n">
        <v>0.015</v>
      </c>
      <c r="AR68" s="13" t="n">
        <v>0</v>
      </c>
      <c r="AS68" s="13" t="n">
        <v>0.025</v>
      </c>
      <c r="AT68" s="13" t="n">
        <v>0.005</v>
      </c>
      <c r="AU68" s="13" t="n">
        <v>0</v>
      </c>
      <c r="AV68" s="13" t="n">
        <v>-0.005</v>
      </c>
      <c r="AW68" s="13">
        <f>IF(X68="","",(AM68/100*AO68)+AP68+AQ68+AR68)</f>
        <v/>
      </c>
      <c r="AX68" s="13">
        <f>IF(X68="","",AS68+AT68+AU68+AV68)</f>
        <v/>
      </c>
      <c r="AY68" s="12">
        <f>IF(AZ68="","",ROUND(AZ68*(1+Assumptions!$B$10),0))</f>
        <v/>
      </c>
      <c r="AZ68" s="12">
        <f>IF(X68="","",ROUND(X68*(1+AW68),0))</f>
        <v/>
      </c>
      <c r="BA68" s="12">
        <f>IF(AZ68="","",ROUND(AZ68*(1+Assumptions!$B$11),0))</f>
        <v/>
      </c>
      <c r="BB68" s="12">
        <f>IF(AZ68="","",ROUND(AZ68*(1+AX68+Assumptions!$B$10),0))</f>
        <v/>
      </c>
      <c r="BC68" s="12">
        <f>IF(AZ68="","",ROUND(AZ68*(1+AX68),0))</f>
        <v/>
      </c>
      <c r="BD68" s="12">
        <f>IF(AZ68="","",ROUND(AZ68*(1+AX68+Assumptions!$B$11),0))</f>
        <v/>
      </c>
      <c r="BE68" s="12">
        <f>IF(AZ68="","",ROUND(AZ68*(1+AX68)*(1+AX68),0))</f>
        <v/>
      </c>
      <c r="BF68" s="7" t="inlineStr">
        <is>
          <t>Rules-based enrichment using launch-price anchor, cap-app realization, and 2026 segment conditions.</t>
        </is>
      </c>
      <c r="BG68" t="inlineStr">
        <is>
          <t>2026-03-17</t>
        </is>
      </c>
      <c r="BH68" s="7" t="inlineStr">
        <is>
          <t>DLD / Digital Dubai / CBUAE / Savills / Knight Frank-Moody’s / Reuters</t>
        </is>
      </c>
    </row>
    <row r="69">
      <c r="A69" t="n">
        <v>68</v>
      </c>
      <c r="B69" s="7" t="inlineStr">
        <is>
          <t>The Fronds: Coral Collection</t>
        </is>
      </c>
      <c r="C69" t="inlineStr">
        <is>
          <t>Nakheel</t>
        </is>
      </c>
      <c r="D69" t="inlineStr">
        <is>
          <t>Palm Jebel Ali</t>
        </is>
      </c>
      <c r="E69" t="inlineStr">
        <is>
          <t>Villas (7 Beds)</t>
        </is>
      </c>
      <c r="F69" s="7" t="inlineStr">
        <is>
          <t>Luxury Beachfront</t>
        </is>
      </c>
      <c r="G69" t="inlineStr">
        <is>
          <t>22M+</t>
        </is>
      </c>
      <c r="H69" t="inlineStr">
        <is>
          <t>2800</t>
        </is>
      </c>
      <c r="I69" t="inlineStr">
        <is>
          <t>TBA</t>
        </is>
      </c>
      <c r="J69" t="inlineStr">
        <is>
          <t>80/20</t>
        </is>
      </c>
      <c r="K69" t="inlineStr">
        <is>
          <t>2023</t>
        </is>
      </c>
      <c r="L69" t="inlineStr">
        <is>
          <t>3.5-4.0</t>
        </is>
      </c>
      <c r="M69" t="inlineStr">
        <is>
          <t>15-20</t>
        </is>
      </c>
      <c r="N69" t="inlineStr">
        <is>
          <t>18.5-24.0</t>
        </is>
      </c>
      <c r="O69" s="7" t="inlineStr">
        <is>
          <t>Dove Green (DIP)</t>
        </is>
      </c>
      <c r="P69" s="7" t="inlineStr">
        <is>
          <t>Aster Cedars Jebel Ali</t>
        </is>
      </c>
      <c r="Q69" s="7" t="inlineStr">
        <is>
          <t>Ibn Battuta Mall</t>
        </is>
      </c>
      <c r="R69" s="7" t="inlineStr">
        <is>
          <t>Sheikh Zayed E11</t>
        </is>
      </c>
      <c r="S69" t="inlineStr">
        <is>
          <t>40</t>
        </is>
      </c>
      <c r="T69" t="inlineStr">
        <is>
          <t>20</t>
        </is>
      </c>
      <c r="U69" t="inlineStr">
        <is>
          <t>45</t>
        </is>
      </c>
      <c r="V69" t="inlineStr">
        <is>
          <t>20</t>
        </is>
      </c>
      <c r="W69" t="n">
        <v>2</v>
      </c>
      <c r="X69" s="12" t="n">
        <v>22000000</v>
      </c>
      <c r="Y69" s="12" t="n">
        <v>22000000</v>
      </c>
      <c r="Z69" s="9" t="n">
        <v>3.5</v>
      </c>
      <c r="AA69" s="9" t="n">
        <v>4</v>
      </c>
      <c r="AB69" s="9" t="n">
        <v>15</v>
      </c>
      <c r="AC69" s="9" t="n">
        <v>20</v>
      </c>
      <c r="AD69" s="9" t="n">
        <v>18.5</v>
      </c>
      <c r="AE69" s="9" t="n">
        <v>24</v>
      </c>
      <c r="AF69" t="n">
        <v>2023</v>
      </c>
      <c r="AH69" t="inlineStr">
        <is>
          <t>Villa</t>
        </is>
      </c>
      <c r="AI69" t="inlineStr">
        <is>
          <t>MainstreamSelective</t>
        </is>
      </c>
      <c r="AJ69" t="inlineStr">
        <is>
          <t>TopTier</t>
        </is>
      </c>
      <c r="AK69" t="inlineStr">
        <is>
          <t>Family-villa resilient</t>
        </is>
      </c>
      <c r="AL69" s="7" t="inlineStr">
        <is>
          <t>Villa/townhouse demand remains relatively firmer, though growth should be slower than the post-2020 surge.</t>
        </is>
      </c>
      <c r="AM69" s="9" t="n">
        <v>17.5</v>
      </c>
      <c r="AN69" s="9" t="n">
        <v>3.75</v>
      </c>
      <c r="AO69" s="10" t="n">
        <v>0.55</v>
      </c>
      <c r="AP69" s="13" t="n">
        <v>0</v>
      </c>
      <c r="AQ69" s="13" t="n">
        <v>0.015</v>
      </c>
      <c r="AR69" s="13" t="n">
        <v>0</v>
      </c>
      <c r="AS69" s="13" t="n">
        <v>0.025</v>
      </c>
      <c r="AT69" s="13" t="n">
        <v>0.005</v>
      </c>
      <c r="AU69" s="13" t="n">
        <v>0</v>
      </c>
      <c r="AV69" s="13" t="n">
        <v>-0.005</v>
      </c>
      <c r="AW69" s="13">
        <f>IF(X69="","",(AM69/100*AO69)+AP69+AQ69+AR69)</f>
        <v/>
      </c>
      <c r="AX69" s="13">
        <f>IF(X69="","",AS69+AT69+AU69+AV69)</f>
        <v/>
      </c>
      <c r="AY69" s="12">
        <f>IF(AZ69="","",ROUND(AZ69*(1+Assumptions!$B$10),0))</f>
        <v/>
      </c>
      <c r="AZ69" s="12">
        <f>IF(X69="","",ROUND(X69*(1+AW69),0))</f>
        <v/>
      </c>
      <c r="BA69" s="12">
        <f>IF(AZ69="","",ROUND(AZ69*(1+Assumptions!$B$11),0))</f>
        <v/>
      </c>
      <c r="BB69" s="12">
        <f>IF(AZ69="","",ROUND(AZ69*(1+AX69+Assumptions!$B$10),0))</f>
        <v/>
      </c>
      <c r="BC69" s="12">
        <f>IF(AZ69="","",ROUND(AZ69*(1+AX69),0))</f>
        <v/>
      </c>
      <c r="BD69" s="12">
        <f>IF(AZ69="","",ROUND(AZ69*(1+AX69+Assumptions!$B$11),0))</f>
        <v/>
      </c>
      <c r="BE69" s="12">
        <f>IF(AZ69="","",ROUND(AZ69*(1+AX69)*(1+AX69),0))</f>
        <v/>
      </c>
      <c r="BF69" s="7" t="inlineStr">
        <is>
          <t>Rules-based enrichment using launch-price anchor, cap-app realization, and 2026 segment conditions.</t>
        </is>
      </c>
      <c r="BG69" t="inlineStr">
        <is>
          <t>2026-03-17</t>
        </is>
      </c>
      <c r="BH69" s="7" t="inlineStr">
        <is>
          <t>DLD / Digital Dubai / CBUAE / Savills / Knight Frank-Moody’s / Reuters</t>
        </is>
      </c>
    </row>
    <row r="70">
      <c r="A70" t="n">
        <v>69</v>
      </c>
      <c r="B70" s="7" t="inlineStr">
        <is>
          <t>The Fronds: Beach Collection</t>
        </is>
      </c>
      <c r="C70" t="inlineStr">
        <is>
          <t>Nakheel</t>
        </is>
      </c>
      <c r="D70" t="inlineStr">
        <is>
          <t>Palm Jebel Ali</t>
        </is>
      </c>
      <c r="E70" t="inlineStr">
        <is>
          <t>Villas (5-6 Beds)</t>
        </is>
      </c>
      <c r="F70" s="7" t="inlineStr">
        <is>
          <t>Luxury Beachfront</t>
        </is>
      </c>
      <c r="G70" t="inlineStr">
        <is>
          <t>18.5M</t>
        </is>
      </c>
      <c r="H70" t="inlineStr">
        <is>
          <t>2600</t>
        </is>
      </c>
      <c r="I70" t="inlineStr">
        <is>
          <t>TBA</t>
        </is>
      </c>
      <c r="J70" t="inlineStr">
        <is>
          <t>80/20</t>
        </is>
      </c>
      <c r="K70" t="inlineStr">
        <is>
          <t>2023</t>
        </is>
      </c>
      <c r="L70" t="inlineStr">
        <is>
          <t>3.5-4.5</t>
        </is>
      </c>
      <c r="M70" t="inlineStr">
        <is>
          <t>15-20</t>
        </is>
      </c>
      <c r="N70" t="inlineStr">
        <is>
          <t>18.5-24.5</t>
        </is>
      </c>
      <c r="O70" s="7" t="inlineStr">
        <is>
          <t>Dove Green (DIP)</t>
        </is>
      </c>
      <c r="P70" s="7" t="inlineStr">
        <is>
          <t>Aster Cedars Jebel Ali</t>
        </is>
      </c>
      <c r="Q70" s="7" t="inlineStr">
        <is>
          <t>Ibn Battuta Mall</t>
        </is>
      </c>
      <c r="R70" s="7" t="inlineStr">
        <is>
          <t>Sheikh Zayed E11</t>
        </is>
      </c>
      <c r="S70" t="inlineStr">
        <is>
          <t>40</t>
        </is>
      </c>
      <c r="T70" t="inlineStr">
        <is>
          <t>20</t>
        </is>
      </c>
      <c r="U70" t="inlineStr">
        <is>
          <t>45</t>
        </is>
      </c>
      <c r="V70" t="inlineStr">
        <is>
          <t>20</t>
        </is>
      </c>
      <c r="W70" t="n">
        <v>2</v>
      </c>
      <c r="X70" s="12" t="n">
        <v>18500000</v>
      </c>
      <c r="Y70" s="12" t="n">
        <v>18500000</v>
      </c>
      <c r="Z70" s="9" t="n">
        <v>3.5</v>
      </c>
      <c r="AA70" s="9" t="n">
        <v>4.5</v>
      </c>
      <c r="AB70" s="9" t="n">
        <v>15</v>
      </c>
      <c r="AC70" s="9" t="n">
        <v>20</v>
      </c>
      <c r="AD70" s="9" t="n">
        <v>18.5</v>
      </c>
      <c r="AE70" s="9" t="n">
        <v>24.5</v>
      </c>
      <c r="AF70" t="n">
        <v>2023</v>
      </c>
      <c r="AH70" t="inlineStr">
        <is>
          <t>Villa</t>
        </is>
      </c>
      <c r="AI70" t="inlineStr">
        <is>
          <t>MainstreamSelective</t>
        </is>
      </c>
      <c r="AJ70" t="inlineStr">
        <is>
          <t>TopTier</t>
        </is>
      </c>
      <c r="AK70" t="inlineStr">
        <is>
          <t>Family-villa resilient</t>
        </is>
      </c>
      <c r="AL70" s="7" t="inlineStr">
        <is>
          <t>Villa/townhouse demand remains relatively firmer, though growth should be slower than the post-2020 surge.</t>
        </is>
      </c>
      <c r="AM70" s="9" t="n">
        <v>17.5</v>
      </c>
      <c r="AN70" s="9" t="n">
        <v>4</v>
      </c>
      <c r="AO70" s="10" t="n">
        <v>0.55</v>
      </c>
      <c r="AP70" s="13" t="n">
        <v>0</v>
      </c>
      <c r="AQ70" s="13" t="n">
        <v>0.015</v>
      </c>
      <c r="AR70" s="13" t="n">
        <v>0</v>
      </c>
      <c r="AS70" s="13" t="n">
        <v>0.025</v>
      </c>
      <c r="AT70" s="13" t="n">
        <v>0.005</v>
      </c>
      <c r="AU70" s="13" t="n">
        <v>0</v>
      </c>
      <c r="AV70" s="13" t="n">
        <v>-0.005</v>
      </c>
      <c r="AW70" s="13">
        <f>IF(X70="","",(AM70/100*AO70)+AP70+AQ70+AR70)</f>
        <v/>
      </c>
      <c r="AX70" s="13">
        <f>IF(X70="","",AS70+AT70+AU70+AV70)</f>
        <v/>
      </c>
      <c r="AY70" s="12">
        <f>IF(AZ70="","",ROUND(AZ70*(1+Assumptions!$B$10),0))</f>
        <v/>
      </c>
      <c r="AZ70" s="12">
        <f>IF(X70="","",ROUND(X70*(1+AW70),0))</f>
        <v/>
      </c>
      <c r="BA70" s="12">
        <f>IF(AZ70="","",ROUND(AZ70*(1+Assumptions!$B$11),0))</f>
        <v/>
      </c>
      <c r="BB70" s="12">
        <f>IF(AZ70="","",ROUND(AZ70*(1+AX70+Assumptions!$B$10),0))</f>
        <v/>
      </c>
      <c r="BC70" s="12">
        <f>IF(AZ70="","",ROUND(AZ70*(1+AX70),0))</f>
        <v/>
      </c>
      <c r="BD70" s="12">
        <f>IF(AZ70="","",ROUND(AZ70*(1+AX70+Assumptions!$B$11),0))</f>
        <v/>
      </c>
      <c r="BE70" s="12">
        <f>IF(AZ70="","",ROUND(AZ70*(1+AX70)*(1+AX70),0))</f>
        <v/>
      </c>
      <c r="BF70" s="7" t="inlineStr">
        <is>
          <t>Rules-based enrichment using launch-price anchor, cap-app realization, and 2026 segment conditions.</t>
        </is>
      </c>
      <c r="BG70" t="inlineStr">
        <is>
          <t>2026-03-17</t>
        </is>
      </c>
      <c r="BH70" s="7" t="inlineStr">
        <is>
          <t>DLD / Digital Dubai / CBUAE / Savills / Knight Frank-Moody’s / Reuters</t>
        </is>
      </c>
    </row>
    <row r="71">
      <c r="A71" t="n">
        <v>70</v>
      </c>
      <c r="B71" s="7" t="inlineStr">
        <is>
          <t>Dubai Islands</t>
        </is>
      </c>
      <c r="C71" t="inlineStr">
        <is>
          <t>Nakheel</t>
        </is>
      </c>
      <c r="D71" t="inlineStr">
        <is>
          <t>Deira Waterfront</t>
        </is>
      </c>
      <c r="E71" t="inlineStr">
        <is>
          <t>Mixed</t>
        </is>
      </c>
      <c r="F71" s="7" t="inlineStr">
        <is>
          <t>Islands / Resort</t>
        </is>
      </c>
      <c r="I71" t="inlineStr">
        <is>
          <t>20</t>
        </is>
      </c>
      <c r="J71" t="inlineStr">
        <is>
          <t>Varies</t>
        </is>
      </c>
      <c r="K71" t="inlineStr">
        <is>
          <t>Ongoing</t>
        </is>
      </c>
      <c r="L71" t="inlineStr">
        <is>
          <t>6.0-7.0</t>
        </is>
      </c>
      <c r="M71" t="inlineStr">
        <is>
          <t>12-15</t>
        </is>
      </c>
      <c r="N71" t="inlineStr">
        <is>
          <t>18.0-22.0</t>
        </is>
      </c>
      <c r="O71" s="7" t="inlineStr">
        <is>
          <t>The Elite English</t>
        </is>
      </c>
      <c r="P71" s="7" t="inlineStr">
        <is>
          <t>Dubai Hospital</t>
        </is>
      </c>
      <c r="Q71" s="7" t="inlineStr">
        <is>
          <t>City Centre Deira</t>
        </is>
      </c>
      <c r="R71" s="7" t="inlineStr">
        <is>
          <t>Infinity Bridge</t>
        </is>
      </c>
      <c r="S71" t="inlineStr">
        <is>
          <t>20</t>
        </is>
      </c>
      <c r="T71" t="inlineStr">
        <is>
          <t>35</t>
        </is>
      </c>
      <c r="U71" t="inlineStr">
        <is>
          <t>15</t>
        </is>
      </c>
      <c r="V71" t="inlineStr">
        <is>
          <t>45</t>
        </is>
      </c>
      <c r="W71" t="n">
        <v>2</v>
      </c>
      <c r="X71" s="12" t="n"/>
      <c r="Y71" s="12" t="n"/>
      <c r="Z71" s="9" t="n">
        <v>6</v>
      </c>
      <c r="AA71" s="9" t="n">
        <v>7</v>
      </c>
      <c r="AB71" s="9" t="n">
        <v>12</v>
      </c>
      <c r="AC71" s="9" t="n">
        <v>15</v>
      </c>
      <c r="AD71" s="9" t="n">
        <v>18</v>
      </c>
      <c r="AE71" s="9" t="n">
        <v>22</v>
      </c>
      <c r="AH71" t="inlineStr">
        <is>
          <t>Land</t>
        </is>
      </c>
      <c r="AI71" t="inlineStr">
        <is>
          <t>MainstreamSelective</t>
        </is>
      </c>
      <c r="AJ71" t="inlineStr">
        <is>
          <t>TopTier</t>
        </is>
      </c>
      <c r="AK71" t="inlineStr">
        <is>
          <t>Balanced / selective</t>
        </is>
      </c>
      <c r="AL71" s="7" t="inlineStr">
        <is>
          <t>Market remains active but increasingly differentiated by developer, micro-location, livability, and pricing discipline.</t>
        </is>
      </c>
      <c r="AM71" s="9" t="n">
        <v>13.5</v>
      </c>
      <c r="AN71" s="9" t="n">
        <v>6.5</v>
      </c>
      <c r="AO71" s="10" t="n">
        <v>0.25</v>
      </c>
      <c r="AP71" s="13" t="n">
        <v>0</v>
      </c>
      <c r="AQ71" s="13" t="n">
        <v>0</v>
      </c>
      <c r="AR71" s="13" t="n">
        <v>0</v>
      </c>
      <c r="AS71" s="13" t="n">
        <v>0.01</v>
      </c>
      <c r="AT71" s="13" t="n">
        <v>0.005</v>
      </c>
      <c r="AU71" s="13" t="n">
        <v>0.0025</v>
      </c>
      <c r="AV71" s="13" t="n">
        <v>-0.005</v>
      </c>
      <c r="AW71" s="13">
        <f>IF(X71="","",(AM71/100*AO71)+AP71+AQ71+AR71)</f>
        <v/>
      </c>
      <c r="AX71" s="13">
        <f>IF(X71="","",AS71+AT71+AU71+AV71)</f>
        <v/>
      </c>
      <c r="AY71" s="12">
        <f>IF(AZ71="","",ROUND(AZ71*(1+Assumptions!$B$10),0))</f>
        <v/>
      </c>
      <c r="AZ71" s="12">
        <f>IF(X71="","",ROUND(X71*(1+AW71),0))</f>
        <v/>
      </c>
      <c r="BA71" s="12">
        <f>IF(AZ71="","",ROUND(AZ71*(1+Assumptions!$B$11),0))</f>
        <v/>
      </c>
      <c r="BB71" s="12">
        <f>IF(AZ71="","",ROUND(AZ71*(1+AX71+Assumptions!$B$10),0))</f>
        <v/>
      </c>
      <c r="BC71" s="12">
        <f>IF(AZ71="","",ROUND(AZ71*(1+AX71),0))</f>
        <v/>
      </c>
      <c r="BD71" s="12">
        <f>IF(AZ71="","",ROUND(AZ71*(1+AX71+Assumptions!$B$11),0))</f>
        <v/>
      </c>
      <c r="BE71" s="12">
        <f>IF(AZ71="","",ROUND(AZ71*(1+AX71)*(1+AX71),0))</f>
        <v/>
      </c>
      <c r="BF71" s="7" t="inlineStr">
        <is>
          <t>Rules-based enrichment using launch-price anchor, cap-app realization, and 2026 segment conditions.</t>
        </is>
      </c>
      <c r="BG71" t="inlineStr">
        <is>
          <t>2026-03-17</t>
        </is>
      </c>
      <c r="BH71" s="7" t="inlineStr">
        <is>
          <t>DLD / Digital Dubai / CBUAE / Savills / Knight Frank-Moody’s / Reuters</t>
        </is>
      </c>
    </row>
    <row r="72">
      <c r="A72" t="n">
        <v>71</v>
      </c>
      <c r="B72" s="7" t="inlineStr">
        <is>
          <t>Rixos Dubai Islands</t>
        </is>
      </c>
      <c r="C72" t="inlineStr">
        <is>
          <t>Nakheel</t>
        </is>
      </c>
      <c r="D72" t="inlineStr">
        <is>
          <t>Dubai Islands</t>
        </is>
      </c>
      <c r="E72" t="inlineStr">
        <is>
          <t>Branded Residences</t>
        </is>
      </c>
      <c r="F72" s="7" t="inlineStr">
        <is>
          <t>Resort / Beach</t>
        </is>
      </c>
      <c r="G72" t="inlineStr">
        <is>
          <t>2.6M</t>
        </is>
      </c>
      <c r="H72" t="inlineStr">
        <is>
          <t>2400</t>
        </is>
      </c>
      <c r="I72" t="inlineStr">
        <is>
          <t>40</t>
        </is>
      </c>
      <c r="J72" t="inlineStr">
        <is>
          <t>80/20</t>
        </is>
      </c>
      <c r="K72" t="inlineStr">
        <is>
          <t>2023</t>
        </is>
      </c>
      <c r="L72" t="inlineStr">
        <is>
          <t>5.0-5.5</t>
        </is>
      </c>
      <c r="M72" t="inlineStr">
        <is>
          <t>12-15</t>
        </is>
      </c>
      <c r="N72" t="inlineStr">
        <is>
          <t>17.0-20.5</t>
        </is>
      </c>
      <c r="O72" s="7" t="inlineStr">
        <is>
          <t>The Elite English</t>
        </is>
      </c>
      <c r="P72" s="7" t="inlineStr">
        <is>
          <t>Dubai Hospital</t>
        </is>
      </c>
      <c r="Q72" s="7" t="inlineStr">
        <is>
          <t>City Centre Deira</t>
        </is>
      </c>
      <c r="R72" s="7" t="inlineStr">
        <is>
          <t>Infinity Bridge</t>
        </is>
      </c>
      <c r="S72" t="inlineStr">
        <is>
          <t>20</t>
        </is>
      </c>
      <c r="T72" t="inlineStr">
        <is>
          <t>35</t>
        </is>
      </c>
      <c r="U72" t="inlineStr">
        <is>
          <t>15</t>
        </is>
      </c>
      <c r="V72" t="inlineStr">
        <is>
          <t>45</t>
        </is>
      </c>
      <c r="W72" t="n">
        <v>2</v>
      </c>
      <c r="X72" s="12" t="n">
        <v>2600000</v>
      </c>
      <c r="Y72" s="12" t="n">
        <v>2600000</v>
      </c>
      <c r="Z72" s="9" t="n">
        <v>5</v>
      </c>
      <c r="AA72" s="9" t="n">
        <v>5.5</v>
      </c>
      <c r="AB72" s="9" t="n">
        <v>12</v>
      </c>
      <c r="AC72" s="9" t="n">
        <v>15</v>
      </c>
      <c r="AD72" s="9" t="n">
        <v>17</v>
      </c>
      <c r="AE72" s="9" t="n">
        <v>20.5</v>
      </c>
      <c r="AF72" t="n">
        <v>2023</v>
      </c>
      <c r="AH72" t="inlineStr">
        <is>
          <t>Apartment</t>
        </is>
      </c>
      <c r="AI72" t="inlineStr">
        <is>
          <t>MainstreamSelective</t>
        </is>
      </c>
      <c r="AJ72" t="inlineStr">
        <is>
          <t>TopTier</t>
        </is>
      </c>
      <c r="AK72" t="inlineStr">
        <is>
          <t>Balanced / selective</t>
        </is>
      </c>
      <c r="AL72" s="7" t="inlineStr">
        <is>
          <t>Market remains active but increasingly differentiated by developer, micro-location, livability, and pricing discipline.</t>
        </is>
      </c>
      <c r="AM72" s="9" t="n">
        <v>13.5</v>
      </c>
      <c r="AN72" s="9" t="n">
        <v>5.25</v>
      </c>
      <c r="AO72" s="10" t="n">
        <v>0.55</v>
      </c>
      <c r="AP72" s="13" t="n">
        <v>0</v>
      </c>
      <c r="AQ72" s="13" t="n">
        <v>0</v>
      </c>
      <c r="AR72" s="13" t="n">
        <v>0</v>
      </c>
      <c r="AS72" s="13" t="n">
        <v>0.01</v>
      </c>
      <c r="AT72" s="13" t="n">
        <v>0.005</v>
      </c>
      <c r="AU72" s="13" t="n">
        <v>0</v>
      </c>
      <c r="AV72" s="13" t="n">
        <v>-0.005</v>
      </c>
      <c r="AW72" s="13">
        <f>IF(X72="","",(AM72/100*AO72)+AP72+AQ72+AR72)</f>
        <v/>
      </c>
      <c r="AX72" s="13">
        <f>IF(X72="","",AS72+AT72+AU72+AV72)</f>
        <v/>
      </c>
      <c r="AY72" s="12">
        <f>IF(AZ72="","",ROUND(AZ72*(1+Assumptions!$B$10),0))</f>
        <v/>
      </c>
      <c r="AZ72" s="12">
        <f>IF(X72="","",ROUND(X72*(1+AW72),0))</f>
        <v/>
      </c>
      <c r="BA72" s="12">
        <f>IF(AZ72="","",ROUND(AZ72*(1+Assumptions!$B$11),0))</f>
        <v/>
      </c>
      <c r="BB72" s="12">
        <f>IF(AZ72="","",ROUND(AZ72*(1+AX72+Assumptions!$B$10),0))</f>
        <v/>
      </c>
      <c r="BC72" s="12">
        <f>IF(AZ72="","",ROUND(AZ72*(1+AX72),0))</f>
        <v/>
      </c>
      <c r="BD72" s="12">
        <f>IF(AZ72="","",ROUND(AZ72*(1+AX72+Assumptions!$B$11),0))</f>
        <v/>
      </c>
      <c r="BE72" s="12">
        <f>IF(AZ72="","",ROUND(AZ72*(1+AX72)*(1+AX72),0))</f>
        <v/>
      </c>
      <c r="BF72" s="7" t="inlineStr">
        <is>
          <t>Rules-based enrichment using launch-price anchor, cap-app realization, and 2026 segment conditions.</t>
        </is>
      </c>
      <c r="BG72" t="inlineStr">
        <is>
          <t>2026-03-17</t>
        </is>
      </c>
      <c r="BH72" s="7" t="inlineStr">
        <is>
          <t>DLD / Digital Dubai / CBUAE / Savills / Knight Frank-Moody’s / Reuters</t>
        </is>
      </c>
    </row>
    <row r="73">
      <c r="A73" t="n">
        <v>72</v>
      </c>
      <c r="B73" s="7" t="inlineStr">
        <is>
          <t>Bay Villas</t>
        </is>
      </c>
      <c r="C73" t="inlineStr">
        <is>
          <t>Nakheel</t>
        </is>
      </c>
      <c r="D73" t="inlineStr">
        <is>
          <t>Dubai Islands</t>
        </is>
      </c>
      <c r="E73" t="inlineStr">
        <is>
          <t>Villas</t>
        </is>
      </c>
      <c r="F73" s="7" t="inlineStr">
        <is>
          <t>Waterfront</t>
        </is>
      </c>
      <c r="G73" t="inlineStr">
        <is>
          <t>4.5M</t>
        </is>
      </c>
      <c r="H73" t="inlineStr">
        <is>
          <t>1600</t>
        </is>
      </c>
      <c r="I73" t="inlineStr">
        <is>
          <t>20</t>
        </is>
      </c>
      <c r="J73" t="inlineStr">
        <is>
          <t>80/20</t>
        </is>
      </c>
      <c r="K73" t="inlineStr">
        <is>
          <t>2024</t>
        </is>
      </c>
      <c r="L73" t="inlineStr">
        <is>
          <t>5.0-5.5</t>
        </is>
      </c>
      <c r="M73" t="inlineStr">
        <is>
          <t>12-15</t>
        </is>
      </c>
      <c r="N73" t="inlineStr">
        <is>
          <t>17.0-20.5</t>
        </is>
      </c>
      <c r="O73" s="7" t="inlineStr">
        <is>
          <t>The Elite English</t>
        </is>
      </c>
      <c r="P73" s="7" t="inlineStr">
        <is>
          <t>Dubai Hospital</t>
        </is>
      </c>
      <c r="Q73" s="7" t="inlineStr">
        <is>
          <t>City Centre Deira</t>
        </is>
      </c>
      <c r="R73" s="7" t="inlineStr">
        <is>
          <t>Infinity Bridge</t>
        </is>
      </c>
      <c r="S73" t="inlineStr">
        <is>
          <t>20</t>
        </is>
      </c>
      <c r="T73" t="inlineStr">
        <is>
          <t>35</t>
        </is>
      </c>
      <c r="U73" t="inlineStr">
        <is>
          <t>15</t>
        </is>
      </c>
      <c r="V73" t="inlineStr">
        <is>
          <t>45</t>
        </is>
      </c>
      <c r="W73" t="n">
        <v>2</v>
      </c>
      <c r="X73" s="12" t="n">
        <v>4500000</v>
      </c>
      <c r="Y73" s="12" t="n">
        <v>4500000</v>
      </c>
      <c r="Z73" s="9" t="n">
        <v>5</v>
      </c>
      <c r="AA73" s="9" t="n">
        <v>5.5</v>
      </c>
      <c r="AB73" s="9" t="n">
        <v>12</v>
      </c>
      <c r="AC73" s="9" t="n">
        <v>15</v>
      </c>
      <c r="AD73" s="9" t="n">
        <v>17</v>
      </c>
      <c r="AE73" s="9" t="n">
        <v>20.5</v>
      </c>
      <c r="AF73" t="n">
        <v>2024</v>
      </c>
      <c r="AH73" t="inlineStr">
        <is>
          <t>Villa</t>
        </is>
      </c>
      <c r="AI73" t="inlineStr">
        <is>
          <t>MainstreamSelective</t>
        </is>
      </c>
      <c r="AJ73" t="inlineStr">
        <is>
          <t>TopTier</t>
        </is>
      </c>
      <c r="AK73" t="inlineStr">
        <is>
          <t>Family-villa resilient</t>
        </is>
      </c>
      <c r="AL73" s="7" t="inlineStr">
        <is>
          <t>Villa/townhouse demand remains relatively firmer, though growth should be slower than the post-2020 surge.</t>
        </is>
      </c>
      <c r="AM73" s="9" t="n">
        <v>13.5</v>
      </c>
      <c r="AN73" s="9" t="n">
        <v>5.25</v>
      </c>
      <c r="AO73" s="10" t="n">
        <v>0.55</v>
      </c>
      <c r="AP73" s="13" t="n">
        <v>0</v>
      </c>
      <c r="AQ73" s="13" t="n">
        <v>0.015</v>
      </c>
      <c r="AR73" s="13" t="n">
        <v>0</v>
      </c>
      <c r="AS73" s="13" t="n">
        <v>0.025</v>
      </c>
      <c r="AT73" s="13" t="n">
        <v>0.005</v>
      </c>
      <c r="AU73" s="13" t="n">
        <v>0</v>
      </c>
      <c r="AV73" s="13" t="n">
        <v>-0.005</v>
      </c>
      <c r="AW73" s="13">
        <f>IF(X73="","",(AM73/100*AO73)+AP73+AQ73+AR73)</f>
        <v/>
      </c>
      <c r="AX73" s="13">
        <f>IF(X73="","",AS73+AT73+AU73+AV73)</f>
        <v/>
      </c>
      <c r="AY73" s="12">
        <f>IF(AZ73="","",ROUND(AZ73*(1+Assumptions!$B$10),0))</f>
        <v/>
      </c>
      <c r="AZ73" s="12">
        <f>IF(X73="","",ROUND(X73*(1+AW73),0))</f>
        <v/>
      </c>
      <c r="BA73" s="12">
        <f>IF(AZ73="","",ROUND(AZ73*(1+Assumptions!$B$11),0))</f>
        <v/>
      </c>
      <c r="BB73" s="12">
        <f>IF(AZ73="","",ROUND(AZ73*(1+AX73+Assumptions!$B$10),0))</f>
        <v/>
      </c>
      <c r="BC73" s="12">
        <f>IF(AZ73="","",ROUND(AZ73*(1+AX73),0))</f>
        <v/>
      </c>
      <c r="BD73" s="12">
        <f>IF(AZ73="","",ROUND(AZ73*(1+AX73+Assumptions!$B$11),0))</f>
        <v/>
      </c>
      <c r="BE73" s="12">
        <f>IF(AZ73="","",ROUND(AZ73*(1+AX73)*(1+AX73),0))</f>
        <v/>
      </c>
      <c r="BF73" s="7" t="inlineStr">
        <is>
          <t>Rules-based enrichment using launch-price anchor, cap-app realization, and 2026 segment conditions.</t>
        </is>
      </c>
      <c r="BG73" t="inlineStr">
        <is>
          <t>2026-03-17</t>
        </is>
      </c>
      <c r="BH73" s="7" t="inlineStr">
        <is>
          <t>DLD / Digital Dubai / CBUAE / Savills / Knight Frank-Moody’s / Reuters</t>
        </is>
      </c>
    </row>
    <row r="74">
      <c r="A74" t="n">
        <v>73</v>
      </c>
      <c r="B74" s="7" t="inlineStr">
        <is>
          <t>Beach Walk Residences</t>
        </is>
      </c>
      <c r="C74" t="inlineStr">
        <is>
          <t>Nakheel</t>
        </is>
      </c>
      <c r="D74" t="inlineStr">
        <is>
          <t>Dubai Islands</t>
        </is>
      </c>
      <c r="E74" t="inlineStr">
        <is>
          <t>Apartments</t>
        </is>
      </c>
      <c r="F74" s="7" t="inlineStr">
        <is>
          <t>Beachfront</t>
        </is>
      </c>
      <c r="G74" t="inlineStr">
        <is>
          <t>1.9M</t>
        </is>
      </c>
      <c r="H74" t="inlineStr">
        <is>
          <t>1800</t>
        </is>
      </c>
      <c r="I74" t="inlineStr">
        <is>
          <t>20</t>
        </is>
      </c>
      <c r="J74" t="inlineStr">
        <is>
          <t>80/20</t>
        </is>
      </c>
      <c r="K74" t="inlineStr">
        <is>
          <t>2024</t>
        </is>
      </c>
      <c r="L74" t="inlineStr">
        <is>
          <t>6.0-6.5</t>
        </is>
      </c>
      <c r="M74" t="inlineStr">
        <is>
          <t>12-15</t>
        </is>
      </c>
      <c r="N74" t="inlineStr">
        <is>
          <t>18.0-21.5</t>
        </is>
      </c>
      <c r="O74" s="7" t="inlineStr">
        <is>
          <t>The Elite English</t>
        </is>
      </c>
      <c r="P74" s="7" t="inlineStr">
        <is>
          <t>Dubai Hospital</t>
        </is>
      </c>
      <c r="Q74" s="7" t="inlineStr">
        <is>
          <t>City Centre Deira</t>
        </is>
      </c>
      <c r="R74" s="7" t="inlineStr">
        <is>
          <t>Infinity Bridge</t>
        </is>
      </c>
      <c r="S74" t="inlineStr">
        <is>
          <t>20</t>
        </is>
      </c>
      <c r="T74" t="inlineStr">
        <is>
          <t>35</t>
        </is>
      </c>
      <c r="U74" t="inlineStr">
        <is>
          <t>15</t>
        </is>
      </c>
      <c r="V74" t="inlineStr">
        <is>
          <t>45</t>
        </is>
      </c>
      <c r="W74" t="n">
        <v>2</v>
      </c>
      <c r="X74" s="12" t="n">
        <v>1900000</v>
      </c>
      <c r="Y74" s="12" t="n">
        <v>1900000</v>
      </c>
      <c r="Z74" s="9" t="n">
        <v>6</v>
      </c>
      <c r="AA74" s="9" t="n">
        <v>6.5</v>
      </c>
      <c r="AB74" s="9" t="n">
        <v>12</v>
      </c>
      <c r="AC74" s="9" t="n">
        <v>15</v>
      </c>
      <c r="AD74" s="9" t="n">
        <v>18</v>
      </c>
      <c r="AE74" s="9" t="n">
        <v>21.5</v>
      </c>
      <c r="AF74" t="n">
        <v>2024</v>
      </c>
      <c r="AH74" t="inlineStr">
        <is>
          <t>Apartment</t>
        </is>
      </c>
      <c r="AI74" t="inlineStr">
        <is>
          <t>MainstreamSelective</t>
        </is>
      </c>
      <c r="AJ74" t="inlineStr">
        <is>
          <t>TopTier</t>
        </is>
      </c>
      <c r="AK74" t="inlineStr">
        <is>
          <t>Balanced / selective</t>
        </is>
      </c>
      <c r="AL74" s="7" t="inlineStr">
        <is>
          <t>Market remains active but increasingly differentiated by developer, micro-location, livability, and pricing discipline.</t>
        </is>
      </c>
      <c r="AM74" s="9" t="n">
        <v>13.5</v>
      </c>
      <c r="AN74" s="9" t="n">
        <v>6.25</v>
      </c>
      <c r="AO74" s="10" t="n">
        <v>0.55</v>
      </c>
      <c r="AP74" s="13" t="n">
        <v>0</v>
      </c>
      <c r="AQ74" s="13" t="n">
        <v>0</v>
      </c>
      <c r="AR74" s="13" t="n">
        <v>0</v>
      </c>
      <c r="AS74" s="13" t="n">
        <v>0.01</v>
      </c>
      <c r="AT74" s="13" t="n">
        <v>0.005</v>
      </c>
      <c r="AU74" s="13" t="n">
        <v>0.0025</v>
      </c>
      <c r="AV74" s="13" t="n">
        <v>-0.005</v>
      </c>
      <c r="AW74" s="13">
        <f>IF(X74="","",(AM74/100*AO74)+AP74+AQ74+AR74)</f>
        <v/>
      </c>
      <c r="AX74" s="13">
        <f>IF(X74="","",AS74+AT74+AU74+AV74)</f>
        <v/>
      </c>
      <c r="AY74" s="12">
        <f>IF(AZ74="","",ROUND(AZ74*(1+Assumptions!$B$10),0))</f>
        <v/>
      </c>
      <c r="AZ74" s="12">
        <f>IF(X74="","",ROUND(X74*(1+AW74),0))</f>
        <v/>
      </c>
      <c r="BA74" s="12">
        <f>IF(AZ74="","",ROUND(AZ74*(1+Assumptions!$B$11),0))</f>
        <v/>
      </c>
      <c r="BB74" s="12">
        <f>IF(AZ74="","",ROUND(AZ74*(1+AX74+Assumptions!$B$10),0))</f>
        <v/>
      </c>
      <c r="BC74" s="12">
        <f>IF(AZ74="","",ROUND(AZ74*(1+AX74),0))</f>
        <v/>
      </c>
      <c r="BD74" s="12">
        <f>IF(AZ74="","",ROUND(AZ74*(1+AX74+Assumptions!$B$11),0))</f>
        <v/>
      </c>
      <c r="BE74" s="12">
        <f>IF(AZ74="","",ROUND(AZ74*(1+AX74)*(1+AX74),0))</f>
        <v/>
      </c>
      <c r="BF74" s="7" t="inlineStr">
        <is>
          <t>Rules-based enrichment using launch-price anchor, cap-app realization, and 2026 segment conditions.</t>
        </is>
      </c>
      <c r="BG74" t="inlineStr">
        <is>
          <t>2026-03-17</t>
        </is>
      </c>
      <c r="BH74" s="7" t="inlineStr">
        <is>
          <t>DLD / Digital Dubai / CBUAE / Savills / Knight Frank-Moody’s / Reuters</t>
        </is>
      </c>
    </row>
    <row r="75">
      <c r="A75" t="n">
        <v>74</v>
      </c>
      <c r="B75" s="7" t="inlineStr">
        <is>
          <t>Palm Jumeirah (Master Community)</t>
        </is>
      </c>
      <c r="C75" t="inlineStr">
        <is>
          <t>Nakheel</t>
        </is>
      </c>
      <c r="D75" t="inlineStr">
        <is>
          <t>Palm Jumeirah</t>
        </is>
      </c>
      <c r="E75" t="inlineStr">
        <is>
          <t>Mixed</t>
        </is>
      </c>
      <c r="F75" s="7" t="inlineStr">
        <is>
          <t>Iconic Island</t>
        </is>
      </c>
      <c r="I75" t="inlineStr">
        <is>
          <t>30+</t>
        </is>
      </c>
      <c r="K75" t="inlineStr">
        <is>
          <t>Completed</t>
        </is>
      </c>
      <c r="L75" t="inlineStr">
        <is>
          <t>4.5-5.5</t>
        </is>
      </c>
      <c r="M75" t="inlineStr">
        <is>
          <t>8-12</t>
        </is>
      </c>
      <c r="N75" t="inlineStr">
        <is>
          <t>12.5-17.5</t>
        </is>
      </c>
      <c r="O75" s="7" t="inlineStr">
        <is>
          <t>Chevalier College</t>
        </is>
      </c>
      <c r="P75" s="7" t="inlineStr">
        <is>
          <t>Emirates Hospital</t>
        </is>
      </c>
      <c r="Q75" s="7" t="inlineStr">
        <is>
          <t>Nakheel Mall</t>
        </is>
      </c>
      <c r="R75" s="7" t="inlineStr">
        <is>
          <t>Sheikh Zayed E11</t>
        </is>
      </c>
      <c r="S75" t="inlineStr">
        <is>
          <t>20</t>
        </is>
      </c>
      <c r="T75" t="inlineStr">
        <is>
          <t>10</t>
        </is>
      </c>
      <c r="U75" t="inlineStr">
        <is>
          <t>25</t>
        </is>
      </c>
      <c r="V75" t="inlineStr">
        <is>
          <t>35</t>
        </is>
      </c>
      <c r="W75" t="n">
        <v>2</v>
      </c>
      <c r="X75" s="12" t="n"/>
      <c r="Y75" s="12" t="n"/>
      <c r="Z75" s="9" t="n">
        <v>4.5</v>
      </c>
      <c r="AA75" s="9" t="n">
        <v>5.5</v>
      </c>
      <c r="AB75" s="9" t="n">
        <v>8</v>
      </c>
      <c r="AC75" s="9" t="n">
        <v>12</v>
      </c>
      <c r="AD75" s="9" t="n">
        <v>12.5</v>
      </c>
      <c r="AE75" s="9" t="n">
        <v>17.5</v>
      </c>
      <c r="AH75" t="inlineStr">
        <is>
          <t>Land</t>
        </is>
      </c>
      <c r="AI75" t="inlineStr">
        <is>
          <t>Prime</t>
        </is>
      </c>
      <c r="AJ75" t="inlineStr">
        <is>
          <t>TopTier</t>
        </is>
      </c>
      <c r="AK75" t="inlineStr">
        <is>
          <t>Prime resilient / selective</t>
        </is>
      </c>
      <c r="AL75" s="7" t="inlineStr">
        <is>
          <t>Better support from quality, branding, and scarcer prime stock; still entry-price sensitive.</t>
        </is>
      </c>
      <c r="AM75" s="9" t="n">
        <v>10</v>
      </c>
      <c r="AN75" s="9" t="n">
        <v>5</v>
      </c>
      <c r="AO75" s="10" t="n">
        <v>0.25</v>
      </c>
      <c r="AP75" s="13" t="n">
        <v>0.02</v>
      </c>
      <c r="AQ75" s="13" t="n">
        <v>0</v>
      </c>
      <c r="AR75" s="13" t="n">
        <v>0</v>
      </c>
      <c r="AS75" s="13" t="n">
        <v>0.03</v>
      </c>
      <c r="AT75" s="13" t="n">
        <v>0.005</v>
      </c>
      <c r="AU75" s="13" t="n">
        <v>0</v>
      </c>
      <c r="AV75" s="13" t="n">
        <v>-0.005</v>
      </c>
      <c r="AW75" s="13">
        <f>IF(X75="","",(AM75/100*AO75)+AP75+AQ75+AR75)</f>
        <v/>
      </c>
      <c r="AX75" s="13">
        <f>IF(X75="","",AS75+AT75+AU75+AV75)</f>
        <v/>
      </c>
      <c r="AY75" s="12">
        <f>IF(AZ75="","",ROUND(AZ75*(1+Assumptions!$B$10),0))</f>
        <v/>
      </c>
      <c r="AZ75" s="12">
        <f>IF(X75="","",ROUND(X75*(1+AW75),0))</f>
        <v/>
      </c>
      <c r="BA75" s="12">
        <f>IF(AZ75="","",ROUND(AZ75*(1+Assumptions!$B$11),0))</f>
        <v/>
      </c>
      <c r="BB75" s="12">
        <f>IF(AZ75="","",ROUND(AZ75*(1+AX75+Assumptions!$B$10),0))</f>
        <v/>
      </c>
      <c r="BC75" s="12">
        <f>IF(AZ75="","",ROUND(AZ75*(1+AX75),0))</f>
        <v/>
      </c>
      <c r="BD75" s="12">
        <f>IF(AZ75="","",ROUND(AZ75*(1+AX75+Assumptions!$B$11),0))</f>
        <v/>
      </c>
      <c r="BE75" s="12">
        <f>IF(AZ75="","",ROUND(AZ75*(1+AX75)*(1+AX75),0))</f>
        <v/>
      </c>
      <c r="BF75" s="7" t="inlineStr">
        <is>
          <t>Rules-based enrichment using launch-price anchor, cap-app realization, and 2026 segment conditions.</t>
        </is>
      </c>
      <c r="BG75" t="inlineStr">
        <is>
          <t>2026-03-17</t>
        </is>
      </c>
      <c r="BH75" s="7" t="inlineStr">
        <is>
          <t>DLD / Digital Dubai / CBUAE / Savills / Knight Frank-Moody’s / Reuters</t>
        </is>
      </c>
    </row>
    <row r="76">
      <c r="A76" t="n">
        <v>75</v>
      </c>
      <c r="B76" s="7" t="inlineStr">
        <is>
          <t>Como Residences</t>
        </is>
      </c>
      <c r="C76" t="inlineStr">
        <is>
          <t>Nakheel</t>
        </is>
      </c>
      <c r="D76" t="inlineStr">
        <is>
          <t>Palm Jumeirah</t>
        </is>
      </c>
      <c r="E76" t="inlineStr">
        <is>
          <t>Ultra-Luxury Apts</t>
        </is>
      </c>
      <c r="F76" s="7" t="inlineStr">
        <is>
          <t>High-Rise/Beach</t>
        </is>
      </c>
      <c r="G76" t="inlineStr">
        <is>
          <t>21M+</t>
        </is>
      </c>
      <c r="H76" t="inlineStr">
        <is>
          <t>6000+</t>
        </is>
      </c>
      <c r="I76" t="inlineStr">
        <is>
          <t>40+</t>
        </is>
      </c>
      <c r="J76" t="inlineStr">
        <is>
          <t>80/20</t>
        </is>
      </c>
      <c r="K76" t="inlineStr">
        <is>
          <t>2023</t>
        </is>
      </c>
      <c r="L76" t="inlineStr">
        <is>
          <t>3.0-3.5</t>
        </is>
      </c>
      <c r="M76" t="inlineStr">
        <is>
          <t>10-15</t>
        </is>
      </c>
      <c r="N76" t="inlineStr">
        <is>
          <t>13.0-18.5</t>
        </is>
      </c>
      <c r="O76" s="7" t="inlineStr">
        <is>
          <t>Chevalier College</t>
        </is>
      </c>
      <c r="P76" s="7" t="inlineStr">
        <is>
          <t>Emirates Hospital</t>
        </is>
      </c>
      <c r="Q76" s="7" t="inlineStr">
        <is>
          <t>Nakheel Mall</t>
        </is>
      </c>
      <c r="R76" s="7" t="inlineStr">
        <is>
          <t>Sheikh Zayed E11</t>
        </is>
      </c>
      <c r="S76" t="inlineStr">
        <is>
          <t>20</t>
        </is>
      </c>
      <c r="T76" t="inlineStr">
        <is>
          <t>10</t>
        </is>
      </c>
      <c r="U76" t="inlineStr">
        <is>
          <t>25</t>
        </is>
      </c>
      <c r="V76" t="inlineStr">
        <is>
          <t>35</t>
        </is>
      </c>
      <c r="W76" t="n">
        <v>2</v>
      </c>
      <c r="X76" s="12" t="n">
        <v>21000000</v>
      </c>
      <c r="Y76" s="12" t="n">
        <v>21000000</v>
      </c>
      <c r="Z76" s="9" t="n">
        <v>3</v>
      </c>
      <c r="AA76" s="9" t="n">
        <v>3.5</v>
      </c>
      <c r="AB76" s="9" t="n">
        <v>10</v>
      </c>
      <c r="AC76" s="9" t="n">
        <v>15</v>
      </c>
      <c r="AD76" s="9" t="n">
        <v>13</v>
      </c>
      <c r="AE76" s="9" t="n">
        <v>18.5</v>
      </c>
      <c r="AF76" t="n">
        <v>2023</v>
      </c>
      <c r="AH76" t="inlineStr">
        <is>
          <t>Apartment</t>
        </is>
      </c>
      <c r="AI76" t="inlineStr">
        <is>
          <t>Prime</t>
        </is>
      </c>
      <c r="AJ76" t="inlineStr">
        <is>
          <t>TopTier</t>
        </is>
      </c>
      <c r="AK76" t="inlineStr">
        <is>
          <t>Prime resilient / selective</t>
        </is>
      </c>
      <c r="AL76" s="7" t="inlineStr">
        <is>
          <t>Better support from quality, branding, and scarcer prime stock; still entry-price sensitive.</t>
        </is>
      </c>
      <c r="AM76" s="9" t="n">
        <v>12.5</v>
      </c>
      <c r="AN76" s="9" t="n">
        <v>3.25</v>
      </c>
      <c r="AO76" s="10" t="n">
        <v>0.55</v>
      </c>
      <c r="AP76" s="13" t="n">
        <v>0.02</v>
      </c>
      <c r="AQ76" s="13" t="n">
        <v>0</v>
      </c>
      <c r="AR76" s="13" t="n">
        <v>0</v>
      </c>
      <c r="AS76" s="13" t="n">
        <v>0.03</v>
      </c>
      <c r="AT76" s="13" t="n">
        <v>0.005</v>
      </c>
      <c r="AU76" s="13" t="n">
        <v>0</v>
      </c>
      <c r="AV76" s="13" t="n">
        <v>-0.005</v>
      </c>
      <c r="AW76" s="13">
        <f>IF(X76="","",(AM76/100*AO76)+AP76+AQ76+AR76)</f>
        <v/>
      </c>
      <c r="AX76" s="13">
        <f>IF(X76="","",AS76+AT76+AU76+AV76)</f>
        <v/>
      </c>
      <c r="AY76" s="12">
        <f>IF(AZ76="","",ROUND(AZ76*(1+Assumptions!$B$10),0))</f>
        <v/>
      </c>
      <c r="AZ76" s="12">
        <f>IF(X76="","",ROUND(X76*(1+AW76),0))</f>
        <v/>
      </c>
      <c r="BA76" s="12">
        <f>IF(AZ76="","",ROUND(AZ76*(1+Assumptions!$B$11),0))</f>
        <v/>
      </c>
      <c r="BB76" s="12">
        <f>IF(AZ76="","",ROUND(AZ76*(1+AX76+Assumptions!$B$10),0))</f>
        <v/>
      </c>
      <c r="BC76" s="12">
        <f>IF(AZ76="","",ROUND(AZ76*(1+AX76),0))</f>
        <v/>
      </c>
      <c r="BD76" s="12">
        <f>IF(AZ76="","",ROUND(AZ76*(1+AX76+Assumptions!$B$11),0))</f>
        <v/>
      </c>
      <c r="BE76" s="12">
        <f>IF(AZ76="","",ROUND(AZ76*(1+AX76)*(1+AX76),0))</f>
        <v/>
      </c>
      <c r="BF76" s="7" t="inlineStr">
        <is>
          <t>Rules-based enrichment using launch-price anchor, cap-app realization, and 2026 segment conditions.</t>
        </is>
      </c>
      <c r="BG76" t="inlineStr">
        <is>
          <t>2026-03-17</t>
        </is>
      </c>
      <c r="BH76" s="7" t="inlineStr">
        <is>
          <t>DLD / Digital Dubai / CBUAE / Savills / Knight Frank-Moody’s / Reuters</t>
        </is>
      </c>
    </row>
    <row r="77">
      <c r="A77" t="n">
        <v>76</v>
      </c>
      <c r="B77" s="7" t="inlineStr">
        <is>
          <t>Palm Beach Towers 1</t>
        </is>
      </c>
      <c r="C77" t="inlineStr">
        <is>
          <t>Nakheel</t>
        </is>
      </c>
      <c r="D77" t="inlineStr">
        <is>
          <t>Palm Jumeirah</t>
        </is>
      </c>
      <c r="E77" t="inlineStr">
        <is>
          <t>Apartments</t>
        </is>
      </c>
      <c r="F77" s="7" t="inlineStr">
        <is>
          <t>Luxury / View</t>
        </is>
      </c>
      <c r="G77" t="inlineStr">
        <is>
          <t>3.5M</t>
        </is>
      </c>
      <c r="H77" t="inlineStr">
        <is>
          <t>3000</t>
        </is>
      </c>
      <c r="I77" t="inlineStr">
        <is>
          <t>30</t>
        </is>
      </c>
      <c r="J77" t="inlineStr">
        <is>
          <t>60/40</t>
        </is>
      </c>
      <c r="K77" t="inlineStr">
        <is>
          <t>2022</t>
        </is>
      </c>
      <c r="L77" t="inlineStr">
        <is>
          <t>4.5-5.0</t>
        </is>
      </c>
      <c r="M77" t="inlineStr">
        <is>
          <t>8-12</t>
        </is>
      </c>
      <c r="N77" t="inlineStr">
        <is>
          <t>12.5-17.0</t>
        </is>
      </c>
      <c r="O77" s="7" t="inlineStr">
        <is>
          <t>Chevalier College</t>
        </is>
      </c>
      <c r="P77" s="7" t="inlineStr">
        <is>
          <t>Emirates Hospital</t>
        </is>
      </c>
      <c r="Q77" s="7" t="inlineStr">
        <is>
          <t>Nakheel Mall</t>
        </is>
      </c>
      <c r="R77" s="7" t="inlineStr">
        <is>
          <t>Sheikh Zayed E11</t>
        </is>
      </c>
      <c r="S77" t="inlineStr">
        <is>
          <t>20</t>
        </is>
      </c>
      <c r="T77" t="inlineStr">
        <is>
          <t>10</t>
        </is>
      </c>
      <c r="U77" t="inlineStr">
        <is>
          <t>25</t>
        </is>
      </c>
      <c r="V77" t="inlineStr">
        <is>
          <t>35</t>
        </is>
      </c>
      <c r="W77" t="n">
        <v>2</v>
      </c>
      <c r="X77" s="12" t="n">
        <v>3500000</v>
      </c>
      <c r="Y77" s="12" t="n">
        <v>3500000</v>
      </c>
      <c r="Z77" s="9" t="n">
        <v>4.5</v>
      </c>
      <c r="AA77" s="9" t="n">
        <v>5</v>
      </c>
      <c r="AB77" s="9" t="n">
        <v>8</v>
      </c>
      <c r="AC77" s="9" t="n">
        <v>12</v>
      </c>
      <c r="AD77" s="9" t="n">
        <v>12.5</v>
      </c>
      <c r="AE77" s="9" t="n">
        <v>17</v>
      </c>
      <c r="AF77" t="n">
        <v>2022</v>
      </c>
      <c r="AH77" t="inlineStr">
        <is>
          <t>Apartment</t>
        </is>
      </c>
      <c r="AI77" t="inlineStr">
        <is>
          <t>Prime</t>
        </is>
      </c>
      <c r="AJ77" t="inlineStr">
        <is>
          <t>TopTier</t>
        </is>
      </c>
      <c r="AK77" t="inlineStr">
        <is>
          <t>Prime resilient / selective</t>
        </is>
      </c>
      <c r="AL77" s="7" t="inlineStr">
        <is>
          <t>Better support from quality, branding, and scarcer prime stock; still entry-price sensitive.</t>
        </is>
      </c>
      <c r="AM77" s="9" t="n">
        <v>10</v>
      </c>
      <c r="AN77" s="9" t="n">
        <v>4.75</v>
      </c>
      <c r="AO77" s="10" t="n">
        <v>0.55</v>
      </c>
      <c r="AP77" s="13" t="n">
        <v>0.02</v>
      </c>
      <c r="AQ77" s="13" t="n">
        <v>0</v>
      </c>
      <c r="AR77" s="13" t="n">
        <v>0</v>
      </c>
      <c r="AS77" s="13" t="n">
        <v>0.03</v>
      </c>
      <c r="AT77" s="13" t="n">
        <v>0.005</v>
      </c>
      <c r="AU77" s="13" t="n">
        <v>0</v>
      </c>
      <c r="AV77" s="13" t="n">
        <v>-0.005</v>
      </c>
      <c r="AW77" s="13">
        <f>IF(X77="","",(AM77/100*AO77)+AP77+AQ77+AR77)</f>
        <v/>
      </c>
      <c r="AX77" s="13">
        <f>IF(X77="","",AS77+AT77+AU77+AV77)</f>
        <v/>
      </c>
      <c r="AY77" s="12">
        <f>IF(AZ77="","",ROUND(AZ77*(1+Assumptions!$B$10),0))</f>
        <v/>
      </c>
      <c r="AZ77" s="12">
        <f>IF(X77="","",ROUND(X77*(1+AW77),0))</f>
        <v/>
      </c>
      <c r="BA77" s="12">
        <f>IF(AZ77="","",ROUND(AZ77*(1+Assumptions!$B$11),0))</f>
        <v/>
      </c>
      <c r="BB77" s="12">
        <f>IF(AZ77="","",ROUND(AZ77*(1+AX77+Assumptions!$B$10),0))</f>
        <v/>
      </c>
      <c r="BC77" s="12">
        <f>IF(AZ77="","",ROUND(AZ77*(1+AX77),0))</f>
        <v/>
      </c>
      <c r="BD77" s="12">
        <f>IF(AZ77="","",ROUND(AZ77*(1+AX77+Assumptions!$B$11),0))</f>
        <v/>
      </c>
      <c r="BE77" s="12">
        <f>IF(AZ77="","",ROUND(AZ77*(1+AX77)*(1+AX77),0))</f>
        <v/>
      </c>
      <c r="BF77" s="7" t="inlineStr">
        <is>
          <t>Rules-based enrichment using launch-price anchor, cap-app realization, and 2026 segment conditions.</t>
        </is>
      </c>
      <c r="BG77" t="inlineStr">
        <is>
          <t>2026-03-17</t>
        </is>
      </c>
      <c r="BH77" s="7" t="inlineStr">
        <is>
          <t>DLD / Digital Dubai / CBUAE / Savills / Knight Frank-Moody’s / Reuters</t>
        </is>
      </c>
    </row>
    <row r="78">
      <c r="A78" t="n">
        <v>77</v>
      </c>
      <c r="B78" s="7" t="inlineStr">
        <is>
          <t>Palm Beach Towers 2</t>
        </is>
      </c>
      <c r="C78" t="inlineStr">
        <is>
          <t>Nakheel</t>
        </is>
      </c>
      <c r="D78" t="inlineStr">
        <is>
          <t>Palm Jumeirah</t>
        </is>
      </c>
      <c r="E78" t="inlineStr">
        <is>
          <t>Apartments</t>
        </is>
      </c>
      <c r="F78" s="7" t="inlineStr">
        <is>
          <t>Luxury / View</t>
        </is>
      </c>
      <c r="G78" t="inlineStr">
        <is>
          <t>3.5M</t>
        </is>
      </c>
      <c r="H78" t="inlineStr">
        <is>
          <t>3000</t>
        </is>
      </c>
      <c r="I78" t="inlineStr">
        <is>
          <t>30</t>
        </is>
      </c>
      <c r="J78" t="inlineStr">
        <is>
          <t>60/40</t>
        </is>
      </c>
      <c r="K78" t="inlineStr">
        <is>
          <t>2022</t>
        </is>
      </c>
      <c r="L78" t="inlineStr">
        <is>
          <t>4.5-5.0</t>
        </is>
      </c>
      <c r="M78" t="inlineStr">
        <is>
          <t>8-12</t>
        </is>
      </c>
      <c r="N78" t="inlineStr">
        <is>
          <t>12.5-17.0</t>
        </is>
      </c>
      <c r="O78" s="7" t="inlineStr">
        <is>
          <t>Chevalier College</t>
        </is>
      </c>
      <c r="P78" s="7" t="inlineStr">
        <is>
          <t>Emirates Hospital</t>
        </is>
      </c>
      <c r="Q78" s="7" t="inlineStr">
        <is>
          <t>Nakheel Mall</t>
        </is>
      </c>
      <c r="R78" s="7" t="inlineStr">
        <is>
          <t>Sheikh Zayed E11</t>
        </is>
      </c>
      <c r="S78" t="inlineStr">
        <is>
          <t>20</t>
        </is>
      </c>
      <c r="T78" t="inlineStr">
        <is>
          <t>10</t>
        </is>
      </c>
      <c r="U78" t="inlineStr">
        <is>
          <t>25</t>
        </is>
      </c>
      <c r="V78" t="inlineStr">
        <is>
          <t>35</t>
        </is>
      </c>
      <c r="W78" t="n">
        <v>2</v>
      </c>
      <c r="X78" s="12" t="n">
        <v>3500000</v>
      </c>
      <c r="Y78" s="12" t="n">
        <v>3500000</v>
      </c>
      <c r="Z78" s="9" t="n">
        <v>4.5</v>
      </c>
      <c r="AA78" s="9" t="n">
        <v>5</v>
      </c>
      <c r="AB78" s="9" t="n">
        <v>8</v>
      </c>
      <c r="AC78" s="9" t="n">
        <v>12</v>
      </c>
      <c r="AD78" s="9" t="n">
        <v>12.5</v>
      </c>
      <c r="AE78" s="9" t="n">
        <v>17</v>
      </c>
      <c r="AF78" t="n">
        <v>2022</v>
      </c>
      <c r="AH78" t="inlineStr">
        <is>
          <t>Apartment</t>
        </is>
      </c>
      <c r="AI78" t="inlineStr">
        <is>
          <t>Prime</t>
        </is>
      </c>
      <c r="AJ78" t="inlineStr">
        <is>
          <t>TopTier</t>
        </is>
      </c>
      <c r="AK78" t="inlineStr">
        <is>
          <t>Prime resilient / selective</t>
        </is>
      </c>
      <c r="AL78" s="7" t="inlineStr">
        <is>
          <t>Better support from quality, branding, and scarcer prime stock; still entry-price sensitive.</t>
        </is>
      </c>
      <c r="AM78" s="9" t="n">
        <v>10</v>
      </c>
      <c r="AN78" s="9" t="n">
        <v>4.75</v>
      </c>
      <c r="AO78" s="10" t="n">
        <v>0.55</v>
      </c>
      <c r="AP78" s="13" t="n">
        <v>0.02</v>
      </c>
      <c r="AQ78" s="13" t="n">
        <v>0</v>
      </c>
      <c r="AR78" s="13" t="n">
        <v>0</v>
      </c>
      <c r="AS78" s="13" t="n">
        <v>0.03</v>
      </c>
      <c r="AT78" s="13" t="n">
        <v>0.005</v>
      </c>
      <c r="AU78" s="13" t="n">
        <v>0</v>
      </c>
      <c r="AV78" s="13" t="n">
        <v>-0.005</v>
      </c>
      <c r="AW78" s="13">
        <f>IF(X78="","",(AM78/100*AO78)+AP78+AQ78+AR78)</f>
        <v/>
      </c>
      <c r="AX78" s="13">
        <f>IF(X78="","",AS78+AT78+AU78+AV78)</f>
        <v/>
      </c>
      <c r="AY78" s="12">
        <f>IF(AZ78="","",ROUND(AZ78*(1+Assumptions!$B$10),0))</f>
        <v/>
      </c>
      <c r="AZ78" s="12">
        <f>IF(X78="","",ROUND(X78*(1+AW78),0))</f>
        <v/>
      </c>
      <c r="BA78" s="12">
        <f>IF(AZ78="","",ROUND(AZ78*(1+Assumptions!$B$11),0))</f>
        <v/>
      </c>
      <c r="BB78" s="12">
        <f>IF(AZ78="","",ROUND(AZ78*(1+AX78+Assumptions!$B$10),0))</f>
        <v/>
      </c>
      <c r="BC78" s="12">
        <f>IF(AZ78="","",ROUND(AZ78*(1+AX78),0))</f>
        <v/>
      </c>
      <c r="BD78" s="12">
        <f>IF(AZ78="","",ROUND(AZ78*(1+AX78+Assumptions!$B$11),0))</f>
        <v/>
      </c>
      <c r="BE78" s="12">
        <f>IF(AZ78="","",ROUND(AZ78*(1+AX78)*(1+AX78),0))</f>
        <v/>
      </c>
      <c r="BF78" s="7" t="inlineStr">
        <is>
          <t>Rules-based enrichment using launch-price anchor, cap-app realization, and 2026 segment conditions.</t>
        </is>
      </c>
      <c r="BG78" t="inlineStr">
        <is>
          <t>2026-03-17</t>
        </is>
      </c>
      <c r="BH78" s="7" t="inlineStr">
        <is>
          <t>DLD / Digital Dubai / CBUAE / Savills / Knight Frank-Moody’s / Reuters</t>
        </is>
      </c>
    </row>
    <row r="79">
      <c r="A79" t="n">
        <v>78</v>
      </c>
      <c r="B79" s="7" t="inlineStr">
        <is>
          <t>Palm Beach Towers 3</t>
        </is>
      </c>
      <c r="C79" t="inlineStr">
        <is>
          <t>Nakheel</t>
        </is>
      </c>
      <c r="D79" t="inlineStr">
        <is>
          <t>Palm Jumeirah</t>
        </is>
      </c>
      <c r="E79" t="inlineStr">
        <is>
          <t>Apartments</t>
        </is>
      </c>
      <c r="F79" s="7" t="inlineStr">
        <is>
          <t>Luxury / View</t>
        </is>
      </c>
      <c r="G79" t="inlineStr">
        <is>
          <t>3.6M</t>
        </is>
      </c>
      <c r="H79" t="inlineStr">
        <is>
          <t>3000</t>
        </is>
      </c>
      <c r="I79" t="inlineStr">
        <is>
          <t>30</t>
        </is>
      </c>
      <c r="J79" t="inlineStr">
        <is>
          <t>60/40</t>
        </is>
      </c>
      <c r="K79" t="inlineStr">
        <is>
          <t>2022</t>
        </is>
      </c>
      <c r="L79" t="inlineStr">
        <is>
          <t>4.5-5.0</t>
        </is>
      </c>
      <c r="M79" t="inlineStr">
        <is>
          <t>8-12</t>
        </is>
      </c>
      <c r="N79" t="inlineStr">
        <is>
          <t>12.5-17.0</t>
        </is>
      </c>
      <c r="O79" s="7" t="inlineStr">
        <is>
          <t>Chevalier College</t>
        </is>
      </c>
      <c r="P79" s="7" t="inlineStr">
        <is>
          <t>Emirates Hospital</t>
        </is>
      </c>
      <c r="Q79" s="7" t="inlineStr">
        <is>
          <t>Nakheel Mall</t>
        </is>
      </c>
      <c r="R79" s="7" t="inlineStr">
        <is>
          <t>Sheikh Zayed E11</t>
        </is>
      </c>
      <c r="S79" t="inlineStr">
        <is>
          <t>20</t>
        </is>
      </c>
      <c r="T79" t="inlineStr">
        <is>
          <t>10</t>
        </is>
      </c>
      <c r="U79" t="inlineStr">
        <is>
          <t>25</t>
        </is>
      </c>
      <c r="V79" t="inlineStr">
        <is>
          <t>35</t>
        </is>
      </c>
      <c r="W79" t="n">
        <v>2</v>
      </c>
      <c r="X79" s="12" t="n">
        <v>3600000</v>
      </c>
      <c r="Y79" s="12" t="n">
        <v>3600000</v>
      </c>
      <c r="Z79" s="9" t="n">
        <v>4.5</v>
      </c>
      <c r="AA79" s="9" t="n">
        <v>5</v>
      </c>
      <c r="AB79" s="9" t="n">
        <v>8</v>
      </c>
      <c r="AC79" s="9" t="n">
        <v>12</v>
      </c>
      <c r="AD79" s="9" t="n">
        <v>12.5</v>
      </c>
      <c r="AE79" s="9" t="n">
        <v>17</v>
      </c>
      <c r="AF79" t="n">
        <v>2022</v>
      </c>
      <c r="AH79" t="inlineStr">
        <is>
          <t>Apartment</t>
        </is>
      </c>
      <c r="AI79" t="inlineStr">
        <is>
          <t>Prime</t>
        </is>
      </c>
      <c r="AJ79" t="inlineStr">
        <is>
          <t>TopTier</t>
        </is>
      </c>
      <c r="AK79" t="inlineStr">
        <is>
          <t>Prime resilient / selective</t>
        </is>
      </c>
      <c r="AL79" s="7" t="inlineStr">
        <is>
          <t>Better support from quality, branding, and scarcer prime stock; still entry-price sensitive.</t>
        </is>
      </c>
      <c r="AM79" s="9" t="n">
        <v>10</v>
      </c>
      <c r="AN79" s="9" t="n">
        <v>4.75</v>
      </c>
      <c r="AO79" s="10" t="n">
        <v>0.55</v>
      </c>
      <c r="AP79" s="13" t="n">
        <v>0.02</v>
      </c>
      <c r="AQ79" s="13" t="n">
        <v>0</v>
      </c>
      <c r="AR79" s="13" t="n">
        <v>0</v>
      </c>
      <c r="AS79" s="13" t="n">
        <v>0.03</v>
      </c>
      <c r="AT79" s="13" t="n">
        <v>0.005</v>
      </c>
      <c r="AU79" s="13" t="n">
        <v>0</v>
      </c>
      <c r="AV79" s="13" t="n">
        <v>-0.005</v>
      </c>
      <c r="AW79" s="13">
        <f>IF(X79="","",(AM79/100*AO79)+AP79+AQ79+AR79)</f>
        <v/>
      </c>
      <c r="AX79" s="13">
        <f>IF(X79="","",AS79+AT79+AU79+AV79)</f>
        <v/>
      </c>
      <c r="AY79" s="12">
        <f>IF(AZ79="","",ROUND(AZ79*(1+Assumptions!$B$10),0))</f>
        <v/>
      </c>
      <c r="AZ79" s="12">
        <f>IF(X79="","",ROUND(X79*(1+AW79),0))</f>
        <v/>
      </c>
      <c r="BA79" s="12">
        <f>IF(AZ79="","",ROUND(AZ79*(1+Assumptions!$B$11),0))</f>
        <v/>
      </c>
      <c r="BB79" s="12">
        <f>IF(AZ79="","",ROUND(AZ79*(1+AX79+Assumptions!$B$10),0))</f>
        <v/>
      </c>
      <c r="BC79" s="12">
        <f>IF(AZ79="","",ROUND(AZ79*(1+AX79),0))</f>
        <v/>
      </c>
      <c r="BD79" s="12">
        <f>IF(AZ79="","",ROUND(AZ79*(1+AX79+Assumptions!$B$11),0))</f>
        <v/>
      </c>
      <c r="BE79" s="12">
        <f>IF(AZ79="","",ROUND(AZ79*(1+AX79)*(1+AX79),0))</f>
        <v/>
      </c>
      <c r="BF79" s="7" t="inlineStr">
        <is>
          <t>Rules-based enrichment using launch-price anchor, cap-app realization, and 2026 segment conditions.</t>
        </is>
      </c>
      <c r="BG79" t="inlineStr">
        <is>
          <t>2026-03-17</t>
        </is>
      </c>
      <c r="BH79" s="7" t="inlineStr">
        <is>
          <t>DLD / Digital Dubai / CBUAE / Savills / Knight Frank-Moody’s / Reuters</t>
        </is>
      </c>
    </row>
    <row r="80">
      <c r="A80" t="n">
        <v>79</v>
      </c>
      <c r="B80" s="7" t="inlineStr">
        <is>
          <t>The Palm Tower</t>
        </is>
      </c>
      <c r="C80" t="inlineStr">
        <is>
          <t>Nakheel</t>
        </is>
      </c>
      <c r="D80" t="inlineStr">
        <is>
          <t>Palm Jumeirah</t>
        </is>
      </c>
      <c r="E80" t="inlineStr">
        <is>
          <t>Hotel/Residences</t>
        </is>
      </c>
      <c r="F80" s="7" t="inlineStr">
        <is>
          <t>Luxury / View</t>
        </is>
      </c>
      <c r="G80" t="inlineStr">
        <is>
          <t>Resale (2.5M+)</t>
        </is>
      </c>
      <c r="H80" t="inlineStr">
        <is>
          <t>3500</t>
        </is>
      </c>
      <c r="I80" t="inlineStr">
        <is>
          <t>35</t>
        </is>
      </c>
      <c r="J80" t="inlineStr">
        <is>
          <t>Completed</t>
        </is>
      </c>
      <c r="K80" t="inlineStr">
        <is>
          <t>2017</t>
        </is>
      </c>
      <c r="L80" t="inlineStr">
        <is>
          <t>5.0-5.5</t>
        </is>
      </c>
      <c r="M80" t="inlineStr">
        <is>
          <t>6-8</t>
        </is>
      </c>
      <c r="N80" t="inlineStr">
        <is>
          <t>11.0-13.5</t>
        </is>
      </c>
      <c r="O80" s="7" t="inlineStr">
        <is>
          <t>Chevalier College</t>
        </is>
      </c>
      <c r="P80" s="7" t="inlineStr">
        <is>
          <t>Emirates Hospital</t>
        </is>
      </c>
      <c r="Q80" s="7" t="inlineStr">
        <is>
          <t>Nakheel Mall</t>
        </is>
      </c>
      <c r="R80" s="7" t="inlineStr">
        <is>
          <t>Sheikh Zayed E11</t>
        </is>
      </c>
      <c r="S80" t="inlineStr">
        <is>
          <t>20</t>
        </is>
      </c>
      <c r="T80" t="inlineStr">
        <is>
          <t>10</t>
        </is>
      </c>
      <c r="U80" t="inlineStr">
        <is>
          <t>25</t>
        </is>
      </c>
      <c r="V80" t="inlineStr">
        <is>
          <t>35</t>
        </is>
      </c>
      <c r="W80" t="n">
        <v>2</v>
      </c>
      <c r="X80" s="12" t="n">
        <v>2500000</v>
      </c>
      <c r="Y80" s="12" t="n">
        <v>2500000</v>
      </c>
      <c r="Z80" s="9" t="n">
        <v>5</v>
      </c>
      <c r="AA80" s="9" t="n">
        <v>5.5</v>
      </c>
      <c r="AB80" s="9" t="n">
        <v>6</v>
      </c>
      <c r="AC80" s="9" t="n">
        <v>8</v>
      </c>
      <c r="AD80" s="9" t="n">
        <v>11</v>
      </c>
      <c r="AE80" s="9" t="n">
        <v>13.5</v>
      </c>
      <c r="AF80" t="n">
        <v>2017</v>
      </c>
      <c r="AH80" t="inlineStr">
        <is>
          <t>Apartment</t>
        </is>
      </c>
      <c r="AI80" t="inlineStr">
        <is>
          <t>Prime</t>
        </is>
      </c>
      <c r="AJ80" t="inlineStr">
        <is>
          <t>TopTier</t>
        </is>
      </c>
      <c r="AK80" t="inlineStr">
        <is>
          <t>Prime resilient / selective</t>
        </is>
      </c>
      <c r="AL80" s="7" t="inlineStr">
        <is>
          <t>Better support from quality, branding, and scarcer prime stock; still entry-price sensitive.</t>
        </is>
      </c>
      <c r="AM80" s="9" t="n">
        <v>7</v>
      </c>
      <c r="AN80" s="9" t="n">
        <v>5.25</v>
      </c>
      <c r="AO80" s="10" t="n">
        <v>0.55</v>
      </c>
      <c r="AP80" s="13" t="n">
        <v>0.02</v>
      </c>
      <c r="AQ80" s="13" t="n">
        <v>0</v>
      </c>
      <c r="AR80" s="13" t="n">
        <v>0</v>
      </c>
      <c r="AS80" s="13" t="n">
        <v>0.03</v>
      </c>
      <c r="AT80" s="13" t="n">
        <v>0.005</v>
      </c>
      <c r="AU80" s="13" t="n">
        <v>0</v>
      </c>
      <c r="AV80" s="13" t="n">
        <v>-0.005</v>
      </c>
      <c r="AW80" s="13">
        <f>IF(X80="","",(AM80/100*AO80)+AP80+AQ80+AR80)</f>
        <v/>
      </c>
      <c r="AX80" s="13">
        <f>IF(X80="","",AS80+AT80+AU80+AV80)</f>
        <v/>
      </c>
      <c r="AY80" s="12">
        <f>IF(AZ80="","",ROUND(AZ80*(1+Assumptions!$B$10),0))</f>
        <v/>
      </c>
      <c r="AZ80" s="12">
        <f>IF(X80="","",ROUND(X80*(1+AW80),0))</f>
        <v/>
      </c>
      <c r="BA80" s="12">
        <f>IF(AZ80="","",ROUND(AZ80*(1+Assumptions!$B$11),0))</f>
        <v/>
      </c>
      <c r="BB80" s="12">
        <f>IF(AZ80="","",ROUND(AZ80*(1+AX80+Assumptions!$B$10),0))</f>
        <v/>
      </c>
      <c r="BC80" s="12">
        <f>IF(AZ80="","",ROUND(AZ80*(1+AX80),0))</f>
        <v/>
      </c>
      <c r="BD80" s="12">
        <f>IF(AZ80="","",ROUND(AZ80*(1+AX80+Assumptions!$B$11),0))</f>
        <v/>
      </c>
      <c r="BE80" s="12">
        <f>IF(AZ80="","",ROUND(AZ80*(1+AX80)*(1+AX80),0))</f>
        <v/>
      </c>
      <c r="BF80" s="7" t="inlineStr">
        <is>
          <t>Rules-based enrichment using launch-price anchor, cap-app realization, and 2026 segment conditions.</t>
        </is>
      </c>
      <c r="BG80" t="inlineStr">
        <is>
          <t>2026-03-17</t>
        </is>
      </c>
      <c r="BH80" s="7" t="inlineStr">
        <is>
          <t>DLD / Digital Dubai / CBUAE / Savills / Knight Frank-Moody’s / Reuters</t>
        </is>
      </c>
    </row>
    <row r="81">
      <c r="A81" t="n">
        <v>80</v>
      </c>
      <c r="B81" s="7" t="inlineStr">
        <is>
          <t>Azure Residences</t>
        </is>
      </c>
      <c r="C81" t="inlineStr">
        <is>
          <t>Nakheel</t>
        </is>
      </c>
      <c r="D81" t="inlineStr">
        <is>
          <t>Palm Jumeirah</t>
        </is>
      </c>
      <c r="E81" t="inlineStr">
        <is>
          <t>Apartments</t>
        </is>
      </c>
      <c r="F81" s="7" t="inlineStr">
        <is>
          <t>Beachfront</t>
        </is>
      </c>
      <c r="G81" t="inlineStr">
        <is>
          <t>Resale (1.8M+)</t>
        </is>
      </c>
      <c r="H81" t="inlineStr">
        <is>
          <t>2000</t>
        </is>
      </c>
      <c r="I81" t="inlineStr">
        <is>
          <t>25</t>
        </is>
      </c>
      <c r="J81" t="inlineStr">
        <is>
          <t>Completed</t>
        </is>
      </c>
      <c r="K81" t="inlineStr">
        <is>
          <t>2016</t>
        </is>
      </c>
      <c r="L81" t="inlineStr">
        <is>
          <t>5.5-6.0</t>
        </is>
      </c>
      <c r="M81" t="inlineStr">
        <is>
          <t>6-8</t>
        </is>
      </c>
      <c r="N81" t="inlineStr">
        <is>
          <t>11.5-14.0</t>
        </is>
      </c>
      <c r="O81" s="7" t="inlineStr">
        <is>
          <t>Chevalier College</t>
        </is>
      </c>
      <c r="P81" s="7" t="inlineStr">
        <is>
          <t>Emirates Hospital</t>
        </is>
      </c>
      <c r="Q81" s="7" t="inlineStr">
        <is>
          <t>Nakheel Mall</t>
        </is>
      </c>
      <c r="R81" s="7" t="inlineStr">
        <is>
          <t>Sheikh Zayed E11</t>
        </is>
      </c>
      <c r="S81" t="inlineStr">
        <is>
          <t>20</t>
        </is>
      </c>
      <c r="T81" t="inlineStr">
        <is>
          <t>10</t>
        </is>
      </c>
      <c r="U81" t="inlineStr">
        <is>
          <t>25</t>
        </is>
      </c>
      <c r="V81" t="inlineStr">
        <is>
          <t>35</t>
        </is>
      </c>
      <c r="W81" t="n">
        <v>2</v>
      </c>
      <c r="X81" s="12" t="n">
        <v>1800000</v>
      </c>
      <c r="Y81" s="12" t="n">
        <v>1800000</v>
      </c>
      <c r="Z81" s="9" t="n">
        <v>5.5</v>
      </c>
      <c r="AA81" s="9" t="n">
        <v>6</v>
      </c>
      <c r="AB81" s="9" t="n">
        <v>6</v>
      </c>
      <c r="AC81" s="9" t="n">
        <v>8</v>
      </c>
      <c r="AD81" s="9" t="n">
        <v>11.5</v>
      </c>
      <c r="AE81" s="9" t="n">
        <v>14</v>
      </c>
      <c r="AF81" t="n">
        <v>2016</v>
      </c>
      <c r="AH81" t="inlineStr">
        <is>
          <t>Apartment</t>
        </is>
      </c>
      <c r="AI81" t="inlineStr">
        <is>
          <t>Prime</t>
        </is>
      </c>
      <c r="AJ81" t="inlineStr">
        <is>
          <t>TopTier</t>
        </is>
      </c>
      <c r="AK81" t="inlineStr">
        <is>
          <t>Prime resilient / selective</t>
        </is>
      </c>
      <c r="AL81" s="7" t="inlineStr">
        <is>
          <t>Better support from quality, branding, and scarcer prime stock; still entry-price sensitive.</t>
        </is>
      </c>
      <c r="AM81" s="9" t="n">
        <v>7</v>
      </c>
      <c r="AN81" s="9" t="n">
        <v>5.75</v>
      </c>
      <c r="AO81" s="10" t="n">
        <v>0.55</v>
      </c>
      <c r="AP81" s="13" t="n">
        <v>0.02</v>
      </c>
      <c r="AQ81" s="13" t="n">
        <v>0</v>
      </c>
      <c r="AR81" s="13" t="n">
        <v>0</v>
      </c>
      <c r="AS81" s="13" t="n">
        <v>0.03</v>
      </c>
      <c r="AT81" s="13" t="n">
        <v>0.005</v>
      </c>
      <c r="AU81" s="13" t="n">
        <v>0</v>
      </c>
      <c r="AV81" s="13" t="n">
        <v>-0.005</v>
      </c>
      <c r="AW81" s="13">
        <f>IF(X81="","",(AM81/100*AO81)+AP81+AQ81+AR81)</f>
        <v/>
      </c>
      <c r="AX81" s="13">
        <f>IF(X81="","",AS81+AT81+AU81+AV81)</f>
        <v/>
      </c>
      <c r="AY81" s="12">
        <f>IF(AZ81="","",ROUND(AZ81*(1+Assumptions!$B$10),0))</f>
        <v/>
      </c>
      <c r="AZ81" s="12">
        <f>IF(X81="","",ROUND(X81*(1+AW81),0))</f>
        <v/>
      </c>
      <c r="BA81" s="12">
        <f>IF(AZ81="","",ROUND(AZ81*(1+Assumptions!$B$11),0))</f>
        <v/>
      </c>
      <c r="BB81" s="12">
        <f>IF(AZ81="","",ROUND(AZ81*(1+AX81+Assumptions!$B$10),0))</f>
        <v/>
      </c>
      <c r="BC81" s="12">
        <f>IF(AZ81="","",ROUND(AZ81*(1+AX81),0))</f>
        <v/>
      </c>
      <c r="BD81" s="12">
        <f>IF(AZ81="","",ROUND(AZ81*(1+AX81+Assumptions!$B$11),0))</f>
        <v/>
      </c>
      <c r="BE81" s="12">
        <f>IF(AZ81="","",ROUND(AZ81*(1+AX81)*(1+AX81),0))</f>
        <v/>
      </c>
      <c r="BF81" s="7" t="inlineStr">
        <is>
          <t>Rules-based enrichment using launch-price anchor, cap-app realization, and 2026 segment conditions.</t>
        </is>
      </c>
      <c r="BG81" t="inlineStr">
        <is>
          <t>2026-03-17</t>
        </is>
      </c>
      <c r="BH81" s="7" t="inlineStr">
        <is>
          <t>DLD / Digital Dubai / CBUAE / Savills / Knight Frank-Moody’s / Reuters</t>
        </is>
      </c>
    </row>
    <row r="82">
      <c r="A82" t="n">
        <v>81</v>
      </c>
      <c r="B82" s="7" t="inlineStr">
        <is>
          <t>Club Vista Mare</t>
        </is>
      </c>
      <c r="C82" t="inlineStr">
        <is>
          <t>Nakheel</t>
        </is>
      </c>
      <c r="D82" t="inlineStr">
        <is>
          <t>Palm Jumeirah</t>
        </is>
      </c>
      <c r="E82" t="inlineStr">
        <is>
          <t>Apartments</t>
        </is>
      </c>
      <c r="F82" s="7" t="inlineStr">
        <is>
          <t>Dining / Beach</t>
        </is>
      </c>
      <c r="G82" t="inlineStr">
        <is>
          <t>Resale</t>
        </is>
      </c>
      <c r="H82" t="inlineStr">
        <is>
          <t>2200</t>
        </is>
      </c>
      <c r="I82" t="inlineStr">
        <is>
          <t>25</t>
        </is>
      </c>
      <c r="J82" t="inlineStr">
        <is>
          <t>Completed</t>
        </is>
      </c>
      <c r="K82" t="inlineStr">
        <is>
          <t>2016</t>
        </is>
      </c>
      <c r="L82" t="inlineStr">
        <is>
          <t>5.0-5.5</t>
        </is>
      </c>
      <c r="M82" t="inlineStr">
        <is>
          <t>6-8</t>
        </is>
      </c>
      <c r="N82" t="inlineStr">
        <is>
          <t>11.0-13.5</t>
        </is>
      </c>
      <c r="O82" s="7" t="inlineStr">
        <is>
          <t>Chevalier College</t>
        </is>
      </c>
      <c r="P82" s="7" t="inlineStr">
        <is>
          <t>Emirates Hospital</t>
        </is>
      </c>
      <c r="Q82" s="7" t="inlineStr">
        <is>
          <t>Nakheel Mall</t>
        </is>
      </c>
      <c r="R82" s="7" t="inlineStr">
        <is>
          <t>Sheikh Zayed E11</t>
        </is>
      </c>
      <c r="S82" t="inlineStr">
        <is>
          <t>20</t>
        </is>
      </c>
      <c r="T82" t="inlineStr">
        <is>
          <t>10</t>
        </is>
      </c>
      <c r="U82" t="inlineStr">
        <is>
          <t>25</t>
        </is>
      </c>
      <c r="V82" t="inlineStr">
        <is>
          <t>35</t>
        </is>
      </c>
      <c r="W82" t="n">
        <v>2</v>
      </c>
      <c r="X82" s="12" t="n"/>
      <c r="Y82" s="12" t="n"/>
      <c r="Z82" s="9" t="n">
        <v>5</v>
      </c>
      <c r="AA82" s="9" t="n">
        <v>5.5</v>
      </c>
      <c r="AB82" s="9" t="n">
        <v>6</v>
      </c>
      <c r="AC82" s="9" t="n">
        <v>8</v>
      </c>
      <c r="AD82" s="9" t="n">
        <v>11</v>
      </c>
      <c r="AE82" s="9" t="n">
        <v>13.5</v>
      </c>
      <c r="AF82" t="n">
        <v>2016</v>
      </c>
      <c r="AH82" t="inlineStr">
        <is>
          <t>Apartment</t>
        </is>
      </c>
      <c r="AI82" t="inlineStr">
        <is>
          <t>Prime</t>
        </is>
      </c>
      <c r="AJ82" t="inlineStr">
        <is>
          <t>TopTier</t>
        </is>
      </c>
      <c r="AK82" t="inlineStr">
        <is>
          <t>Prime resilient / selective</t>
        </is>
      </c>
      <c r="AL82" s="7" t="inlineStr">
        <is>
          <t>Better support from quality, branding, and scarcer prime stock; still entry-price sensitive.</t>
        </is>
      </c>
      <c r="AM82" s="9" t="n">
        <v>7</v>
      </c>
      <c r="AN82" s="9" t="n">
        <v>5.25</v>
      </c>
      <c r="AO82" s="10" t="n">
        <v>0.55</v>
      </c>
      <c r="AP82" s="13" t="n">
        <v>0.02</v>
      </c>
      <c r="AQ82" s="13" t="n">
        <v>0</v>
      </c>
      <c r="AR82" s="13" t="n">
        <v>0</v>
      </c>
      <c r="AS82" s="13" t="n">
        <v>0.03</v>
      </c>
      <c r="AT82" s="13" t="n">
        <v>0.005</v>
      </c>
      <c r="AU82" s="13" t="n">
        <v>0</v>
      </c>
      <c r="AV82" s="13" t="n">
        <v>-0.005</v>
      </c>
      <c r="AW82" s="13">
        <f>IF(X82="","",(AM82/100*AO82)+AP82+AQ82+AR82)</f>
        <v/>
      </c>
      <c r="AX82" s="13">
        <f>IF(X82="","",AS82+AT82+AU82+AV82)</f>
        <v/>
      </c>
      <c r="AY82" s="12">
        <f>IF(AZ82="","",ROUND(AZ82*(1+Assumptions!$B$10),0))</f>
        <v/>
      </c>
      <c r="AZ82" s="12">
        <f>IF(X82="","",ROUND(X82*(1+AW82),0))</f>
        <v/>
      </c>
      <c r="BA82" s="12">
        <f>IF(AZ82="","",ROUND(AZ82*(1+Assumptions!$B$11),0))</f>
        <v/>
      </c>
      <c r="BB82" s="12">
        <f>IF(AZ82="","",ROUND(AZ82*(1+AX82+Assumptions!$B$10),0))</f>
        <v/>
      </c>
      <c r="BC82" s="12">
        <f>IF(AZ82="","",ROUND(AZ82*(1+AX82),0))</f>
        <v/>
      </c>
      <c r="BD82" s="12">
        <f>IF(AZ82="","",ROUND(AZ82*(1+AX82+Assumptions!$B$11),0))</f>
        <v/>
      </c>
      <c r="BE82" s="12">
        <f>IF(AZ82="","",ROUND(AZ82*(1+AX82)*(1+AX82),0))</f>
        <v/>
      </c>
      <c r="BF82" s="7" t="inlineStr">
        <is>
          <t>Rules-based enrichment using launch-price anchor, cap-app realization, and 2026 segment conditions.</t>
        </is>
      </c>
      <c r="BG82" t="inlineStr">
        <is>
          <t>2026-03-17</t>
        </is>
      </c>
      <c r="BH82" s="7" t="inlineStr">
        <is>
          <t>DLD / Digital Dubai / CBUAE / Savills / Knight Frank-Moody’s / Reuters</t>
        </is>
      </c>
    </row>
    <row r="83">
      <c r="A83" t="n">
        <v>82</v>
      </c>
      <c r="B83" s="7" t="inlineStr">
        <is>
          <t>Jumeirah Islands</t>
        </is>
      </c>
      <c r="C83" t="inlineStr">
        <is>
          <t>Nakheel</t>
        </is>
      </c>
      <c r="D83" t="inlineStr">
        <is>
          <t>Jumeirah Islands</t>
        </is>
      </c>
      <c r="E83" t="inlineStr">
        <is>
          <t>Villas</t>
        </is>
      </c>
      <c r="F83" s="7" t="inlineStr">
        <is>
          <t>Luxury / Lake</t>
        </is>
      </c>
      <c r="G83" t="inlineStr">
        <is>
          <t>Resale (12M+)</t>
        </is>
      </c>
      <c r="H83" t="inlineStr">
        <is>
          <t>1800</t>
        </is>
      </c>
      <c r="I83" t="inlineStr">
        <is>
          <t>18</t>
        </is>
      </c>
      <c r="J83" t="inlineStr">
        <is>
          <t>Completed</t>
        </is>
      </c>
      <c r="K83" t="inlineStr">
        <is>
          <t>2004</t>
        </is>
      </c>
      <c r="L83" t="inlineStr">
        <is>
          <t>4.5-5.0</t>
        </is>
      </c>
      <c r="M83" t="inlineStr">
        <is>
          <t>5-7</t>
        </is>
      </c>
      <c r="N83" t="inlineStr">
        <is>
          <t>9.5-12.0</t>
        </is>
      </c>
      <c r="O83" s="7" t="inlineStr">
        <is>
          <t>Dubai British School</t>
        </is>
      </c>
      <c r="P83" s="7" t="inlineStr">
        <is>
          <t>Mediclinic Meadows</t>
        </is>
      </c>
      <c r="Q83" s="7" t="inlineStr">
        <is>
          <t>Pavilion JI</t>
        </is>
      </c>
      <c r="R83" s="7" t="inlineStr">
        <is>
          <t>Sheikh Zayed E11</t>
        </is>
      </c>
      <c r="S83" t="inlineStr">
        <is>
          <t>20</t>
        </is>
      </c>
      <c r="T83" t="inlineStr">
        <is>
          <t>10</t>
        </is>
      </c>
      <c r="U83" t="inlineStr">
        <is>
          <t>25</t>
        </is>
      </c>
      <c r="V83" t="inlineStr">
        <is>
          <t>30</t>
        </is>
      </c>
      <c r="W83" t="n">
        <v>2</v>
      </c>
      <c r="X83" s="12" t="n">
        <v>12000000</v>
      </c>
      <c r="Y83" s="12" t="n">
        <v>12000000</v>
      </c>
      <c r="Z83" s="9" t="n">
        <v>4.5</v>
      </c>
      <c r="AA83" s="9" t="n">
        <v>5</v>
      </c>
      <c r="AB83" s="9" t="n">
        <v>5</v>
      </c>
      <c r="AC83" s="9" t="n">
        <v>7</v>
      </c>
      <c r="AD83" s="9" t="n">
        <v>9.5</v>
      </c>
      <c r="AE83" s="9" t="n">
        <v>12</v>
      </c>
      <c r="AF83" t="n">
        <v>2004</v>
      </c>
      <c r="AH83" t="inlineStr">
        <is>
          <t>Villa</t>
        </is>
      </c>
      <c r="AI83" t="inlineStr">
        <is>
          <t>MainstreamSelective</t>
        </is>
      </c>
      <c r="AJ83" t="inlineStr">
        <is>
          <t>TopTier</t>
        </is>
      </c>
      <c r="AK83" t="inlineStr">
        <is>
          <t>Family-villa resilient</t>
        </is>
      </c>
      <c r="AL83" s="7" t="inlineStr">
        <is>
          <t>Villa/townhouse demand remains relatively firmer, though growth should be slower than the post-2020 surge.</t>
        </is>
      </c>
      <c r="AM83" s="9" t="n">
        <v>6</v>
      </c>
      <c r="AN83" s="9" t="n">
        <v>4.75</v>
      </c>
      <c r="AO83" s="10" t="n">
        <v>0.55</v>
      </c>
      <c r="AP83" s="13" t="n">
        <v>0</v>
      </c>
      <c r="AQ83" s="13" t="n">
        <v>0.015</v>
      </c>
      <c r="AR83" s="13" t="n">
        <v>0</v>
      </c>
      <c r="AS83" s="13" t="n">
        <v>0.025</v>
      </c>
      <c r="AT83" s="13" t="n">
        <v>0.005</v>
      </c>
      <c r="AU83" s="13" t="n">
        <v>0</v>
      </c>
      <c r="AV83" s="13" t="n">
        <v>-0.005</v>
      </c>
      <c r="AW83" s="13">
        <f>IF(X83="","",(AM83/100*AO83)+AP83+AQ83+AR83)</f>
        <v/>
      </c>
      <c r="AX83" s="13">
        <f>IF(X83="","",AS83+AT83+AU83+AV83)</f>
        <v/>
      </c>
      <c r="AY83" s="12">
        <f>IF(AZ83="","",ROUND(AZ83*(1+Assumptions!$B$10),0))</f>
        <v/>
      </c>
      <c r="AZ83" s="12">
        <f>IF(X83="","",ROUND(X83*(1+AW83),0))</f>
        <v/>
      </c>
      <c r="BA83" s="12">
        <f>IF(AZ83="","",ROUND(AZ83*(1+Assumptions!$B$11),0))</f>
        <v/>
      </c>
      <c r="BB83" s="12">
        <f>IF(AZ83="","",ROUND(AZ83*(1+AX83+Assumptions!$B$10),0))</f>
        <v/>
      </c>
      <c r="BC83" s="12">
        <f>IF(AZ83="","",ROUND(AZ83*(1+AX83),0))</f>
        <v/>
      </c>
      <c r="BD83" s="12">
        <f>IF(AZ83="","",ROUND(AZ83*(1+AX83+Assumptions!$B$11),0))</f>
        <v/>
      </c>
      <c r="BE83" s="12">
        <f>IF(AZ83="","",ROUND(AZ83*(1+AX83)*(1+AX83),0))</f>
        <v/>
      </c>
      <c r="BF83" s="7" t="inlineStr">
        <is>
          <t>Rules-based enrichment using launch-price anchor, cap-app realization, and 2026 segment conditions.</t>
        </is>
      </c>
      <c r="BG83" t="inlineStr">
        <is>
          <t>2026-03-17</t>
        </is>
      </c>
      <c r="BH83" s="7" t="inlineStr">
        <is>
          <t>DLD / Digital Dubai / CBUAE / Savills / Knight Frank-Moody’s / Reuters</t>
        </is>
      </c>
    </row>
    <row r="84">
      <c r="A84" t="n">
        <v>83</v>
      </c>
      <c r="B84" s="7" t="inlineStr">
        <is>
          <t>Jumeirah Park</t>
        </is>
      </c>
      <c r="C84" t="inlineStr">
        <is>
          <t>Nakheel</t>
        </is>
      </c>
      <c r="D84" t="inlineStr">
        <is>
          <t>Jumeirah Park</t>
        </is>
      </c>
      <c r="E84" t="inlineStr">
        <is>
          <t>Villas</t>
        </is>
      </c>
      <c r="F84" s="7" t="inlineStr">
        <is>
          <t>Family / Gated</t>
        </is>
      </c>
      <c r="G84" t="inlineStr">
        <is>
          <t>Resale (6M+)</t>
        </is>
      </c>
      <c r="H84" t="inlineStr">
        <is>
          <t>1400</t>
        </is>
      </c>
      <c r="I84" t="inlineStr">
        <is>
          <t>12</t>
        </is>
      </c>
      <c r="J84" t="inlineStr">
        <is>
          <t>Completed</t>
        </is>
      </c>
      <c r="K84" t="inlineStr">
        <is>
          <t>2013</t>
        </is>
      </c>
      <c r="L84" t="inlineStr">
        <is>
          <t>5.0-5.5</t>
        </is>
      </c>
      <c r="M84" t="inlineStr">
        <is>
          <t>5-7</t>
        </is>
      </c>
      <c r="N84" t="inlineStr">
        <is>
          <t>10.0-12.5</t>
        </is>
      </c>
      <c r="O84" s="7" t="inlineStr">
        <is>
          <t>Dubai British School</t>
        </is>
      </c>
      <c r="P84" s="7" t="inlineStr">
        <is>
          <t>Mediclinic Meadows</t>
        </is>
      </c>
      <c r="Q84" s="7" t="inlineStr">
        <is>
          <t>Pavilion JP</t>
        </is>
      </c>
      <c r="R84" s="7" t="inlineStr">
        <is>
          <t>Sheikh Zayed E11</t>
        </is>
      </c>
      <c r="S84" t="inlineStr">
        <is>
          <t>20</t>
        </is>
      </c>
      <c r="T84" t="inlineStr">
        <is>
          <t>10</t>
        </is>
      </c>
      <c r="U84" t="inlineStr">
        <is>
          <t>25</t>
        </is>
      </c>
      <c r="V84" t="inlineStr">
        <is>
          <t>30</t>
        </is>
      </c>
      <c r="W84" t="n">
        <v>2</v>
      </c>
      <c r="X84" s="12" t="n">
        <v>6000000</v>
      </c>
      <c r="Y84" s="12" t="n">
        <v>6000000</v>
      </c>
      <c r="Z84" s="9" t="n">
        <v>5</v>
      </c>
      <c r="AA84" s="9" t="n">
        <v>5.5</v>
      </c>
      <c r="AB84" s="9" t="n">
        <v>5</v>
      </c>
      <c r="AC84" s="9" t="n">
        <v>7</v>
      </c>
      <c r="AD84" s="9" t="n">
        <v>10</v>
      </c>
      <c r="AE84" s="9" t="n">
        <v>12.5</v>
      </c>
      <c r="AF84" t="n">
        <v>2013</v>
      </c>
      <c r="AH84" t="inlineStr">
        <is>
          <t>Villa</t>
        </is>
      </c>
      <c r="AI84" t="inlineStr">
        <is>
          <t>MainstreamSelective</t>
        </is>
      </c>
      <c r="AJ84" t="inlineStr">
        <is>
          <t>TopTier</t>
        </is>
      </c>
      <c r="AK84" t="inlineStr">
        <is>
          <t>Family-villa resilient</t>
        </is>
      </c>
      <c r="AL84" s="7" t="inlineStr">
        <is>
          <t>Villa/townhouse demand remains relatively firmer, though growth should be slower than the post-2020 surge.</t>
        </is>
      </c>
      <c r="AM84" s="9" t="n">
        <v>6</v>
      </c>
      <c r="AN84" s="9" t="n">
        <v>5.25</v>
      </c>
      <c r="AO84" s="10" t="n">
        <v>0.55</v>
      </c>
      <c r="AP84" s="13" t="n">
        <v>0</v>
      </c>
      <c r="AQ84" s="13" t="n">
        <v>0.015</v>
      </c>
      <c r="AR84" s="13" t="n">
        <v>0</v>
      </c>
      <c r="AS84" s="13" t="n">
        <v>0.025</v>
      </c>
      <c r="AT84" s="13" t="n">
        <v>0.005</v>
      </c>
      <c r="AU84" s="13" t="n">
        <v>0</v>
      </c>
      <c r="AV84" s="13" t="n">
        <v>-0.005</v>
      </c>
      <c r="AW84" s="13">
        <f>IF(X84="","",(AM84/100*AO84)+AP84+AQ84+AR84)</f>
        <v/>
      </c>
      <c r="AX84" s="13">
        <f>IF(X84="","",AS84+AT84+AU84+AV84)</f>
        <v/>
      </c>
      <c r="AY84" s="12">
        <f>IF(AZ84="","",ROUND(AZ84*(1+Assumptions!$B$10),0))</f>
        <v/>
      </c>
      <c r="AZ84" s="12">
        <f>IF(X84="","",ROUND(X84*(1+AW84),0))</f>
        <v/>
      </c>
      <c r="BA84" s="12">
        <f>IF(AZ84="","",ROUND(AZ84*(1+Assumptions!$B$11),0))</f>
        <v/>
      </c>
      <c r="BB84" s="12">
        <f>IF(AZ84="","",ROUND(AZ84*(1+AX84+Assumptions!$B$10),0))</f>
        <v/>
      </c>
      <c r="BC84" s="12">
        <f>IF(AZ84="","",ROUND(AZ84*(1+AX84),0))</f>
        <v/>
      </c>
      <c r="BD84" s="12">
        <f>IF(AZ84="","",ROUND(AZ84*(1+AX84+Assumptions!$B$11),0))</f>
        <v/>
      </c>
      <c r="BE84" s="12">
        <f>IF(AZ84="","",ROUND(AZ84*(1+AX84)*(1+AX84),0))</f>
        <v/>
      </c>
      <c r="BF84" s="7" t="inlineStr">
        <is>
          <t>Rules-based enrichment using launch-price anchor, cap-app realization, and 2026 segment conditions.</t>
        </is>
      </c>
      <c r="BG84" t="inlineStr">
        <is>
          <t>2026-03-17</t>
        </is>
      </c>
      <c r="BH84" s="7" t="inlineStr">
        <is>
          <t>DLD / Digital Dubai / CBUAE / Savills / Knight Frank-Moody’s / Reuters</t>
        </is>
      </c>
    </row>
    <row r="85">
      <c r="A85" t="n">
        <v>84</v>
      </c>
      <c r="B85" s="7" t="inlineStr">
        <is>
          <t>Al Furjan (West &amp; East)</t>
        </is>
      </c>
      <c r="C85" t="inlineStr">
        <is>
          <t>Nakheel</t>
        </is>
      </c>
      <c r="D85" t="inlineStr">
        <is>
          <t>Jebel Ali Area</t>
        </is>
      </c>
      <c r="E85" t="inlineStr">
        <is>
          <t>Villas &amp; TH</t>
        </is>
      </c>
      <c r="F85" s="7" t="inlineStr">
        <is>
          <t>Family</t>
        </is>
      </c>
      <c r="G85" t="inlineStr">
        <is>
          <t>Resale (2.5M+)</t>
        </is>
      </c>
      <c r="H85" t="inlineStr">
        <is>
          <t>1100</t>
        </is>
      </c>
      <c r="I85" t="inlineStr">
        <is>
          <t>10</t>
        </is>
      </c>
      <c r="J85" t="inlineStr">
        <is>
          <t>Completed</t>
        </is>
      </c>
      <c r="K85" t="inlineStr">
        <is>
          <t>2014</t>
        </is>
      </c>
      <c r="L85" t="inlineStr">
        <is>
          <t>6.5-7.0</t>
        </is>
      </c>
      <c r="M85" t="inlineStr">
        <is>
          <t>5-7</t>
        </is>
      </c>
      <c r="N85" t="inlineStr">
        <is>
          <t>11.5-14.0</t>
        </is>
      </c>
      <c r="O85" s="7" t="inlineStr">
        <is>
          <t>The Arbor School</t>
        </is>
      </c>
      <c r="P85" s="7" t="inlineStr">
        <is>
          <t>NMC Royal DIP</t>
        </is>
      </c>
      <c r="Q85" s="7" t="inlineStr">
        <is>
          <t>Ibn Battuta Mall</t>
        </is>
      </c>
      <c r="R85" s="7" t="inlineStr">
        <is>
          <t>Yalayis / E311</t>
        </is>
      </c>
      <c r="S85" t="inlineStr">
        <is>
          <t>25</t>
        </is>
      </c>
      <c r="T85" t="inlineStr">
        <is>
          <t>15</t>
        </is>
      </c>
      <c r="U85" t="inlineStr">
        <is>
          <t>30</t>
        </is>
      </c>
      <c r="V85" t="inlineStr">
        <is>
          <t>20</t>
        </is>
      </c>
      <c r="W85" t="n">
        <v>2</v>
      </c>
      <c r="X85" s="12" t="n">
        <v>2500000</v>
      </c>
      <c r="Y85" s="12" t="n">
        <v>2500000</v>
      </c>
      <c r="Z85" s="9" t="n">
        <v>6.5</v>
      </c>
      <c r="AA85" s="9" t="n">
        <v>7</v>
      </c>
      <c r="AB85" s="9" t="n">
        <v>5</v>
      </c>
      <c r="AC85" s="9" t="n">
        <v>7</v>
      </c>
      <c r="AD85" s="9" t="n">
        <v>11.5</v>
      </c>
      <c r="AE85" s="9" t="n">
        <v>14</v>
      </c>
      <c r="AF85" t="n">
        <v>2014</v>
      </c>
      <c r="AH85" t="inlineStr">
        <is>
          <t>Villa</t>
        </is>
      </c>
      <c r="AI85" t="inlineStr">
        <is>
          <t>MainstreamSelective</t>
        </is>
      </c>
      <c r="AJ85" t="inlineStr">
        <is>
          <t>TopTier</t>
        </is>
      </c>
      <c r="AK85" t="inlineStr">
        <is>
          <t>Family-villa resilient</t>
        </is>
      </c>
      <c r="AL85" s="7" t="inlineStr">
        <is>
          <t>Villa/townhouse demand remains relatively firmer, though growth should be slower than the post-2020 surge.</t>
        </is>
      </c>
      <c r="AM85" s="9" t="n">
        <v>6</v>
      </c>
      <c r="AN85" s="9" t="n">
        <v>6.75</v>
      </c>
      <c r="AO85" s="10" t="n">
        <v>0.55</v>
      </c>
      <c r="AP85" s="13" t="n">
        <v>0</v>
      </c>
      <c r="AQ85" s="13" t="n">
        <v>0.015</v>
      </c>
      <c r="AR85" s="13" t="n">
        <v>0</v>
      </c>
      <c r="AS85" s="13" t="n">
        <v>0.025</v>
      </c>
      <c r="AT85" s="13" t="n">
        <v>0.005</v>
      </c>
      <c r="AU85" s="13" t="n">
        <v>0.0025</v>
      </c>
      <c r="AV85" s="13" t="n">
        <v>-0.005</v>
      </c>
      <c r="AW85" s="13">
        <f>IF(X85="","",(AM85/100*AO85)+AP85+AQ85+AR85)</f>
        <v/>
      </c>
      <c r="AX85" s="13">
        <f>IF(X85="","",AS85+AT85+AU85+AV85)</f>
        <v/>
      </c>
      <c r="AY85" s="12">
        <f>IF(AZ85="","",ROUND(AZ85*(1+Assumptions!$B$10),0))</f>
        <v/>
      </c>
      <c r="AZ85" s="12">
        <f>IF(X85="","",ROUND(X85*(1+AW85),0))</f>
        <v/>
      </c>
      <c r="BA85" s="12">
        <f>IF(AZ85="","",ROUND(AZ85*(1+Assumptions!$B$11),0))</f>
        <v/>
      </c>
      <c r="BB85" s="12">
        <f>IF(AZ85="","",ROUND(AZ85*(1+AX85+Assumptions!$B$10),0))</f>
        <v/>
      </c>
      <c r="BC85" s="12">
        <f>IF(AZ85="","",ROUND(AZ85*(1+AX85),0))</f>
        <v/>
      </c>
      <c r="BD85" s="12">
        <f>IF(AZ85="","",ROUND(AZ85*(1+AX85+Assumptions!$B$11),0))</f>
        <v/>
      </c>
      <c r="BE85" s="12">
        <f>IF(AZ85="","",ROUND(AZ85*(1+AX85)*(1+AX85),0))</f>
        <v/>
      </c>
      <c r="BF85" s="7" t="inlineStr">
        <is>
          <t>Rules-based enrichment using launch-price anchor, cap-app realization, and 2026 segment conditions.</t>
        </is>
      </c>
      <c r="BG85" t="inlineStr">
        <is>
          <t>2026-03-17</t>
        </is>
      </c>
      <c r="BH85" s="7" t="inlineStr">
        <is>
          <t>DLD / Digital Dubai / CBUAE / Savills / Knight Frank-Moody’s / Reuters</t>
        </is>
      </c>
    </row>
    <row r="86">
      <c r="A86" t="n">
        <v>85</v>
      </c>
      <c r="B86" s="7" t="inlineStr">
        <is>
          <t>Tilal Al Furjan</t>
        </is>
      </c>
      <c r="C86" t="inlineStr">
        <is>
          <t>Nakheel</t>
        </is>
      </c>
      <c r="D86" t="inlineStr">
        <is>
          <t>Al Furjan</t>
        </is>
      </c>
      <c r="E86" t="inlineStr">
        <is>
          <t>Villas</t>
        </is>
      </c>
      <c r="F86" s="7" t="inlineStr">
        <is>
          <t>Gated Community</t>
        </is>
      </c>
      <c r="G86" t="inlineStr">
        <is>
          <t>3.2M</t>
        </is>
      </c>
      <c r="H86" t="inlineStr">
        <is>
          <t>1200</t>
        </is>
      </c>
      <c r="I86" t="inlineStr">
        <is>
          <t>12</t>
        </is>
      </c>
      <c r="J86" t="inlineStr">
        <is>
          <t>Completed</t>
        </is>
      </c>
      <c r="K86" t="inlineStr">
        <is>
          <t>2022</t>
        </is>
      </c>
      <c r="L86" t="inlineStr">
        <is>
          <t>6.0-6.5</t>
        </is>
      </c>
      <c r="M86" t="inlineStr">
        <is>
          <t>6-8</t>
        </is>
      </c>
      <c r="N86" t="inlineStr">
        <is>
          <t>12.0-14.5</t>
        </is>
      </c>
      <c r="O86" s="7" t="inlineStr">
        <is>
          <t>The Arbor School</t>
        </is>
      </c>
      <c r="P86" s="7" t="inlineStr">
        <is>
          <t>NMC Royal DIP</t>
        </is>
      </c>
      <c r="Q86" s="7" t="inlineStr">
        <is>
          <t>Ibn Battuta Mall</t>
        </is>
      </c>
      <c r="R86" s="7" t="inlineStr">
        <is>
          <t>Yalayis / E311</t>
        </is>
      </c>
      <c r="S86" t="inlineStr">
        <is>
          <t>25</t>
        </is>
      </c>
      <c r="T86" t="inlineStr">
        <is>
          <t>15</t>
        </is>
      </c>
      <c r="U86" t="inlineStr">
        <is>
          <t>30</t>
        </is>
      </c>
      <c r="V86" t="inlineStr">
        <is>
          <t>20</t>
        </is>
      </c>
      <c r="W86" t="n">
        <v>2</v>
      </c>
      <c r="X86" s="12" t="n">
        <v>3200000</v>
      </c>
      <c r="Y86" s="12" t="n">
        <v>3200000</v>
      </c>
      <c r="Z86" s="9" t="n">
        <v>6</v>
      </c>
      <c r="AA86" s="9" t="n">
        <v>6.5</v>
      </c>
      <c r="AB86" s="9" t="n">
        <v>6</v>
      </c>
      <c r="AC86" s="9" t="n">
        <v>8</v>
      </c>
      <c r="AD86" s="9" t="n">
        <v>12</v>
      </c>
      <c r="AE86" s="9" t="n">
        <v>14.5</v>
      </c>
      <c r="AF86" t="n">
        <v>2022</v>
      </c>
      <c r="AH86" t="inlineStr">
        <is>
          <t>Villa</t>
        </is>
      </c>
      <c r="AI86" t="inlineStr">
        <is>
          <t>MainstreamSelective</t>
        </is>
      </c>
      <c r="AJ86" t="inlineStr">
        <is>
          <t>TopTier</t>
        </is>
      </c>
      <c r="AK86" t="inlineStr">
        <is>
          <t>Family-villa resilient</t>
        </is>
      </c>
      <c r="AL86" s="7" t="inlineStr">
        <is>
          <t>Villa/townhouse demand remains relatively firmer, though growth should be slower than the post-2020 surge.</t>
        </is>
      </c>
      <c r="AM86" s="9" t="n">
        <v>7</v>
      </c>
      <c r="AN86" s="9" t="n">
        <v>6.25</v>
      </c>
      <c r="AO86" s="10" t="n">
        <v>0.55</v>
      </c>
      <c r="AP86" s="13" t="n">
        <v>0</v>
      </c>
      <c r="AQ86" s="13" t="n">
        <v>0.015</v>
      </c>
      <c r="AR86" s="13" t="n">
        <v>0</v>
      </c>
      <c r="AS86" s="13" t="n">
        <v>0.025</v>
      </c>
      <c r="AT86" s="13" t="n">
        <v>0.005</v>
      </c>
      <c r="AU86" s="13" t="n">
        <v>0.0025</v>
      </c>
      <c r="AV86" s="13" t="n">
        <v>-0.005</v>
      </c>
      <c r="AW86" s="13">
        <f>IF(X86="","",(AM86/100*AO86)+AP86+AQ86+AR86)</f>
        <v/>
      </c>
      <c r="AX86" s="13">
        <f>IF(X86="","",AS86+AT86+AU86+AV86)</f>
        <v/>
      </c>
      <c r="AY86" s="12">
        <f>IF(AZ86="","",ROUND(AZ86*(1+Assumptions!$B$10),0))</f>
        <v/>
      </c>
      <c r="AZ86" s="12">
        <f>IF(X86="","",ROUND(X86*(1+AW86),0))</f>
        <v/>
      </c>
      <c r="BA86" s="12">
        <f>IF(AZ86="","",ROUND(AZ86*(1+Assumptions!$B$11),0))</f>
        <v/>
      </c>
      <c r="BB86" s="12">
        <f>IF(AZ86="","",ROUND(AZ86*(1+AX86+Assumptions!$B$10),0))</f>
        <v/>
      </c>
      <c r="BC86" s="12">
        <f>IF(AZ86="","",ROUND(AZ86*(1+AX86),0))</f>
        <v/>
      </c>
      <c r="BD86" s="12">
        <f>IF(AZ86="","",ROUND(AZ86*(1+AX86+Assumptions!$B$11),0))</f>
        <v/>
      </c>
      <c r="BE86" s="12">
        <f>IF(AZ86="","",ROUND(AZ86*(1+AX86)*(1+AX86),0))</f>
        <v/>
      </c>
      <c r="BF86" s="7" t="inlineStr">
        <is>
          <t>Rules-based enrichment using launch-price anchor, cap-app realization, and 2026 segment conditions.</t>
        </is>
      </c>
      <c r="BG86" t="inlineStr">
        <is>
          <t>2026-03-17</t>
        </is>
      </c>
      <c r="BH86" s="7" t="inlineStr">
        <is>
          <t>DLD / Digital Dubai / CBUAE / Savills / Knight Frank-Moody’s / Reuters</t>
        </is>
      </c>
    </row>
    <row r="87">
      <c r="A87" t="n">
        <v>86</v>
      </c>
      <c r="B87" s="7" t="inlineStr">
        <is>
          <t>Murooj Al Furjan</t>
        </is>
      </c>
      <c r="C87" t="inlineStr">
        <is>
          <t>Nakheel</t>
        </is>
      </c>
      <c r="D87" t="inlineStr">
        <is>
          <t>Al Furjan</t>
        </is>
      </c>
      <c r="E87" t="inlineStr">
        <is>
          <t>Townhouses</t>
        </is>
      </c>
      <c r="F87" s="7" t="inlineStr">
        <is>
          <t>Gated Community</t>
        </is>
      </c>
      <c r="G87" t="inlineStr">
        <is>
          <t>2.8M</t>
        </is>
      </c>
      <c r="H87" t="inlineStr">
        <is>
          <t>1150</t>
        </is>
      </c>
      <c r="I87" t="inlineStr">
        <is>
          <t>12</t>
        </is>
      </c>
      <c r="J87" t="inlineStr">
        <is>
          <t>Completed</t>
        </is>
      </c>
      <c r="K87" t="inlineStr">
        <is>
          <t>2021</t>
        </is>
      </c>
      <c r="L87" t="inlineStr">
        <is>
          <t>6.5-7.0</t>
        </is>
      </c>
      <c r="M87" t="inlineStr">
        <is>
          <t>6-8</t>
        </is>
      </c>
      <c r="N87" t="inlineStr">
        <is>
          <t>12.5-15.0</t>
        </is>
      </c>
      <c r="O87" s="7" t="inlineStr">
        <is>
          <t>The Arbor School</t>
        </is>
      </c>
      <c r="P87" s="7" t="inlineStr">
        <is>
          <t>NMC Royal DIP</t>
        </is>
      </c>
      <c r="Q87" s="7" t="inlineStr">
        <is>
          <t>Ibn Battuta Mall</t>
        </is>
      </c>
      <c r="R87" s="7" t="inlineStr">
        <is>
          <t>Yalayis / E311</t>
        </is>
      </c>
      <c r="S87" t="inlineStr">
        <is>
          <t>25</t>
        </is>
      </c>
      <c r="T87" t="inlineStr">
        <is>
          <t>15</t>
        </is>
      </c>
      <c r="U87" t="inlineStr">
        <is>
          <t>30</t>
        </is>
      </c>
      <c r="V87" t="inlineStr">
        <is>
          <t>20</t>
        </is>
      </c>
      <c r="W87" t="n">
        <v>2</v>
      </c>
      <c r="X87" s="12" t="n">
        <v>2800000</v>
      </c>
      <c r="Y87" s="12" t="n">
        <v>2800000</v>
      </c>
      <c r="Z87" s="9" t="n">
        <v>6.5</v>
      </c>
      <c r="AA87" s="9" t="n">
        <v>7</v>
      </c>
      <c r="AB87" s="9" t="n">
        <v>6</v>
      </c>
      <c r="AC87" s="9" t="n">
        <v>8</v>
      </c>
      <c r="AD87" s="9" t="n">
        <v>12.5</v>
      </c>
      <c r="AE87" s="9" t="n">
        <v>15</v>
      </c>
      <c r="AF87" t="n">
        <v>2021</v>
      </c>
      <c r="AH87" t="inlineStr">
        <is>
          <t>Townhouse</t>
        </is>
      </c>
      <c r="AI87" t="inlineStr">
        <is>
          <t>MainstreamSelective</t>
        </is>
      </c>
      <c r="AJ87" t="inlineStr">
        <is>
          <t>TopTier</t>
        </is>
      </c>
      <c r="AK87" t="inlineStr">
        <is>
          <t>Family-villa resilient</t>
        </is>
      </c>
      <c r="AL87" s="7" t="inlineStr">
        <is>
          <t>Villa/townhouse demand remains relatively firmer, though growth should be slower than the post-2020 surge.</t>
        </is>
      </c>
      <c r="AM87" s="9" t="n">
        <v>7</v>
      </c>
      <c r="AN87" s="9" t="n">
        <v>6.75</v>
      </c>
      <c r="AO87" s="10" t="n">
        <v>0.55</v>
      </c>
      <c r="AP87" s="13" t="n">
        <v>0</v>
      </c>
      <c r="AQ87" s="13" t="n">
        <v>0.015</v>
      </c>
      <c r="AR87" s="13" t="n">
        <v>0</v>
      </c>
      <c r="AS87" s="13" t="n">
        <v>0.025</v>
      </c>
      <c r="AT87" s="13" t="n">
        <v>0.005</v>
      </c>
      <c r="AU87" s="13" t="n">
        <v>0.0025</v>
      </c>
      <c r="AV87" s="13" t="n">
        <v>-0.005</v>
      </c>
      <c r="AW87" s="13">
        <f>IF(X87="","",(AM87/100*AO87)+AP87+AQ87+AR87)</f>
        <v/>
      </c>
      <c r="AX87" s="13">
        <f>IF(X87="","",AS87+AT87+AU87+AV87)</f>
        <v/>
      </c>
      <c r="AY87" s="12">
        <f>IF(AZ87="","",ROUND(AZ87*(1+Assumptions!$B$10),0))</f>
        <v/>
      </c>
      <c r="AZ87" s="12">
        <f>IF(X87="","",ROUND(X87*(1+AW87),0))</f>
        <v/>
      </c>
      <c r="BA87" s="12">
        <f>IF(AZ87="","",ROUND(AZ87*(1+Assumptions!$B$11),0))</f>
        <v/>
      </c>
      <c r="BB87" s="12">
        <f>IF(AZ87="","",ROUND(AZ87*(1+AX87+Assumptions!$B$10),0))</f>
        <v/>
      </c>
      <c r="BC87" s="12">
        <f>IF(AZ87="","",ROUND(AZ87*(1+AX87),0))</f>
        <v/>
      </c>
      <c r="BD87" s="12">
        <f>IF(AZ87="","",ROUND(AZ87*(1+AX87+Assumptions!$B$11),0))</f>
        <v/>
      </c>
      <c r="BE87" s="12">
        <f>IF(AZ87="","",ROUND(AZ87*(1+AX87)*(1+AX87),0))</f>
        <v/>
      </c>
      <c r="BF87" s="7" t="inlineStr">
        <is>
          <t>Rules-based enrichment using launch-price anchor, cap-app realization, and 2026 segment conditions.</t>
        </is>
      </c>
      <c r="BG87" t="inlineStr">
        <is>
          <t>2026-03-17</t>
        </is>
      </c>
      <c r="BH87" s="7" t="inlineStr">
        <is>
          <t>DLD / Digital Dubai / CBUAE / Savills / Knight Frank-Moody’s / Reuters</t>
        </is>
      </c>
    </row>
    <row r="88">
      <c r="A88" t="n">
        <v>87</v>
      </c>
      <c r="B88" s="7" t="inlineStr">
        <is>
          <t>Discovery Gardens</t>
        </is>
      </c>
      <c r="C88" t="inlineStr">
        <is>
          <t>Nakheel</t>
        </is>
      </c>
      <c r="D88" t="inlineStr">
        <is>
          <t>Jebel Ali Area</t>
        </is>
      </c>
      <c r="E88" t="inlineStr">
        <is>
          <t>Apartments</t>
        </is>
      </c>
      <c r="F88" s="7" t="inlineStr">
        <is>
          <t>Budget / Garden</t>
        </is>
      </c>
      <c r="G88" t="inlineStr">
        <is>
          <t>Resale (500k+)</t>
        </is>
      </c>
      <c r="H88" t="inlineStr">
        <is>
          <t>700</t>
        </is>
      </c>
      <c r="I88" t="inlineStr">
        <is>
          <t>12</t>
        </is>
      </c>
      <c r="J88" t="inlineStr">
        <is>
          <t>Completed</t>
        </is>
      </c>
      <c r="K88" t="inlineStr">
        <is>
          <t>2008</t>
        </is>
      </c>
      <c r="L88" t="inlineStr">
        <is>
          <t>8.0-8.5</t>
        </is>
      </c>
      <c r="M88" t="inlineStr">
        <is>
          <t>4-6</t>
        </is>
      </c>
      <c r="N88" t="inlineStr">
        <is>
          <t>12.0-14.5</t>
        </is>
      </c>
      <c r="O88" s="7" t="inlineStr">
        <is>
          <t>Winchester School</t>
        </is>
      </c>
      <c r="P88" s="7" t="inlineStr">
        <is>
          <t>Aster Cedars</t>
        </is>
      </c>
      <c r="Q88" s="7" t="inlineStr">
        <is>
          <t>Ibn Battuta Mall</t>
        </is>
      </c>
      <c r="R88" s="7" t="inlineStr">
        <is>
          <t>Sheikh Zayed E11</t>
        </is>
      </c>
      <c r="S88" t="inlineStr">
        <is>
          <t>25</t>
        </is>
      </c>
      <c r="T88" t="inlineStr">
        <is>
          <t>10</t>
        </is>
      </c>
      <c r="U88" t="inlineStr">
        <is>
          <t>30</t>
        </is>
      </c>
      <c r="V88" t="inlineStr">
        <is>
          <t>25</t>
        </is>
      </c>
      <c r="W88" t="n">
        <v>2</v>
      </c>
      <c r="X88" s="12" t="n">
        <v>500000</v>
      </c>
      <c r="Y88" s="12" t="n">
        <v>500000</v>
      </c>
      <c r="Z88" s="9" t="n">
        <v>8</v>
      </c>
      <c r="AA88" s="9" t="n">
        <v>8.5</v>
      </c>
      <c r="AB88" s="9" t="n">
        <v>4</v>
      </c>
      <c r="AC88" s="9" t="n">
        <v>6</v>
      </c>
      <c r="AD88" s="9" t="n">
        <v>12</v>
      </c>
      <c r="AE88" s="9" t="n">
        <v>14.5</v>
      </c>
      <c r="AF88" t="n">
        <v>2008</v>
      </c>
      <c r="AH88" t="inlineStr">
        <is>
          <t>Apartment</t>
        </is>
      </c>
      <c r="AI88" t="inlineStr">
        <is>
          <t>MainstreamSelective</t>
        </is>
      </c>
      <c r="AJ88" t="inlineStr">
        <is>
          <t>TopTier</t>
        </is>
      </c>
      <c r="AK88" t="inlineStr">
        <is>
          <t>Balanced / selective</t>
        </is>
      </c>
      <c r="AL88" s="7" t="inlineStr">
        <is>
          <t>Market remains active but increasingly differentiated by developer, micro-location, livability, and pricing discipline.</t>
        </is>
      </c>
      <c r="AM88" s="9" t="n">
        <v>5</v>
      </c>
      <c r="AN88" s="9" t="n">
        <v>8.25</v>
      </c>
      <c r="AO88" s="10" t="n">
        <v>0.55</v>
      </c>
      <c r="AP88" s="13" t="n">
        <v>0</v>
      </c>
      <c r="AQ88" s="13" t="n">
        <v>0</v>
      </c>
      <c r="AR88" s="13" t="n">
        <v>0</v>
      </c>
      <c r="AS88" s="13" t="n">
        <v>0.01</v>
      </c>
      <c r="AT88" s="13" t="n">
        <v>0.005</v>
      </c>
      <c r="AU88" s="13" t="n">
        <v>0.0025</v>
      </c>
      <c r="AV88" s="13" t="n">
        <v>-0.005</v>
      </c>
      <c r="AW88" s="13">
        <f>IF(X88="","",(AM88/100*AO88)+AP88+AQ88+AR88)</f>
        <v/>
      </c>
      <c r="AX88" s="13">
        <f>IF(X88="","",AS88+AT88+AU88+AV88)</f>
        <v/>
      </c>
      <c r="AY88" s="12">
        <f>IF(AZ88="","",ROUND(AZ88*(1+Assumptions!$B$10),0))</f>
        <v/>
      </c>
      <c r="AZ88" s="12">
        <f>IF(X88="","",ROUND(X88*(1+AW88),0))</f>
        <v/>
      </c>
      <c r="BA88" s="12">
        <f>IF(AZ88="","",ROUND(AZ88*(1+Assumptions!$B$11),0))</f>
        <v/>
      </c>
      <c r="BB88" s="12">
        <f>IF(AZ88="","",ROUND(AZ88*(1+AX88+Assumptions!$B$10),0))</f>
        <v/>
      </c>
      <c r="BC88" s="12">
        <f>IF(AZ88="","",ROUND(AZ88*(1+AX88),0))</f>
        <v/>
      </c>
      <c r="BD88" s="12">
        <f>IF(AZ88="","",ROUND(AZ88*(1+AX88+Assumptions!$B$11),0))</f>
        <v/>
      </c>
      <c r="BE88" s="12">
        <f>IF(AZ88="","",ROUND(AZ88*(1+AX88)*(1+AX88),0))</f>
        <v/>
      </c>
      <c r="BF88" s="7" t="inlineStr">
        <is>
          <t>Rules-based enrichment using launch-price anchor, cap-app realization, and 2026 segment conditions.</t>
        </is>
      </c>
      <c r="BG88" t="inlineStr">
        <is>
          <t>2026-03-17</t>
        </is>
      </c>
      <c r="BH88" s="7" t="inlineStr">
        <is>
          <t>DLD / Digital Dubai / CBUAE / Savills / Knight Frank-Moody’s / Reuters</t>
        </is>
      </c>
    </row>
    <row r="89">
      <c r="A89" t="n">
        <v>88</v>
      </c>
      <c r="B89" s="7" t="inlineStr">
        <is>
          <t>The Gardens</t>
        </is>
      </c>
      <c r="C89" t="inlineStr">
        <is>
          <t>Nakheel</t>
        </is>
      </c>
      <c r="D89" t="inlineStr">
        <is>
          <t>Jebel Ali Area</t>
        </is>
      </c>
      <c r="E89" t="inlineStr">
        <is>
          <t>Apartments</t>
        </is>
      </c>
      <c r="F89" s="7" t="inlineStr">
        <is>
          <t>Garden / Low Rise</t>
        </is>
      </c>
      <c r="G89" t="inlineStr">
        <is>
          <t>Resale</t>
        </is>
      </c>
      <c r="H89" t="inlineStr">
        <is>
          <t>700</t>
        </is>
      </c>
      <c r="I89" t="inlineStr">
        <is>
          <t>12</t>
        </is>
      </c>
      <c r="J89" t="inlineStr">
        <is>
          <t>Completed</t>
        </is>
      </c>
      <c r="K89" t="inlineStr">
        <is>
          <t>2003</t>
        </is>
      </c>
      <c r="L89" t="inlineStr">
        <is>
          <t>8.0-8.5</t>
        </is>
      </c>
      <c r="M89" t="inlineStr">
        <is>
          <t>4-6</t>
        </is>
      </c>
      <c r="N89" t="inlineStr">
        <is>
          <t>12.0-14.5</t>
        </is>
      </c>
      <c r="O89" s="7" t="inlineStr">
        <is>
          <t>Winchester School</t>
        </is>
      </c>
      <c r="P89" s="7" t="inlineStr">
        <is>
          <t>Aster Cedars</t>
        </is>
      </c>
      <c r="Q89" s="7" t="inlineStr">
        <is>
          <t>Ibn Battuta Mall</t>
        </is>
      </c>
      <c r="R89" s="7" t="inlineStr">
        <is>
          <t>Sheikh Zayed E11</t>
        </is>
      </c>
      <c r="S89" t="inlineStr">
        <is>
          <t>25</t>
        </is>
      </c>
      <c r="T89" t="inlineStr">
        <is>
          <t>10</t>
        </is>
      </c>
      <c r="U89" t="inlineStr">
        <is>
          <t>30</t>
        </is>
      </c>
      <c r="V89" t="inlineStr">
        <is>
          <t>25</t>
        </is>
      </c>
      <c r="W89" t="n">
        <v>2</v>
      </c>
      <c r="X89" s="12" t="n"/>
      <c r="Y89" s="12" t="n"/>
      <c r="Z89" s="9" t="n">
        <v>8</v>
      </c>
      <c r="AA89" s="9" t="n">
        <v>8.5</v>
      </c>
      <c r="AB89" s="9" t="n">
        <v>4</v>
      </c>
      <c r="AC89" s="9" t="n">
        <v>6</v>
      </c>
      <c r="AD89" s="9" t="n">
        <v>12</v>
      </c>
      <c r="AE89" s="9" t="n">
        <v>14.5</v>
      </c>
      <c r="AF89" t="n">
        <v>2003</v>
      </c>
      <c r="AH89" t="inlineStr">
        <is>
          <t>Apartment</t>
        </is>
      </c>
      <c r="AI89" t="inlineStr">
        <is>
          <t>MainstreamSelective</t>
        </is>
      </c>
      <c r="AJ89" t="inlineStr">
        <is>
          <t>TopTier</t>
        </is>
      </c>
      <c r="AK89" t="inlineStr">
        <is>
          <t>Balanced / selective</t>
        </is>
      </c>
      <c r="AL89" s="7" t="inlineStr">
        <is>
          <t>Market remains active but increasingly differentiated by developer, micro-location, livability, and pricing discipline.</t>
        </is>
      </c>
      <c r="AM89" s="9" t="n">
        <v>5</v>
      </c>
      <c r="AN89" s="9" t="n">
        <v>8.25</v>
      </c>
      <c r="AO89" s="10" t="n">
        <v>0.55</v>
      </c>
      <c r="AP89" s="13" t="n">
        <v>0</v>
      </c>
      <c r="AQ89" s="13" t="n">
        <v>0</v>
      </c>
      <c r="AR89" s="13" t="n">
        <v>0</v>
      </c>
      <c r="AS89" s="13" t="n">
        <v>0.01</v>
      </c>
      <c r="AT89" s="13" t="n">
        <v>0.005</v>
      </c>
      <c r="AU89" s="13" t="n">
        <v>0.0025</v>
      </c>
      <c r="AV89" s="13" t="n">
        <v>-0.005</v>
      </c>
      <c r="AW89" s="13">
        <f>IF(X89="","",(AM89/100*AO89)+AP89+AQ89+AR89)</f>
        <v/>
      </c>
      <c r="AX89" s="13">
        <f>IF(X89="","",AS89+AT89+AU89+AV89)</f>
        <v/>
      </c>
      <c r="AY89" s="12">
        <f>IF(AZ89="","",ROUND(AZ89*(1+Assumptions!$B$10),0))</f>
        <v/>
      </c>
      <c r="AZ89" s="12">
        <f>IF(X89="","",ROUND(X89*(1+AW89),0))</f>
        <v/>
      </c>
      <c r="BA89" s="12">
        <f>IF(AZ89="","",ROUND(AZ89*(1+Assumptions!$B$11),0))</f>
        <v/>
      </c>
      <c r="BB89" s="12">
        <f>IF(AZ89="","",ROUND(AZ89*(1+AX89+Assumptions!$B$10),0))</f>
        <v/>
      </c>
      <c r="BC89" s="12">
        <f>IF(AZ89="","",ROUND(AZ89*(1+AX89),0))</f>
        <v/>
      </c>
      <c r="BD89" s="12">
        <f>IF(AZ89="","",ROUND(AZ89*(1+AX89+Assumptions!$B$11),0))</f>
        <v/>
      </c>
      <c r="BE89" s="12">
        <f>IF(AZ89="","",ROUND(AZ89*(1+AX89)*(1+AX89),0))</f>
        <v/>
      </c>
      <c r="BF89" s="7" t="inlineStr">
        <is>
          <t>Rules-based enrichment using launch-price anchor, cap-app realization, and 2026 segment conditions.</t>
        </is>
      </c>
      <c r="BG89" t="inlineStr">
        <is>
          <t>2026-03-17</t>
        </is>
      </c>
      <c r="BH89" s="7" t="inlineStr">
        <is>
          <t>DLD / Digital Dubai / CBUAE / Savills / Knight Frank-Moody’s / Reuters</t>
        </is>
      </c>
    </row>
    <row r="90">
      <c r="A90" t="n">
        <v>89</v>
      </c>
      <c r="B90" s="7" t="inlineStr">
        <is>
          <t>Rixos Financial Center Road</t>
        </is>
      </c>
      <c r="C90" t="inlineStr">
        <is>
          <t>Nakheel</t>
        </is>
      </c>
      <c r="D90" t="inlineStr">
        <is>
          <t>Downtown Dubai</t>
        </is>
      </c>
      <c r="E90" t="inlineStr">
        <is>
          <t>Branded Residences</t>
        </is>
      </c>
      <c r="F90" s="7" t="inlineStr">
        <is>
          <t>Luxury / City</t>
        </is>
      </c>
      <c r="G90" t="inlineStr">
        <is>
          <t>4.0M</t>
        </is>
      </c>
      <c r="H90" t="inlineStr">
        <is>
          <t>3800</t>
        </is>
      </c>
      <c r="I90" t="inlineStr">
        <is>
          <t>45+</t>
        </is>
      </c>
      <c r="J90" t="inlineStr">
        <is>
          <t>60/40</t>
        </is>
      </c>
      <c r="K90" t="inlineStr">
        <is>
          <t>2024</t>
        </is>
      </c>
      <c r="L90" t="inlineStr">
        <is>
          <t>4.0-4.5</t>
        </is>
      </c>
      <c r="M90" t="inlineStr">
        <is>
          <t>10-15</t>
        </is>
      </c>
      <c r="N90" t="inlineStr">
        <is>
          <t>14.0-19.5</t>
        </is>
      </c>
      <c r="O90" s="7" t="inlineStr">
        <is>
          <t>Hartland Intl</t>
        </is>
      </c>
      <c r="P90" s="7" t="inlineStr">
        <is>
          <t>Mediclinic Dubai Mall</t>
        </is>
      </c>
      <c r="Q90" s="7" t="inlineStr">
        <is>
          <t>Dubai Mall</t>
        </is>
      </c>
      <c r="R90" s="7" t="inlineStr">
        <is>
          <t>Financial Ctr Rd</t>
        </is>
      </c>
      <c r="S90" t="inlineStr">
        <is>
          <t>5</t>
        </is>
      </c>
      <c r="T90" t="inlineStr">
        <is>
          <t>20</t>
        </is>
      </c>
      <c r="U90" t="inlineStr">
        <is>
          <t>15</t>
        </is>
      </c>
      <c r="V90" t="inlineStr">
        <is>
          <t>35</t>
        </is>
      </c>
      <c r="W90" t="n">
        <v>2</v>
      </c>
      <c r="X90" s="12" t="n">
        <v>4000000</v>
      </c>
      <c r="Y90" s="12" t="n">
        <v>4000000</v>
      </c>
      <c r="Z90" s="9" t="n">
        <v>4</v>
      </c>
      <c r="AA90" s="9" t="n">
        <v>4.5</v>
      </c>
      <c r="AB90" s="9" t="n">
        <v>10</v>
      </c>
      <c r="AC90" s="9" t="n">
        <v>15</v>
      </c>
      <c r="AD90" s="9" t="n">
        <v>14</v>
      </c>
      <c r="AE90" s="9" t="n">
        <v>19.5</v>
      </c>
      <c r="AF90" t="n">
        <v>2024</v>
      </c>
      <c r="AH90" t="inlineStr">
        <is>
          <t>Apartment</t>
        </is>
      </c>
      <c r="AI90" t="inlineStr">
        <is>
          <t>Prime</t>
        </is>
      </c>
      <c r="AJ90" t="inlineStr">
        <is>
          <t>TopTier</t>
        </is>
      </c>
      <c r="AK90" t="inlineStr">
        <is>
          <t>Prime resilient / selective</t>
        </is>
      </c>
      <c r="AL90" s="7" t="inlineStr">
        <is>
          <t>Better support from quality, branding, and scarcer prime stock; still entry-price sensitive.</t>
        </is>
      </c>
      <c r="AM90" s="9" t="n">
        <v>12.5</v>
      </c>
      <c r="AN90" s="9" t="n">
        <v>4.25</v>
      </c>
      <c r="AO90" s="10" t="n">
        <v>0.55</v>
      </c>
      <c r="AP90" s="13" t="n">
        <v>0.02</v>
      </c>
      <c r="AQ90" s="13" t="n">
        <v>0</v>
      </c>
      <c r="AR90" s="13" t="n">
        <v>0</v>
      </c>
      <c r="AS90" s="13" t="n">
        <v>0.03</v>
      </c>
      <c r="AT90" s="13" t="n">
        <v>0.005</v>
      </c>
      <c r="AU90" s="13" t="n">
        <v>0</v>
      </c>
      <c r="AV90" s="13" t="n">
        <v>-0.005</v>
      </c>
      <c r="AW90" s="13">
        <f>IF(X90="","",(AM90/100*AO90)+AP90+AQ90+AR90)</f>
        <v/>
      </c>
      <c r="AX90" s="13">
        <f>IF(X90="","",AS90+AT90+AU90+AV90)</f>
        <v/>
      </c>
      <c r="AY90" s="12">
        <f>IF(AZ90="","",ROUND(AZ90*(1+Assumptions!$B$10),0))</f>
        <v/>
      </c>
      <c r="AZ90" s="12">
        <f>IF(X90="","",ROUND(X90*(1+AW90),0))</f>
        <v/>
      </c>
      <c r="BA90" s="12">
        <f>IF(AZ90="","",ROUND(AZ90*(1+Assumptions!$B$11),0))</f>
        <v/>
      </c>
      <c r="BB90" s="12">
        <f>IF(AZ90="","",ROUND(AZ90*(1+AX90+Assumptions!$B$10),0))</f>
        <v/>
      </c>
      <c r="BC90" s="12">
        <f>IF(AZ90="","",ROUND(AZ90*(1+AX90),0))</f>
        <v/>
      </c>
      <c r="BD90" s="12">
        <f>IF(AZ90="","",ROUND(AZ90*(1+AX90+Assumptions!$B$11),0))</f>
        <v/>
      </c>
      <c r="BE90" s="12">
        <f>IF(AZ90="","",ROUND(AZ90*(1+AX90)*(1+AX90),0))</f>
        <v/>
      </c>
      <c r="BF90" s="7" t="inlineStr">
        <is>
          <t>Rules-based enrichment using launch-price anchor, cap-app realization, and 2026 segment conditions.</t>
        </is>
      </c>
      <c r="BG90" t="inlineStr">
        <is>
          <t>2026-03-17</t>
        </is>
      </c>
      <c r="BH90" s="7" t="inlineStr">
        <is>
          <t>DLD / Digital Dubai / CBUAE / Savills / Knight Frank-Moody’s / Reuters</t>
        </is>
      </c>
    </row>
    <row r="91">
      <c r="A91" t="n">
        <v>90</v>
      </c>
      <c r="B91" s="7" t="inlineStr">
        <is>
          <t>Nad Al Sheba Villas</t>
        </is>
      </c>
      <c r="C91" t="inlineStr">
        <is>
          <t>Nakheel</t>
        </is>
      </c>
      <c r="D91" t="inlineStr">
        <is>
          <t>Nad Al Sheba</t>
        </is>
      </c>
      <c r="E91" t="inlineStr">
        <is>
          <t>Villas</t>
        </is>
      </c>
      <c r="F91" s="7" t="inlineStr">
        <is>
          <t>Gated</t>
        </is>
      </c>
      <c r="G91" t="inlineStr">
        <is>
          <t>Resale (3.5M+)</t>
        </is>
      </c>
      <c r="H91" t="inlineStr">
        <is>
          <t>1000</t>
        </is>
      </c>
      <c r="I91" t="inlineStr">
        <is>
          <t>10</t>
        </is>
      </c>
      <c r="J91" t="inlineStr">
        <is>
          <t>Completed</t>
        </is>
      </c>
      <c r="K91" t="inlineStr">
        <is>
          <t>2019</t>
        </is>
      </c>
      <c r="L91" t="inlineStr">
        <is>
          <t>6.0-6.5</t>
        </is>
      </c>
      <c r="M91" t="inlineStr">
        <is>
          <t>6-8</t>
        </is>
      </c>
      <c r="N91" t="inlineStr">
        <is>
          <t>12.0-14.5</t>
        </is>
      </c>
      <c r="O91" s="7" t="inlineStr">
        <is>
          <t>Repton School</t>
        </is>
      </c>
      <c r="P91" s="7" t="inlineStr">
        <is>
          <t>Nad Al Sheba Health</t>
        </is>
      </c>
      <c r="Q91" s="7" t="inlineStr">
        <is>
          <t>Avenue Mall</t>
        </is>
      </c>
      <c r="R91" s="7" t="inlineStr">
        <is>
          <t>E311 / E66</t>
        </is>
      </c>
      <c r="S91" t="inlineStr">
        <is>
          <t>15</t>
        </is>
      </c>
      <c r="T91" t="inlineStr">
        <is>
          <t>25</t>
        </is>
      </c>
      <c r="U91" t="inlineStr">
        <is>
          <t>15</t>
        </is>
      </c>
      <c r="V91" t="inlineStr">
        <is>
          <t>30</t>
        </is>
      </c>
      <c r="W91" t="n">
        <v>2</v>
      </c>
      <c r="X91" s="12" t="n">
        <v>3500000</v>
      </c>
      <c r="Y91" s="12" t="n">
        <v>3500000</v>
      </c>
      <c r="Z91" s="9" t="n">
        <v>6</v>
      </c>
      <c r="AA91" s="9" t="n">
        <v>6.5</v>
      </c>
      <c r="AB91" s="9" t="n">
        <v>6</v>
      </c>
      <c r="AC91" s="9" t="n">
        <v>8</v>
      </c>
      <c r="AD91" s="9" t="n">
        <v>12</v>
      </c>
      <c r="AE91" s="9" t="n">
        <v>14.5</v>
      </c>
      <c r="AF91" t="n">
        <v>2019</v>
      </c>
      <c r="AH91" t="inlineStr">
        <is>
          <t>Villa</t>
        </is>
      </c>
      <c r="AI91" t="inlineStr">
        <is>
          <t>MainstreamSelective</t>
        </is>
      </c>
      <c r="AJ91" t="inlineStr">
        <is>
          <t>TopTier</t>
        </is>
      </c>
      <c r="AK91" t="inlineStr">
        <is>
          <t>Family-villa resilient</t>
        </is>
      </c>
      <c r="AL91" s="7" t="inlineStr">
        <is>
          <t>Villa/townhouse demand remains relatively firmer, though growth should be slower than the post-2020 surge.</t>
        </is>
      </c>
      <c r="AM91" s="9" t="n">
        <v>7</v>
      </c>
      <c r="AN91" s="9" t="n">
        <v>6.25</v>
      </c>
      <c r="AO91" s="10" t="n">
        <v>0.55</v>
      </c>
      <c r="AP91" s="13" t="n">
        <v>0</v>
      </c>
      <c r="AQ91" s="13" t="n">
        <v>0.015</v>
      </c>
      <c r="AR91" s="13" t="n">
        <v>0</v>
      </c>
      <c r="AS91" s="13" t="n">
        <v>0.025</v>
      </c>
      <c r="AT91" s="13" t="n">
        <v>0.005</v>
      </c>
      <c r="AU91" s="13" t="n">
        <v>0.0025</v>
      </c>
      <c r="AV91" s="13" t="n">
        <v>-0.005</v>
      </c>
      <c r="AW91" s="13">
        <f>IF(X91="","",(AM91/100*AO91)+AP91+AQ91+AR91)</f>
        <v/>
      </c>
      <c r="AX91" s="13">
        <f>IF(X91="","",AS91+AT91+AU91+AV91)</f>
        <v/>
      </c>
      <c r="AY91" s="12">
        <f>IF(AZ91="","",ROUND(AZ91*(1+Assumptions!$B$10),0))</f>
        <v/>
      </c>
      <c r="AZ91" s="12">
        <f>IF(X91="","",ROUND(X91*(1+AW91),0))</f>
        <v/>
      </c>
      <c r="BA91" s="12">
        <f>IF(AZ91="","",ROUND(AZ91*(1+Assumptions!$B$11),0))</f>
        <v/>
      </c>
      <c r="BB91" s="12">
        <f>IF(AZ91="","",ROUND(AZ91*(1+AX91+Assumptions!$B$10),0))</f>
        <v/>
      </c>
      <c r="BC91" s="12">
        <f>IF(AZ91="","",ROUND(AZ91*(1+AX91),0))</f>
        <v/>
      </c>
      <c r="BD91" s="12">
        <f>IF(AZ91="","",ROUND(AZ91*(1+AX91+Assumptions!$B$11),0))</f>
        <v/>
      </c>
      <c r="BE91" s="12">
        <f>IF(AZ91="","",ROUND(AZ91*(1+AX91)*(1+AX91),0))</f>
        <v/>
      </c>
      <c r="BF91" s="7" t="inlineStr">
        <is>
          <t>Rules-based enrichment using launch-price anchor, cap-app realization, and 2026 segment conditions.</t>
        </is>
      </c>
      <c r="BG91" t="inlineStr">
        <is>
          <t>2026-03-17</t>
        </is>
      </c>
      <c r="BH91" s="7" t="inlineStr">
        <is>
          <t>DLD / Digital Dubai / CBUAE / Savills / Knight Frank-Moody’s / Reuters</t>
        </is>
      </c>
    </row>
    <row r="92">
      <c r="A92" t="n">
        <v>91</v>
      </c>
      <c r="B92" s="7" t="inlineStr">
        <is>
          <t>Warsan Village</t>
        </is>
      </c>
      <c r="C92" t="inlineStr">
        <is>
          <t>Nakheel</t>
        </is>
      </c>
      <c r="D92" t="inlineStr">
        <is>
          <t>International City</t>
        </is>
      </c>
      <c r="E92" t="inlineStr">
        <is>
          <t>Townhouses</t>
        </is>
      </c>
      <c r="F92" s="7" t="inlineStr">
        <is>
          <t>Budget</t>
        </is>
      </c>
      <c r="G92" t="inlineStr">
        <is>
          <t>Resale (1.5M+)</t>
        </is>
      </c>
      <c r="H92" t="inlineStr">
        <is>
          <t>800</t>
        </is>
      </c>
      <c r="I92" t="inlineStr">
        <is>
          <t>8</t>
        </is>
      </c>
      <c r="J92" t="inlineStr">
        <is>
          <t>Completed</t>
        </is>
      </c>
      <c r="K92" t="inlineStr">
        <is>
          <t>2016</t>
        </is>
      </c>
      <c r="L92" t="inlineStr">
        <is>
          <t>7.5-8.0</t>
        </is>
      </c>
      <c r="M92" t="inlineStr">
        <is>
          <t>5-7</t>
        </is>
      </c>
      <c r="N92" t="inlineStr">
        <is>
          <t>12.5-15.0</t>
        </is>
      </c>
      <c r="O92" s="7" t="inlineStr">
        <is>
          <t>Intl School of Arts</t>
        </is>
      </c>
      <c r="P92" s="7" t="inlineStr">
        <is>
          <t>Aster Hospital</t>
        </is>
      </c>
      <c r="Q92" s="7" t="inlineStr">
        <is>
          <t>Dragon Mart</t>
        </is>
      </c>
      <c r="R92" s="7" t="inlineStr">
        <is>
          <t>E44 / E311</t>
        </is>
      </c>
      <c r="S92" t="inlineStr">
        <is>
          <t>20</t>
        </is>
      </c>
      <c r="T92" t="inlineStr">
        <is>
          <t>30</t>
        </is>
      </c>
      <c r="U92" t="inlineStr">
        <is>
          <t>15</t>
        </is>
      </c>
      <c r="V92" t="inlineStr">
        <is>
          <t>35</t>
        </is>
      </c>
      <c r="W92" t="n">
        <v>2</v>
      </c>
      <c r="X92" s="12" t="n">
        <v>1500000</v>
      </c>
      <c r="Y92" s="12" t="n">
        <v>1500000</v>
      </c>
      <c r="Z92" s="9" t="n">
        <v>7.5</v>
      </c>
      <c r="AA92" s="9" t="n">
        <v>8</v>
      </c>
      <c r="AB92" s="9" t="n">
        <v>5</v>
      </c>
      <c r="AC92" s="9" t="n">
        <v>7</v>
      </c>
      <c r="AD92" s="9" t="n">
        <v>12.5</v>
      </c>
      <c r="AE92" s="9" t="n">
        <v>15</v>
      </c>
      <c r="AF92" t="n">
        <v>2016</v>
      </c>
      <c r="AH92" t="inlineStr">
        <is>
          <t>Townhouse</t>
        </is>
      </c>
      <c r="AI92" t="inlineStr">
        <is>
          <t>MainstreamSelective</t>
        </is>
      </c>
      <c r="AJ92" t="inlineStr">
        <is>
          <t>TopTier</t>
        </is>
      </c>
      <c r="AK92" t="inlineStr">
        <is>
          <t>Family-villa resilient</t>
        </is>
      </c>
      <c r="AL92" s="7" t="inlineStr">
        <is>
          <t>Villa/townhouse demand remains relatively firmer, though growth should be slower than the post-2020 surge.</t>
        </is>
      </c>
      <c r="AM92" s="9" t="n">
        <v>6</v>
      </c>
      <c r="AN92" s="9" t="n">
        <v>7.75</v>
      </c>
      <c r="AO92" s="10" t="n">
        <v>0.55</v>
      </c>
      <c r="AP92" s="13" t="n">
        <v>0</v>
      </c>
      <c r="AQ92" s="13" t="n">
        <v>0.015</v>
      </c>
      <c r="AR92" s="13" t="n">
        <v>0</v>
      </c>
      <c r="AS92" s="13" t="n">
        <v>0.025</v>
      </c>
      <c r="AT92" s="13" t="n">
        <v>0.005</v>
      </c>
      <c r="AU92" s="13" t="n">
        <v>0.0025</v>
      </c>
      <c r="AV92" s="13" t="n">
        <v>-0.005</v>
      </c>
      <c r="AW92" s="13">
        <f>IF(X92="","",(AM92/100*AO92)+AP92+AQ92+AR92)</f>
        <v/>
      </c>
      <c r="AX92" s="13">
        <f>IF(X92="","",AS92+AT92+AU92+AV92)</f>
        <v/>
      </c>
      <c r="AY92" s="12">
        <f>IF(AZ92="","",ROUND(AZ92*(1+Assumptions!$B$10),0))</f>
        <v/>
      </c>
      <c r="AZ92" s="12">
        <f>IF(X92="","",ROUND(X92*(1+AW92),0))</f>
        <v/>
      </c>
      <c r="BA92" s="12">
        <f>IF(AZ92="","",ROUND(AZ92*(1+Assumptions!$B$11),0))</f>
        <v/>
      </c>
      <c r="BB92" s="12">
        <f>IF(AZ92="","",ROUND(AZ92*(1+AX92+Assumptions!$B$10),0))</f>
        <v/>
      </c>
      <c r="BC92" s="12">
        <f>IF(AZ92="","",ROUND(AZ92*(1+AX92),0))</f>
        <v/>
      </c>
      <c r="BD92" s="12">
        <f>IF(AZ92="","",ROUND(AZ92*(1+AX92+Assumptions!$B$11),0))</f>
        <v/>
      </c>
      <c r="BE92" s="12">
        <f>IF(AZ92="","",ROUND(AZ92*(1+AX92)*(1+AX92),0))</f>
        <v/>
      </c>
      <c r="BF92" s="7" t="inlineStr">
        <is>
          <t>Rules-based enrichment using launch-price anchor, cap-app realization, and 2026 segment conditions.</t>
        </is>
      </c>
      <c r="BG92" t="inlineStr">
        <is>
          <t>2026-03-17</t>
        </is>
      </c>
      <c r="BH92" s="7" t="inlineStr">
        <is>
          <t>DLD / Digital Dubai / CBUAE / Savills / Knight Frank-Moody’s / Reuters</t>
        </is>
      </c>
    </row>
    <row r="93">
      <c r="A93" t="n">
        <v>92</v>
      </c>
      <c r="B93" s="7" t="inlineStr">
        <is>
          <t>International City</t>
        </is>
      </c>
      <c r="C93" t="inlineStr">
        <is>
          <t>Nakheel</t>
        </is>
      </c>
      <c r="D93" t="inlineStr">
        <is>
          <t>International City</t>
        </is>
      </c>
      <c r="E93" t="inlineStr">
        <is>
          <t>Apartments</t>
        </is>
      </c>
      <c r="F93" s="7" t="inlineStr">
        <is>
          <t>Budget</t>
        </is>
      </c>
      <c r="G93" t="inlineStr">
        <is>
          <t>Resale (350k+)</t>
        </is>
      </c>
      <c r="H93" t="inlineStr">
        <is>
          <t>600</t>
        </is>
      </c>
      <c r="I93" t="inlineStr">
        <is>
          <t>10</t>
        </is>
      </c>
      <c r="J93" t="inlineStr">
        <is>
          <t>Completed</t>
        </is>
      </c>
      <c r="K93" t="inlineStr">
        <is>
          <t>2004</t>
        </is>
      </c>
      <c r="L93" t="inlineStr">
        <is>
          <t>9.0-15.0</t>
        </is>
      </c>
      <c r="M93" t="inlineStr">
        <is>
          <t>5-7</t>
        </is>
      </c>
      <c r="N93" t="inlineStr">
        <is>
          <t>14.0-22.0</t>
        </is>
      </c>
      <c r="O93" s="7" t="inlineStr">
        <is>
          <t>Intl School of Arts</t>
        </is>
      </c>
      <c r="P93" s="7" t="inlineStr">
        <is>
          <t>Aster Hospital</t>
        </is>
      </c>
      <c r="Q93" s="7" t="inlineStr">
        <is>
          <t>Dragon Mart</t>
        </is>
      </c>
      <c r="R93" s="7" t="inlineStr">
        <is>
          <t>E44 / E311</t>
        </is>
      </c>
      <c r="S93" t="inlineStr">
        <is>
          <t>20</t>
        </is>
      </c>
      <c r="T93" t="inlineStr">
        <is>
          <t>30</t>
        </is>
      </c>
      <c r="U93" t="inlineStr">
        <is>
          <t>15</t>
        </is>
      </c>
      <c r="V93" t="inlineStr">
        <is>
          <t>35</t>
        </is>
      </c>
      <c r="W93" t="n">
        <v>2</v>
      </c>
      <c r="X93" s="12" t="n">
        <v>350000</v>
      </c>
      <c r="Y93" s="12" t="n">
        <v>350000</v>
      </c>
      <c r="Z93" s="9" t="n">
        <v>9</v>
      </c>
      <c r="AA93" s="9" t="n">
        <v>15</v>
      </c>
      <c r="AB93" s="9" t="n">
        <v>5</v>
      </c>
      <c r="AC93" s="9" t="n">
        <v>7</v>
      </c>
      <c r="AD93" s="9" t="n">
        <v>14</v>
      </c>
      <c r="AE93" s="9" t="n">
        <v>22</v>
      </c>
      <c r="AF93" t="n">
        <v>2004</v>
      </c>
      <c r="AH93" t="inlineStr">
        <is>
          <t>Apartment</t>
        </is>
      </c>
      <c r="AI93" t="inlineStr">
        <is>
          <t>SupplySensitiveApartment</t>
        </is>
      </c>
      <c r="AJ93" t="inlineStr">
        <is>
          <t>TopTier</t>
        </is>
      </c>
      <c r="AK93" t="inlineStr">
        <is>
          <t>Supply-sensitive / selective</t>
        </is>
      </c>
      <c r="AL93" s="7" t="inlineStr">
        <is>
          <t>Higher delivery risk in more price-sensitive apartment clusters; building selection and exit liquidity matter.</t>
        </is>
      </c>
      <c r="AM93" s="9" t="n">
        <v>6</v>
      </c>
      <c r="AN93" s="9" t="n">
        <v>12</v>
      </c>
      <c r="AO93" s="10" t="n">
        <v>0.55</v>
      </c>
      <c r="AP93" s="13" t="n">
        <v>0</v>
      </c>
      <c r="AQ93" s="13" t="n">
        <v>0</v>
      </c>
      <c r="AR93" s="13" t="n">
        <v>-0.01</v>
      </c>
      <c r="AS93" s="13" t="n">
        <v>-0.01</v>
      </c>
      <c r="AT93" s="13" t="n">
        <v>0.005</v>
      </c>
      <c r="AU93" s="13" t="n">
        <v>0.0025</v>
      </c>
      <c r="AV93" s="13" t="n">
        <v>-0.005</v>
      </c>
      <c r="AW93" s="13">
        <f>IF(X93="","",(AM93/100*AO93)+AP93+AQ93+AR93)</f>
        <v/>
      </c>
      <c r="AX93" s="13">
        <f>IF(X93="","",AS93+AT93+AU93+AV93)</f>
        <v/>
      </c>
      <c r="AY93" s="12">
        <f>IF(AZ93="","",ROUND(AZ93*(1+Assumptions!$B$10),0))</f>
        <v/>
      </c>
      <c r="AZ93" s="12">
        <f>IF(X93="","",ROUND(X93*(1+AW93),0))</f>
        <v/>
      </c>
      <c r="BA93" s="12">
        <f>IF(AZ93="","",ROUND(AZ93*(1+Assumptions!$B$11),0))</f>
        <v/>
      </c>
      <c r="BB93" s="12">
        <f>IF(AZ93="","",ROUND(AZ93*(1+AX93+Assumptions!$B$10),0))</f>
        <v/>
      </c>
      <c r="BC93" s="12">
        <f>IF(AZ93="","",ROUND(AZ93*(1+AX93),0))</f>
        <v/>
      </c>
      <c r="BD93" s="12">
        <f>IF(AZ93="","",ROUND(AZ93*(1+AX93+Assumptions!$B$11),0))</f>
        <v/>
      </c>
      <c r="BE93" s="12">
        <f>IF(AZ93="","",ROUND(AZ93*(1+AX93)*(1+AX93),0))</f>
        <v/>
      </c>
      <c r="BF93" s="7" t="inlineStr">
        <is>
          <t>Rules-based enrichment using launch-price anchor, cap-app realization, and 2026 segment conditions.</t>
        </is>
      </c>
      <c r="BG93" t="inlineStr">
        <is>
          <t>2026-03-17</t>
        </is>
      </c>
      <c r="BH93" s="7" t="inlineStr">
        <is>
          <t>DLD / Digital Dubai / CBUAE / Savills / Knight Frank-Moody’s / Reuters</t>
        </is>
      </c>
    </row>
    <row r="94">
      <c r="A94" t="n">
        <v>93</v>
      </c>
      <c r="B94" s="7" t="inlineStr">
        <is>
          <t>City Walk (Master Community)</t>
        </is>
      </c>
      <c r="C94" t="inlineStr">
        <is>
          <t>Meraas</t>
        </is>
      </c>
      <c r="D94" t="inlineStr">
        <is>
          <t>Jumeirah</t>
        </is>
      </c>
      <c r="E94" t="inlineStr">
        <is>
          <t>Mixed</t>
        </is>
      </c>
      <c r="F94" s="7" t="inlineStr">
        <is>
          <t>Urban / Retail</t>
        </is>
      </c>
      <c r="I94" t="inlineStr">
        <is>
          <t>25-30</t>
        </is>
      </c>
      <c r="J94" t="inlineStr">
        <is>
          <t>Varies</t>
        </is>
      </c>
      <c r="K94" t="inlineStr">
        <is>
          <t>Ongoing</t>
        </is>
      </c>
      <c r="L94" t="inlineStr">
        <is>
          <t>5.5-6.5</t>
        </is>
      </c>
      <c r="M94" t="inlineStr">
        <is>
          <t>8-12</t>
        </is>
      </c>
      <c r="N94" t="inlineStr">
        <is>
          <t>13.5-18.5</t>
        </is>
      </c>
      <c r="O94" s="7" t="inlineStr">
        <is>
          <t>Jumeirah Baccalaureate</t>
        </is>
      </c>
      <c r="P94" s="7" t="inlineStr">
        <is>
          <t>Valiant Clinic</t>
        </is>
      </c>
      <c r="Q94" s="7" t="inlineStr">
        <is>
          <t>City Walk</t>
        </is>
      </c>
      <c r="R94" s="7" t="inlineStr">
        <is>
          <t>Al Wasl / SZR</t>
        </is>
      </c>
      <c r="S94" t="inlineStr">
        <is>
          <t>5</t>
        </is>
      </c>
      <c r="T94" t="inlineStr">
        <is>
          <t>15</t>
        </is>
      </c>
      <c r="U94" t="inlineStr">
        <is>
          <t>15</t>
        </is>
      </c>
      <c r="V94" t="inlineStr">
        <is>
          <t>35</t>
        </is>
      </c>
      <c r="W94" t="n">
        <v>2</v>
      </c>
      <c r="X94" s="12" t="n"/>
      <c r="Y94" s="12" t="n"/>
      <c r="Z94" s="9" t="n">
        <v>5.5</v>
      </c>
      <c r="AA94" s="9" t="n">
        <v>6.5</v>
      </c>
      <c r="AB94" s="9" t="n">
        <v>8</v>
      </c>
      <c r="AC94" s="9" t="n">
        <v>12</v>
      </c>
      <c r="AD94" s="9" t="n">
        <v>13.5</v>
      </c>
      <c r="AE94" s="9" t="n">
        <v>18.5</v>
      </c>
      <c r="AH94" t="inlineStr">
        <is>
          <t>Mixed/Other</t>
        </is>
      </c>
      <c r="AI94" t="inlineStr">
        <is>
          <t>Prime</t>
        </is>
      </c>
      <c r="AJ94" t="inlineStr">
        <is>
          <t>TopTier</t>
        </is>
      </c>
      <c r="AK94" t="inlineStr">
        <is>
          <t>Prime resilient / selective</t>
        </is>
      </c>
      <c r="AL94" s="7" t="inlineStr">
        <is>
          <t>Better support from quality, branding, and scarcer prime stock; still entry-price sensitive.</t>
        </is>
      </c>
      <c r="AM94" s="9" t="n">
        <v>10</v>
      </c>
      <c r="AN94" s="9" t="n">
        <v>6</v>
      </c>
      <c r="AO94" s="10" t="n">
        <v>0.25</v>
      </c>
      <c r="AP94" s="13" t="n">
        <v>0.02</v>
      </c>
      <c r="AQ94" s="13" t="n">
        <v>0</v>
      </c>
      <c r="AR94" s="13" t="n">
        <v>0</v>
      </c>
      <c r="AS94" s="13" t="n">
        <v>0.03</v>
      </c>
      <c r="AT94" s="13" t="n">
        <v>0.005</v>
      </c>
      <c r="AU94" s="13" t="n">
        <v>0</v>
      </c>
      <c r="AV94" s="13" t="n">
        <v>-0.005</v>
      </c>
      <c r="AW94" s="13">
        <f>IF(X94="","",(AM94/100*AO94)+AP94+AQ94+AR94)</f>
        <v/>
      </c>
      <c r="AX94" s="13">
        <f>IF(X94="","",AS94+AT94+AU94+AV94)</f>
        <v/>
      </c>
      <c r="AY94" s="12">
        <f>IF(AZ94="","",ROUND(AZ94*(1+Assumptions!$B$10),0))</f>
        <v/>
      </c>
      <c r="AZ94" s="12">
        <f>IF(X94="","",ROUND(X94*(1+AW94),0))</f>
        <v/>
      </c>
      <c r="BA94" s="12">
        <f>IF(AZ94="","",ROUND(AZ94*(1+Assumptions!$B$11),0))</f>
        <v/>
      </c>
      <c r="BB94" s="12">
        <f>IF(AZ94="","",ROUND(AZ94*(1+AX94+Assumptions!$B$10),0))</f>
        <v/>
      </c>
      <c r="BC94" s="12">
        <f>IF(AZ94="","",ROUND(AZ94*(1+AX94),0))</f>
        <v/>
      </c>
      <c r="BD94" s="12">
        <f>IF(AZ94="","",ROUND(AZ94*(1+AX94+Assumptions!$B$11),0))</f>
        <v/>
      </c>
      <c r="BE94" s="12">
        <f>IF(AZ94="","",ROUND(AZ94*(1+AX94)*(1+AX94),0))</f>
        <v/>
      </c>
      <c r="BF94" s="7" t="inlineStr">
        <is>
          <t>Rules-based enrichment using launch-price anchor, cap-app realization, and 2026 segment conditions.</t>
        </is>
      </c>
      <c r="BG94" t="inlineStr">
        <is>
          <t>2026-03-17</t>
        </is>
      </c>
      <c r="BH94" s="7" t="inlineStr">
        <is>
          <t>DLD / Digital Dubai / CBUAE / Savills / Knight Frank-Moody’s / Reuters</t>
        </is>
      </c>
    </row>
    <row r="95">
      <c r="A95" t="n">
        <v>94</v>
      </c>
      <c r="B95" s="7" t="inlineStr">
        <is>
          <t>Design Quarter at d3 (Phase 1)</t>
        </is>
      </c>
      <c r="C95" t="inlineStr">
        <is>
          <t>Meraas</t>
        </is>
      </c>
      <c r="D95" t="inlineStr">
        <is>
          <t>Dubai Design District</t>
        </is>
      </c>
      <c r="E95" t="inlineStr">
        <is>
          <t>Apartments</t>
        </is>
      </c>
      <c r="F95" s="7" t="inlineStr">
        <is>
          <t>Creative / Modern</t>
        </is>
      </c>
      <c r="G95" t="inlineStr">
        <is>
          <t>2.1M</t>
        </is>
      </c>
      <c r="H95" t="inlineStr">
        <is>
          <t>2000</t>
        </is>
      </c>
      <c r="I95" t="inlineStr">
        <is>
          <t>25</t>
        </is>
      </c>
      <c r="J95" t="inlineStr">
        <is>
          <t>60/40</t>
        </is>
      </c>
      <c r="K95" t="inlineStr">
        <is>
          <t>2023</t>
        </is>
      </c>
      <c r="L95" t="inlineStr">
        <is>
          <t>5.5-6.0</t>
        </is>
      </c>
      <c r="M95" t="inlineStr">
        <is>
          <t>8-12</t>
        </is>
      </c>
      <c r="N95" t="inlineStr">
        <is>
          <t>13.5-18.0</t>
        </is>
      </c>
      <c r="O95" s="7" t="inlineStr">
        <is>
          <t>Hartland Intl</t>
        </is>
      </c>
      <c r="P95" s="7" t="inlineStr">
        <is>
          <t>Mediclinic Dubai Mall</t>
        </is>
      </c>
      <c r="Q95" s="7" t="inlineStr">
        <is>
          <t>Dubai Mall</t>
        </is>
      </c>
      <c r="R95" s="7" t="inlineStr">
        <is>
          <t>Ras Al Khor / E44</t>
        </is>
      </c>
      <c r="S95" t="inlineStr">
        <is>
          <t>8</t>
        </is>
      </c>
      <c r="T95" t="inlineStr">
        <is>
          <t>20</t>
        </is>
      </c>
      <c r="U95" t="inlineStr">
        <is>
          <t>12</t>
        </is>
      </c>
      <c r="V95" t="inlineStr">
        <is>
          <t>35</t>
        </is>
      </c>
      <c r="W95" t="n">
        <v>2</v>
      </c>
      <c r="X95" s="12" t="n">
        <v>2100000</v>
      </c>
      <c r="Y95" s="12" t="n">
        <v>2100000</v>
      </c>
      <c r="Z95" s="9" t="n">
        <v>5.5</v>
      </c>
      <c r="AA95" s="9" t="n">
        <v>6</v>
      </c>
      <c r="AB95" s="9" t="n">
        <v>8</v>
      </c>
      <c r="AC95" s="9" t="n">
        <v>12</v>
      </c>
      <c r="AD95" s="9" t="n">
        <v>13.5</v>
      </c>
      <c r="AE95" s="9" t="n">
        <v>18</v>
      </c>
      <c r="AF95" t="n">
        <v>2023</v>
      </c>
      <c r="AH95" t="inlineStr">
        <is>
          <t>Apartment</t>
        </is>
      </c>
      <c r="AI95" t="inlineStr">
        <is>
          <t>MainstreamSelective</t>
        </is>
      </c>
      <c r="AJ95" t="inlineStr">
        <is>
          <t>TopTier</t>
        </is>
      </c>
      <c r="AK95" t="inlineStr">
        <is>
          <t>Balanced / selective</t>
        </is>
      </c>
      <c r="AL95" s="7" t="inlineStr">
        <is>
          <t>Market remains active but increasingly differentiated by developer, micro-location, livability, and pricing discipline.</t>
        </is>
      </c>
      <c r="AM95" s="9" t="n">
        <v>10</v>
      </c>
      <c r="AN95" s="9" t="n">
        <v>5.75</v>
      </c>
      <c r="AO95" s="10" t="n">
        <v>0.55</v>
      </c>
      <c r="AP95" s="13" t="n">
        <v>0</v>
      </c>
      <c r="AQ95" s="13" t="n">
        <v>0</v>
      </c>
      <c r="AR95" s="13" t="n">
        <v>0</v>
      </c>
      <c r="AS95" s="13" t="n">
        <v>0.01</v>
      </c>
      <c r="AT95" s="13" t="n">
        <v>0.005</v>
      </c>
      <c r="AU95" s="13" t="n">
        <v>0</v>
      </c>
      <c r="AV95" s="13" t="n">
        <v>-0.005</v>
      </c>
      <c r="AW95" s="13">
        <f>IF(X95="","",(AM95/100*AO95)+AP95+AQ95+AR95)</f>
        <v/>
      </c>
      <c r="AX95" s="13">
        <f>IF(X95="","",AS95+AT95+AU95+AV95)</f>
        <v/>
      </c>
      <c r="AY95" s="12">
        <f>IF(AZ95="","",ROUND(AZ95*(1+Assumptions!$B$10),0))</f>
        <v/>
      </c>
      <c r="AZ95" s="12">
        <f>IF(X95="","",ROUND(X95*(1+AW95),0))</f>
        <v/>
      </c>
      <c r="BA95" s="12">
        <f>IF(AZ95="","",ROUND(AZ95*(1+Assumptions!$B$11),0))</f>
        <v/>
      </c>
      <c r="BB95" s="12">
        <f>IF(AZ95="","",ROUND(AZ95*(1+AX95+Assumptions!$B$10),0))</f>
        <v/>
      </c>
      <c r="BC95" s="12">
        <f>IF(AZ95="","",ROUND(AZ95*(1+AX95),0))</f>
        <v/>
      </c>
      <c r="BD95" s="12">
        <f>IF(AZ95="","",ROUND(AZ95*(1+AX95+Assumptions!$B$11),0))</f>
        <v/>
      </c>
      <c r="BE95" s="12">
        <f>IF(AZ95="","",ROUND(AZ95*(1+AX95)*(1+AX95),0))</f>
        <v/>
      </c>
      <c r="BF95" s="7" t="inlineStr">
        <is>
          <t>Rules-based enrichment using launch-price anchor, cap-app realization, and 2026 segment conditions.</t>
        </is>
      </c>
      <c r="BG95" t="inlineStr">
        <is>
          <t>2026-03-17</t>
        </is>
      </c>
      <c r="BH95" s="7" t="inlineStr">
        <is>
          <t>DLD / Digital Dubai / CBUAE / Savills / Knight Frank-Moody’s / Reuters</t>
        </is>
      </c>
    </row>
    <row r="96">
      <c r="A96" t="n">
        <v>95</v>
      </c>
      <c r="B96" s="7" t="inlineStr">
        <is>
          <t>Design Quarter at d3 (Phase 2)</t>
        </is>
      </c>
      <c r="C96" t="inlineStr">
        <is>
          <t>Meraas</t>
        </is>
      </c>
      <c r="D96" t="inlineStr">
        <is>
          <t>Dubai Design District</t>
        </is>
      </c>
      <c r="E96" t="inlineStr">
        <is>
          <t>Apartments</t>
        </is>
      </c>
      <c r="F96" s="7" t="inlineStr">
        <is>
          <t>Creative / Modern</t>
        </is>
      </c>
      <c r="G96" t="inlineStr">
        <is>
          <t>2.2M</t>
        </is>
      </c>
      <c r="H96" t="inlineStr">
        <is>
          <t>2100</t>
        </is>
      </c>
      <c r="I96" t="inlineStr">
        <is>
          <t>25</t>
        </is>
      </c>
      <c r="J96" t="inlineStr">
        <is>
          <t>60/40</t>
        </is>
      </c>
      <c r="K96" t="inlineStr">
        <is>
          <t>2023</t>
        </is>
      </c>
      <c r="L96" t="inlineStr">
        <is>
          <t>5.5-6.0</t>
        </is>
      </c>
      <c r="M96" t="inlineStr">
        <is>
          <t>8-12</t>
        </is>
      </c>
      <c r="N96" t="inlineStr">
        <is>
          <t>13.5-18.0</t>
        </is>
      </c>
      <c r="O96" s="7" t="inlineStr">
        <is>
          <t>Hartland Intl</t>
        </is>
      </c>
      <c r="P96" s="7" t="inlineStr">
        <is>
          <t>Mediclinic Dubai Mall</t>
        </is>
      </c>
      <c r="Q96" s="7" t="inlineStr">
        <is>
          <t>Dubai Mall</t>
        </is>
      </c>
      <c r="R96" s="7" t="inlineStr">
        <is>
          <t>Ras Al Khor / E44</t>
        </is>
      </c>
      <c r="S96" t="inlineStr">
        <is>
          <t>8</t>
        </is>
      </c>
      <c r="T96" t="inlineStr">
        <is>
          <t>20</t>
        </is>
      </c>
      <c r="U96" t="inlineStr">
        <is>
          <t>12</t>
        </is>
      </c>
      <c r="V96" t="inlineStr">
        <is>
          <t>35</t>
        </is>
      </c>
      <c r="W96" t="n">
        <v>2</v>
      </c>
      <c r="X96" s="12" t="n">
        <v>2200000</v>
      </c>
      <c r="Y96" s="12" t="n">
        <v>2200000</v>
      </c>
      <c r="Z96" s="9" t="n">
        <v>5.5</v>
      </c>
      <c r="AA96" s="9" t="n">
        <v>6</v>
      </c>
      <c r="AB96" s="9" t="n">
        <v>8</v>
      </c>
      <c r="AC96" s="9" t="n">
        <v>12</v>
      </c>
      <c r="AD96" s="9" t="n">
        <v>13.5</v>
      </c>
      <c r="AE96" s="9" t="n">
        <v>18</v>
      </c>
      <c r="AF96" t="n">
        <v>2023</v>
      </c>
      <c r="AH96" t="inlineStr">
        <is>
          <t>Apartment</t>
        </is>
      </c>
      <c r="AI96" t="inlineStr">
        <is>
          <t>MainstreamSelective</t>
        </is>
      </c>
      <c r="AJ96" t="inlineStr">
        <is>
          <t>TopTier</t>
        </is>
      </c>
      <c r="AK96" t="inlineStr">
        <is>
          <t>Balanced / selective</t>
        </is>
      </c>
      <c r="AL96" s="7" t="inlineStr">
        <is>
          <t>Market remains active but increasingly differentiated by developer, micro-location, livability, and pricing discipline.</t>
        </is>
      </c>
      <c r="AM96" s="9" t="n">
        <v>10</v>
      </c>
      <c r="AN96" s="9" t="n">
        <v>5.75</v>
      </c>
      <c r="AO96" s="10" t="n">
        <v>0.55</v>
      </c>
      <c r="AP96" s="13" t="n">
        <v>0</v>
      </c>
      <c r="AQ96" s="13" t="n">
        <v>0</v>
      </c>
      <c r="AR96" s="13" t="n">
        <v>0</v>
      </c>
      <c r="AS96" s="13" t="n">
        <v>0.01</v>
      </c>
      <c r="AT96" s="13" t="n">
        <v>0.005</v>
      </c>
      <c r="AU96" s="13" t="n">
        <v>0</v>
      </c>
      <c r="AV96" s="13" t="n">
        <v>-0.005</v>
      </c>
      <c r="AW96" s="13">
        <f>IF(X96="","",(AM96/100*AO96)+AP96+AQ96+AR96)</f>
        <v/>
      </c>
      <c r="AX96" s="13">
        <f>IF(X96="","",AS96+AT96+AU96+AV96)</f>
        <v/>
      </c>
      <c r="AY96" s="12">
        <f>IF(AZ96="","",ROUND(AZ96*(1+Assumptions!$B$10),0))</f>
        <v/>
      </c>
      <c r="AZ96" s="12">
        <f>IF(X96="","",ROUND(X96*(1+AW96),0))</f>
        <v/>
      </c>
      <c r="BA96" s="12">
        <f>IF(AZ96="","",ROUND(AZ96*(1+Assumptions!$B$11),0))</f>
        <v/>
      </c>
      <c r="BB96" s="12">
        <f>IF(AZ96="","",ROUND(AZ96*(1+AX96+Assumptions!$B$10),0))</f>
        <v/>
      </c>
      <c r="BC96" s="12">
        <f>IF(AZ96="","",ROUND(AZ96*(1+AX96),0))</f>
        <v/>
      </c>
      <c r="BD96" s="12">
        <f>IF(AZ96="","",ROUND(AZ96*(1+AX96+Assumptions!$B$11),0))</f>
        <v/>
      </c>
      <c r="BE96" s="12">
        <f>IF(AZ96="","",ROUND(AZ96*(1+AX96)*(1+AX96),0))</f>
        <v/>
      </c>
      <c r="BF96" s="7" t="inlineStr">
        <is>
          <t>Rules-based enrichment using launch-price anchor, cap-app realization, and 2026 segment conditions.</t>
        </is>
      </c>
      <c r="BG96" t="inlineStr">
        <is>
          <t>2026-03-17</t>
        </is>
      </c>
      <c r="BH96" s="7" t="inlineStr">
        <is>
          <t>DLD / Digital Dubai / CBUAE / Savills / Knight Frank-Moody’s / Reuters</t>
        </is>
      </c>
    </row>
    <row r="97">
      <c r="A97" t="n">
        <v>96</v>
      </c>
      <c r="B97" s="7" t="inlineStr">
        <is>
          <t>Central Park: Fern</t>
        </is>
      </c>
      <c r="C97" t="inlineStr">
        <is>
          <t>Meraas</t>
        </is>
      </c>
      <c r="D97" t="inlineStr">
        <is>
          <t>City Walk</t>
        </is>
      </c>
      <c r="E97" t="inlineStr">
        <is>
          <t>Apartments</t>
        </is>
      </c>
      <c r="F97" s="7" t="inlineStr">
        <is>
          <t>Park / Green</t>
        </is>
      </c>
      <c r="G97" t="inlineStr">
        <is>
          <t>1.8M</t>
        </is>
      </c>
      <c r="H97" t="inlineStr">
        <is>
          <t>2300</t>
        </is>
      </c>
      <c r="I97" t="inlineStr">
        <is>
          <t>25</t>
        </is>
      </c>
      <c r="J97" t="inlineStr">
        <is>
          <t>50/50</t>
        </is>
      </c>
      <c r="K97" t="inlineStr">
        <is>
          <t>2023</t>
        </is>
      </c>
      <c r="L97" t="inlineStr">
        <is>
          <t>5.5-6.0</t>
        </is>
      </c>
      <c r="M97" t="inlineStr">
        <is>
          <t>8-10</t>
        </is>
      </c>
      <c r="N97" t="inlineStr">
        <is>
          <t>13.5-16.0</t>
        </is>
      </c>
      <c r="O97" s="7" t="inlineStr">
        <is>
          <t>Jumeirah Baccalaureate</t>
        </is>
      </c>
      <c r="P97" s="7" t="inlineStr">
        <is>
          <t>Valiant Clinic</t>
        </is>
      </c>
      <c r="Q97" s="7" t="inlineStr">
        <is>
          <t>City Walk</t>
        </is>
      </c>
      <c r="R97" s="7" t="inlineStr">
        <is>
          <t>Al Wasl / SZR</t>
        </is>
      </c>
      <c r="S97" t="inlineStr">
        <is>
          <t>5</t>
        </is>
      </c>
      <c r="T97" t="inlineStr">
        <is>
          <t>15</t>
        </is>
      </c>
      <c r="U97" t="inlineStr">
        <is>
          <t>15</t>
        </is>
      </c>
      <c r="V97" t="inlineStr">
        <is>
          <t>35</t>
        </is>
      </c>
      <c r="W97" t="n">
        <v>2</v>
      </c>
      <c r="X97" s="12" t="n">
        <v>1800000</v>
      </c>
      <c r="Y97" s="12" t="n">
        <v>1800000</v>
      </c>
      <c r="Z97" s="9" t="n">
        <v>5.5</v>
      </c>
      <c r="AA97" s="9" t="n">
        <v>6</v>
      </c>
      <c r="AB97" s="9" t="n">
        <v>8</v>
      </c>
      <c r="AC97" s="9" t="n">
        <v>10</v>
      </c>
      <c r="AD97" s="9" t="n">
        <v>13.5</v>
      </c>
      <c r="AE97" s="9" t="n">
        <v>16</v>
      </c>
      <c r="AF97" t="n">
        <v>2023</v>
      </c>
      <c r="AH97" t="inlineStr">
        <is>
          <t>Apartment</t>
        </is>
      </c>
      <c r="AI97" t="inlineStr">
        <is>
          <t>Prime</t>
        </is>
      </c>
      <c r="AJ97" t="inlineStr">
        <is>
          <t>TopTier</t>
        </is>
      </c>
      <c r="AK97" t="inlineStr">
        <is>
          <t>Prime resilient / selective</t>
        </is>
      </c>
      <c r="AL97" s="7" t="inlineStr">
        <is>
          <t>Better support from quality, branding, and scarcer prime stock; still entry-price sensitive.</t>
        </is>
      </c>
      <c r="AM97" s="9" t="n">
        <v>9</v>
      </c>
      <c r="AN97" s="9" t="n">
        <v>5.75</v>
      </c>
      <c r="AO97" s="10" t="n">
        <v>0.55</v>
      </c>
      <c r="AP97" s="13" t="n">
        <v>0.02</v>
      </c>
      <c r="AQ97" s="13" t="n">
        <v>0</v>
      </c>
      <c r="AR97" s="13" t="n">
        <v>0</v>
      </c>
      <c r="AS97" s="13" t="n">
        <v>0.03</v>
      </c>
      <c r="AT97" s="13" t="n">
        <v>0.005</v>
      </c>
      <c r="AU97" s="13" t="n">
        <v>0</v>
      </c>
      <c r="AV97" s="13" t="n">
        <v>-0.005</v>
      </c>
      <c r="AW97" s="13">
        <f>IF(X97="","",(AM97/100*AO97)+AP97+AQ97+AR97)</f>
        <v/>
      </c>
      <c r="AX97" s="13">
        <f>IF(X97="","",AS97+AT97+AU97+AV97)</f>
        <v/>
      </c>
      <c r="AY97" s="12">
        <f>IF(AZ97="","",ROUND(AZ97*(1+Assumptions!$B$10),0))</f>
        <v/>
      </c>
      <c r="AZ97" s="12">
        <f>IF(X97="","",ROUND(X97*(1+AW97),0))</f>
        <v/>
      </c>
      <c r="BA97" s="12">
        <f>IF(AZ97="","",ROUND(AZ97*(1+Assumptions!$B$11),0))</f>
        <v/>
      </c>
      <c r="BB97" s="12">
        <f>IF(AZ97="","",ROUND(AZ97*(1+AX97+Assumptions!$B$10),0))</f>
        <v/>
      </c>
      <c r="BC97" s="12">
        <f>IF(AZ97="","",ROUND(AZ97*(1+AX97),0))</f>
        <v/>
      </c>
      <c r="BD97" s="12">
        <f>IF(AZ97="","",ROUND(AZ97*(1+AX97+Assumptions!$B$11),0))</f>
        <v/>
      </c>
      <c r="BE97" s="12">
        <f>IF(AZ97="","",ROUND(AZ97*(1+AX97)*(1+AX97),0))</f>
        <v/>
      </c>
      <c r="BF97" s="7" t="inlineStr">
        <is>
          <t>Rules-based enrichment using launch-price anchor, cap-app realization, and 2026 segment conditions.</t>
        </is>
      </c>
      <c r="BG97" t="inlineStr">
        <is>
          <t>2026-03-17</t>
        </is>
      </c>
      <c r="BH97" s="7" t="inlineStr">
        <is>
          <t>DLD / Digital Dubai / CBUAE / Savills / Knight Frank-Moody’s / Reuters</t>
        </is>
      </c>
    </row>
    <row r="98">
      <c r="A98" t="n">
        <v>97</v>
      </c>
      <c r="B98" s="7" t="inlineStr">
        <is>
          <t>Central Park: Laurel</t>
        </is>
      </c>
      <c r="C98" t="inlineStr">
        <is>
          <t>Meraas</t>
        </is>
      </c>
      <c r="D98" t="inlineStr">
        <is>
          <t>City Walk</t>
        </is>
      </c>
      <c r="E98" t="inlineStr">
        <is>
          <t>Apartments</t>
        </is>
      </c>
      <c r="F98" s="7" t="inlineStr">
        <is>
          <t>Park / Green</t>
        </is>
      </c>
      <c r="G98" t="inlineStr">
        <is>
          <t>1.9M</t>
        </is>
      </c>
      <c r="H98" t="inlineStr">
        <is>
          <t>2350</t>
        </is>
      </c>
      <c r="I98" t="inlineStr">
        <is>
          <t>25</t>
        </is>
      </c>
      <c r="J98" t="inlineStr">
        <is>
          <t>50/50</t>
        </is>
      </c>
      <c r="K98" t="inlineStr">
        <is>
          <t>2023</t>
        </is>
      </c>
      <c r="L98" t="inlineStr">
        <is>
          <t>5.5-6.0</t>
        </is>
      </c>
      <c r="M98" t="inlineStr">
        <is>
          <t>8-10</t>
        </is>
      </c>
      <c r="N98" t="inlineStr">
        <is>
          <t>13.5-16.0</t>
        </is>
      </c>
      <c r="O98" s="7" t="inlineStr">
        <is>
          <t>Jumeirah Baccalaureate</t>
        </is>
      </c>
      <c r="P98" s="7" t="inlineStr">
        <is>
          <t>Valiant Clinic</t>
        </is>
      </c>
      <c r="Q98" s="7" t="inlineStr">
        <is>
          <t>City Walk</t>
        </is>
      </c>
      <c r="R98" s="7" t="inlineStr">
        <is>
          <t>Al Wasl / SZR</t>
        </is>
      </c>
      <c r="S98" t="inlineStr">
        <is>
          <t>5</t>
        </is>
      </c>
      <c r="T98" t="inlineStr">
        <is>
          <t>15</t>
        </is>
      </c>
      <c r="U98" t="inlineStr">
        <is>
          <t>15</t>
        </is>
      </c>
      <c r="V98" t="inlineStr">
        <is>
          <t>35</t>
        </is>
      </c>
      <c r="W98" t="n">
        <v>2</v>
      </c>
      <c r="X98" s="12" t="n">
        <v>1900000</v>
      </c>
      <c r="Y98" s="12" t="n">
        <v>1900000</v>
      </c>
      <c r="Z98" s="9" t="n">
        <v>5.5</v>
      </c>
      <c r="AA98" s="9" t="n">
        <v>6</v>
      </c>
      <c r="AB98" s="9" t="n">
        <v>8</v>
      </c>
      <c r="AC98" s="9" t="n">
        <v>10</v>
      </c>
      <c r="AD98" s="9" t="n">
        <v>13.5</v>
      </c>
      <c r="AE98" s="9" t="n">
        <v>16</v>
      </c>
      <c r="AF98" t="n">
        <v>2023</v>
      </c>
      <c r="AH98" t="inlineStr">
        <is>
          <t>Apartment</t>
        </is>
      </c>
      <c r="AI98" t="inlineStr">
        <is>
          <t>Prime</t>
        </is>
      </c>
      <c r="AJ98" t="inlineStr">
        <is>
          <t>TopTier</t>
        </is>
      </c>
      <c r="AK98" t="inlineStr">
        <is>
          <t>Prime resilient / selective</t>
        </is>
      </c>
      <c r="AL98" s="7" t="inlineStr">
        <is>
          <t>Better support from quality, branding, and scarcer prime stock; still entry-price sensitive.</t>
        </is>
      </c>
      <c r="AM98" s="9" t="n">
        <v>9</v>
      </c>
      <c r="AN98" s="9" t="n">
        <v>5.75</v>
      </c>
      <c r="AO98" s="10" t="n">
        <v>0.55</v>
      </c>
      <c r="AP98" s="13" t="n">
        <v>0.02</v>
      </c>
      <c r="AQ98" s="13" t="n">
        <v>0</v>
      </c>
      <c r="AR98" s="13" t="n">
        <v>0</v>
      </c>
      <c r="AS98" s="13" t="n">
        <v>0.03</v>
      </c>
      <c r="AT98" s="13" t="n">
        <v>0.005</v>
      </c>
      <c r="AU98" s="13" t="n">
        <v>0</v>
      </c>
      <c r="AV98" s="13" t="n">
        <v>-0.005</v>
      </c>
      <c r="AW98" s="13">
        <f>IF(X98="","",(AM98/100*AO98)+AP98+AQ98+AR98)</f>
        <v/>
      </c>
      <c r="AX98" s="13">
        <f>IF(X98="","",AS98+AT98+AU98+AV98)</f>
        <v/>
      </c>
      <c r="AY98" s="12">
        <f>IF(AZ98="","",ROUND(AZ98*(1+Assumptions!$B$10),0))</f>
        <v/>
      </c>
      <c r="AZ98" s="12">
        <f>IF(X98="","",ROUND(X98*(1+AW98),0))</f>
        <v/>
      </c>
      <c r="BA98" s="12">
        <f>IF(AZ98="","",ROUND(AZ98*(1+Assumptions!$B$11),0))</f>
        <v/>
      </c>
      <c r="BB98" s="12">
        <f>IF(AZ98="","",ROUND(AZ98*(1+AX98+Assumptions!$B$10),0))</f>
        <v/>
      </c>
      <c r="BC98" s="12">
        <f>IF(AZ98="","",ROUND(AZ98*(1+AX98),0))</f>
        <v/>
      </c>
      <c r="BD98" s="12">
        <f>IF(AZ98="","",ROUND(AZ98*(1+AX98+Assumptions!$B$11),0))</f>
        <v/>
      </c>
      <c r="BE98" s="12">
        <f>IF(AZ98="","",ROUND(AZ98*(1+AX98)*(1+AX98),0))</f>
        <v/>
      </c>
      <c r="BF98" s="7" t="inlineStr">
        <is>
          <t>Rules-based enrichment using launch-price anchor, cap-app realization, and 2026 segment conditions.</t>
        </is>
      </c>
      <c r="BG98" t="inlineStr">
        <is>
          <t>2026-03-17</t>
        </is>
      </c>
      <c r="BH98" s="7" t="inlineStr">
        <is>
          <t>DLD / Digital Dubai / CBUAE / Savills / Knight Frank-Moody’s / Reuters</t>
        </is>
      </c>
    </row>
    <row r="99">
      <c r="A99" t="n">
        <v>98</v>
      </c>
      <c r="B99" s="7" t="inlineStr">
        <is>
          <t>Central Park: Myrtle</t>
        </is>
      </c>
      <c r="C99" t="inlineStr">
        <is>
          <t>Meraas</t>
        </is>
      </c>
      <c r="D99" t="inlineStr">
        <is>
          <t>City Walk</t>
        </is>
      </c>
      <c r="E99" t="inlineStr">
        <is>
          <t>Apartments</t>
        </is>
      </c>
      <c r="F99" s="7" t="inlineStr">
        <is>
          <t>Park / Green</t>
        </is>
      </c>
      <c r="G99" t="inlineStr">
        <is>
          <t>1.7M</t>
        </is>
      </c>
      <c r="H99" t="inlineStr">
        <is>
          <t>2200</t>
        </is>
      </c>
      <c r="I99" t="inlineStr">
        <is>
          <t>25</t>
        </is>
      </c>
      <c r="J99" t="inlineStr">
        <is>
          <t>50/50</t>
        </is>
      </c>
      <c r="K99" t="inlineStr">
        <is>
          <t>2022</t>
        </is>
      </c>
      <c r="L99" t="inlineStr">
        <is>
          <t>5.5-6.0</t>
        </is>
      </c>
      <c r="M99" t="inlineStr">
        <is>
          <t>7-9</t>
        </is>
      </c>
      <c r="N99" t="inlineStr">
        <is>
          <t>12.5-15.0</t>
        </is>
      </c>
      <c r="O99" s="7" t="inlineStr">
        <is>
          <t>Jumeirah Baccalaureate</t>
        </is>
      </c>
      <c r="P99" s="7" t="inlineStr">
        <is>
          <t>Valiant Clinic</t>
        </is>
      </c>
      <c r="Q99" s="7" t="inlineStr">
        <is>
          <t>City Walk</t>
        </is>
      </c>
      <c r="R99" s="7" t="inlineStr">
        <is>
          <t>Al Wasl / SZR</t>
        </is>
      </c>
      <c r="S99" t="inlineStr">
        <is>
          <t>5</t>
        </is>
      </c>
      <c r="T99" t="inlineStr">
        <is>
          <t>15</t>
        </is>
      </c>
      <c r="U99" t="inlineStr">
        <is>
          <t>15</t>
        </is>
      </c>
      <c r="V99" t="inlineStr">
        <is>
          <t>35</t>
        </is>
      </c>
      <c r="W99" t="n">
        <v>2</v>
      </c>
      <c r="X99" s="12" t="n">
        <v>1700000</v>
      </c>
      <c r="Y99" s="12" t="n">
        <v>1700000</v>
      </c>
      <c r="Z99" s="9" t="n">
        <v>5.5</v>
      </c>
      <c r="AA99" s="9" t="n">
        <v>6</v>
      </c>
      <c r="AB99" s="9" t="n">
        <v>7</v>
      </c>
      <c r="AC99" s="9" t="n">
        <v>9</v>
      </c>
      <c r="AD99" s="9" t="n">
        <v>12.5</v>
      </c>
      <c r="AE99" s="9" t="n">
        <v>15</v>
      </c>
      <c r="AF99" t="n">
        <v>2022</v>
      </c>
      <c r="AH99" t="inlineStr">
        <is>
          <t>Apartment</t>
        </is>
      </c>
      <c r="AI99" t="inlineStr">
        <is>
          <t>Prime</t>
        </is>
      </c>
      <c r="AJ99" t="inlineStr">
        <is>
          <t>TopTier</t>
        </is>
      </c>
      <c r="AK99" t="inlineStr">
        <is>
          <t>Prime resilient / selective</t>
        </is>
      </c>
      <c r="AL99" s="7" t="inlineStr">
        <is>
          <t>Better support from quality, branding, and scarcer prime stock; still entry-price sensitive.</t>
        </is>
      </c>
      <c r="AM99" s="9" t="n">
        <v>8</v>
      </c>
      <c r="AN99" s="9" t="n">
        <v>5.75</v>
      </c>
      <c r="AO99" s="10" t="n">
        <v>0.55</v>
      </c>
      <c r="AP99" s="13" t="n">
        <v>0.02</v>
      </c>
      <c r="AQ99" s="13" t="n">
        <v>0</v>
      </c>
      <c r="AR99" s="13" t="n">
        <v>0</v>
      </c>
      <c r="AS99" s="13" t="n">
        <v>0.03</v>
      </c>
      <c r="AT99" s="13" t="n">
        <v>0.005</v>
      </c>
      <c r="AU99" s="13" t="n">
        <v>0</v>
      </c>
      <c r="AV99" s="13" t="n">
        <v>-0.005</v>
      </c>
      <c r="AW99" s="13">
        <f>IF(X99="","",(AM99/100*AO99)+AP99+AQ99+AR99)</f>
        <v/>
      </c>
      <c r="AX99" s="13">
        <f>IF(X99="","",AS99+AT99+AU99+AV99)</f>
        <v/>
      </c>
      <c r="AY99" s="12">
        <f>IF(AZ99="","",ROUND(AZ99*(1+Assumptions!$B$10),0))</f>
        <v/>
      </c>
      <c r="AZ99" s="12">
        <f>IF(X99="","",ROUND(X99*(1+AW99),0))</f>
        <v/>
      </c>
      <c r="BA99" s="12">
        <f>IF(AZ99="","",ROUND(AZ99*(1+Assumptions!$B$11),0))</f>
        <v/>
      </c>
      <c r="BB99" s="12">
        <f>IF(AZ99="","",ROUND(AZ99*(1+AX99+Assumptions!$B$10),0))</f>
        <v/>
      </c>
      <c r="BC99" s="12">
        <f>IF(AZ99="","",ROUND(AZ99*(1+AX99),0))</f>
        <v/>
      </c>
      <c r="BD99" s="12">
        <f>IF(AZ99="","",ROUND(AZ99*(1+AX99+Assumptions!$B$11),0))</f>
        <v/>
      </c>
      <c r="BE99" s="12">
        <f>IF(AZ99="","",ROUND(AZ99*(1+AX99)*(1+AX99),0))</f>
        <v/>
      </c>
      <c r="BF99" s="7" t="inlineStr">
        <is>
          <t>Rules-based enrichment using launch-price anchor, cap-app realization, and 2026 segment conditions.</t>
        </is>
      </c>
      <c r="BG99" t="inlineStr">
        <is>
          <t>2026-03-17</t>
        </is>
      </c>
      <c r="BH99" s="7" t="inlineStr">
        <is>
          <t>DLD / Digital Dubai / CBUAE / Savills / Knight Frank-Moody’s / Reuters</t>
        </is>
      </c>
    </row>
    <row r="100">
      <c r="A100" t="n">
        <v>99</v>
      </c>
      <c r="B100" s="7" t="inlineStr">
        <is>
          <t>Central Park: Thyme</t>
        </is>
      </c>
      <c r="C100" t="inlineStr">
        <is>
          <t>Meraas</t>
        </is>
      </c>
      <c r="D100" t="inlineStr">
        <is>
          <t>City Walk</t>
        </is>
      </c>
      <c r="E100" t="inlineStr">
        <is>
          <t>Apartments</t>
        </is>
      </c>
      <c r="F100" s="7" t="inlineStr">
        <is>
          <t>Park / Green</t>
        </is>
      </c>
      <c r="G100" t="inlineStr">
        <is>
          <t>1.75M</t>
        </is>
      </c>
      <c r="H100" t="inlineStr">
        <is>
          <t>2250</t>
        </is>
      </c>
      <c r="I100" t="inlineStr">
        <is>
          <t>25</t>
        </is>
      </c>
      <c r="J100" t="inlineStr">
        <is>
          <t>50/50</t>
        </is>
      </c>
      <c r="K100" t="inlineStr">
        <is>
          <t>2023</t>
        </is>
      </c>
      <c r="L100" t="inlineStr">
        <is>
          <t>5.5-6.0</t>
        </is>
      </c>
      <c r="M100" t="inlineStr">
        <is>
          <t>8-10</t>
        </is>
      </c>
      <c r="N100" t="inlineStr">
        <is>
          <t>13.5-16.0</t>
        </is>
      </c>
      <c r="O100" s="7" t="inlineStr">
        <is>
          <t>Jumeirah Baccalaureate</t>
        </is>
      </c>
      <c r="P100" s="7" t="inlineStr">
        <is>
          <t>Valiant Clinic</t>
        </is>
      </c>
      <c r="Q100" s="7" t="inlineStr">
        <is>
          <t>City Walk</t>
        </is>
      </c>
      <c r="R100" s="7" t="inlineStr">
        <is>
          <t>Al Wasl / SZR</t>
        </is>
      </c>
      <c r="S100" t="inlineStr">
        <is>
          <t>5</t>
        </is>
      </c>
      <c r="T100" t="inlineStr">
        <is>
          <t>15</t>
        </is>
      </c>
      <c r="U100" t="inlineStr">
        <is>
          <t>15</t>
        </is>
      </c>
      <c r="V100" t="inlineStr">
        <is>
          <t>35</t>
        </is>
      </c>
      <c r="W100" t="n">
        <v>2</v>
      </c>
      <c r="X100" s="12" t="n">
        <v>1750000</v>
      </c>
      <c r="Y100" s="12" t="n">
        <v>1750000</v>
      </c>
      <c r="Z100" s="9" t="n">
        <v>5.5</v>
      </c>
      <c r="AA100" s="9" t="n">
        <v>6</v>
      </c>
      <c r="AB100" s="9" t="n">
        <v>8</v>
      </c>
      <c r="AC100" s="9" t="n">
        <v>10</v>
      </c>
      <c r="AD100" s="9" t="n">
        <v>13.5</v>
      </c>
      <c r="AE100" s="9" t="n">
        <v>16</v>
      </c>
      <c r="AF100" t="n">
        <v>2023</v>
      </c>
      <c r="AH100" t="inlineStr">
        <is>
          <t>Apartment</t>
        </is>
      </c>
      <c r="AI100" t="inlineStr">
        <is>
          <t>Prime</t>
        </is>
      </c>
      <c r="AJ100" t="inlineStr">
        <is>
          <t>TopTier</t>
        </is>
      </c>
      <c r="AK100" t="inlineStr">
        <is>
          <t>Prime resilient / selective</t>
        </is>
      </c>
      <c r="AL100" s="7" t="inlineStr">
        <is>
          <t>Better support from quality, branding, and scarcer prime stock; still entry-price sensitive.</t>
        </is>
      </c>
      <c r="AM100" s="9" t="n">
        <v>9</v>
      </c>
      <c r="AN100" s="9" t="n">
        <v>5.75</v>
      </c>
      <c r="AO100" s="10" t="n">
        <v>0.55</v>
      </c>
      <c r="AP100" s="13" t="n">
        <v>0.02</v>
      </c>
      <c r="AQ100" s="13" t="n">
        <v>0</v>
      </c>
      <c r="AR100" s="13" t="n">
        <v>0</v>
      </c>
      <c r="AS100" s="13" t="n">
        <v>0.03</v>
      </c>
      <c r="AT100" s="13" t="n">
        <v>0.005</v>
      </c>
      <c r="AU100" s="13" t="n">
        <v>0</v>
      </c>
      <c r="AV100" s="13" t="n">
        <v>-0.005</v>
      </c>
      <c r="AW100" s="13">
        <f>IF(X100="","",(AM100/100*AO100)+AP100+AQ100+AR100)</f>
        <v/>
      </c>
      <c r="AX100" s="13">
        <f>IF(X100="","",AS100+AT100+AU100+AV100)</f>
        <v/>
      </c>
      <c r="AY100" s="12">
        <f>IF(AZ100="","",ROUND(AZ100*(1+Assumptions!$B$10),0))</f>
        <v/>
      </c>
      <c r="AZ100" s="12">
        <f>IF(X100="","",ROUND(X100*(1+AW100),0))</f>
        <v/>
      </c>
      <c r="BA100" s="12">
        <f>IF(AZ100="","",ROUND(AZ100*(1+Assumptions!$B$11),0))</f>
        <v/>
      </c>
      <c r="BB100" s="12">
        <f>IF(AZ100="","",ROUND(AZ100*(1+AX100+Assumptions!$B$10),0))</f>
        <v/>
      </c>
      <c r="BC100" s="12">
        <f>IF(AZ100="","",ROUND(AZ100*(1+AX100),0))</f>
        <v/>
      </c>
      <c r="BD100" s="12">
        <f>IF(AZ100="","",ROUND(AZ100*(1+AX100+Assumptions!$B$11),0))</f>
        <v/>
      </c>
      <c r="BE100" s="12">
        <f>IF(AZ100="","",ROUND(AZ100*(1+AX100)*(1+AX100),0))</f>
        <v/>
      </c>
      <c r="BF100" s="7" t="inlineStr">
        <is>
          <t>Rules-based enrichment using launch-price anchor, cap-app realization, and 2026 segment conditions.</t>
        </is>
      </c>
      <c r="BG100" t="inlineStr">
        <is>
          <t>2026-03-17</t>
        </is>
      </c>
      <c r="BH100" s="7" t="inlineStr">
        <is>
          <t>DLD / Digital Dubai / CBUAE / Savills / Knight Frank-Moody’s / Reuters</t>
        </is>
      </c>
    </row>
    <row r="101">
      <c r="A101" t="n">
        <v>100</v>
      </c>
      <c r="B101" s="7" t="inlineStr">
        <is>
          <t>Central Park: Erin</t>
        </is>
      </c>
      <c r="C101" t="inlineStr">
        <is>
          <t>Meraas</t>
        </is>
      </c>
      <c r="D101" t="inlineStr">
        <is>
          <t>City Walk</t>
        </is>
      </c>
      <c r="E101" t="inlineStr">
        <is>
          <t>Apartments</t>
        </is>
      </c>
      <c r="F101" s="7" t="inlineStr">
        <is>
          <t>Park / Green</t>
        </is>
      </c>
      <c r="G101" t="inlineStr">
        <is>
          <t>1.8M</t>
        </is>
      </c>
      <c r="H101" t="inlineStr">
        <is>
          <t>2300</t>
        </is>
      </c>
      <c r="I101" t="inlineStr">
        <is>
          <t>25</t>
        </is>
      </c>
      <c r="J101" t="inlineStr">
        <is>
          <t>50/50</t>
        </is>
      </c>
      <c r="K101" t="inlineStr">
        <is>
          <t>2023</t>
        </is>
      </c>
      <c r="L101" t="inlineStr">
        <is>
          <t>5.5-6.0</t>
        </is>
      </c>
      <c r="M101" t="inlineStr">
        <is>
          <t>8-10</t>
        </is>
      </c>
      <c r="N101" t="inlineStr">
        <is>
          <t>13.5-16.0</t>
        </is>
      </c>
      <c r="O101" s="7" t="inlineStr">
        <is>
          <t>Jumeirah Baccalaureate</t>
        </is>
      </c>
      <c r="P101" s="7" t="inlineStr">
        <is>
          <t>Valiant Clinic</t>
        </is>
      </c>
      <c r="Q101" s="7" t="inlineStr">
        <is>
          <t>City Walk</t>
        </is>
      </c>
      <c r="R101" s="7" t="inlineStr">
        <is>
          <t>Al Wasl / SZR</t>
        </is>
      </c>
      <c r="S101" t="inlineStr">
        <is>
          <t>5</t>
        </is>
      </c>
      <c r="T101" t="inlineStr">
        <is>
          <t>15</t>
        </is>
      </c>
      <c r="U101" t="inlineStr">
        <is>
          <t>15</t>
        </is>
      </c>
      <c r="V101" t="inlineStr">
        <is>
          <t>35</t>
        </is>
      </c>
      <c r="W101" t="n">
        <v>2</v>
      </c>
      <c r="X101" s="12" t="n">
        <v>1800000</v>
      </c>
      <c r="Y101" s="12" t="n">
        <v>1800000</v>
      </c>
      <c r="Z101" s="9" t="n">
        <v>5.5</v>
      </c>
      <c r="AA101" s="9" t="n">
        <v>6</v>
      </c>
      <c r="AB101" s="9" t="n">
        <v>8</v>
      </c>
      <c r="AC101" s="9" t="n">
        <v>10</v>
      </c>
      <c r="AD101" s="9" t="n">
        <v>13.5</v>
      </c>
      <c r="AE101" s="9" t="n">
        <v>16</v>
      </c>
      <c r="AF101" t="n">
        <v>2023</v>
      </c>
      <c r="AH101" t="inlineStr">
        <is>
          <t>Apartment</t>
        </is>
      </c>
      <c r="AI101" t="inlineStr">
        <is>
          <t>Prime</t>
        </is>
      </c>
      <c r="AJ101" t="inlineStr">
        <is>
          <t>TopTier</t>
        </is>
      </c>
      <c r="AK101" t="inlineStr">
        <is>
          <t>Prime resilient / selective</t>
        </is>
      </c>
      <c r="AL101" s="7" t="inlineStr">
        <is>
          <t>Better support from quality, branding, and scarcer prime stock; still entry-price sensitive.</t>
        </is>
      </c>
      <c r="AM101" s="9" t="n">
        <v>9</v>
      </c>
      <c r="AN101" s="9" t="n">
        <v>5.75</v>
      </c>
      <c r="AO101" s="10" t="n">
        <v>0.55</v>
      </c>
      <c r="AP101" s="13" t="n">
        <v>0.02</v>
      </c>
      <c r="AQ101" s="13" t="n">
        <v>0</v>
      </c>
      <c r="AR101" s="13" t="n">
        <v>0</v>
      </c>
      <c r="AS101" s="13" t="n">
        <v>0.03</v>
      </c>
      <c r="AT101" s="13" t="n">
        <v>0.005</v>
      </c>
      <c r="AU101" s="13" t="n">
        <v>0</v>
      </c>
      <c r="AV101" s="13" t="n">
        <v>-0.005</v>
      </c>
      <c r="AW101" s="13">
        <f>IF(X101="","",(AM101/100*AO101)+AP101+AQ101+AR101)</f>
        <v/>
      </c>
      <c r="AX101" s="13">
        <f>IF(X101="","",AS101+AT101+AU101+AV101)</f>
        <v/>
      </c>
      <c r="AY101" s="12">
        <f>IF(AZ101="","",ROUND(AZ101*(1+Assumptions!$B$10),0))</f>
        <v/>
      </c>
      <c r="AZ101" s="12">
        <f>IF(X101="","",ROUND(X101*(1+AW101),0))</f>
        <v/>
      </c>
      <c r="BA101" s="12">
        <f>IF(AZ101="","",ROUND(AZ101*(1+Assumptions!$B$11),0))</f>
        <v/>
      </c>
      <c r="BB101" s="12">
        <f>IF(AZ101="","",ROUND(AZ101*(1+AX101+Assumptions!$B$10),0))</f>
        <v/>
      </c>
      <c r="BC101" s="12">
        <f>IF(AZ101="","",ROUND(AZ101*(1+AX101),0))</f>
        <v/>
      </c>
      <c r="BD101" s="12">
        <f>IF(AZ101="","",ROUND(AZ101*(1+AX101+Assumptions!$B$11),0))</f>
        <v/>
      </c>
      <c r="BE101" s="12">
        <f>IF(AZ101="","",ROUND(AZ101*(1+AX101)*(1+AX101),0))</f>
        <v/>
      </c>
      <c r="BF101" s="7" t="inlineStr">
        <is>
          <t>Rules-based enrichment using launch-price anchor, cap-app realization, and 2026 segment conditions.</t>
        </is>
      </c>
      <c r="BG101" t="inlineStr">
        <is>
          <t>2026-03-17</t>
        </is>
      </c>
      <c r="BH101" s="7" t="inlineStr">
        <is>
          <t>DLD / Digital Dubai / CBUAE / Savills / Knight Frank-Moody’s / Reuters</t>
        </is>
      </c>
    </row>
    <row r="102">
      <c r="A102" t="n">
        <v>101</v>
      </c>
      <c r="B102" s="7" t="inlineStr">
        <is>
          <t>City Walk Residences</t>
        </is>
      </c>
      <c r="C102" t="inlineStr">
        <is>
          <t>Meraas</t>
        </is>
      </c>
      <c r="D102" t="inlineStr">
        <is>
          <t>City Walk</t>
        </is>
      </c>
      <c r="E102" t="inlineStr">
        <is>
          <t>Apartments</t>
        </is>
      </c>
      <c r="F102" s="7" t="inlineStr">
        <is>
          <t>Urban / Luxury</t>
        </is>
      </c>
      <c r="G102" t="inlineStr">
        <is>
          <t>Resale (3M+)</t>
        </is>
      </c>
      <c r="H102" t="inlineStr">
        <is>
          <t>2500</t>
        </is>
      </c>
      <c r="I102" t="inlineStr">
        <is>
          <t>25</t>
        </is>
      </c>
      <c r="J102" t="inlineStr">
        <is>
          <t>Completed</t>
        </is>
      </c>
      <c r="K102" t="inlineStr">
        <is>
          <t>2016</t>
        </is>
      </c>
      <c r="L102" t="inlineStr">
        <is>
          <t>5.0-5.5</t>
        </is>
      </c>
      <c r="M102" t="inlineStr">
        <is>
          <t>6-8</t>
        </is>
      </c>
      <c r="N102" t="inlineStr">
        <is>
          <t>11.0-13.5</t>
        </is>
      </c>
      <c r="O102" s="7" t="inlineStr">
        <is>
          <t>Jumeirah Baccalaureate</t>
        </is>
      </c>
      <c r="P102" s="7" t="inlineStr">
        <is>
          <t>Valiant Clinic</t>
        </is>
      </c>
      <c r="Q102" s="7" t="inlineStr">
        <is>
          <t>City Walk</t>
        </is>
      </c>
      <c r="R102" s="7" t="inlineStr">
        <is>
          <t>Al Wasl / SZR</t>
        </is>
      </c>
      <c r="S102" t="inlineStr">
        <is>
          <t>5</t>
        </is>
      </c>
      <c r="T102" t="inlineStr">
        <is>
          <t>15</t>
        </is>
      </c>
      <c r="U102" t="inlineStr">
        <is>
          <t>15</t>
        </is>
      </c>
      <c r="V102" t="inlineStr">
        <is>
          <t>35</t>
        </is>
      </c>
      <c r="W102" t="n">
        <v>2</v>
      </c>
      <c r="X102" s="12" t="n">
        <v>3000000</v>
      </c>
      <c r="Y102" s="12" t="n">
        <v>3000000</v>
      </c>
      <c r="Z102" s="9" t="n">
        <v>5</v>
      </c>
      <c r="AA102" s="9" t="n">
        <v>5.5</v>
      </c>
      <c r="AB102" s="9" t="n">
        <v>6</v>
      </c>
      <c r="AC102" s="9" t="n">
        <v>8</v>
      </c>
      <c r="AD102" s="9" t="n">
        <v>11</v>
      </c>
      <c r="AE102" s="9" t="n">
        <v>13.5</v>
      </c>
      <c r="AF102" t="n">
        <v>2016</v>
      </c>
      <c r="AH102" t="inlineStr">
        <is>
          <t>Apartment</t>
        </is>
      </c>
      <c r="AI102" t="inlineStr">
        <is>
          <t>Prime</t>
        </is>
      </c>
      <c r="AJ102" t="inlineStr">
        <is>
          <t>TopTier</t>
        </is>
      </c>
      <c r="AK102" t="inlineStr">
        <is>
          <t>Prime resilient / selective</t>
        </is>
      </c>
      <c r="AL102" s="7" t="inlineStr">
        <is>
          <t>Better support from quality, branding, and scarcer prime stock; still entry-price sensitive.</t>
        </is>
      </c>
      <c r="AM102" s="9" t="n">
        <v>7</v>
      </c>
      <c r="AN102" s="9" t="n">
        <v>5.25</v>
      </c>
      <c r="AO102" s="10" t="n">
        <v>0.55</v>
      </c>
      <c r="AP102" s="13" t="n">
        <v>0.02</v>
      </c>
      <c r="AQ102" s="13" t="n">
        <v>0</v>
      </c>
      <c r="AR102" s="13" t="n">
        <v>0</v>
      </c>
      <c r="AS102" s="13" t="n">
        <v>0.03</v>
      </c>
      <c r="AT102" s="13" t="n">
        <v>0.005</v>
      </c>
      <c r="AU102" s="13" t="n">
        <v>0</v>
      </c>
      <c r="AV102" s="13" t="n">
        <v>-0.005</v>
      </c>
      <c r="AW102" s="13">
        <f>IF(X102="","",(AM102/100*AO102)+AP102+AQ102+AR102)</f>
        <v/>
      </c>
      <c r="AX102" s="13">
        <f>IF(X102="","",AS102+AT102+AU102+AV102)</f>
        <v/>
      </c>
      <c r="AY102" s="12">
        <f>IF(AZ102="","",ROUND(AZ102*(1+Assumptions!$B$10),0))</f>
        <v/>
      </c>
      <c r="AZ102" s="12">
        <f>IF(X102="","",ROUND(X102*(1+AW102),0))</f>
        <v/>
      </c>
      <c r="BA102" s="12">
        <f>IF(AZ102="","",ROUND(AZ102*(1+Assumptions!$B$11),0))</f>
        <v/>
      </c>
      <c r="BB102" s="12">
        <f>IF(AZ102="","",ROUND(AZ102*(1+AX102+Assumptions!$B$10),0))</f>
        <v/>
      </c>
      <c r="BC102" s="12">
        <f>IF(AZ102="","",ROUND(AZ102*(1+AX102),0))</f>
        <v/>
      </c>
      <c r="BD102" s="12">
        <f>IF(AZ102="","",ROUND(AZ102*(1+AX102+Assumptions!$B$11),0))</f>
        <v/>
      </c>
      <c r="BE102" s="12">
        <f>IF(AZ102="","",ROUND(AZ102*(1+AX102)*(1+AX102),0))</f>
        <v/>
      </c>
      <c r="BF102" s="7" t="inlineStr">
        <is>
          <t>Rules-based enrichment using launch-price anchor, cap-app realization, and 2026 segment conditions.</t>
        </is>
      </c>
      <c r="BG102" t="inlineStr">
        <is>
          <t>2026-03-17</t>
        </is>
      </c>
      <c r="BH102" s="7" t="inlineStr">
        <is>
          <t>DLD / Digital Dubai / CBUAE / Savills / Knight Frank-Moody’s / Reuters</t>
        </is>
      </c>
    </row>
    <row r="103">
      <c r="A103" t="n">
        <v>102</v>
      </c>
      <c r="B103" s="7" t="inlineStr">
        <is>
          <t>Port de La Mer (Master Community)</t>
        </is>
      </c>
      <c r="C103" t="inlineStr">
        <is>
          <t>Meraas</t>
        </is>
      </c>
      <c r="D103" t="inlineStr">
        <is>
          <t>Jumeirah 1</t>
        </is>
      </c>
      <c r="E103" t="inlineStr">
        <is>
          <t>Apartments</t>
        </is>
      </c>
      <c r="F103" s="7" t="inlineStr">
        <is>
          <t>Island / Marina</t>
        </is>
      </c>
      <c r="I103" t="inlineStr">
        <is>
          <t>25</t>
        </is>
      </c>
      <c r="J103" t="inlineStr">
        <is>
          <t>Varies</t>
        </is>
      </c>
      <c r="K103" t="inlineStr">
        <is>
          <t>Ongoing</t>
        </is>
      </c>
      <c r="L103" t="inlineStr">
        <is>
          <t>5.5-6.5</t>
        </is>
      </c>
      <c r="M103" t="inlineStr">
        <is>
          <t>8-12</t>
        </is>
      </c>
      <c r="N103" t="inlineStr">
        <is>
          <t>13.5-18.5</t>
        </is>
      </c>
      <c r="O103" s="7" t="inlineStr">
        <is>
          <t>Jumeirah Baccalaureate</t>
        </is>
      </c>
      <c r="P103" s="7" t="inlineStr">
        <is>
          <t>American Hospital (Clinic)</t>
        </is>
      </c>
      <c r="Q103" s="7" t="inlineStr">
        <is>
          <t>La Mer</t>
        </is>
      </c>
      <c r="R103" s="7" t="inlineStr">
        <is>
          <t>Jumeirah St / D94</t>
        </is>
      </c>
      <c r="S103" t="inlineStr">
        <is>
          <t>15</t>
        </is>
      </c>
      <c r="T103" t="inlineStr">
        <is>
          <t>25</t>
        </is>
      </c>
      <c r="U103" t="inlineStr">
        <is>
          <t>15</t>
        </is>
      </c>
      <c r="V103" t="inlineStr">
        <is>
          <t>40</t>
        </is>
      </c>
      <c r="W103" t="n">
        <v>2</v>
      </c>
      <c r="X103" s="12" t="n"/>
      <c r="Y103" s="12" t="n"/>
      <c r="Z103" s="9" t="n">
        <v>5.5</v>
      </c>
      <c r="AA103" s="9" t="n">
        <v>6.5</v>
      </c>
      <c r="AB103" s="9" t="n">
        <v>8</v>
      </c>
      <c r="AC103" s="9" t="n">
        <v>12</v>
      </c>
      <c r="AD103" s="9" t="n">
        <v>13.5</v>
      </c>
      <c r="AE103" s="9" t="n">
        <v>18.5</v>
      </c>
      <c r="AH103" t="inlineStr">
        <is>
          <t>Apartment</t>
        </is>
      </c>
      <c r="AI103" t="inlineStr">
        <is>
          <t>MainstreamSelective</t>
        </is>
      </c>
      <c r="AJ103" t="inlineStr">
        <is>
          <t>TopTier</t>
        </is>
      </c>
      <c r="AK103" t="inlineStr">
        <is>
          <t>Balanced / selective</t>
        </is>
      </c>
      <c r="AL103" s="7" t="inlineStr">
        <is>
          <t>Market remains active but increasingly differentiated by developer, micro-location, livability, and pricing discipline.</t>
        </is>
      </c>
      <c r="AM103" s="9" t="n">
        <v>10</v>
      </c>
      <c r="AN103" s="9" t="n">
        <v>6</v>
      </c>
      <c r="AO103" s="10" t="n">
        <v>0.25</v>
      </c>
      <c r="AP103" s="13" t="n">
        <v>0</v>
      </c>
      <c r="AQ103" s="13" t="n">
        <v>0</v>
      </c>
      <c r="AR103" s="13" t="n">
        <v>0</v>
      </c>
      <c r="AS103" s="13" t="n">
        <v>0.01</v>
      </c>
      <c r="AT103" s="13" t="n">
        <v>0.005</v>
      </c>
      <c r="AU103" s="13" t="n">
        <v>0</v>
      </c>
      <c r="AV103" s="13" t="n">
        <v>-0.005</v>
      </c>
      <c r="AW103" s="13">
        <f>IF(X103="","",(AM103/100*AO103)+AP103+AQ103+AR103)</f>
        <v/>
      </c>
      <c r="AX103" s="13">
        <f>IF(X103="","",AS103+AT103+AU103+AV103)</f>
        <v/>
      </c>
      <c r="AY103" s="12">
        <f>IF(AZ103="","",ROUND(AZ103*(1+Assumptions!$B$10),0))</f>
        <v/>
      </c>
      <c r="AZ103" s="12">
        <f>IF(X103="","",ROUND(X103*(1+AW103),0))</f>
        <v/>
      </c>
      <c r="BA103" s="12">
        <f>IF(AZ103="","",ROUND(AZ103*(1+Assumptions!$B$11),0))</f>
        <v/>
      </c>
      <c r="BB103" s="12">
        <f>IF(AZ103="","",ROUND(AZ103*(1+AX103+Assumptions!$B$10),0))</f>
        <v/>
      </c>
      <c r="BC103" s="12">
        <f>IF(AZ103="","",ROUND(AZ103*(1+AX103),0))</f>
        <v/>
      </c>
      <c r="BD103" s="12">
        <f>IF(AZ103="","",ROUND(AZ103*(1+AX103+Assumptions!$B$11),0))</f>
        <v/>
      </c>
      <c r="BE103" s="12">
        <f>IF(AZ103="","",ROUND(AZ103*(1+AX103)*(1+AX103),0))</f>
        <v/>
      </c>
      <c r="BF103" s="7" t="inlineStr">
        <is>
          <t>Rules-based enrichment using launch-price anchor, cap-app realization, and 2026 segment conditions.</t>
        </is>
      </c>
      <c r="BG103" t="inlineStr">
        <is>
          <t>2026-03-17</t>
        </is>
      </c>
      <c r="BH103" s="7" t="inlineStr">
        <is>
          <t>DLD / Digital Dubai / CBUAE / Savills / Knight Frank-Moody’s / Reuters</t>
        </is>
      </c>
    </row>
    <row r="104">
      <c r="A104" t="n">
        <v>103</v>
      </c>
      <c r="B104" s="7" t="inlineStr">
        <is>
          <t>La Sirène</t>
        </is>
      </c>
      <c r="C104" t="inlineStr">
        <is>
          <t>Meraas</t>
        </is>
      </c>
      <c r="D104" t="inlineStr">
        <is>
          <t>Port de La Mer</t>
        </is>
      </c>
      <c r="E104" t="inlineStr">
        <is>
          <t>Apartments</t>
        </is>
      </c>
      <c r="F104" s="7" t="inlineStr">
        <is>
          <t>Waterfront</t>
        </is>
      </c>
      <c r="G104" t="inlineStr">
        <is>
          <t>1.8M</t>
        </is>
      </c>
      <c r="H104" t="inlineStr">
        <is>
          <t>2100</t>
        </is>
      </c>
      <c r="I104" t="inlineStr">
        <is>
          <t>25</t>
        </is>
      </c>
      <c r="J104" t="inlineStr">
        <is>
          <t>50/50</t>
        </is>
      </c>
      <c r="K104" t="inlineStr">
        <is>
          <t>2021</t>
        </is>
      </c>
      <c r="L104" t="inlineStr">
        <is>
          <t>5.5-6.0</t>
        </is>
      </c>
      <c r="M104" t="inlineStr">
        <is>
          <t>8-10</t>
        </is>
      </c>
      <c r="N104" t="inlineStr">
        <is>
          <t>13.5-16.0</t>
        </is>
      </c>
      <c r="O104" s="7" t="inlineStr">
        <is>
          <t>Jumeirah Baccalaureate</t>
        </is>
      </c>
      <c r="P104" s="7" t="inlineStr">
        <is>
          <t>American Hospital (Clinic)</t>
        </is>
      </c>
      <c r="Q104" s="7" t="inlineStr">
        <is>
          <t>La Mer</t>
        </is>
      </c>
      <c r="R104" s="7" t="inlineStr">
        <is>
          <t>Jumeirah St / D94</t>
        </is>
      </c>
      <c r="S104" t="inlineStr">
        <is>
          <t>15</t>
        </is>
      </c>
      <c r="T104" t="inlineStr">
        <is>
          <t>25</t>
        </is>
      </c>
      <c r="U104" t="inlineStr">
        <is>
          <t>15</t>
        </is>
      </c>
      <c r="V104" t="inlineStr">
        <is>
          <t>40</t>
        </is>
      </c>
      <c r="W104" t="n">
        <v>2</v>
      </c>
      <c r="X104" s="12" t="n">
        <v>1800000</v>
      </c>
      <c r="Y104" s="12" t="n">
        <v>1800000</v>
      </c>
      <c r="Z104" s="9" t="n">
        <v>5.5</v>
      </c>
      <c r="AA104" s="9" t="n">
        <v>6</v>
      </c>
      <c r="AB104" s="9" t="n">
        <v>8</v>
      </c>
      <c r="AC104" s="9" t="n">
        <v>10</v>
      </c>
      <c r="AD104" s="9" t="n">
        <v>13.5</v>
      </c>
      <c r="AE104" s="9" t="n">
        <v>16</v>
      </c>
      <c r="AF104" t="n">
        <v>2021</v>
      </c>
      <c r="AH104" t="inlineStr">
        <is>
          <t>Apartment</t>
        </is>
      </c>
      <c r="AI104" t="inlineStr">
        <is>
          <t>MainstreamSelective</t>
        </is>
      </c>
      <c r="AJ104" t="inlineStr">
        <is>
          <t>TopTier</t>
        </is>
      </c>
      <c r="AK104" t="inlineStr">
        <is>
          <t>Balanced / selective</t>
        </is>
      </c>
      <c r="AL104" s="7" t="inlineStr">
        <is>
          <t>Market remains active but increasingly differentiated by developer, micro-location, livability, and pricing discipline.</t>
        </is>
      </c>
      <c r="AM104" s="9" t="n">
        <v>9</v>
      </c>
      <c r="AN104" s="9" t="n">
        <v>5.75</v>
      </c>
      <c r="AO104" s="10" t="n">
        <v>0.55</v>
      </c>
      <c r="AP104" s="13" t="n">
        <v>0</v>
      </c>
      <c r="AQ104" s="13" t="n">
        <v>0</v>
      </c>
      <c r="AR104" s="13" t="n">
        <v>0</v>
      </c>
      <c r="AS104" s="13" t="n">
        <v>0.01</v>
      </c>
      <c r="AT104" s="13" t="n">
        <v>0.005</v>
      </c>
      <c r="AU104" s="13" t="n">
        <v>0</v>
      </c>
      <c r="AV104" s="13" t="n">
        <v>-0.005</v>
      </c>
      <c r="AW104" s="13">
        <f>IF(X104="","",(AM104/100*AO104)+AP104+AQ104+AR104)</f>
        <v/>
      </c>
      <c r="AX104" s="13">
        <f>IF(X104="","",AS104+AT104+AU104+AV104)</f>
        <v/>
      </c>
      <c r="AY104" s="12">
        <f>IF(AZ104="","",ROUND(AZ104*(1+Assumptions!$B$10),0))</f>
        <v/>
      </c>
      <c r="AZ104" s="12">
        <f>IF(X104="","",ROUND(X104*(1+AW104),0))</f>
        <v/>
      </c>
      <c r="BA104" s="12">
        <f>IF(AZ104="","",ROUND(AZ104*(1+Assumptions!$B$11),0))</f>
        <v/>
      </c>
      <c r="BB104" s="12">
        <f>IF(AZ104="","",ROUND(AZ104*(1+AX104+Assumptions!$B$10),0))</f>
        <v/>
      </c>
      <c r="BC104" s="12">
        <f>IF(AZ104="","",ROUND(AZ104*(1+AX104),0))</f>
        <v/>
      </c>
      <c r="BD104" s="12">
        <f>IF(AZ104="","",ROUND(AZ104*(1+AX104+Assumptions!$B$11),0))</f>
        <v/>
      </c>
      <c r="BE104" s="12">
        <f>IF(AZ104="","",ROUND(AZ104*(1+AX104)*(1+AX104),0))</f>
        <v/>
      </c>
      <c r="BF104" s="7" t="inlineStr">
        <is>
          <t>Rules-based enrichment using launch-price anchor, cap-app realization, and 2026 segment conditions.</t>
        </is>
      </c>
      <c r="BG104" t="inlineStr">
        <is>
          <t>2026-03-17</t>
        </is>
      </c>
      <c r="BH104" s="7" t="inlineStr">
        <is>
          <t>DLD / Digital Dubai / CBUAE / Savills / Knight Frank-Moody’s / Reuters</t>
        </is>
      </c>
    </row>
    <row r="105">
      <c r="A105" t="n">
        <v>104</v>
      </c>
      <c r="B105" s="7" t="inlineStr">
        <is>
          <t>La Voile</t>
        </is>
      </c>
      <c r="C105" t="inlineStr">
        <is>
          <t>Meraas</t>
        </is>
      </c>
      <c r="D105" t="inlineStr">
        <is>
          <t>Port de La Mer</t>
        </is>
      </c>
      <c r="E105" t="inlineStr">
        <is>
          <t>Apartments</t>
        </is>
      </c>
      <c r="F105" s="7" t="inlineStr">
        <is>
          <t>Waterfront</t>
        </is>
      </c>
      <c r="G105" t="inlineStr">
        <is>
          <t>Resale</t>
        </is>
      </c>
      <c r="H105" t="inlineStr">
        <is>
          <t>2000</t>
        </is>
      </c>
      <c r="I105" t="inlineStr">
        <is>
          <t>25</t>
        </is>
      </c>
      <c r="J105" t="inlineStr">
        <is>
          <t>Completed</t>
        </is>
      </c>
      <c r="K105" t="inlineStr">
        <is>
          <t>2019</t>
        </is>
      </c>
      <c r="L105" t="inlineStr">
        <is>
          <t>6.0-6.5</t>
        </is>
      </c>
      <c r="M105" t="inlineStr">
        <is>
          <t>6-8</t>
        </is>
      </c>
      <c r="N105" t="inlineStr">
        <is>
          <t>12.0-14.5</t>
        </is>
      </c>
      <c r="O105" s="7" t="inlineStr">
        <is>
          <t>Jumeirah Baccalaureate</t>
        </is>
      </c>
      <c r="P105" s="7" t="inlineStr">
        <is>
          <t>American Hospital (Clinic)</t>
        </is>
      </c>
      <c r="Q105" s="7" t="inlineStr">
        <is>
          <t>La Mer</t>
        </is>
      </c>
      <c r="R105" s="7" t="inlineStr">
        <is>
          <t>Jumeirah St / D94</t>
        </is>
      </c>
      <c r="S105" t="inlineStr">
        <is>
          <t>15</t>
        </is>
      </c>
      <c r="T105" t="inlineStr">
        <is>
          <t>25</t>
        </is>
      </c>
      <c r="U105" t="inlineStr">
        <is>
          <t>15</t>
        </is>
      </c>
      <c r="V105" t="inlineStr">
        <is>
          <t>40</t>
        </is>
      </c>
      <c r="W105" t="n">
        <v>2</v>
      </c>
      <c r="X105" s="12" t="n"/>
      <c r="Y105" s="12" t="n"/>
      <c r="Z105" s="9" t="n">
        <v>6</v>
      </c>
      <c r="AA105" s="9" t="n">
        <v>6.5</v>
      </c>
      <c r="AB105" s="9" t="n">
        <v>6</v>
      </c>
      <c r="AC105" s="9" t="n">
        <v>8</v>
      </c>
      <c r="AD105" s="9" t="n">
        <v>12</v>
      </c>
      <c r="AE105" s="9" t="n">
        <v>14.5</v>
      </c>
      <c r="AF105" t="n">
        <v>2019</v>
      </c>
      <c r="AH105" t="inlineStr">
        <is>
          <t>Apartment</t>
        </is>
      </c>
      <c r="AI105" t="inlineStr">
        <is>
          <t>MainstreamSelective</t>
        </is>
      </c>
      <c r="AJ105" t="inlineStr">
        <is>
          <t>TopTier</t>
        </is>
      </c>
      <c r="AK105" t="inlineStr">
        <is>
          <t>Balanced / selective</t>
        </is>
      </c>
      <c r="AL105" s="7" t="inlineStr">
        <is>
          <t>Market remains active but increasingly differentiated by developer, micro-location, livability, and pricing discipline.</t>
        </is>
      </c>
      <c r="AM105" s="9" t="n">
        <v>7</v>
      </c>
      <c r="AN105" s="9" t="n">
        <v>6.25</v>
      </c>
      <c r="AO105" s="10" t="n">
        <v>0.55</v>
      </c>
      <c r="AP105" s="13" t="n">
        <v>0</v>
      </c>
      <c r="AQ105" s="13" t="n">
        <v>0</v>
      </c>
      <c r="AR105" s="13" t="n">
        <v>0</v>
      </c>
      <c r="AS105" s="13" t="n">
        <v>0.01</v>
      </c>
      <c r="AT105" s="13" t="n">
        <v>0.005</v>
      </c>
      <c r="AU105" s="13" t="n">
        <v>0.0025</v>
      </c>
      <c r="AV105" s="13" t="n">
        <v>-0.005</v>
      </c>
      <c r="AW105" s="13">
        <f>IF(X105="","",(AM105/100*AO105)+AP105+AQ105+AR105)</f>
        <v/>
      </c>
      <c r="AX105" s="13">
        <f>IF(X105="","",AS105+AT105+AU105+AV105)</f>
        <v/>
      </c>
      <c r="AY105" s="12">
        <f>IF(AZ105="","",ROUND(AZ105*(1+Assumptions!$B$10),0))</f>
        <v/>
      </c>
      <c r="AZ105" s="12">
        <f>IF(X105="","",ROUND(X105*(1+AW105),0))</f>
        <v/>
      </c>
      <c r="BA105" s="12">
        <f>IF(AZ105="","",ROUND(AZ105*(1+Assumptions!$B$11),0))</f>
        <v/>
      </c>
      <c r="BB105" s="12">
        <f>IF(AZ105="","",ROUND(AZ105*(1+AX105+Assumptions!$B$10),0))</f>
        <v/>
      </c>
      <c r="BC105" s="12">
        <f>IF(AZ105="","",ROUND(AZ105*(1+AX105),0))</f>
        <v/>
      </c>
      <c r="BD105" s="12">
        <f>IF(AZ105="","",ROUND(AZ105*(1+AX105+Assumptions!$B$11),0))</f>
        <v/>
      </c>
      <c r="BE105" s="12">
        <f>IF(AZ105="","",ROUND(AZ105*(1+AX105)*(1+AX105),0))</f>
        <v/>
      </c>
      <c r="BF105" s="7" t="inlineStr">
        <is>
          <t>Rules-based enrichment using launch-price anchor, cap-app realization, and 2026 segment conditions.</t>
        </is>
      </c>
      <c r="BG105" t="inlineStr">
        <is>
          <t>2026-03-17</t>
        </is>
      </c>
      <c r="BH105" s="7" t="inlineStr">
        <is>
          <t>DLD / Digital Dubai / CBUAE / Savills / Knight Frank-Moody’s / Reuters</t>
        </is>
      </c>
    </row>
    <row r="106">
      <c r="A106" t="n">
        <v>105</v>
      </c>
      <c r="B106" s="7" t="inlineStr">
        <is>
          <t>La Rive</t>
        </is>
      </c>
      <c r="C106" t="inlineStr">
        <is>
          <t>Meraas</t>
        </is>
      </c>
      <c r="D106" t="inlineStr">
        <is>
          <t>Port de La Mer</t>
        </is>
      </c>
      <c r="E106" t="inlineStr">
        <is>
          <t>Apartments</t>
        </is>
      </c>
      <c r="F106" s="7" t="inlineStr">
        <is>
          <t>Waterfront</t>
        </is>
      </c>
      <c r="G106" t="inlineStr">
        <is>
          <t>Resale</t>
        </is>
      </c>
      <c r="H106" t="inlineStr">
        <is>
          <t>2000</t>
        </is>
      </c>
      <c r="I106" t="inlineStr">
        <is>
          <t>25</t>
        </is>
      </c>
      <c r="J106" t="inlineStr">
        <is>
          <t>Completed</t>
        </is>
      </c>
      <c r="K106" t="inlineStr">
        <is>
          <t>2019</t>
        </is>
      </c>
      <c r="L106" t="inlineStr">
        <is>
          <t>6.0-6.5</t>
        </is>
      </c>
      <c r="M106" t="inlineStr">
        <is>
          <t>6-8</t>
        </is>
      </c>
      <c r="N106" t="inlineStr">
        <is>
          <t>12.0-14.5</t>
        </is>
      </c>
      <c r="O106" s="7" t="inlineStr">
        <is>
          <t>Jumeirah Baccalaureate</t>
        </is>
      </c>
      <c r="P106" s="7" t="inlineStr">
        <is>
          <t>American Hospital (Clinic)</t>
        </is>
      </c>
      <c r="Q106" s="7" t="inlineStr">
        <is>
          <t>La Mer</t>
        </is>
      </c>
      <c r="R106" s="7" t="inlineStr">
        <is>
          <t>Jumeirah St / D94</t>
        </is>
      </c>
      <c r="S106" t="inlineStr">
        <is>
          <t>15</t>
        </is>
      </c>
      <c r="T106" t="inlineStr">
        <is>
          <t>25</t>
        </is>
      </c>
      <c r="U106" t="inlineStr">
        <is>
          <t>15</t>
        </is>
      </c>
      <c r="V106" t="inlineStr">
        <is>
          <t>40</t>
        </is>
      </c>
      <c r="W106" t="n">
        <v>2</v>
      </c>
      <c r="X106" s="12" t="n"/>
      <c r="Y106" s="12" t="n"/>
      <c r="Z106" s="9" t="n">
        <v>6</v>
      </c>
      <c r="AA106" s="9" t="n">
        <v>6.5</v>
      </c>
      <c r="AB106" s="9" t="n">
        <v>6</v>
      </c>
      <c r="AC106" s="9" t="n">
        <v>8</v>
      </c>
      <c r="AD106" s="9" t="n">
        <v>12</v>
      </c>
      <c r="AE106" s="9" t="n">
        <v>14.5</v>
      </c>
      <c r="AF106" t="n">
        <v>2019</v>
      </c>
      <c r="AH106" t="inlineStr">
        <is>
          <t>Apartment</t>
        </is>
      </c>
      <c r="AI106" t="inlineStr">
        <is>
          <t>MainstreamSelective</t>
        </is>
      </c>
      <c r="AJ106" t="inlineStr">
        <is>
          <t>TopTier</t>
        </is>
      </c>
      <c r="AK106" t="inlineStr">
        <is>
          <t>Balanced / selective</t>
        </is>
      </c>
      <c r="AL106" s="7" t="inlineStr">
        <is>
          <t>Market remains active but increasingly differentiated by developer, micro-location, livability, and pricing discipline.</t>
        </is>
      </c>
      <c r="AM106" s="9" t="n">
        <v>7</v>
      </c>
      <c r="AN106" s="9" t="n">
        <v>6.25</v>
      </c>
      <c r="AO106" s="10" t="n">
        <v>0.55</v>
      </c>
      <c r="AP106" s="13" t="n">
        <v>0</v>
      </c>
      <c r="AQ106" s="13" t="n">
        <v>0</v>
      </c>
      <c r="AR106" s="13" t="n">
        <v>0</v>
      </c>
      <c r="AS106" s="13" t="n">
        <v>0.01</v>
      </c>
      <c r="AT106" s="13" t="n">
        <v>0.005</v>
      </c>
      <c r="AU106" s="13" t="n">
        <v>0.0025</v>
      </c>
      <c r="AV106" s="13" t="n">
        <v>-0.005</v>
      </c>
      <c r="AW106" s="13">
        <f>IF(X106="","",(AM106/100*AO106)+AP106+AQ106+AR106)</f>
        <v/>
      </c>
      <c r="AX106" s="13">
        <f>IF(X106="","",AS106+AT106+AU106+AV106)</f>
        <v/>
      </c>
      <c r="AY106" s="12">
        <f>IF(AZ106="","",ROUND(AZ106*(1+Assumptions!$B$10),0))</f>
        <v/>
      </c>
      <c r="AZ106" s="12">
        <f>IF(X106="","",ROUND(X106*(1+AW106),0))</f>
        <v/>
      </c>
      <c r="BA106" s="12">
        <f>IF(AZ106="","",ROUND(AZ106*(1+Assumptions!$B$11),0))</f>
        <v/>
      </c>
      <c r="BB106" s="12">
        <f>IF(AZ106="","",ROUND(AZ106*(1+AX106+Assumptions!$B$10),0))</f>
        <v/>
      </c>
      <c r="BC106" s="12">
        <f>IF(AZ106="","",ROUND(AZ106*(1+AX106),0))</f>
        <v/>
      </c>
      <c r="BD106" s="12">
        <f>IF(AZ106="","",ROUND(AZ106*(1+AX106+Assumptions!$B$11),0))</f>
        <v/>
      </c>
      <c r="BE106" s="12">
        <f>IF(AZ106="","",ROUND(AZ106*(1+AX106)*(1+AX106),0))</f>
        <v/>
      </c>
      <c r="BF106" s="7" t="inlineStr">
        <is>
          <t>Rules-based enrichment using launch-price anchor, cap-app realization, and 2026 segment conditions.</t>
        </is>
      </c>
      <c r="BG106" t="inlineStr">
        <is>
          <t>2026-03-17</t>
        </is>
      </c>
      <c r="BH106" s="7" t="inlineStr">
        <is>
          <t>DLD / Digital Dubai / CBUAE / Savills / Knight Frank-Moody’s / Reuters</t>
        </is>
      </c>
    </row>
    <row r="107">
      <c r="A107" t="n">
        <v>106</v>
      </c>
      <c r="B107" s="7" t="inlineStr">
        <is>
          <t>Le Pont</t>
        </is>
      </c>
      <c r="C107" t="inlineStr">
        <is>
          <t>Meraas</t>
        </is>
      </c>
      <c r="D107" t="inlineStr">
        <is>
          <t>Port de La Mer</t>
        </is>
      </c>
      <c r="E107" t="inlineStr">
        <is>
          <t>Apartments</t>
        </is>
      </c>
      <c r="F107" s="7" t="inlineStr">
        <is>
          <t>Waterfront</t>
        </is>
      </c>
      <c r="G107" t="inlineStr">
        <is>
          <t>Resale</t>
        </is>
      </c>
      <c r="H107" t="inlineStr">
        <is>
          <t>2000</t>
        </is>
      </c>
      <c r="I107" t="inlineStr">
        <is>
          <t>25</t>
        </is>
      </c>
      <c r="J107" t="inlineStr">
        <is>
          <t>Completed</t>
        </is>
      </c>
      <c r="K107" t="inlineStr">
        <is>
          <t>2019</t>
        </is>
      </c>
      <c r="L107" t="inlineStr">
        <is>
          <t>6.0-6.5</t>
        </is>
      </c>
      <c r="M107" t="inlineStr">
        <is>
          <t>6-8</t>
        </is>
      </c>
      <c r="N107" t="inlineStr">
        <is>
          <t>12.0-14.5</t>
        </is>
      </c>
      <c r="O107" s="7" t="inlineStr">
        <is>
          <t>Jumeirah Baccalaureate</t>
        </is>
      </c>
      <c r="P107" s="7" t="inlineStr">
        <is>
          <t>American Hospital (Clinic)</t>
        </is>
      </c>
      <c r="Q107" s="7" t="inlineStr">
        <is>
          <t>La Mer</t>
        </is>
      </c>
      <c r="R107" s="7" t="inlineStr">
        <is>
          <t>Jumeirah St / D94</t>
        </is>
      </c>
      <c r="S107" t="inlineStr">
        <is>
          <t>15</t>
        </is>
      </c>
      <c r="T107" t="inlineStr">
        <is>
          <t>25</t>
        </is>
      </c>
      <c r="U107" t="inlineStr">
        <is>
          <t>15</t>
        </is>
      </c>
      <c r="V107" t="inlineStr">
        <is>
          <t>40</t>
        </is>
      </c>
      <c r="W107" t="n">
        <v>2</v>
      </c>
      <c r="X107" s="12" t="n"/>
      <c r="Y107" s="12" t="n"/>
      <c r="Z107" s="9" t="n">
        <v>6</v>
      </c>
      <c r="AA107" s="9" t="n">
        <v>6.5</v>
      </c>
      <c r="AB107" s="9" t="n">
        <v>6</v>
      </c>
      <c r="AC107" s="9" t="n">
        <v>8</v>
      </c>
      <c r="AD107" s="9" t="n">
        <v>12</v>
      </c>
      <c r="AE107" s="9" t="n">
        <v>14.5</v>
      </c>
      <c r="AF107" t="n">
        <v>2019</v>
      </c>
      <c r="AH107" t="inlineStr">
        <is>
          <t>Apartment</t>
        </is>
      </c>
      <c r="AI107" t="inlineStr">
        <is>
          <t>MainstreamSelective</t>
        </is>
      </c>
      <c r="AJ107" t="inlineStr">
        <is>
          <t>TopTier</t>
        </is>
      </c>
      <c r="AK107" t="inlineStr">
        <is>
          <t>Balanced / selective</t>
        </is>
      </c>
      <c r="AL107" s="7" t="inlineStr">
        <is>
          <t>Market remains active but increasingly differentiated by developer, micro-location, livability, and pricing discipline.</t>
        </is>
      </c>
      <c r="AM107" s="9" t="n">
        <v>7</v>
      </c>
      <c r="AN107" s="9" t="n">
        <v>6.25</v>
      </c>
      <c r="AO107" s="10" t="n">
        <v>0.55</v>
      </c>
      <c r="AP107" s="13" t="n">
        <v>0</v>
      </c>
      <c r="AQ107" s="13" t="n">
        <v>0</v>
      </c>
      <c r="AR107" s="13" t="n">
        <v>0</v>
      </c>
      <c r="AS107" s="13" t="n">
        <v>0.01</v>
      </c>
      <c r="AT107" s="13" t="n">
        <v>0.005</v>
      </c>
      <c r="AU107" s="13" t="n">
        <v>0.0025</v>
      </c>
      <c r="AV107" s="13" t="n">
        <v>-0.005</v>
      </c>
      <c r="AW107" s="13">
        <f>IF(X107="","",(AM107/100*AO107)+AP107+AQ107+AR107)</f>
        <v/>
      </c>
      <c r="AX107" s="13">
        <f>IF(X107="","",AS107+AT107+AU107+AV107)</f>
        <v/>
      </c>
      <c r="AY107" s="12">
        <f>IF(AZ107="","",ROUND(AZ107*(1+Assumptions!$B$10),0))</f>
        <v/>
      </c>
      <c r="AZ107" s="12">
        <f>IF(X107="","",ROUND(X107*(1+AW107),0))</f>
        <v/>
      </c>
      <c r="BA107" s="12">
        <f>IF(AZ107="","",ROUND(AZ107*(1+Assumptions!$B$11),0))</f>
        <v/>
      </c>
      <c r="BB107" s="12">
        <f>IF(AZ107="","",ROUND(AZ107*(1+AX107+Assumptions!$B$10),0))</f>
        <v/>
      </c>
      <c r="BC107" s="12">
        <f>IF(AZ107="","",ROUND(AZ107*(1+AX107),0))</f>
        <v/>
      </c>
      <c r="BD107" s="12">
        <f>IF(AZ107="","",ROUND(AZ107*(1+AX107+Assumptions!$B$11),0))</f>
        <v/>
      </c>
      <c r="BE107" s="12">
        <f>IF(AZ107="","",ROUND(AZ107*(1+AX107)*(1+AX107),0))</f>
        <v/>
      </c>
      <c r="BF107" s="7" t="inlineStr">
        <is>
          <t>Rules-based enrichment using launch-price anchor, cap-app realization, and 2026 segment conditions.</t>
        </is>
      </c>
      <c r="BG107" t="inlineStr">
        <is>
          <t>2026-03-17</t>
        </is>
      </c>
      <c r="BH107" s="7" t="inlineStr">
        <is>
          <t>DLD / Digital Dubai / CBUAE / Savills / Knight Frank-Moody’s / Reuters</t>
        </is>
      </c>
    </row>
    <row r="108">
      <c r="A108" t="n">
        <v>107</v>
      </c>
      <c r="B108" s="7" t="inlineStr">
        <is>
          <t>La Cote</t>
        </is>
      </c>
      <c r="C108" t="inlineStr">
        <is>
          <t>Meraas</t>
        </is>
      </c>
      <c r="D108" t="inlineStr">
        <is>
          <t>Port de La Mer</t>
        </is>
      </c>
      <c r="E108" t="inlineStr">
        <is>
          <t>Apartments</t>
        </is>
      </c>
      <c r="F108" s="7" t="inlineStr">
        <is>
          <t>Waterfront</t>
        </is>
      </c>
      <c r="G108" t="inlineStr">
        <is>
          <t>Resale</t>
        </is>
      </c>
      <c r="H108" t="inlineStr">
        <is>
          <t>1900</t>
        </is>
      </c>
      <c r="I108" t="inlineStr">
        <is>
          <t>25</t>
        </is>
      </c>
      <c r="J108" t="inlineStr">
        <is>
          <t>Completed</t>
        </is>
      </c>
      <c r="K108" t="inlineStr">
        <is>
          <t>2018</t>
        </is>
      </c>
      <c r="L108" t="inlineStr">
        <is>
          <t>6.0-6.5</t>
        </is>
      </c>
      <c r="M108" t="inlineStr">
        <is>
          <t>6-8</t>
        </is>
      </c>
      <c r="N108" t="inlineStr">
        <is>
          <t>12.0-14.5</t>
        </is>
      </c>
      <c r="O108" s="7" t="inlineStr">
        <is>
          <t>Jumeirah Baccalaureate</t>
        </is>
      </c>
      <c r="P108" s="7" t="inlineStr">
        <is>
          <t>American Hospital (Clinic)</t>
        </is>
      </c>
      <c r="Q108" s="7" t="inlineStr">
        <is>
          <t>La Mer</t>
        </is>
      </c>
      <c r="R108" s="7" t="inlineStr">
        <is>
          <t>Jumeirah St / D94</t>
        </is>
      </c>
      <c r="S108" t="inlineStr">
        <is>
          <t>15</t>
        </is>
      </c>
      <c r="T108" t="inlineStr">
        <is>
          <t>25</t>
        </is>
      </c>
      <c r="U108" t="inlineStr">
        <is>
          <t>15</t>
        </is>
      </c>
      <c r="V108" t="inlineStr">
        <is>
          <t>40</t>
        </is>
      </c>
      <c r="W108" t="n">
        <v>2</v>
      </c>
      <c r="X108" s="12" t="n"/>
      <c r="Y108" s="12" t="n"/>
      <c r="Z108" s="9" t="n">
        <v>6</v>
      </c>
      <c r="AA108" s="9" t="n">
        <v>6.5</v>
      </c>
      <c r="AB108" s="9" t="n">
        <v>6</v>
      </c>
      <c r="AC108" s="9" t="n">
        <v>8</v>
      </c>
      <c r="AD108" s="9" t="n">
        <v>12</v>
      </c>
      <c r="AE108" s="9" t="n">
        <v>14.5</v>
      </c>
      <c r="AF108" t="n">
        <v>2018</v>
      </c>
      <c r="AH108" t="inlineStr">
        <is>
          <t>Apartment</t>
        </is>
      </c>
      <c r="AI108" t="inlineStr">
        <is>
          <t>MainstreamSelective</t>
        </is>
      </c>
      <c r="AJ108" t="inlineStr">
        <is>
          <t>TopTier</t>
        </is>
      </c>
      <c r="AK108" t="inlineStr">
        <is>
          <t>Balanced / selective</t>
        </is>
      </c>
      <c r="AL108" s="7" t="inlineStr">
        <is>
          <t>Market remains active but increasingly differentiated by developer, micro-location, livability, and pricing discipline.</t>
        </is>
      </c>
      <c r="AM108" s="9" t="n">
        <v>7</v>
      </c>
      <c r="AN108" s="9" t="n">
        <v>6.25</v>
      </c>
      <c r="AO108" s="10" t="n">
        <v>0.55</v>
      </c>
      <c r="AP108" s="13" t="n">
        <v>0</v>
      </c>
      <c r="AQ108" s="13" t="n">
        <v>0</v>
      </c>
      <c r="AR108" s="13" t="n">
        <v>0</v>
      </c>
      <c r="AS108" s="13" t="n">
        <v>0.01</v>
      </c>
      <c r="AT108" s="13" t="n">
        <v>0.005</v>
      </c>
      <c r="AU108" s="13" t="n">
        <v>0.0025</v>
      </c>
      <c r="AV108" s="13" t="n">
        <v>-0.005</v>
      </c>
      <c r="AW108" s="13">
        <f>IF(X108="","",(AM108/100*AO108)+AP108+AQ108+AR108)</f>
        <v/>
      </c>
      <c r="AX108" s="13">
        <f>IF(X108="","",AS108+AT108+AU108+AV108)</f>
        <v/>
      </c>
      <c r="AY108" s="12">
        <f>IF(AZ108="","",ROUND(AZ108*(1+Assumptions!$B$10),0))</f>
        <v/>
      </c>
      <c r="AZ108" s="12">
        <f>IF(X108="","",ROUND(X108*(1+AW108),0))</f>
        <v/>
      </c>
      <c r="BA108" s="12">
        <f>IF(AZ108="","",ROUND(AZ108*(1+Assumptions!$B$11),0))</f>
        <v/>
      </c>
      <c r="BB108" s="12">
        <f>IF(AZ108="","",ROUND(AZ108*(1+AX108+Assumptions!$B$10),0))</f>
        <v/>
      </c>
      <c r="BC108" s="12">
        <f>IF(AZ108="","",ROUND(AZ108*(1+AX108),0))</f>
        <v/>
      </c>
      <c r="BD108" s="12">
        <f>IF(AZ108="","",ROUND(AZ108*(1+AX108+Assumptions!$B$11),0))</f>
        <v/>
      </c>
      <c r="BE108" s="12">
        <f>IF(AZ108="","",ROUND(AZ108*(1+AX108)*(1+AX108),0))</f>
        <v/>
      </c>
      <c r="BF108" s="7" t="inlineStr">
        <is>
          <t>Rules-based enrichment using launch-price anchor, cap-app realization, and 2026 segment conditions.</t>
        </is>
      </c>
      <c r="BG108" t="inlineStr">
        <is>
          <t>2026-03-17</t>
        </is>
      </c>
      <c r="BH108" s="7" t="inlineStr">
        <is>
          <t>DLD / Digital Dubai / CBUAE / Savills / Knight Frank-Moody’s / Reuters</t>
        </is>
      </c>
    </row>
    <row r="109">
      <c r="A109" t="n">
        <v>108</v>
      </c>
      <c r="B109" s="7" t="inlineStr">
        <is>
          <t>Sur La Mer</t>
        </is>
      </c>
      <c r="C109" t="inlineStr">
        <is>
          <t>Meraas</t>
        </is>
      </c>
      <c r="D109" t="inlineStr">
        <is>
          <t>Port de La Mer</t>
        </is>
      </c>
      <c r="E109" t="inlineStr">
        <is>
          <t>Townhouses</t>
        </is>
      </c>
      <c r="F109" s="7" t="inlineStr">
        <is>
          <t>Waterfront</t>
        </is>
      </c>
      <c r="G109" t="inlineStr">
        <is>
          <t>5.5M</t>
        </is>
      </c>
      <c r="H109" t="inlineStr">
        <is>
          <t>2200</t>
        </is>
      </c>
      <c r="I109" t="inlineStr">
        <is>
          <t>20</t>
        </is>
      </c>
      <c r="J109" t="inlineStr">
        <is>
          <t>50/50</t>
        </is>
      </c>
      <c r="K109" t="inlineStr">
        <is>
          <t>2019</t>
        </is>
      </c>
      <c r="L109" t="inlineStr">
        <is>
          <t>4.5-5.0</t>
        </is>
      </c>
      <c r="M109" t="inlineStr">
        <is>
          <t>8-10</t>
        </is>
      </c>
      <c r="N109" t="inlineStr">
        <is>
          <t>12.5-15.0</t>
        </is>
      </c>
      <c r="O109" s="7" t="inlineStr">
        <is>
          <t>Jumeirah Baccalaureate</t>
        </is>
      </c>
      <c r="P109" s="7" t="inlineStr">
        <is>
          <t>American Hospital (Clinic)</t>
        </is>
      </c>
      <c r="Q109" s="7" t="inlineStr">
        <is>
          <t>La Mer</t>
        </is>
      </c>
      <c r="R109" s="7" t="inlineStr">
        <is>
          <t>Jumeirah St / D94</t>
        </is>
      </c>
      <c r="S109" t="inlineStr">
        <is>
          <t>15</t>
        </is>
      </c>
      <c r="T109" t="inlineStr">
        <is>
          <t>25</t>
        </is>
      </c>
      <c r="U109" t="inlineStr">
        <is>
          <t>15</t>
        </is>
      </c>
      <c r="V109" t="inlineStr">
        <is>
          <t>40</t>
        </is>
      </c>
      <c r="W109" t="n">
        <v>2</v>
      </c>
      <c r="X109" s="12" t="n">
        <v>5500000</v>
      </c>
      <c r="Y109" s="12" t="n">
        <v>5500000</v>
      </c>
      <c r="Z109" s="9" t="n">
        <v>4.5</v>
      </c>
      <c r="AA109" s="9" t="n">
        <v>5</v>
      </c>
      <c r="AB109" s="9" t="n">
        <v>8</v>
      </c>
      <c r="AC109" s="9" t="n">
        <v>10</v>
      </c>
      <c r="AD109" s="9" t="n">
        <v>12.5</v>
      </c>
      <c r="AE109" s="9" t="n">
        <v>15</v>
      </c>
      <c r="AF109" t="n">
        <v>2019</v>
      </c>
      <c r="AH109" t="inlineStr">
        <is>
          <t>Townhouse</t>
        </is>
      </c>
      <c r="AI109" t="inlineStr">
        <is>
          <t>MainstreamSelective</t>
        </is>
      </c>
      <c r="AJ109" t="inlineStr">
        <is>
          <t>TopTier</t>
        </is>
      </c>
      <c r="AK109" t="inlineStr">
        <is>
          <t>Family-villa resilient</t>
        </is>
      </c>
      <c r="AL109" s="7" t="inlineStr">
        <is>
          <t>Villa/townhouse demand remains relatively firmer, though growth should be slower than the post-2020 surge.</t>
        </is>
      </c>
      <c r="AM109" s="9" t="n">
        <v>9</v>
      </c>
      <c r="AN109" s="9" t="n">
        <v>4.75</v>
      </c>
      <c r="AO109" s="10" t="n">
        <v>0.55</v>
      </c>
      <c r="AP109" s="13" t="n">
        <v>0</v>
      </c>
      <c r="AQ109" s="13" t="n">
        <v>0.015</v>
      </c>
      <c r="AR109" s="13" t="n">
        <v>0</v>
      </c>
      <c r="AS109" s="13" t="n">
        <v>0.025</v>
      </c>
      <c r="AT109" s="13" t="n">
        <v>0.005</v>
      </c>
      <c r="AU109" s="13" t="n">
        <v>0</v>
      </c>
      <c r="AV109" s="13" t="n">
        <v>-0.005</v>
      </c>
      <c r="AW109" s="13">
        <f>IF(X109="","",(AM109/100*AO109)+AP109+AQ109+AR109)</f>
        <v/>
      </c>
      <c r="AX109" s="13">
        <f>IF(X109="","",AS109+AT109+AU109+AV109)</f>
        <v/>
      </c>
      <c r="AY109" s="12">
        <f>IF(AZ109="","",ROUND(AZ109*(1+Assumptions!$B$10),0))</f>
        <v/>
      </c>
      <c r="AZ109" s="12">
        <f>IF(X109="","",ROUND(X109*(1+AW109),0))</f>
        <v/>
      </c>
      <c r="BA109" s="12">
        <f>IF(AZ109="","",ROUND(AZ109*(1+Assumptions!$B$11),0))</f>
        <v/>
      </c>
      <c r="BB109" s="12">
        <f>IF(AZ109="","",ROUND(AZ109*(1+AX109+Assumptions!$B$10),0))</f>
        <v/>
      </c>
      <c r="BC109" s="12">
        <f>IF(AZ109="","",ROUND(AZ109*(1+AX109),0))</f>
        <v/>
      </c>
      <c r="BD109" s="12">
        <f>IF(AZ109="","",ROUND(AZ109*(1+AX109+Assumptions!$B$11),0))</f>
        <v/>
      </c>
      <c r="BE109" s="12">
        <f>IF(AZ109="","",ROUND(AZ109*(1+AX109)*(1+AX109),0))</f>
        <v/>
      </c>
      <c r="BF109" s="7" t="inlineStr">
        <is>
          <t>Rules-based enrichment using launch-price anchor, cap-app realization, and 2026 segment conditions.</t>
        </is>
      </c>
      <c r="BG109" t="inlineStr">
        <is>
          <t>2026-03-17</t>
        </is>
      </c>
      <c r="BH109" s="7" t="inlineStr">
        <is>
          <t>DLD / Digital Dubai / CBUAE / Savills / Knight Frank-Moody’s / Reuters</t>
        </is>
      </c>
    </row>
    <row r="110">
      <c r="A110" t="n">
        <v>109</v>
      </c>
      <c r="B110" s="7" t="inlineStr">
        <is>
          <t>Madinat Jumeirah Living</t>
        </is>
      </c>
      <c r="C110" t="inlineStr">
        <is>
          <t>Meraas</t>
        </is>
      </c>
      <c r="D110" t="inlineStr">
        <is>
          <t>Umm Suqeim (Burj Al Arab)</t>
        </is>
      </c>
      <c r="E110" t="inlineStr">
        <is>
          <t>Apartments</t>
        </is>
      </c>
      <c r="F110" s="7" t="inlineStr">
        <is>
          <t>Luxury / Traditional</t>
        </is>
      </c>
      <c r="I110" t="inlineStr">
        <is>
          <t>25</t>
        </is>
      </c>
      <c r="J110" t="inlineStr">
        <is>
          <t>Varies</t>
        </is>
      </c>
      <c r="K110" t="inlineStr">
        <is>
          <t>Ongoing</t>
        </is>
      </c>
      <c r="L110" t="inlineStr">
        <is>
          <t>5.0-6.0</t>
        </is>
      </c>
      <c r="M110" t="inlineStr">
        <is>
          <t>9-12</t>
        </is>
      </c>
      <c r="N110" t="inlineStr">
        <is>
          <t>14.0-18.0</t>
        </is>
      </c>
      <c r="O110" s="7" t="inlineStr">
        <is>
          <t>Kings' School Dubai</t>
        </is>
      </c>
      <c r="P110" s="7" t="inlineStr">
        <is>
          <t>Saudi German Hospital</t>
        </is>
      </c>
      <c r="Q110" s="7" t="inlineStr">
        <is>
          <t>Mall of Emirates</t>
        </is>
      </c>
      <c r="R110" s="7" t="inlineStr">
        <is>
          <t>Umm Suqeim St</t>
        </is>
      </c>
      <c r="S110" t="inlineStr">
        <is>
          <t>15</t>
        </is>
      </c>
      <c r="T110" t="inlineStr">
        <is>
          <t>10</t>
        </is>
      </c>
      <c r="U110" t="inlineStr">
        <is>
          <t>25</t>
        </is>
      </c>
      <c r="V110" t="inlineStr">
        <is>
          <t>30</t>
        </is>
      </c>
      <c r="W110" t="n">
        <v>2</v>
      </c>
      <c r="X110" s="12" t="n"/>
      <c r="Y110" s="12" t="n"/>
      <c r="Z110" s="9" t="n">
        <v>5</v>
      </c>
      <c r="AA110" s="9" t="n">
        <v>6</v>
      </c>
      <c r="AB110" s="9" t="n">
        <v>9</v>
      </c>
      <c r="AC110" s="9" t="n">
        <v>12</v>
      </c>
      <c r="AD110" s="9" t="n">
        <v>14</v>
      </c>
      <c r="AE110" s="9" t="n">
        <v>18</v>
      </c>
      <c r="AH110" t="inlineStr">
        <is>
          <t>Apartment</t>
        </is>
      </c>
      <c r="AI110" t="inlineStr">
        <is>
          <t>MainstreamSelective</t>
        </is>
      </c>
      <c r="AJ110" t="inlineStr">
        <is>
          <t>TopTier</t>
        </is>
      </c>
      <c r="AK110" t="inlineStr">
        <is>
          <t>Balanced / selective</t>
        </is>
      </c>
      <c r="AL110" s="7" t="inlineStr">
        <is>
          <t>Market remains active but increasingly differentiated by developer, micro-location, livability, and pricing discipline.</t>
        </is>
      </c>
      <c r="AM110" s="9" t="n">
        <v>10.5</v>
      </c>
      <c r="AN110" s="9" t="n">
        <v>5.5</v>
      </c>
      <c r="AO110" s="10" t="n">
        <v>0.25</v>
      </c>
      <c r="AP110" s="13" t="n">
        <v>0</v>
      </c>
      <c r="AQ110" s="13" t="n">
        <v>0</v>
      </c>
      <c r="AR110" s="13" t="n">
        <v>0</v>
      </c>
      <c r="AS110" s="13" t="n">
        <v>0.01</v>
      </c>
      <c r="AT110" s="13" t="n">
        <v>0.005</v>
      </c>
      <c r="AU110" s="13" t="n">
        <v>0</v>
      </c>
      <c r="AV110" s="13" t="n">
        <v>-0.005</v>
      </c>
      <c r="AW110" s="13">
        <f>IF(X110="","",(AM110/100*AO110)+AP110+AQ110+AR110)</f>
        <v/>
      </c>
      <c r="AX110" s="13">
        <f>IF(X110="","",AS110+AT110+AU110+AV110)</f>
        <v/>
      </c>
      <c r="AY110" s="12">
        <f>IF(AZ110="","",ROUND(AZ110*(1+Assumptions!$B$10),0))</f>
        <v/>
      </c>
      <c r="AZ110" s="12">
        <f>IF(X110="","",ROUND(X110*(1+AW110),0))</f>
        <v/>
      </c>
      <c r="BA110" s="12">
        <f>IF(AZ110="","",ROUND(AZ110*(1+Assumptions!$B$11),0))</f>
        <v/>
      </c>
      <c r="BB110" s="12">
        <f>IF(AZ110="","",ROUND(AZ110*(1+AX110+Assumptions!$B$10),0))</f>
        <v/>
      </c>
      <c r="BC110" s="12">
        <f>IF(AZ110="","",ROUND(AZ110*(1+AX110),0))</f>
        <v/>
      </c>
      <c r="BD110" s="12">
        <f>IF(AZ110="","",ROUND(AZ110*(1+AX110+Assumptions!$B$11),0))</f>
        <v/>
      </c>
      <c r="BE110" s="12">
        <f>IF(AZ110="","",ROUND(AZ110*(1+AX110)*(1+AX110),0))</f>
        <v/>
      </c>
      <c r="BF110" s="7" t="inlineStr">
        <is>
          <t>Rules-based enrichment using launch-price anchor, cap-app realization, and 2026 segment conditions.</t>
        </is>
      </c>
      <c r="BG110" t="inlineStr">
        <is>
          <t>2026-03-17</t>
        </is>
      </c>
      <c r="BH110" s="7" t="inlineStr">
        <is>
          <t>DLD / Digital Dubai / CBUAE / Savills / Knight Frank-Moody’s / Reuters</t>
        </is>
      </c>
    </row>
    <row r="111">
      <c r="A111" t="n">
        <v>110</v>
      </c>
      <c r="B111" s="7" t="inlineStr">
        <is>
          <t>Riwa</t>
        </is>
      </c>
      <c r="C111" t="inlineStr">
        <is>
          <t>Meraas</t>
        </is>
      </c>
      <c r="D111" t="inlineStr">
        <is>
          <t>Madinat Jumeirah Living</t>
        </is>
      </c>
      <c r="E111" t="inlineStr">
        <is>
          <t>Apartments</t>
        </is>
      </c>
      <c r="F111" s="7" t="inlineStr">
        <is>
          <t>Luxury / View</t>
        </is>
      </c>
      <c r="G111" t="inlineStr">
        <is>
          <t>2.1M</t>
        </is>
      </c>
      <c r="H111" t="inlineStr">
        <is>
          <t>2800</t>
        </is>
      </c>
      <c r="I111" t="inlineStr">
        <is>
          <t>25</t>
        </is>
      </c>
      <c r="J111" t="inlineStr">
        <is>
          <t>70/30</t>
        </is>
      </c>
      <c r="K111" t="inlineStr">
        <is>
          <t>2024</t>
        </is>
      </c>
      <c r="L111" t="inlineStr">
        <is>
          <t>5.0-5.5</t>
        </is>
      </c>
      <c r="M111" t="inlineStr">
        <is>
          <t>9-12</t>
        </is>
      </c>
      <c r="N111" t="inlineStr">
        <is>
          <t>14.0-17.5</t>
        </is>
      </c>
      <c r="O111" s="7" t="inlineStr">
        <is>
          <t>Kings' School Dubai</t>
        </is>
      </c>
      <c r="P111" s="7" t="inlineStr">
        <is>
          <t>Saudi German Hospital</t>
        </is>
      </c>
      <c r="Q111" s="7" t="inlineStr">
        <is>
          <t>Mall of Emirates</t>
        </is>
      </c>
      <c r="R111" s="7" t="inlineStr">
        <is>
          <t>Umm Suqeim St</t>
        </is>
      </c>
      <c r="S111" t="inlineStr">
        <is>
          <t>15</t>
        </is>
      </c>
      <c r="T111" t="inlineStr">
        <is>
          <t>10</t>
        </is>
      </c>
      <c r="U111" t="inlineStr">
        <is>
          <t>25</t>
        </is>
      </c>
      <c r="V111" t="inlineStr">
        <is>
          <t>30</t>
        </is>
      </c>
      <c r="W111" t="n">
        <v>2</v>
      </c>
      <c r="X111" s="12" t="n">
        <v>2100000</v>
      </c>
      <c r="Y111" s="12" t="n">
        <v>2100000</v>
      </c>
      <c r="Z111" s="9" t="n">
        <v>5</v>
      </c>
      <c r="AA111" s="9" t="n">
        <v>5.5</v>
      </c>
      <c r="AB111" s="9" t="n">
        <v>9</v>
      </c>
      <c r="AC111" s="9" t="n">
        <v>12</v>
      </c>
      <c r="AD111" s="9" t="n">
        <v>14</v>
      </c>
      <c r="AE111" s="9" t="n">
        <v>17.5</v>
      </c>
      <c r="AF111" t="n">
        <v>2024</v>
      </c>
      <c r="AH111" t="inlineStr">
        <is>
          <t>Apartment</t>
        </is>
      </c>
      <c r="AI111" t="inlineStr">
        <is>
          <t>MainstreamSelective</t>
        </is>
      </c>
      <c r="AJ111" t="inlineStr">
        <is>
          <t>TopTier</t>
        </is>
      </c>
      <c r="AK111" t="inlineStr">
        <is>
          <t>Balanced / selective</t>
        </is>
      </c>
      <c r="AL111" s="7" t="inlineStr">
        <is>
          <t>Market remains active but increasingly differentiated by developer, micro-location, livability, and pricing discipline.</t>
        </is>
      </c>
      <c r="AM111" s="9" t="n">
        <v>10.5</v>
      </c>
      <c r="AN111" s="9" t="n">
        <v>5.25</v>
      </c>
      <c r="AO111" s="10" t="n">
        <v>0.55</v>
      </c>
      <c r="AP111" s="13" t="n">
        <v>0</v>
      </c>
      <c r="AQ111" s="13" t="n">
        <v>0</v>
      </c>
      <c r="AR111" s="13" t="n">
        <v>0</v>
      </c>
      <c r="AS111" s="13" t="n">
        <v>0.01</v>
      </c>
      <c r="AT111" s="13" t="n">
        <v>0.005</v>
      </c>
      <c r="AU111" s="13" t="n">
        <v>0</v>
      </c>
      <c r="AV111" s="13" t="n">
        <v>-0.005</v>
      </c>
      <c r="AW111" s="13">
        <f>IF(X111="","",(AM111/100*AO111)+AP111+AQ111+AR111)</f>
        <v/>
      </c>
      <c r="AX111" s="13">
        <f>IF(X111="","",AS111+AT111+AU111+AV111)</f>
        <v/>
      </c>
      <c r="AY111" s="12">
        <f>IF(AZ111="","",ROUND(AZ111*(1+Assumptions!$B$10),0))</f>
        <v/>
      </c>
      <c r="AZ111" s="12">
        <f>IF(X111="","",ROUND(X111*(1+AW111),0))</f>
        <v/>
      </c>
      <c r="BA111" s="12">
        <f>IF(AZ111="","",ROUND(AZ111*(1+Assumptions!$B$11),0))</f>
        <v/>
      </c>
      <c r="BB111" s="12">
        <f>IF(AZ111="","",ROUND(AZ111*(1+AX111+Assumptions!$B$10),0))</f>
        <v/>
      </c>
      <c r="BC111" s="12">
        <f>IF(AZ111="","",ROUND(AZ111*(1+AX111),0))</f>
        <v/>
      </c>
      <c r="BD111" s="12">
        <f>IF(AZ111="","",ROUND(AZ111*(1+AX111+Assumptions!$B$11),0))</f>
        <v/>
      </c>
      <c r="BE111" s="12">
        <f>IF(AZ111="","",ROUND(AZ111*(1+AX111)*(1+AX111),0))</f>
        <v/>
      </c>
      <c r="BF111" s="7" t="inlineStr">
        <is>
          <t>Rules-based enrichment using launch-price anchor, cap-app realization, and 2026 segment conditions.</t>
        </is>
      </c>
      <c r="BG111" t="inlineStr">
        <is>
          <t>2026-03-17</t>
        </is>
      </c>
      <c r="BH111" s="7" t="inlineStr">
        <is>
          <t>DLD / Digital Dubai / CBUAE / Savills / Knight Frank-Moody’s / Reuters</t>
        </is>
      </c>
    </row>
    <row r="112">
      <c r="A112" t="n">
        <v>111</v>
      </c>
      <c r="B112" s="7" t="inlineStr">
        <is>
          <t>Jadeel</t>
        </is>
      </c>
      <c r="C112" t="inlineStr">
        <is>
          <t>Meraas</t>
        </is>
      </c>
      <c r="D112" t="inlineStr">
        <is>
          <t>Madinat Jumeirah Living</t>
        </is>
      </c>
      <c r="E112" t="inlineStr">
        <is>
          <t>Apartments</t>
        </is>
      </c>
      <c r="F112" s="7" t="inlineStr">
        <is>
          <t>Luxury / View</t>
        </is>
      </c>
      <c r="G112" t="inlineStr">
        <is>
          <t>1.9M</t>
        </is>
      </c>
      <c r="H112" t="inlineStr">
        <is>
          <t>2600</t>
        </is>
      </c>
      <c r="I112" t="inlineStr">
        <is>
          <t>25</t>
        </is>
      </c>
      <c r="J112" t="inlineStr">
        <is>
          <t>50/50</t>
        </is>
      </c>
      <c r="K112" t="inlineStr">
        <is>
          <t>2022</t>
        </is>
      </c>
      <c r="L112" t="inlineStr">
        <is>
          <t>5.5-6.0</t>
        </is>
      </c>
      <c r="M112" t="inlineStr">
        <is>
          <t>8-10</t>
        </is>
      </c>
      <c r="N112" t="inlineStr">
        <is>
          <t>13.5-16.0</t>
        </is>
      </c>
      <c r="O112" s="7" t="inlineStr">
        <is>
          <t>Kings' School Dubai</t>
        </is>
      </c>
      <c r="P112" s="7" t="inlineStr">
        <is>
          <t>Saudi German Hospital</t>
        </is>
      </c>
      <c r="Q112" s="7" t="inlineStr">
        <is>
          <t>Mall of Emirates</t>
        </is>
      </c>
      <c r="R112" s="7" t="inlineStr">
        <is>
          <t>Umm Suqeim St</t>
        </is>
      </c>
      <c r="S112" t="inlineStr">
        <is>
          <t>15</t>
        </is>
      </c>
      <c r="T112" t="inlineStr">
        <is>
          <t>10</t>
        </is>
      </c>
      <c r="U112" t="inlineStr">
        <is>
          <t>25</t>
        </is>
      </c>
      <c r="V112" t="inlineStr">
        <is>
          <t>30</t>
        </is>
      </c>
      <c r="W112" t="n">
        <v>2</v>
      </c>
      <c r="X112" s="12" t="n">
        <v>1900000</v>
      </c>
      <c r="Y112" s="12" t="n">
        <v>1900000</v>
      </c>
      <c r="Z112" s="9" t="n">
        <v>5.5</v>
      </c>
      <c r="AA112" s="9" t="n">
        <v>6</v>
      </c>
      <c r="AB112" s="9" t="n">
        <v>8</v>
      </c>
      <c r="AC112" s="9" t="n">
        <v>10</v>
      </c>
      <c r="AD112" s="9" t="n">
        <v>13.5</v>
      </c>
      <c r="AE112" s="9" t="n">
        <v>16</v>
      </c>
      <c r="AF112" t="n">
        <v>2022</v>
      </c>
      <c r="AH112" t="inlineStr">
        <is>
          <t>Apartment</t>
        </is>
      </c>
      <c r="AI112" t="inlineStr">
        <is>
          <t>MainstreamSelective</t>
        </is>
      </c>
      <c r="AJ112" t="inlineStr">
        <is>
          <t>TopTier</t>
        </is>
      </c>
      <c r="AK112" t="inlineStr">
        <is>
          <t>Balanced / selective</t>
        </is>
      </c>
      <c r="AL112" s="7" t="inlineStr">
        <is>
          <t>Market remains active but increasingly differentiated by developer, micro-location, livability, and pricing discipline.</t>
        </is>
      </c>
      <c r="AM112" s="9" t="n">
        <v>9</v>
      </c>
      <c r="AN112" s="9" t="n">
        <v>5.75</v>
      </c>
      <c r="AO112" s="10" t="n">
        <v>0.55</v>
      </c>
      <c r="AP112" s="13" t="n">
        <v>0</v>
      </c>
      <c r="AQ112" s="13" t="n">
        <v>0</v>
      </c>
      <c r="AR112" s="13" t="n">
        <v>0</v>
      </c>
      <c r="AS112" s="13" t="n">
        <v>0.01</v>
      </c>
      <c r="AT112" s="13" t="n">
        <v>0.005</v>
      </c>
      <c r="AU112" s="13" t="n">
        <v>0</v>
      </c>
      <c r="AV112" s="13" t="n">
        <v>-0.005</v>
      </c>
      <c r="AW112" s="13">
        <f>IF(X112="","",(AM112/100*AO112)+AP112+AQ112+AR112)</f>
        <v/>
      </c>
      <c r="AX112" s="13">
        <f>IF(X112="","",AS112+AT112+AU112+AV112)</f>
        <v/>
      </c>
      <c r="AY112" s="12">
        <f>IF(AZ112="","",ROUND(AZ112*(1+Assumptions!$B$10),0))</f>
        <v/>
      </c>
      <c r="AZ112" s="12">
        <f>IF(X112="","",ROUND(X112*(1+AW112),0))</f>
        <v/>
      </c>
      <c r="BA112" s="12">
        <f>IF(AZ112="","",ROUND(AZ112*(1+Assumptions!$B$11),0))</f>
        <v/>
      </c>
      <c r="BB112" s="12">
        <f>IF(AZ112="","",ROUND(AZ112*(1+AX112+Assumptions!$B$10),0))</f>
        <v/>
      </c>
      <c r="BC112" s="12">
        <f>IF(AZ112="","",ROUND(AZ112*(1+AX112),0))</f>
        <v/>
      </c>
      <c r="BD112" s="12">
        <f>IF(AZ112="","",ROUND(AZ112*(1+AX112+Assumptions!$B$11),0))</f>
        <v/>
      </c>
      <c r="BE112" s="12">
        <f>IF(AZ112="","",ROUND(AZ112*(1+AX112)*(1+AX112),0))</f>
        <v/>
      </c>
      <c r="BF112" s="7" t="inlineStr">
        <is>
          <t>Rules-based enrichment using launch-price anchor, cap-app realization, and 2026 segment conditions.</t>
        </is>
      </c>
      <c r="BG112" t="inlineStr">
        <is>
          <t>2026-03-17</t>
        </is>
      </c>
      <c r="BH112" s="7" t="inlineStr">
        <is>
          <t>DLD / Digital Dubai / CBUAE / Savills / Knight Frank-Moody’s / Reuters</t>
        </is>
      </c>
    </row>
    <row r="113">
      <c r="A113" t="n">
        <v>112</v>
      </c>
      <c r="B113" s="7" t="inlineStr">
        <is>
          <t>Lamaa</t>
        </is>
      </c>
      <c r="C113" t="inlineStr">
        <is>
          <t>Meraas</t>
        </is>
      </c>
      <c r="D113" t="inlineStr">
        <is>
          <t>Madinat Jumeirah Living</t>
        </is>
      </c>
      <c r="E113" t="inlineStr">
        <is>
          <t>Apartments</t>
        </is>
      </c>
      <c r="F113" s="7" t="inlineStr">
        <is>
          <t>Luxury / View</t>
        </is>
      </c>
      <c r="G113" t="inlineStr">
        <is>
          <t>2.0M</t>
        </is>
      </c>
      <c r="H113" t="inlineStr">
        <is>
          <t>2700</t>
        </is>
      </c>
      <c r="I113" t="inlineStr">
        <is>
          <t>25</t>
        </is>
      </c>
      <c r="J113" t="inlineStr">
        <is>
          <t>50/50</t>
        </is>
      </c>
      <c r="K113" t="inlineStr">
        <is>
          <t>2022</t>
        </is>
      </c>
      <c r="L113" t="inlineStr">
        <is>
          <t>5.5-6.0</t>
        </is>
      </c>
      <c r="M113" t="inlineStr">
        <is>
          <t>8-10</t>
        </is>
      </c>
      <c r="N113" t="inlineStr">
        <is>
          <t>13.5-16.0</t>
        </is>
      </c>
      <c r="O113" s="7" t="inlineStr">
        <is>
          <t>Kings' School Dubai</t>
        </is>
      </c>
      <c r="P113" s="7" t="inlineStr">
        <is>
          <t>Saudi German Hospital</t>
        </is>
      </c>
      <c r="Q113" s="7" t="inlineStr">
        <is>
          <t>Mall of Emirates</t>
        </is>
      </c>
      <c r="R113" s="7" t="inlineStr">
        <is>
          <t>Umm Suqeim St</t>
        </is>
      </c>
      <c r="S113" t="inlineStr">
        <is>
          <t>15</t>
        </is>
      </c>
      <c r="T113" t="inlineStr">
        <is>
          <t>10</t>
        </is>
      </c>
      <c r="U113" t="inlineStr">
        <is>
          <t>25</t>
        </is>
      </c>
      <c r="V113" t="inlineStr">
        <is>
          <t>30</t>
        </is>
      </c>
      <c r="W113" t="n">
        <v>2</v>
      </c>
      <c r="X113" s="12" t="n">
        <v>2000000</v>
      </c>
      <c r="Y113" s="12" t="n">
        <v>2000000</v>
      </c>
      <c r="Z113" s="9" t="n">
        <v>5.5</v>
      </c>
      <c r="AA113" s="9" t="n">
        <v>6</v>
      </c>
      <c r="AB113" s="9" t="n">
        <v>8</v>
      </c>
      <c r="AC113" s="9" t="n">
        <v>10</v>
      </c>
      <c r="AD113" s="9" t="n">
        <v>13.5</v>
      </c>
      <c r="AE113" s="9" t="n">
        <v>16</v>
      </c>
      <c r="AF113" t="n">
        <v>2022</v>
      </c>
      <c r="AH113" t="inlineStr">
        <is>
          <t>Apartment</t>
        </is>
      </c>
      <c r="AI113" t="inlineStr">
        <is>
          <t>MainstreamSelective</t>
        </is>
      </c>
      <c r="AJ113" t="inlineStr">
        <is>
          <t>TopTier</t>
        </is>
      </c>
      <c r="AK113" t="inlineStr">
        <is>
          <t>Balanced / selective</t>
        </is>
      </c>
      <c r="AL113" s="7" t="inlineStr">
        <is>
          <t>Market remains active but increasingly differentiated by developer, micro-location, livability, and pricing discipline.</t>
        </is>
      </c>
      <c r="AM113" s="9" t="n">
        <v>9</v>
      </c>
      <c r="AN113" s="9" t="n">
        <v>5.75</v>
      </c>
      <c r="AO113" s="10" t="n">
        <v>0.55</v>
      </c>
      <c r="AP113" s="13" t="n">
        <v>0</v>
      </c>
      <c r="AQ113" s="13" t="n">
        <v>0</v>
      </c>
      <c r="AR113" s="13" t="n">
        <v>0</v>
      </c>
      <c r="AS113" s="13" t="n">
        <v>0.01</v>
      </c>
      <c r="AT113" s="13" t="n">
        <v>0.005</v>
      </c>
      <c r="AU113" s="13" t="n">
        <v>0</v>
      </c>
      <c r="AV113" s="13" t="n">
        <v>-0.005</v>
      </c>
      <c r="AW113" s="13">
        <f>IF(X113="","",(AM113/100*AO113)+AP113+AQ113+AR113)</f>
        <v/>
      </c>
      <c r="AX113" s="13">
        <f>IF(X113="","",AS113+AT113+AU113+AV113)</f>
        <v/>
      </c>
      <c r="AY113" s="12">
        <f>IF(AZ113="","",ROUND(AZ113*(1+Assumptions!$B$10),0))</f>
        <v/>
      </c>
      <c r="AZ113" s="12">
        <f>IF(X113="","",ROUND(X113*(1+AW113),0))</f>
        <v/>
      </c>
      <c r="BA113" s="12">
        <f>IF(AZ113="","",ROUND(AZ113*(1+Assumptions!$B$11),0))</f>
        <v/>
      </c>
      <c r="BB113" s="12">
        <f>IF(AZ113="","",ROUND(AZ113*(1+AX113+Assumptions!$B$10),0))</f>
        <v/>
      </c>
      <c r="BC113" s="12">
        <f>IF(AZ113="","",ROUND(AZ113*(1+AX113),0))</f>
        <v/>
      </c>
      <c r="BD113" s="12">
        <f>IF(AZ113="","",ROUND(AZ113*(1+AX113+Assumptions!$B$11),0))</f>
        <v/>
      </c>
      <c r="BE113" s="12">
        <f>IF(AZ113="","",ROUND(AZ113*(1+AX113)*(1+AX113),0))</f>
        <v/>
      </c>
      <c r="BF113" s="7" t="inlineStr">
        <is>
          <t>Rules-based enrichment using launch-price anchor, cap-app realization, and 2026 segment conditions.</t>
        </is>
      </c>
      <c r="BG113" t="inlineStr">
        <is>
          <t>2026-03-17</t>
        </is>
      </c>
      <c r="BH113" s="7" t="inlineStr">
        <is>
          <t>DLD / Digital Dubai / CBUAE / Savills / Knight Frank-Moody’s / Reuters</t>
        </is>
      </c>
    </row>
    <row r="114">
      <c r="A114" t="n">
        <v>113</v>
      </c>
      <c r="B114" s="7" t="inlineStr">
        <is>
          <t>Jomana</t>
        </is>
      </c>
      <c r="C114" t="inlineStr">
        <is>
          <t>Meraas</t>
        </is>
      </c>
      <c r="D114" t="inlineStr">
        <is>
          <t>Madinat Jumeirah Living</t>
        </is>
      </c>
      <c r="E114" t="inlineStr">
        <is>
          <t>Apartments</t>
        </is>
      </c>
      <c r="F114" s="7" t="inlineStr">
        <is>
          <t>Luxury / View</t>
        </is>
      </c>
      <c r="G114" t="inlineStr">
        <is>
          <t>2.1M</t>
        </is>
      </c>
      <c r="H114" t="inlineStr">
        <is>
          <t>2800</t>
        </is>
      </c>
      <c r="I114" t="inlineStr">
        <is>
          <t>25</t>
        </is>
      </c>
      <c r="J114" t="inlineStr">
        <is>
          <t>70/30</t>
        </is>
      </c>
      <c r="K114" t="inlineStr">
        <is>
          <t>2023</t>
        </is>
      </c>
      <c r="L114" t="inlineStr">
        <is>
          <t>5.0-5.5</t>
        </is>
      </c>
      <c r="M114" t="inlineStr">
        <is>
          <t>8-10</t>
        </is>
      </c>
      <c r="N114" t="inlineStr">
        <is>
          <t>13.0-15.5</t>
        </is>
      </c>
      <c r="O114" s="7" t="inlineStr">
        <is>
          <t>Kings' School Dubai</t>
        </is>
      </c>
      <c r="P114" s="7" t="inlineStr">
        <is>
          <t>Saudi German Hospital</t>
        </is>
      </c>
      <c r="Q114" s="7" t="inlineStr">
        <is>
          <t>Mall of Emirates</t>
        </is>
      </c>
      <c r="R114" s="7" t="inlineStr">
        <is>
          <t>Umm Suqeim St</t>
        </is>
      </c>
      <c r="S114" t="inlineStr">
        <is>
          <t>15</t>
        </is>
      </c>
      <c r="T114" t="inlineStr">
        <is>
          <t>10</t>
        </is>
      </c>
      <c r="U114" t="inlineStr">
        <is>
          <t>25</t>
        </is>
      </c>
      <c r="V114" t="inlineStr">
        <is>
          <t>30</t>
        </is>
      </c>
      <c r="W114" t="n">
        <v>2</v>
      </c>
      <c r="X114" s="12" t="n">
        <v>2100000</v>
      </c>
      <c r="Y114" s="12" t="n">
        <v>2100000</v>
      </c>
      <c r="Z114" s="9" t="n">
        <v>5</v>
      </c>
      <c r="AA114" s="9" t="n">
        <v>5.5</v>
      </c>
      <c r="AB114" s="9" t="n">
        <v>8</v>
      </c>
      <c r="AC114" s="9" t="n">
        <v>10</v>
      </c>
      <c r="AD114" s="9" t="n">
        <v>13</v>
      </c>
      <c r="AE114" s="9" t="n">
        <v>15.5</v>
      </c>
      <c r="AF114" t="n">
        <v>2023</v>
      </c>
      <c r="AH114" t="inlineStr">
        <is>
          <t>Apartment</t>
        </is>
      </c>
      <c r="AI114" t="inlineStr">
        <is>
          <t>MainstreamSelective</t>
        </is>
      </c>
      <c r="AJ114" t="inlineStr">
        <is>
          <t>TopTier</t>
        </is>
      </c>
      <c r="AK114" t="inlineStr">
        <is>
          <t>Balanced / selective</t>
        </is>
      </c>
      <c r="AL114" s="7" t="inlineStr">
        <is>
          <t>Market remains active but increasingly differentiated by developer, micro-location, livability, and pricing discipline.</t>
        </is>
      </c>
      <c r="AM114" s="9" t="n">
        <v>9</v>
      </c>
      <c r="AN114" s="9" t="n">
        <v>5.25</v>
      </c>
      <c r="AO114" s="10" t="n">
        <v>0.55</v>
      </c>
      <c r="AP114" s="13" t="n">
        <v>0</v>
      </c>
      <c r="AQ114" s="13" t="n">
        <v>0</v>
      </c>
      <c r="AR114" s="13" t="n">
        <v>0</v>
      </c>
      <c r="AS114" s="13" t="n">
        <v>0.01</v>
      </c>
      <c r="AT114" s="13" t="n">
        <v>0.005</v>
      </c>
      <c r="AU114" s="13" t="n">
        <v>0</v>
      </c>
      <c r="AV114" s="13" t="n">
        <v>-0.005</v>
      </c>
      <c r="AW114" s="13">
        <f>IF(X114="","",(AM114/100*AO114)+AP114+AQ114+AR114)</f>
        <v/>
      </c>
      <c r="AX114" s="13">
        <f>IF(X114="","",AS114+AT114+AU114+AV114)</f>
        <v/>
      </c>
      <c r="AY114" s="12">
        <f>IF(AZ114="","",ROUND(AZ114*(1+Assumptions!$B$10),0))</f>
        <v/>
      </c>
      <c r="AZ114" s="12">
        <f>IF(X114="","",ROUND(X114*(1+AW114),0))</f>
        <v/>
      </c>
      <c r="BA114" s="12">
        <f>IF(AZ114="","",ROUND(AZ114*(1+Assumptions!$B$11),0))</f>
        <v/>
      </c>
      <c r="BB114" s="12">
        <f>IF(AZ114="","",ROUND(AZ114*(1+AX114+Assumptions!$B$10),0))</f>
        <v/>
      </c>
      <c r="BC114" s="12">
        <f>IF(AZ114="","",ROUND(AZ114*(1+AX114),0))</f>
        <v/>
      </c>
      <c r="BD114" s="12">
        <f>IF(AZ114="","",ROUND(AZ114*(1+AX114+Assumptions!$B$11),0))</f>
        <v/>
      </c>
      <c r="BE114" s="12">
        <f>IF(AZ114="","",ROUND(AZ114*(1+AX114)*(1+AX114),0))</f>
        <v/>
      </c>
      <c r="BF114" s="7" t="inlineStr">
        <is>
          <t>Rules-based enrichment using launch-price anchor, cap-app realization, and 2026 segment conditions.</t>
        </is>
      </c>
      <c r="BG114" t="inlineStr">
        <is>
          <t>2026-03-17</t>
        </is>
      </c>
      <c r="BH114" s="7" t="inlineStr">
        <is>
          <t>DLD / Digital Dubai / CBUAE / Savills / Knight Frank-Moody’s / Reuters</t>
        </is>
      </c>
    </row>
    <row r="115">
      <c r="A115" t="n">
        <v>114</v>
      </c>
      <c r="B115" s="7" t="inlineStr">
        <is>
          <t>Rahaal</t>
        </is>
      </c>
      <c r="C115" t="inlineStr">
        <is>
          <t>Meraas</t>
        </is>
      </c>
      <c r="D115" t="inlineStr">
        <is>
          <t>Madinat Jumeirah Living</t>
        </is>
      </c>
      <c r="E115" t="inlineStr">
        <is>
          <t>Apartments</t>
        </is>
      </c>
      <c r="F115" s="7" t="inlineStr">
        <is>
          <t>Luxury / View</t>
        </is>
      </c>
      <c r="G115" t="inlineStr">
        <is>
          <t>Resale (2.2M+)</t>
        </is>
      </c>
      <c r="H115" t="inlineStr">
        <is>
          <t>2500</t>
        </is>
      </c>
      <c r="I115" t="inlineStr">
        <is>
          <t>25</t>
        </is>
      </c>
      <c r="J115" t="inlineStr">
        <is>
          <t>Completed</t>
        </is>
      </c>
      <c r="K115" t="inlineStr">
        <is>
          <t>2019</t>
        </is>
      </c>
      <c r="L115" t="inlineStr">
        <is>
          <t>5.5-6.0</t>
        </is>
      </c>
      <c r="M115" t="inlineStr">
        <is>
          <t>6-8</t>
        </is>
      </c>
      <c r="N115" t="inlineStr">
        <is>
          <t>11.5-14.0</t>
        </is>
      </c>
      <c r="O115" s="7" t="inlineStr">
        <is>
          <t>Kings' School Dubai</t>
        </is>
      </c>
      <c r="P115" s="7" t="inlineStr">
        <is>
          <t>Saudi German Hospital</t>
        </is>
      </c>
      <c r="Q115" s="7" t="inlineStr">
        <is>
          <t>Mall of Emirates</t>
        </is>
      </c>
      <c r="R115" s="7" t="inlineStr">
        <is>
          <t>Umm Suqeim St</t>
        </is>
      </c>
      <c r="S115" t="inlineStr">
        <is>
          <t>15</t>
        </is>
      </c>
      <c r="T115" t="inlineStr">
        <is>
          <t>10</t>
        </is>
      </c>
      <c r="U115" t="inlineStr">
        <is>
          <t>25</t>
        </is>
      </c>
      <c r="V115" t="inlineStr">
        <is>
          <t>30</t>
        </is>
      </c>
      <c r="W115" t="n">
        <v>2</v>
      </c>
      <c r="X115" s="12" t="n">
        <v>2200000</v>
      </c>
      <c r="Y115" s="12" t="n">
        <v>2200000</v>
      </c>
      <c r="Z115" s="9" t="n">
        <v>5.5</v>
      </c>
      <c r="AA115" s="9" t="n">
        <v>6</v>
      </c>
      <c r="AB115" s="9" t="n">
        <v>6</v>
      </c>
      <c r="AC115" s="9" t="n">
        <v>8</v>
      </c>
      <c r="AD115" s="9" t="n">
        <v>11.5</v>
      </c>
      <c r="AE115" s="9" t="n">
        <v>14</v>
      </c>
      <c r="AF115" t="n">
        <v>2019</v>
      </c>
      <c r="AH115" t="inlineStr">
        <is>
          <t>Apartment</t>
        </is>
      </c>
      <c r="AI115" t="inlineStr">
        <is>
          <t>MainstreamSelective</t>
        </is>
      </c>
      <c r="AJ115" t="inlineStr">
        <is>
          <t>TopTier</t>
        </is>
      </c>
      <c r="AK115" t="inlineStr">
        <is>
          <t>Balanced / selective</t>
        </is>
      </c>
      <c r="AL115" s="7" t="inlineStr">
        <is>
          <t>Market remains active but increasingly differentiated by developer, micro-location, livability, and pricing discipline.</t>
        </is>
      </c>
      <c r="AM115" s="9" t="n">
        <v>7</v>
      </c>
      <c r="AN115" s="9" t="n">
        <v>5.75</v>
      </c>
      <c r="AO115" s="10" t="n">
        <v>0.55</v>
      </c>
      <c r="AP115" s="13" t="n">
        <v>0</v>
      </c>
      <c r="AQ115" s="13" t="n">
        <v>0</v>
      </c>
      <c r="AR115" s="13" t="n">
        <v>0</v>
      </c>
      <c r="AS115" s="13" t="n">
        <v>0.01</v>
      </c>
      <c r="AT115" s="13" t="n">
        <v>0.005</v>
      </c>
      <c r="AU115" s="13" t="n">
        <v>0</v>
      </c>
      <c r="AV115" s="13" t="n">
        <v>-0.005</v>
      </c>
      <c r="AW115" s="13">
        <f>IF(X115="","",(AM115/100*AO115)+AP115+AQ115+AR115)</f>
        <v/>
      </c>
      <c r="AX115" s="13">
        <f>IF(X115="","",AS115+AT115+AU115+AV115)</f>
        <v/>
      </c>
      <c r="AY115" s="12">
        <f>IF(AZ115="","",ROUND(AZ115*(1+Assumptions!$B$10),0))</f>
        <v/>
      </c>
      <c r="AZ115" s="12">
        <f>IF(X115="","",ROUND(X115*(1+AW115),0))</f>
        <v/>
      </c>
      <c r="BA115" s="12">
        <f>IF(AZ115="","",ROUND(AZ115*(1+Assumptions!$B$11),0))</f>
        <v/>
      </c>
      <c r="BB115" s="12">
        <f>IF(AZ115="","",ROUND(AZ115*(1+AX115+Assumptions!$B$10),0))</f>
        <v/>
      </c>
      <c r="BC115" s="12">
        <f>IF(AZ115="","",ROUND(AZ115*(1+AX115),0))</f>
        <v/>
      </c>
      <c r="BD115" s="12">
        <f>IF(AZ115="","",ROUND(AZ115*(1+AX115+Assumptions!$B$11),0))</f>
        <v/>
      </c>
      <c r="BE115" s="12">
        <f>IF(AZ115="","",ROUND(AZ115*(1+AX115)*(1+AX115),0))</f>
        <v/>
      </c>
      <c r="BF115" s="7" t="inlineStr">
        <is>
          <t>Rules-based enrichment using launch-price anchor, cap-app realization, and 2026 segment conditions.</t>
        </is>
      </c>
      <c r="BG115" t="inlineStr">
        <is>
          <t>2026-03-17</t>
        </is>
      </c>
      <c r="BH115" s="7" t="inlineStr">
        <is>
          <t>DLD / Digital Dubai / CBUAE / Savills / Knight Frank-Moody’s / Reuters</t>
        </is>
      </c>
    </row>
    <row r="116">
      <c r="A116" t="n">
        <v>115</v>
      </c>
      <c r="B116" s="7" t="inlineStr">
        <is>
          <t>Asayel</t>
        </is>
      </c>
      <c r="C116" t="inlineStr">
        <is>
          <t>Meraas</t>
        </is>
      </c>
      <c r="D116" t="inlineStr">
        <is>
          <t>Madinat Jumeirah Living</t>
        </is>
      </c>
      <c r="E116" t="inlineStr">
        <is>
          <t>Apartments</t>
        </is>
      </c>
      <c r="F116" s="7" t="inlineStr">
        <is>
          <t>Luxury / View</t>
        </is>
      </c>
      <c r="G116" t="inlineStr">
        <is>
          <t>Resale (2.2M+)</t>
        </is>
      </c>
      <c r="H116" t="inlineStr">
        <is>
          <t>2500</t>
        </is>
      </c>
      <c r="I116" t="inlineStr">
        <is>
          <t>25</t>
        </is>
      </c>
      <c r="J116" t="inlineStr">
        <is>
          <t>Completed</t>
        </is>
      </c>
      <c r="K116" t="inlineStr">
        <is>
          <t>2020</t>
        </is>
      </c>
      <c r="L116" t="inlineStr">
        <is>
          <t>5.5-6.0</t>
        </is>
      </c>
      <c r="M116" t="inlineStr">
        <is>
          <t>6-8</t>
        </is>
      </c>
      <c r="N116" t="inlineStr">
        <is>
          <t>11.5-14.0</t>
        </is>
      </c>
      <c r="O116" s="7" t="inlineStr">
        <is>
          <t>Kings' School Dubai</t>
        </is>
      </c>
      <c r="P116" s="7" t="inlineStr">
        <is>
          <t>Saudi German Hospital</t>
        </is>
      </c>
      <c r="Q116" s="7" t="inlineStr">
        <is>
          <t>Mall of Emirates</t>
        </is>
      </c>
      <c r="R116" s="7" t="inlineStr">
        <is>
          <t>Umm Suqeim St</t>
        </is>
      </c>
      <c r="S116" t="inlineStr">
        <is>
          <t>15</t>
        </is>
      </c>
      <c r="T116" t="inlineStr">
        <is>
          <t>10</t>
        </is>
      </c>
      <c r="U116" t="inlineStr">
        <is>
          <t>25</t>
        </is>
      </c>
      <c r="V116" t="inlineStr">
        <is>
          <t>30</t>
        </is>
      </c>
      <c r="W116" t="n">
        <v>2</v>
      </c>
      <c r="X116" s="12" t="n">
        <v>2200000</v>
      </c>
      <c r="Y116" s="12" t="n">
        <v>2200000</v>
      </c>
      <c r="Z116" s="9" t="n">
        <v>5.5</v>
      </c>
      <c r="AA116" s="9" t="n">
        <v>6</v>
      </c>
      <c r="AB116" s="9" t="n">
        <v>6</v>
      </c>
      <c r="AC116" s="9" t="n">
        <v>8</v>
      </c>
      <c r="AD116" s="9" t="n">
        <v>11.5</v>
      </c>
      <c r="AE116" s="9" t="n">
        <v>14</v>
      </c>
      <c r="AF116" t="n">
        <v>2020</v>
      </c>
      <c r="AH116" t="inlineStr">
        <is>
          <t>Apartment</t>
        </is>
      </c>
      <c r="AI116" t="inlineStr">
        <is>
          <t>MainstreamSelective</t>
        </is>
      </c>
      <c r="AJ116" t="inlineStr">
        <is>
          <t>TopTier</t>
        </is>
      </c>
      <c r="AK116" t="inlineStr">
        <is>
          <t>Balanced / selective</t>
        </is>
      </c>
      <c r="AL116" s="7" t="inlineStr">
        <is>
          <t>Market remains active but increasingly differentiated by developer, micro-location, livability, and pricing discipline.</t>
        </is>
      </c>
      <c r="AM116" s="9" t="n">
        <v>7</v>
      </c>
      <c r="AN116" s="9" t="n">
        <v>5.75</v>
      </c>
      <c r="AO116" s="10" t="n">
        <v>0.55</v>
      </c>
      <c r="AP116" s="13" t="n">
        <v>0</v>
      </c>
      <c r="AQ116" s="13" t="n">
        <v>0</v>
      </c>
      <c r="AR116" s="13" t="n">
        <v>0</v>
      </c>
      <c r="AS116" s="13" t="n">
        <v>0.01</v>
      </c>
      <c r="AT116" s="13" t="n">
        <v>0.005</v>
      </c>
      <c r="AU116" s="13" t="n">
        <v>0</v>
      </c>
      <c r="AV116" s="13" t="n">
        <v>-0.005</v>
      </c>
      <c r="AW116" s="13">
        <f>IF(X116="","",(AM116/100*AO116)+AP116+AQ116+AR116)</f>
        <v/>
      </c>
      <c r="AX116" s="13">
        <f>IF(X116="","",AS116+AT116+AU116+AV116)</f>
        <v/>
      </c>
      <c r="AY116" s="12">
        <f>IF(AZ116="","",ROUND(AZ116*(1+Assumptions!$B$10),0))</f>
        <v/>
      </c>
      <c r="AZ116" s="12">
        <f>IF(X116="","",ROUND(X116*(1+AW116),0))</f>
        <v/>
      </c>
      <c r="BA116" s="12">
        <f>IF(AZ116="","",ROUND(AZ116*(1+Assumptions!$B$11),0))</f>
        <v/>
      </c>
      <c r="BB116" s="12">
        <f>IF(AZ116="","",ROUND(AZ116*(1+AX116+Assumptions!$B$10),0))</f>
        <v/>
      </c>
      <c r="BC116" s="12">
        <f>IF(AZ116="","",ROUND(AZ116*(1+AX116),0))</f>
        <v/>
      </c>
      <c r="BD116" s="12">
        <f>IF(AZ116="","",ROUND(AZ116*(1+AX116+Assumptions!$B$11),0))</f>
        <v/>
      </c>
      <c r="BE116" s="12">
        <f>IF(AZ116="","",ROUND(AZ116*(1+AX116)*(1+AX116),0))</f>
        <v/>
      </c>
      <c r="BF116" s="7" t="inlineStr">
        <is>
          <t>Rules-based enrichment using launch-price anchor, cap-app realization, and 2026 segment conditions.</t>
        </is>
      </c>
      <c r="BG116" t="inlineStr">
        <is>
          <t>2026-03-17</t>
        </is>
      </c>
      <c r="BH116" s="7" t="inlineStr">
        <is>
          <t>DLD / Digital Dubai / CBUAE / Savills / Knight Frank-Moody’s / Reuters</t>
        </is>
      </c>
    </row>
    <row r="117">
      <c r="A117" t="n">
        <v>116</v>
      </c>
      <c r="B117" s="7" t="inlineStr">
        <is>
          <t>The Acres Phase 1</t>
        </is>
      </c>
      <c r="C117" t="inlineStr">
        <is>
          <t>Meraas</t>
        </is>
      </c>
      <c r="D117" t="inlineStr">
        <is>
          <t>Dubailand / Plantation</t>
        </is>
      </c>
      <c r="E117" t="inlineStr">
        <is>
          <t>Villas</t>
        </is>
      </c>
      <c r="F117" s="7" t="inlineStr">
        <is>
          <t>Nature / Eco</t>
        </is>
      </c>
      <c r="G117" t="inlineStr">
        <is>
          <t>5.5M</t>
        </is>
      </c>
      <c r="H117" t="inlineStr">
        <is>
          <t>1500</t>
        </is>
      </c>
      <c r="I117" t="inlineStr">
        <is>
          <t>18</t>
        </is>
      </c>
      <c r="J117" t="inlineStr">
        <is>
          <t>65/35</t>
        </is>
      </c>
      <c r="K117" t="inlineStr">
        <is>
          <t>2024</t>
        </is>
      </c>
      <c r="L117" t="inlineStr">
        <is>
          <t>5.0-5.5</t>
        </is>
      </c>
      <c r="M117" t="inlineStr">
        <is>
          <t>10-15</t>
        </is>
      </c>
      <c r="N117" t="inlineStr">
        <is>
          <t>15.0-20.5</t>
        </is>
      </c>
      <c r="O117" s="7" t="inlineStr">
        <is>
          <t>GEMS Winchester</t>
        </is>
      </c>
      <c r="P117" s="7" t="inlineStr">
        <is>
          <t>Fakeeh University Hosp</t>
        </is>
      </c>
      <c r="Q117" s="7" t="inlineStr">
        <is>
          <t>Dubai Outlet Mall</t>
        </is>
      </c>
      <c r="R117" s="7" t="inlineStr">
        <is>
          <t>E611 / Al Ain Rd</t>
        </is>
      </c>
      <c r="S117" t="inlineStr">
        <is>
          <t>20</t>
        </is>
      </c>
      <c r="T117" t="inlineStr">
        <is>
          <t>25</t>
        </is>
      </c>
      <c r="U117" t="inlineStr">
        <is>
          <t>25</t>
        </is>
      </c>
      <c r="V117" t="inlineStr">
        <is>
          <t>30</t>
        </is>
      </c>
      <c r="W117" t="n">
        <v>2</v>
      </c>
      <c r="X117" s="12" t="n">
        <v>5500000</v>
      </c>
      <c r="Y117" s="12" t="n">
        <v>5500000</v>
      </c>
      <c r="Z117" s="9" t="n">
        <v>5</v>
      </c>
      <c r="AA117" s="9" t="n">
        <v>5.5</v>
      </c>
      <c r="AB117" s="9" t="n">
        <v>10</v>
      </c>
      <c r="AC117" s="9" t="n">
        <v>15</v>
      </c>
      <c r="AD117" s="9" t="n">
        <v>15</v>
      </c>
      <c r="AE117" s="9" t="n">
        <v>20.5</v>
      </c>
      <c r="AF117" t="n">
        <v>2024</v>
      </c>
      <c r="AH117" t="inlineStr">
        <is>
          <t>Villa</t>
        </is>
      </c>
      <c r="AI117" t="inlineStr">
        <is>
          <t>MainstreamSelective</t>
        </is>
      </c>
      <c r="AJ117" t="inlineStr">
        <is>
          <t>TopTier</t>
        </is>
      </c>
      <c r="AK117" t="inlineStr">
        <is>
          <t>Family-villa resilient</t>
        </is>
      </c>
      <c r="AL117" s="7" t="inlineStr">
        <is>
          <t>Villa/townhouse demand remains relatively firmer, though growth should be slower than the post-2020 surge.</t>
        </is>
      </c>
      <c r="AM117" s="9" t="n">
        <v>12.5</v>
      </c>
      <c r="AN117" s="9" t="n">
        <v>5.25</v>
      </c>
      <c r="AO117" s="10" t="n">
        <v>0.55</v>
      </c>
      <c r="AP117" s="13" t="n">
        <v>0</v>
      </c>
      <c r="AQ117" s="13" t="n">
        <v>0.015</v>
      </c>
      <c r="AR117" s="13" t="n">
        <v>0</v>
      </c>
      <c r="AS117" s="13" t="n">
        <v>0.025</v>
      </c>
      <c r="AT117" s="13" t="n">
        <v>0.005</v>
      </c>
      <c r="AU117" s="13" t="n">
        <v>0</v>
      </c>
      <c r="AV117" s="13" t="n">
        <v>-0.005</v>
      </c>
      <c r="AW117" s="13">
        <f>IF(X117="","",(AM117/100*AO117)+AP117+AQ117+AR117)</f>
        <v/>
      </c>
      <c r="AX117" s="13">
        <f>IF(X117="","",AS117+AT117+AU117+AV117)</f>
        <v/>
      </c>
      <c r="AY117" s="12">
        <f>IF(AZ117="","",ROUND(AZ117*(1+Assumptions!$B$10),0))</f>
        <v/>
      </c>
      <c r="AZ117" s="12">
        <f>IF(X117="","",ROUND(X117*(1+AW117),0))</f>
        <v/>
      </c>
      <c r="BA117" s="12">
        <f>IF(AZ117="","",ROUND(AZ117*(1+Assumptions!$B$11),0))</f>
        <v/>
      </c>
      <c r="BB117" s="12">
        <f>IF(AZ117="","",ROUND(AZ117*(1+AX117+Assumptions!$B$10),0))</f>
        <v/>
      </c>
      <c r="BC117" s="12">
        <f>IF(AZ117="","",ROUND(AZ117*(1+AX117),0))</f>
        <v/>
      </c>
      <c r="BD117" s="12">
        <f>IF(AZ117="","",ROUND(AZ117*(1+AX117+Assumptions!$B$11),0))</f>
        <v/>
      </c>
      <c r="BE117" s="12">
        <f>IF(AZ117="","",ROUND(AZ117*(1+AX117)*(1+AX117),0))</f>
        <v/>
      </c>
      <c r="BF117" s="7" t="inlineStr">
        <is>
          <t>Rules-based enrichment using launch-price anchor, cap-app realization, and 2026 segment conditions.</t>
        </is>
      </c>
      <c r="BG117" t="inlineStr">
        <is>
          <t>2026-03-17</t>
        </is>
      </c>
      <c r="BH117" s="7" t="inlineStr">
        <is>
          <t>DLD / Digital Dubai / CBUAE / Savills / Knight Frank-Moody’s / Reuters</t>
        </is>
      </c>
    </row>
    <row r="118">
      <c r="A118" t="n">
        <v>117</v>
      </c>
      <c r="B118" s="7" t="inlineStr">
        <is>
          <t>The Acres Phase 2</t>
        </is>
      </c>
      <c r="C118" t="inlineStr">
        <is>
          <t>Meraas</t>
        </is>
      </c>
      <c r="D118" t="inlineStr">
        <is>
          <t>Dubailand / Plantation</t>
        </is>
      </c>
      <c r="E118" t="inlineStr">
        <is>
          <t>Villas</t>
        </is>
      </c>
      <c r="F118" s="7" t="inlineStr">
        <is>
          <t>Nature / Eco</t>
        </is>
      </c>
      <c r="G118" t="inlineStr">
        <is>
          <t>6.0M</t>
        </is>
      </c>
      <c r="H118" t="inlineStr">
        <is>
          <t>1550</t>
        </is>
      </c>
      <c r="I118" t="inlineStr">
        <is>
          <t>18</t>
        </is>
      </c>
      <c r="J118" t="inlineStr">
        <is>
          <t>65/35</t>
        </is>
      </c>
      <c r="K118" t="inlineStr">
        <is>
          <t>2024</t>
        </is>
      </c>
      <c r="L118" t="inlineStr">
        <is>
          <t>5.0-5.5</t>
        </is>
      </c>
      <c r="M118" t="inlineStr">
        <is>
          <t>10-15</t>
        </is>
      </c>
      <c r="N118" t="inlineStr">
        <is>
          <t>15.0-20.5</t>
        </is>
      </c>
      <c r="O118" s="7" t="inlineStr">
        <is>
          <t>GEMS Winchester</t>
        </is>
      </c>
      <c r="P118" s="7" t="inlineStr">
        <is>
          <t>Fakeeh University Hosp</t>
        </is>
      </c>
      <c r="Q118" s="7" t="inlineStr">
        <is>
          <t>Dubai Outlet Mall</t>
        </is>
      </c>
      <c r="R118" s="7" t="inlineStr">
        <is>
          <t>E611 / Al Ain Rd</t>
        </is>
      </c>
      <c r="S118" t="inlineStr">
        <is>
          <t>20</t>
        </is>
      </c>
      <c r="T118" t="inlineStr">
        <is>
          <t>25</t>
        </is>
      </c>
      <c r="U118" t="inlineStr">
        <is>
          <t>25</t>
        </is>
      </c>
      <c r="V118" t="inlineStr">
        <is>
          <t>30</t>
        </is>
      </c>
      <c r="W118" t="n">
        <v>2</v>
      </c>
      <c r="X118" s="12" t="n">
        <v>6000000</v>
      </c>
      <c r="Y118" s="12" t="n">
        <v>6000000</v>
      </c>
      <c r="Z118" s="9" t="n">
        <v>5</v>
      </c>
      <c r="AA118" s="9" t="n">
        <v>5.5</v>
      </c>
      <c r="AB118" s="9" t="n">
        <v>10</v>
      </c>
      <c r="AC118" s="9" t="n">
        <v>15</v>
      </c>
      <c r="AD118" s="9" t="n">
        <v>15</v>
      </c>
      <c r="AE118" s="9" t="n">
        <v>20.5</v>
      </c>
      <c r="AF118" t="n">
        <v>2024</v>
      </c>
      <c r="AH118" t="inlineStr">
        <is>
          <t>Villa</t>
        </is>
      </c>
      <c r="AI118" t="inlineStr">
        <is>
          <t>MainstreamSelective</t>
        </is>
      </c>
      <c r="AJ118" t="inlineStr">
        <is>
          <t>TopTier</t>
        </is>
      </c>
      <c r="AK118" t="inlineStr">
        <is>
          <t>Family-villa resilient</t>
        </is>
      </c>
      <c r="AL118" s="7" t="inlineStr">
        <is>
          <t>Villa/townhouse demand remains relatively firmer, though growth should be slower than the post-2020 surge.</t>
        </is>
      </c>
      <c r="AM118" s="9" t="n">
        <v>12.5</v>
      </c>
      <c r="AN118" s="9" t="n">
        <v>5.25</v>
      </c>
      <c r="AO118" s="10" t="n">
        <v>0.55</v>
      </c>
      <c r="AP118" s="13" t="n">
        <v>0</v>
      </c>
      <c r="AQ118" s="13" t="n">
        <v>0.015</v>
      </c>
      <c r="AR118" s="13" t="n">
        <v>0</v>
      </c>
      <c r="AS118" s="13" t="n">
        <v>0.025</v>
      </c>
      <c r="AT118" s="13" t="n">
        <v>0.005</v>
      </c>
      <c r="AU118" s="13" t="n">
        <v>0</v>
      </c>
      <c r="AV118" s="13" t="n">
        <v>-0.005</v>
      </c>
      <c r="AW118" s="13">
        <f>IF(X118="","",(AM118/100*AO118)+AP118+AQ118+AR118)</f>
        <v/>
      </c>
      <c r="AX118" s="13">
        <f>IF(X118="","",AS118+AT118+AU118+AV118)</f>
        <v/>
      </c>
      <c r="AY118" s="12">
        <f>IF(AZ118="","",ROUND(AZ118*(1+Assumptions!$B$10),0))</f>
        <v/>
      </c>
      <c r="AZ118" s="12">
        <f>IF(X118="","",ROUND(X118*(1+AW118),0))</f>
        <v/>
      </c>
      <c r="BA118" s="12">
        <f>IF(AZ118="","",ROUND(AZ118*(1+Assumptions!$B$11),0))</f>
        <v/>
      </c>
      <c r="BB118" s="12">
        <f>IF(AZ118="","",ROUND(AZ118*(1+AX118+Assumptions!$B$10),0))</f>
        <v/>
      </c>
      <c r="BC118" s="12">
        <f>IF(AZ118="","",ROUND(AZ118*(1+AX118),0))</f>
        <v/>
      </c>
      <c r="BD118" s="12">
        <f>IF(AZ118="","",ROUND(AZ118*(1+AX118+Assumptions!$B$11),0))</f>
        <v/>
      </c>
      <c r="BE118" s="12">
        <f>IF(AZ118="","",ROUND(AZ118*(1+AX118)*(1+AX118),0))</f>
        <v/>
      </c>
      <c r="BF118" s="7" t="inlineStr">
        <is>
          <t>Rules-based enrichment using launch-price anchor, cap-app realization, and 2026 segment conditions.</t>
        </is>
      </c>
      <c r="BG118" t="inlineStr">
        <is>
          <t>2026-03-17</t>
        </is>
      </c>
      <c r="BH118" s="7" t="inlineStr">
        <is>
          <t>DLD / Digital Dubai / CBUAE / Savills / Knight Frank-Moody’s / Reuters</t>
        </is>
      </c>
    </row>
    <row r="119">
      <c r="A119" t="n">
        <v>118</v>
      </c>
      <c r="B119" s="7" t="inlineStr">
        <is>
          <t>Nad Al Sheba Gardens Ph 1</t>
        </is>
      </c>
      <c r="C119" t="inlineStr">
        <is>
          <t>Meraas</t>
        </is>
      </c>
      <c r="D119" t="inlineStr">
        <is>
          <t>Nad Al Sheba</t>
        </is>
      </c>
      <c r="E119" t="inlineStr">
        <is>
          <t>Townhouses &amp; Villas</t>
        </is>
      </c>
      <c r="F119" s="7" t="inlineStr">
        <is>
          <t>Gated / Design</t>
        </is>
      </c>
      <c r="G119" t="inlineStr">
        <is>
          <t>3.2M</t>
        </is>
      </c>
      <c r="H119" t="inlineStr">
        <is>
          <t>1400</t>
        </is>
      </c>
      <c r="I119" t="inlineStr">
        <is>
          <t>15</t>
        </is>
      </c>
      <c r="J119" t="inlineStr">
        <is>
          <t>50/50</t>
        </is>
      </c>
      <c r="K119" t="inlineStr">
        <is>
          <t>2022</t>
        </is>
      </c>
      <c r="L119" t="inlineStr">
        <is>
          <t>6.0-6.5</t>
        </is>
      </c>
      <c r="M119" t="inlineStr">
        <is>
          <t>8-10</t>
        </is>
      </c>
      <c r="N119" t="inlineStr">
        <is>
          <t>14.0-16.5</t>
        </is>
      </c>
      <c r="O119" s="7" t="inlineStr">
        <is>
          <t>Repton School</t>
        </is>
      </c>
      <c r="P119" s="7" t="inlineStr">
        <is>
          <t>Nad Al Sheba Health</t>
        </is>
      </c>
      <c r="Q119" s="7" t="inlineStr">
        <is>
          <t>Meydan One (Planned)</t>
        </is>
      </c>
      <c r="R119" s="7" t="inlineStr">
        <is>
          <t>Al Ain Rd E66</t>
        </is>
      </c>
      <c r="S119" t="inlineStr">
        <is>
          <t>15</t>
        </is>
      </c>
      <c r="T119" t="inlineStr">
        <is>
          <t>20</t>
        </is>
      </c>
      <c r="U119" t="inlineStr">
        <is>
          <t>20</t>
        </is>
      </c>
      <c r="V119" t="inlineStr">
        <is>
          <t>30</t>
        </is>
      </c>
      <c r="W119" t="n">
        <v>2</v>
      </c>
      <c r="X119" s="12" t="n">
        <v>3200000</v>
      </c>
      <c r="Y119" s="12" t="n">
        <v>3200000</v>
      </c>
      <c r="Z119" s="9" t="n">
        <v>6</v>
      </c>
      <c r="AA119" s="9" t="n">
        <v>6.5</v>
      </c>
      <c r="AB119" s="9" t="n">
        <v>8</v>
      </c>
      <c r="AC119" s="9" t="n">
        <v>10</v>
      </c>
      <c r="AD119" s="9" t="n">
        <v>14</v>
      </c>
      <c r="AE119" s="9" t="n">
        <v>16.5</v>
      </c>
      <c r="AF119" t="n">
        <v>2022</v>
      </c>
      <c r="AH119" t="inlineStr">
        <is>
          <t>Villa/Townhouse</t>
        </is>
      </c>
      <c r="AI119" t="inlineStr">
        <is>
          <t>MainstreamSelective</t>
        </is>
      </c>
      <c r="AJ119" t="inlineStr">
        <is>
          <t>TopTier</t>
        </is>
      </c>
      <c r="AK119" t="inlineStr">
        <is>
          <t>Family-villa resilient</t>
        </is>
      </c>
      <c r="AL119" s="7" t="inlineStr">
        <is>
          <t>Villa/townhouse demand remains relatively firmer, though growth should be slower than the post-2020 surge.</t>
        </is>
      </c>
      <c r="AM119" s="9" t="n">
        <v>9</v>
      </c>
      <c r="AN119" s="9" t="n">
        <v>6.25</v>
      </c>
      <c r="AO119" s="10" t="n">
        <v>0.55</v>
      </c>
      <c r="AP119" s="13" t="n">
        <v>0</v>
      </c>
      <c r="AQ119" s="13" t="n">
        <v>0.015</v>
      </c>
      <c r="AR119" s="13" t="n">
        <v>0</v>
      </c>
      <c r="AS119" s="13" t="n">
        <v>0.025</v>
      </c>
      <c r="AT119" s="13" t="n">
        <v>0.005</v>
      </c>
      <c r="AU119" s="13" t="n">
        <v>0.0025</v>
      </c>
      <c r="AV119" s="13" t="n">
        <v>-0.005</v>
      </c>
      <c r="AW119" s="13">
        <f>IF(X119="","",(AM119/100*AO119)+AP119+AQ119+AR119)</f>
        <v/>
      </c>
      <c r="AX119" s="13">
        <f>IF(X119="","",AS119+AT119+AU119+AV119)</f>
        <v/>
      </c>
      <c r="AY119" s="12">
        <f>IF(AZ119="","",ROUND(AZ119*(1+Assumptions!$B$10),0))</f>
        <v/>
      </c>
      <c r="AZ119" s="12">
        <f>IF(X119="","",ROUND(X119*(1+AW119),0))</f>
        <v/>
      </c>
      <c r="BA119" s="12">
        <f>IF(AZ119="","",ROUND(AZ119*(1+Assumptions!$B$11),0))</f>
        <v/>
      </c>
      <c r="BB119" s="12">
        <f>IF(AZ119="","",ROUND(AZ119*(1+AX119+Assumptions!$B$10),0))</f>
        <v/>
      </c>
      <c r="BC119" s="12">
        <f>IF(AZ119="","",ROUND(AZ119*(1+AX119),0))</f>
        <v/>
      </c>
      <c r="BD119" s="12">
        <f>IF(AZ119="","",ROUND(AZ119*(1+AX119+Assumptions!$B$11),0))</f>
        <v/>
      </c>
      <c r="BE119" s="12">
        <f>IF(AZ119="","",ROUND(AZ119*(1+AX119)*(1+AX119),0))</f>
        <v/>
      </c>
      <c r="BF119" s="7" t="inlineStr">
        <is>
          <t>Rules-based enrichment using launch-price anchor, cap-app realization, and 2026 segment conditions.</t>
        </is>
      </c>
      <c r="BG119" t="inlineStr">
        <is>
          <t>2026-03-17</t>
        </is>
      </c>
      <c r="BH119" s="7" t="inlineStr">
        <is>
          <t>DLD / Digital Dubai / CBUAE / Savills / Knight Frank-Moody’s / Reuters</t>
        </is>
      </c>
    </row>
    <row r="120">
      <c r="A120" t="n">
        <v>119</v>
      </c>
      <c r="B120" s="7" t="inlineStr">
        <is>
          <t>Nad Al Sheba Gardens Ph 2</t>
        </is>
      </c>
      <c r="C120" t="inlineStr">
        <is>
          <t>Meraas</t>
        </is>
      </c>
      <c r="D120" t="inlineStr">
        <is>
          <t>Nad Al Sheba</t>
        </is>
      </c>
      <c r="E120" t="inlineStr">
        <is>
          <t>Townhouses &amp; Villas</t>
        </is>
      </c>
      <c r="F120" s="7" t="inlineStr">
        <is>
          <t>Gated / Design</t>
        </is>
      </c>
      <c r="G120" t="inlineStr">
        <is>
          <t>3.4M</t>
        </is>
      </c>
      <c r="H120" t="inlineStr">
        <is>
          <t>1450</t>
        </is>
      </c>
      <c r="I120" t="inlineStr">
        <is>
          <t>15</t>
        </is>
      </c>
      <c r="J120" t="inlineStr">
        <is>
          <t>50/50</t>
        </is>
      </c>
      <c r="K120" t="inlineStr">
        <is>
          <t>2022</t>
        </is>
      </c>
      <c r="L120" t="inlineStr">
        <is>
          <t>6.0-6.5</t>
        </is>
      </c>
      <c r="M120" t="inlineStr">
        <is>
          <t>8-10</t>
        </is>
      </c>
      <c r="N120" t="inlineStr">
        <is>
          <t>14.0-16.5</t>
        </is>
      </c>
      <c r="O120" s="7" t="inlineStr">
        <is>
          <t>Repton School</t>
        </is>
      </c>
      <c r="P120" s="7" t="inlineStr">
        <is>
          <t>Nad Al Sheba Health</t>
        </is>
      </c>
      <c r="Q120" s="7" t="inlineStr">
        <is>
          <t>Meydan One (Planned)</t>
        </is>
      </c>
      <c r="R120" s="7" t="inlineStr">
        <is>
          <t>Al Ain Rd E66</t>
        </is>
      </c>
      <c r="S120" t="inlineStr">
        <is>
          <t>15</t>
        </is>
      </c>
      <c r="T120" t="inlineStr">
        <is>
          <t>20</t>
        </is>
      </c>
      <c r="U120" t="inlineStr">
        <is>
          <t>20</t>
        </is>
      </c>
      <c r="V120" t="inlineStr">
        <is>
          <t>30</t>
        </is>
      </c>
      <c r="W120" t="n">
        <v>2</v>
      </c>
      <c r="X120" s="12" t="n">
        <v>3400000</v>
      </c>
      <c r="Y120" s="12" t="n">
        <v>3400000</v>
      </c>
      <c r="Z120" s="9" t="n">
        <v>6</v>
      </c>
      <c r="AA120" s="9" t="n">
        <v>6.5</v>
      </c>
      <c r="AB120" s="9" t="n">
        <v>8</v>
      </c>
      <c r="AC120" s="9" t="n">
        <v>10</v>
      </c>
      <c r="AD120" s="9" t="n">
        <v>14</v>
      </c>
      <c r="AE120" s="9" t="n">
        <v>16.5</v>
      </c>
      <c r="AF120" t="n">
        <v>2022</v>
      </c>
      <c r="AH120" t="inlineStr">
        <is>
          <t>Villa/Townhouse</t>
        </is>
      </c>
      <c r="AI120" t="inlineStr">
        <is>
          <t>MainstreamSelective</t>
        </is>
      </c>
      <c r="AJ120" t="inlineStr">
        <is>
          <t>TopTier</t>
        </is>
      </c>
      <c r="AK120" t="inlineStr">
        <is>
          <t>Family-villa resilient</t>
        </is>
      </c>
      <c r="AL120" s="7" t="inlineStr">
        <is>
          <t>Villa/townhouse demand remains relatively firmer, though growth should be slower than the post-2020 surge.</t>
        </is>
      </c>
      <c r="AM120" s="9" t="n">
        <v>9</v>
      </c>
      <c r="AN120" s="9" t="n">
        <v>6.25</v>
      </c>
      <c r="AO120" s="10" t="n">
        <v>0.55</v>
      </c>
      <c r="AP120" s="13" t="n">
        <v>0</v>
      </c>
      <c r="AQ120" s="13" t="n">
        <v>0.015</v>
      </c>
      <c r="AR120" s="13" t="n">
        <v>0</v>
      </c>
      <c r="AS120" s="13" t="n">
        <v>0.025</v>
      </c>
      <c r="AT120" s="13" t="n">
        <v>0.005</v>
      </c>
      <c r="AU120" s="13" t="n">
        <v>0.0025</v>
      </c>
      <c r="AV120" s="13" t="n">
        <v>-0.005</v>
      </c>
      <c r="AW120" s="13">
        <f>IF(X120="","",(AM120/100*AO120)+AP120+AQ120+AR120)</f>
        <v/>
      </c>
      <c r="AX120" s="13">
        <f>IF(X120="","",AS120+AT120+AU120+AV120)</f>
        <v/>
      </c>
      <c r="AY120" s="12">
        <f>IF(AZ120="","",ROUND(AZ120*(1+Assumptions!$B$10),0))</f>
        <v/>
      </c>
      <c r="AZ120" s="12">
        <f>IF(X120="","",ROUND(X120*(1+AW120),0))</f>
        <v/>
      </c>
      <c r="BA120" s="12">
        <f>IF(AZ120="","",ROUND(AZ120*(1+Assumptions!$B$11),0))</f>
        <v/>
      </c>
      <c r="BB120" s="12">
        <f>IF(AZ120="","",ROUND(AZ120*(1+AX120+Assumptions!$B$10),0))</f>
        <v/>
      </c>
      <c r="BC120" s="12">
        <f>IF(AZ120="","",ROUND(AZ120*(1+AX120),0))</f>
        <v/>
      </c>
      <c r="BD120" s="12">
        <f>IF(AZ120="","",ROUND(AZ120*(1+AX120+Assumptions!$B$11),0))</f>
        <v/>
      </c>
      <c r="BE120" s="12">
        <f>IF(AZ120="","",ROUND(AZ120*(1+AX120)*(1+AX120),0))</f>
        <v/>
      </c>
      <c r="BF120" s="7" t="inlineStr">
        <is>
          <t>Rules-based enrichment using launch-price anchor, cap-app realization, and 2026 segment conditions.</t>
        </is>
      </c>
      <c r="BG120" t="inlineStr">
        <is>
          <t>2026-03-17</t>
        </is>
      </c>
      <c r="BH120" s="7" t="inlineStr">
        <is>
          <t>DLD / Digital Dubai / CBUAE / Savills / Knight Frank-Moody’s / Reuters</t>
        </is>
      </c>
    </row>
    <row r="121">
      <c r="A121" t="n">
        <v>120</v>
      </c>
      <c r="B121" s="7" t="inlineStr">
        <is>
          <t>Nad Al Sheba Gardens Ph 3</t>
        </is>
      </c>
      <c r="C121" t="inlineStr">
        <is>
          <t>Meraas</t>
        </is>
      </c>
      <c r="D121" t="inlineStr">
        <is>
          <t>Nad Al Sheba</t>
        </is>
      </c>
      <c r="E121" t="inlineStr">
        <is>
          <t>Townhouses &amp; Villas</t>
        </is>
      </c>
      <c r="F121" s="7" t="inlineStr">
        <is>
          <t>Gated / Design</t>
        </is>
      </c>
      <c r="G121" t="inlineStr">
        <is>
          <t>3.5M</t>
        </is>
      </c>
      <c r="H121" t="inlineStr">
        <is>
          <t>1500</t>
        </is>
      </c>
      <c r="I121" t="inlineStr">
        <is>
          <t>15</t>
        </is>
      </c>
      <c r="J121" t="inlineStr">
        <is>
          <t>50/50</t>
        </is>
      </c>
      <c r="K121" t="inlineStr">
        <is>
          <t>2023</t>
        </is>
      </c>
      <c r="L121" t="inlineStr">
        <is>
          <t>6.0-6.5</t>
        </is>
      </c>
      <c r="M121" t="inlineStr">
        <is>
          <t>8-10</t>
        </is>
      </c>
      <c r="N121" t="inlineStr">
        <is>
          <t>14.0-16.5</t>
        </is>
      </c>
      <c r="O121" s="7" t="inlineStr">
        <is>
          <t>Repton School</t>
        </is>
      </c>
      <c r="P121" s="7" t="inlineStr">
        <is>
          <t>Nad Al Sheba Health</t>
        </is>
      </c>
      <c r="Q121" s="7" t="inlineStr">
        <is>
          <t>Meydan One (Planned)</t>
        </is>
      </c>
      <c r="R121" s="7" t="inlineStr">
        <is>
          <t>Al Ain Rd E66</t>
        </is>
      </c>
      <c r="S121" t="inlineStr">
        <is>
          <t>15</t>
        </is>
      </c>
      <c r="T121" t="inlineStr">
        <is>
          <t>20</t>
        </is>
      </c>
      <c r="U121" t="inlineStr">
        <is>
          <t>20</t>
        </is>
      </c>
      <c r="V121" t="inlineStr">
        <is>
          <t>30</t>
        </is>
      </c>
      <c r="W121" t="n">
        <v>2</v>
      </c>
      <c r="X121" s="12" t="n">
        <v>3500000</v>
      </c>
      <c r="Y121" s="12" t="n">
        <v>3500000</v>
      </c>
      <c r="Z121" s="9" t="n">
        <v>6</v>
      </c>
      <c r="AA121" s="9" t="n">
        <v>6.5</v>
      </c>
      <c r="AB121" s="9" t="n">
        <v>8</v>
      </c>
      <c r="AC121" s="9" t="n">
        <v>10</v>
      </c>
      <c r="AD121" s="9" t="n">
        <v>14</v>
      </c>
      <c r="AE121" s="9" t="n">
        <v>16.5</v>
      </c>
      <c r="AF121" t="n">
        <v>2023</v>
      </c>
      <c r="AH121" t="inlineStr">
        <is>
          <t>Villa/Townhouse</t>
        </is>
      </c>
      <c r="AI121" t="inlineStr">
        <is>
          <t>MainstreamSelective</t>
        </is>
      </c>
      <c r="AJ121" t="inlineStr">
        <is>
          <t>TopTier</t>
        </is>
      </c>
      <c r="AK121" t="inlineStr">
        <is>
          <t>Family-villa resilient</t>
        </is>
      </c>
      <c r="AL121" s="7" t="inlineStr">
        <is>
          <t>Villa/townhouse demand remains relatively firmer, though growth should be slower than the post-2020 surge.</t>
        </is>
      </c>
      <c r="AM121" s="9" t="n">
        <v>9</v>
      </c>
      <c r="AN121" s="9" t="n">
        <v>6.25</v>
      </c>
      <c r="AO121" s="10" t="n">
        <v>0.55</v>
      </c>
      <c r="AP121" s="13" t="n">
        <v>0</v>
      </c>
      <c r="AQ121" s="13" t="n">
        <v>0.015</v>
      </c>
      <c r="AR121" s="13" t="n">
        <v>0</v>
      </c>
      <c r="AS121" s="13" t="n">
        <v>0.025</v>
      </c>
      <c r="AT121" s="13" t="n">
        <v>0.005</v>
      </c>
      <c r="AU121" s="13" t="n">
        <v>0.0025</v>
      </c>
      <c r="AV121" s="13" t="n">
        <v>-0.005</v>
      </c>
      <c r="AW121" s="13">
        <f>IF(X121="","",(AM121/100*AO121)+AP121+AQ121+AR121)</f>
        <v/>
      </c>
      <c r="AX121" s="13">
        <f>IF(X121="","",AS121+AT121+AU121+AV121)</f>
        <v/>
      </c>
      <c r="AY121" s="12">
        <f>IF(AZ121="","",ROUND(AZ121*(1+Assumptions!$B$10),0))</f>
        <v/>
      </c>
      <c r="AZ121" s="12">
        <f>IF(X121="","",ROUND(X121*(1+AW121),0))</f>
        <v/>
      </c>
      <c r="BA121" s="12">
        <f>IF(AZ121="","",ROUND(AZ121*(1+Assumptions!$B$11),0))</f>
        <v/>
      </c>
      <c r="BB121" s="12">
        <f>IF(AZ121="","",ROUND(AZ121*(1+AX121+Assumptions!$B$10),0))</f>
        <v/>
      </c>
      <c r="BC121" s="12">
        <f>IF(AZ121="","",ROUND(AZ121*(1+AX121),0))</f>
        <v/>
      </c>
      <c r="BD121" s="12">
        <f>IF(AZ121="","",ROUND(AZ121*(1+AX121+Assumptions!$B$11),0))</f>
        <v/>
      </c>
      <c r="BE121" s="12">
        <f>IF(AZ121="","",ROUND(AZ121*(1+AX121)*(1+AX121),0))</f>
        <v/>
      </c>
      <c r="BF121" s="7" t="inlineStr">
        <is>
          <t>Rules-based enrichment using launch-price anchor, cap-app realization, and 2026 segment conditions.</t>
        </is>
      </c>
      <c r="BG121" t="inlineStr">
        <is>
          <t>2026-03-17</t>
        </is>
      </c>
      <c r="BH121" s="7" t="inlineStr">
        <is>
          <t>DLD / Digital Dubai / CBUAE / Savills / Knight Frank-Moody’s / Reuters</t>
        </is>
      </c>
    </row>
    <row r="122">
      <c r="A122" t="n">
        <v>121</v>
      </c>
      <c r="B122" s="7" t="inlineStr">
        <is>
          <t>Nad Al Sheba Gardens Ph 4</t>
        </is>
      </c>
      <c r="C122" t="inlineStr">
        <is>
          <t>Meraas</t>
        </is>
      </c>
      <c r="D122" t="inlineStr">
        <is>
          <t>Nad Al Sheba</t>
        </is>
      </c>
      <c r="E122" t="inlineStr">
        <is>
          <t>Townhouses &amp; Villas</t>
        </is>
      </c>
      <c r="F122" s="7" t="inlineStr">
        <is>
          <t>Gated / Design</t>
        </is>
      </c>
      <c r="G122" t="inlineStr">
        <is>
          <t>3.8M</t>
        </is>
      </c>
      <c r="H122" t="inlineStr">
        <is>
          <t>1600</t>
        </is>
      </c>
      <c r="I122" t="inlineStr">
        <is>
          <t>15</t>
        </is>
      </c>
      <c r="J122" t="inlineStr">
        <is>
          <t>60/40</t>
        </is>
      </c>
      <c r="K122" t="inlineStr">
        <is>
          <t>2023</t>
        </is>
      </c>
      <c r="L122" t="inlineStr">
        <is>
          <t>5.5-6.0</t>
        </is>
      </c>
      <c r="M122" t="inlineStr">
        <is>
          <t>8-10</t>
        </is>
      </c>
      <c r="N122" t="inlineStr">
        <is>
          <t>13.5-16.0</t>
        </is>
      </c>
      <c r="O122" s="7" t="inlineStr">
        <is>
          <t>Repton School</t>
        </is>
      </c>
      <c r="P122" s="7" t="inlineStr">
        <is>
          <t>Nad Al Sheba Health</t>
        </is>
      </c>
      <c r="Q122" s="7" t="inlineStr">
        <is>
          <t>Meydan One (Planned)</t>
        </is>
      </c>
      <c r="R122" s="7" t="inlineStr">
        <is>
          <t>Al Ain Rd E66</t>
        </is>
      </c>
      <c r="S122" t="inlineStr">
        <is>
          <t>15</t>
        </is>
      </c>
      <c r="T122" t="inlineStr">
        <is>
          <t>20</t>
        </is>
      </c>
      <c r="U122" t="inlineStr">
        <is>
          <t>20</t>
        </is>
      </c>
      <c r="V122" t="inlineStr">
        <is>
          <t>30</t>
        </is>
      </c>
      <c r="W122" t="n">
        <v>2</v>
      </c>
      <c r="X122" s="12" t="n">
        <v>3800000</v>
      </c>
      <c r="Y122" s="12" t="n">
        <v>3800000</v>
      </c>
      <c r="Z122" s="9" t="n">
        <v>5.5</v>
      </c>
      <c r="AA122" s="9" t="n">
        <v>6</v>
      </c>
      <c r="AB122" s="9" t="n">
        <v>8</v>
      </c>
      <c r="AC122" s="9" t="n">
        <v>10</v>
      </c>
      <c r="AD122" s="9" t="n">
        <v>13.5</v>
      </c>
      <c r="AE122" s="9" t="n">
        <v>16</v>
      </c>
      <c r="AF122" t="n">
        <v>2023</v>
      </c>
      <c r="AH122" t="inlineStr">
        <is>
          <t>Villa/Townhouse</t>
        </is>
      </c>
      <c r="AI122" t="inlineStr">
        <is>
          <t>MainstreamSelective</t>
        </is>
      </c>
      <c r="AJ122" t="inlineStr">
        <is>
          <t>TopTier</t>
        </is>
      </c>
      <c r="AK122" t="inlineStr">
        <is>
          <t>Family-villa resilient</t>
        </is>
      </c>
      <c r="AL122" s="7" t="inlineStr">
        <is>
          <t>Villa/townhouse demand remains relatively firmer, though growth should be slower than the post-2020 surge.</t>
        </is>
      </c>
      <c r="AM122" s="9" t="n">
        <v>9</v>
      </c>
      <c r="AN122" s="9" t="n">
        <v>5.75</v>
      </c>
      <c r="AO122" s="10" t="n">
        <v>0.55</v>
      </c>
      <c r="AP122" s="13" t="n">
        <v>0</v>
      </c>
      <c r="AQ122" s="13" t="n">
        <v>0.015</v>
      </c>
      <c r="AR122" s="13" t="n">
        <v>0</v>
      </c>
      <c r="AS122" s="13" t="n">
        <v>0.025</v>
      </c>
      <c r="AT122" s="13" t="n">
        <v>0.005</v>
      </c>
      <c r="AU122" s="13" t="n">
        <v>0</v>
      </c>
      <c r="AV122" s="13" t="n">
        <v>-0.005</v>
      </c>
      <c r="AW122" s="13">
        <f>IF(X122="","",(AM122/100*AO122)+AP122+AQ122+AR122)</f>
        <v/>
      </c>
      <c r="AX122" s="13">
        <f>IF(X122="","",AS122+AT122+AU122+AV122)</f>
        <v/>
      </c>
      <c r="AY122" s="12">
        <f>IF(AZ122="","",ROUND(AZ122*(1+Assumptions!$B$10),0))</f>
        <v/>
      </c>
      <c r="AZ122" s="12">
        <f>IF(X122="","",ROUND(X122*(1+AW122),0))</f>
        <v/>
      </c>
      <c r="BA122" s="12">
        <f>IF(AZ122="","",ROUND(AZ122*(1+Assumptions!$B$11),0))</f>
        <v/>
      </c>
      <c r="BB122" s="12">
        <f>IF(AZ122="","",ROUND(AZ122*(1+AX122+Assumptions!$B$10),0))</f>
        <v/>
      </c>
      <c r="BC122" s="12">
        <f>IF(AZ122="","",ROUND(AZ122*(1+AX122),0))</f>
        <v/>
      </c>
      <c r="BD122" s="12">
        <f>IF(AZ122="","",ROUND(AZ122*(1+AX122+Assumptions!$B$11),0))</f>
        <v/>
      </c>
      <c r="BE122" s="12">
        <f>IF(AZ122="","",ROUND(AZ122*(1+AX122)*(1+AX122),0))</f>
        <v/>
      </c>
      <c r="BF122" s="7" t="inlineStr">
        <is>
          <t>Rules-based enrichment using launch-price anchor, cap-app realization, and 2026 segment conditions.</t>
        </is>
      </c>
      <c r="BG122" t="inlineStr">
        <is>
          <t>2026-03-17</t>
        </is>
      </c>
      <c r="BH122" s="7" t="inlineStr">
        <is>
          <t>DLD / Digital Dubai / CBUAE / Savills / Knight Frank-Moody’s / Reuters</t>
        </is>
      </c>
    </row>
    <row r="123">
      <c r="A123" t="n">
        <v>122</v>
      </c>
      <c r="B123" s="7" t="inlineStr">
        <is>
          <t>Nad Al Sheba Gardens Ph 5</t>
        </is>
      </c>
      <c r="C123" t="inlineStr">
        <is>
          <t>Meraas</t>
        </is>
      </c>
      <c r="D123" t="inlineStr">
        <is>
          <t>Nad Al Sheba</t>
        </is>
      </c>
      <c r="E123" t="inlineStr">
        <is>
          <t>Townhouses &amp; Villas</t>
        </is>
      </c>
      <c r="F123" s="7" t="inlineStr">
        <is>
          <t>Gated / Design</t>
        </is>
      </c>
      <c r="G123" t="inlineStr">
        <is>
          <t>4.1M</t>
        </is>
      </c>
      <c r="H123" t="inlineStr">
        <is>
          <t>1700</t>
        </is>
      </c>
      <c r="I123" t="inlineStr">
        <is>
          <t>15</t>
        </is>
      </c>
      <c r="J123" t="inlineStr">
        <is>
          <t>60/40</t>
        </is>
      </c>
      <c r="K123" t="inlineStr">
        <is>
          <t>2024</t>
        </is>
      </c>
      <c r="L123" t="inlineStr">
        <is>
          <t>5.5-6.0</t>
        </is>
      </c>
      <c r="M123" t="inlineStr">
        <is>
          <t>8-10</t>
        </is>
      </c>
      <c r="N123" t="inlineStr">
        <is>
          <t>13.5-16.0</t>
        </is>
      </c>
      <c r="O123" s="7" t="inlineStr">
        <is>
          <t>Repton School</t>
        </is>
      </c>
      <c r="P123" s="7" t="inlineStr">
        <is>
          <t>Nad Al Sheba Health</t>
        </is>
      </c>
      <c r="Q123" s="7" t="inlineStr">
        <is>
          <t>Meydan One (Planned)</t>
        </is>
      </c>
      <c r="R123" s="7" t="inlineStr">
        <is>
          <t>Al Ain Rd E66</t>
        </is>
      </c>
      <c r="S123" t="inlineStr">
        <is>
          <t>15</t>
        </is>
      </c>
      <c r="T123" t="inlineStr">
        <is>
          <t>20</t>
        </is>
      </c>
      <c r="U123" t="inlineStr">
        <is>
          <t>20</t>
        </is>
      </c>
      <c r="V123" t="inlineStr">
        <is>
          <t>30</t>
        </is>
      </c>
      <c r="W123" t="n">
        <v>2</v>
      </c>
      <c r="X123" s="12" t="n">
        <v>4100000</v>
      </c>
      <c r="Y123" s="12" t="n">
        <v>4100000</v>
      </c>
      <c r="Z123" s="9" t="n">
        <v>5.5</v>
      </c>
      <c r="AA123" s="9" t="n">
        <v>6</v>
      </c>
      <c r="AB123" s="9" t="n">
        <v>8</v>
      </c>
      <c r="AC123" s="9" t="n">
        <v>10</v>
      </c>
      <c r="AD123" s="9" t="n">
        <v>13.5</v>
      </c>
      <c r="AE123" s="9" t="n">
        <v>16</v>
      </c>
      <c r="AF123" t="n">
        <v>2024</v>
      </c>
      <c r="AH123" t="inlineStr">
        <is>
          <t>Villa/Townhouse</t>
        </is>
      </c>
      <c r="AI123" t="inlineStr">
        <is>
          <t>MainstreamSelective</t>
        </is>
      </c>
      <c r="AJ123" t="inlineStr">
        <is>
          <t>TopTier</t>
        </is>
      </c>
      <c r="AK123" t="inlineStr">
        <is>
          <t>Family-villa resilient</t>
        </is>
      </c>
      <c r="AL123" s="7" t="inlineStr">
        <is>
          <t>Villa/townhouse demand remains relatively firmer, though growth should be slower than the post-2020 surge.</t>
        </is>
      </c>
      <c r="AM123" s="9" t="n">
        <v>9</v>
      </c>
      <c r="AN123" s="9" t="n">
        <v>5.75</v>
      </c>
      <c r="AO123" s="10" t="n">
        <v>0.55</v>
      </c>
      <c r="AP123" s="13" t="n">
        <v>0</v>
      </c>
      <c r="AQ123" s="13" t="n">
        <v>0.015</v>
      </c>
      <c r="AR123" s="13" t="n">
        <v>0</v>
      </c>
      <c r="AS123" s="13" t="n">
        <v>0.025</v>
      </c>
      <c r="AT123" s="13" t="n">
        <v>0.005</v>
      </c>
      <c r="AU123" s="13" t="n">
        <v>0</v>
      </c>
      <c r="AV123" s="13" t="n">
        <v>-0.005</v>
      </c>
      <c r="AW123" s="13">
        <f>IF(X123="","",(AM123/100*AO123)+AP123+AQ123+AR123)</f>
        <v/>
      </c>
      <c r="AX123" s="13">
        <f>IF(X123="","",AS123+AT123+AU123+AV123)</f>
        <v/>
      </c>
      <c r="AY123" s="12">
        <f>IF(AZ123="","",ROUND(AZ123*(1+Assumptions!$B$10),0))</f>
        <v/>
      </c>
      <c r="AZ123" s="12">
        <f>IF(X123="","",ROUND(X123*(1+AW123),0))</f>
        <v/>
      </c>
      <c r="BA123" s="12">
        <f>IF(AZ123="","",ROUND(AZ123*(1+Assumptions!$B$11),0))</f>
        <v/>
      </c>
      <c r="BB123" s="12">
        <f>IF(AZ123="","",ROUND(AZ123*(1+AX123+Assumptions!$B$10),0))</f>
        <v/>
      </c>
      <c r="BC123" s="12">
        <f>IF(AZ123="","",ROUND(AZ123*(1+AX123),0))</f>
        <v/>
      </c>
      <c r="BD123" s="12">
        <f>IF(AZ123="","",ROUND(AZ123*(1+AX123+Assumptions!$B$11),0))</f>
        <v/>
      </c>
      <c r="BE123" s="12">
        <f>IF(AZ123="","",ROUND(AZ123*(1+AX123)*(1+AX123),0))</f>
        <v/>
      </c>
      <c r="BF123" s="7" t="inlineStr">
        <is>
          <t>Rules-based enrichment using launch-price anchor, cap-app realization, and 2026 segment conditions.</t>
        </is>
      </c>
      <c r="BG123" t="inlineStr">
        <is>
          <t>2026-03-17</t>
        </is>
      </c>
      <c r="BH123" s="7" t="inlineStr">
        <is>
          <t>DLD / Digital Dubai / CBUAE / Savills / Knight Frank-Moody’s / Reuters</t>
        </is>
      </c>
    </row>
    <row r="124">
      <c r="A124" t="n">
        <v>123</v>
      </c>
      <c r="B124" s="7" t="inlineStr">
        <is>
          <t>Nad Al Sheba Gardens Ph 6</t>
        </is>
      </c>
      <c r="C124" t="inlineStr">
        <is>
          <t>Meraas</t>
        </is>
      </c>
      <c r="D124" t="inlineStr">
        <is>
          <t>Nad Al Sheba</t>
        </is>
      </c>
      <c r="E124" t="inlineStr">
        <is>
          <t>Townhouses &amp; Villas</t>
        </is>
      </c>
      <c r="F124" s="7" t="inlineStr">
        <is>
          <t>Gated / Design</t>
        </is>
      </c>
      <c r="G124" t="inlineStr">
        <is>
          <t>4.2M</t>
        </is>
      </c>
      <c r="H124" t="inlineStr">
        <is>
          <t>1750</t>
        </is>
      </c>
      <c r="I124" t="inlineStr">
        <is>
          <t>15</t>
        </is>
      </c>
      <c r="J124" t="inlineStr">
        <is>
          <t>60/40</t>
        </is>
      </c>
      <c r="K124" t="inlineStr">
        <is>
          <t>2024</t>
        </is>
      </c>
      <c r="L124" t="inlineStr">
        <is>
          <t>5.5-6.0</t>
        </is>
      </c>
      <c r="M124" t="inlineStr">
        <is>
          <t>8-10</t>
        </is>
      </c>
      <c r="N124" t="inlineStr">
        <is>
          <t>13.5-16.0</t>
        </is>
      </c>
      <c r="O124" s="7" t="inlineStr">
        <is>
          <t>Repton School</t>
        </is>
      </c>
      <c r="P124" s="7" t="inlineStr">
        <is>
          <t>Nad Al Sheba Health</t>
        </is>
      </c>
      <c r="Q124" s="7" t="inlineStr">
        <is>
          <t>Meydan One (Planned)</t>
        </is>
      </c>
      <c r="R124" s="7" t="inlineStr">
        <is>
          <t>Al Ain Rd E66</t>
        </is>
      </c>
      <c r="S124" t="inlineStr">
        <is>
          <t>15</t>
        </is>
      </c>
      <c r="T124" t="inlineStr">
        <is>
          <t>20</t>
        </is>
      </c>
      <c r="U124" t="inlineStr">
        <is>
          <t>20</t>
        </is>
      </c>
      <c r="V124" t="inlineStr">
        <is>
          <t>30</t>
        </is>
      </c>
      <c r="W124" t="n">
        <v>2</v>
      </c>
      <c r="X124" s="12" t="n">
        <v>4200000</v>
      </c>
      <c r="Y124" s="12" t="n">
        <v>4200000</v>
      </c>
      <c r="Z124" s="9" t="n">
        <v>5.5</v>
      </c>
      <c r="AA124" s="9" t="n">
        <v>6</v>
      </c>
      <c r="AB124" s="9" t="n">
        <v>8</v>
      </c>
      <c r="AC124" s="9" t="n">
        <v>10</v>
      </c>
      <c r="AD124" s="9" t="n">
        <v>13.5</v>
      </c>
      <c r="AE124" s="9" t="n">
        <v>16</v>
      </c>
      <c r="AF124" t="n">
        <v>2024</v>
      </c>
      <c r="AH124" t="inlineStr">
        <is>
          <t>Villa/Townhouse</t>
        </is>
      </c>
      <c r="AI124" t="inlineStr">
        <is>
          <t>MainstreamSelective</t>
        </is>
      </c>
      <c r="AJ124" t="inlineStr">
        <is>
          <t>TopTier</t>
        </is>
      </c>
      <c r="AK124" t="inlineStr">
        <is>
          <t>Family-villa resilient</t>
        </is>
      </c>
      <c r="AL124" s="7" t="inlineStr">
        <is>
          <t>Villa/townhouse demand remains relatively firmer, though growth should be slower than the post-2020 surge.</t>
        </is>
      </c>
      <c r="AM124" s="9" t="n">
        <v>9</v>
      </c>
      <c r="AN124" s="9" t="n">
        <v>5.75</v>
      </c>
      <c r="AO124" s="10" t="n">
        <v>0.55</v>
      </c>
      <c r="AP124" s="13" t="n">
        <v>0</v>
      </c>
      <c r="AQ124" s="13" t="n">
        <v>0.015</v>
      </c>
      <c r="AR124" s="13" t="n">
        <v>0</v>
      </c>
      <c r="AS124" s="13" t="n">
        <v>0.025</v>
      </c>
      <c r="AT124" s="13" t="n">
        <v>0.005</v>
      </c>
      <c r="AU124" s="13" t="n">
        <v>0</v>
      </c>
      <c r="AV124" s="13" t="n">
        <v>-0.005</v>
      </c>
      <c r="AW124" s="13">
        <f>IF(X124="","",(AM124/100*AO124)+AP124+AQ124+AR124)</f>
        <v/>
      </c>
      <c r="AX124" s="13">
        <f>IF(X124="","",AS124+AT124+AU124+AV124)</f>
        <v/>
      </c>
      <c r="AY124" s="12">
        <f>IF(AZ124="","",ROUND(AZ124*(1+Assumptions!$B$10),0))</f>
        <v/>
      </c>
      <c r="AZ124" s="12">
        <f>IF(X124="","",ROUND(X124*(1+AW124),0))</f>
        <v/>
      </c>
      <c r="BA124" s="12">
        <f>IF(AZ124="","",ROUND(AZ124*(1+Assumptions!$B$11),0))</f>
        <v/>
      </c>
      <c r="BB124" s="12">
        <f>IF(AZ124="","",ROUND(AZ124*(1+AX124+Assumptions!$B$10),0))</f>
        <v/>
      </c>
      <c r="BC124" s="12">
        <f>IF(AZ124="","",ROUND(AZ124*(1+AX124),0))</f>
        <v/>
      </c>
      <c r="BD124" s="12">
        <f>IF(AZ124="","",ROUND(AZ124*(1+AX124+Assumptions!$B$11),0))</f>
        <v/>
      </c>
      <c r="BE124" s="12">
        <f>IF(AZ124="","",ROUND(AZ124*(1+AX124)*(1+AX124),0))</f>
        <v/>
      </c>
      <c r="BF124" s="7" t="inlineStr">
        <is>
          <t>Rules-based enrichment using launch-price anchor, cap-app realization, and 2026 segment conditions.</t>
        </is>
      </c>
      <c r="BG124" t="inlineStr">
        <is>
          <t>2026-03-17</t>
        </is>
      </c>
      <c r="BH124" s="7" t="inlineStr">
        <is>
          <t>DLD / Digital Dubai / CBUAE / Savills / Knight Frank-Moody’s / Reuters</t>
        </is>
      </c>
    </row>
    <row r="125">
      <c r="A125" t="n">
        <v>124</v>
      </c>
      <c r="B125" s="7" t="inlineStr">
        <is>
          <t>Cherrywoods</t>
        </is>
      </c>
      <c r="C125" t="inlineStr">
        <is>
          <t>Meraas</t>
        </is>
      </c>
      <c r="D125" t="inlineStr">
        <is>
          <t>Dubailand (Al Qudra)</t>
        </is>
      </c>
      <c r="E125" t="inlineStr">
        <is>
          <t>Townhouses</t>
        </is>
      </c>
      <c r="F125" s="7" t="inlineStr">
        <is>
          <t>Gated</t>
        </is>
      </c>
      <c r="G125" t="inlineStr">
        <is>
          <t>Resale (2.2M+)</t>
        </is>
      </c>
      <c r="H125" t="inlineStr">
        <is>
          <t>1100</t>
        </is>
      </c>
      <c r="I125" t="inlineStr">
        <is>
          <t>12</t>
        </is>
      </c>
      <c r="J125" t="inlineStr">
        <is>
          <t>Completed</t>
        </is>
      </c>
      <c r="K125" t="inlineStr">
        <is>
          <t>2019</t>
        </is>
      </c>
      <c r="L125" t="inlineStr">
        <is>
          <t>6.5-7.0</t>
        </is>
      </c>
      <c r="M125" t="inlineStr">
        <is>
          <t>6-8</t>
        </is>
      </c>
      <c r="N125" t="inlineStr">
        <is>
          <t>12.5-15.0</t>
        </is>
      </c>
      <c r="O125" s="7" t="inlineStr">
        <is>
          <t>Ranches Primary</t>
        </is>
      </c>
      <c r="P125" s="7" t="inlineStr">
        <is>
          <t>King's College Hospital</t>
        </is>
      </c>
      <c r="Q125" s="7" t="inlineStr">
        <is>
          <t>Dubai Hills Mall</t>
        </is>
      </c>
      <c r="R125" s="7" t="inlineStr">
        <is>
          <t>Al Qudra Rd</t>
        </is>
      </c>
      <c r="S125" t="inlineStr">
        <is>
          <t>25</t>
        </is>
      </c>
      <c r="T125" t="inlineStr">
        <is>
          <t>20</t>
        </is>
      </c>
      <c r="U125" t="inlineStr">
        <is>
          <t>30</t>
        </is>
      </c>
      <c r="V125" t="inlineStr">
        <is>
          <t>25</t>
        </is>
      </c>
      <c r="W125" t="n">
        <v>2</v>
      </c>
      <c r="X125" s="12" t="n">
        <v>2200000</v>
      </c>
      <c r="Y125" s="12" t="n">
        <v>2200000</v>
      </c>
      <c r="Z125" s="9" t="n">
        <v>6.5</v>
      </c>
      <c r="AA125" s="9" t="n">
        <v>7</v>
      </c>
      <c r="AB125" s="9" t="n">
        <v>6</v>
      </c>
      <c r="AC125" s="9" t="n">
        <v>8</v>
      </c>
      <c r="AD125" s="9" t="n">
        <v>12.5</v>
      </c>
      <c r="AE125" s="9" t="n">
        <v>15</v>
      </c>
      <c r="AF125" t="n">
        <v>2019</v>
      </c>
      <c r="AH125" t="inlineStr">
        <is>
          <t>Townhouse</t>
        </is>
      </c>
      <c r="AI125" t="inlineStr">
        <is>
          <t>MainstreamSelective</t>
        </is>
      </c>
      <c r="AJ125" t="inlineStr">
        <is>
          <t>TopTier</t>
        </is>
      </c>
      <c r="AK125" t="inlineStr">
        <is>
          <t>Family-villa resilient</t>
        </is>
      </c>
      <c r="AL125" s="7" t="inlineStr">
        <is>
          <t>Villa/townhouse demand remains relatively firmer, though growth should be slower than the post-2020 surge.</t>
        </is>
      </c>
      <c r="AM125" s="9" t="n">
        <v>7</v>
      </c>
      <c r="AN125" s="9" t="n">
        <v>6.75</v>
      </c>
      <c r="AO125" s="10" t="n">
        <v>0.55</v>
      </c>
      <c r="AP125" s="13" t="n">
        <v>0</v>
      </c>
      <c r="AQ125" s="13" t="n">
        <v>0.015</v>
      </c>
      <c r="AR125" s="13" t="n">
        <v>0</v>
      </c>
      <c r="AS125" s="13" t="n">
        <v>0.025</v>
      </c>
      <c r="AT125" s="13" t="n">
        <v>0.005</v>
      </c>
      <c r="AU125" s="13" t="n">
        <v>0.0025</v>
      </c>
      <c r="AV125" s="13" t="n">
        <v>-0.005</v>
      </c>
      <c r="AW125" s="13">
        <f>IF(X125="","",(AM125/100*AO125)+AP125+AQ125+AR125)</f>
        <v/>
      </c>
      <c r="AX125" s="13">
        <f>IF(X125="","",AS125+AT125+AU125+AV125)</f>
        <v/>
      </c>
      <c r="AY125" s="12">
        <f>IF(AZ125="","",ROUND(AZ125*(1+Assumptions!$B$10),0))</f>
        <v/>
      </c>
      <c r="AZ125" s="12">
        <f>IF(X125="","",ROUND(X125*(1+AW125),0))</f>
        <v/>
      </c>
      <c r="BA125" s="12">
        <f>IF(AZ125="","",ROUND(AZ125*(1+Assumptions!$B$11),0))</f>
        <v/>
      </c>
      <c r="BB125" s="12">
        <f>IF(AZ125="","",ROUND(AZ125*(1+AX125+Assumptions!$B$10),0))</f>
        <v/>
      </c>
      <c r="BC125" s="12">
        <f>IF(AZ125="","",ROUND(AZ125*(1+AX125),0))</f>
        <v/>
      </c>
      <c r="BD125" s="12">
        <f>IF(AZ125="","",ROUND(AZ125*(1+AX125+Assumptions!$B$11),0))</f>
        <v/>
      </c>
      <c r="BE125" s="12">
        <f>IF(AZ125="","",ROUND(AZ125*(1+AX125)*(1+AX125),0))</f>
        <v/>
      </c>
      <c r="BF125" s="7" t="inlineStr">
        <is>
          <t>Rules-based enrichment using launch-price anchor, cap-app realization, and 2026 segment conditions.</t>
        </is>
      </c>
      <c r="BG125" t="inlineStr">
        <is>
          <t>2026-03-17</t>
        </is>
      </c>
      <c r="BH125" s="7" t="inlineStr">
        <is>
          <t>DLD / Digital Dubai / CBUAE / Savills / Knight Frank-Moody’s / Reuters</t>
        </is>
      </c>
    </row>
    <row r="126">
      <c r="A126" t="n">
        <v>125</v>
      </c>
      <c r="B126" s="7" t="inlineStr">
        <is>
          <t>Bluewaters Bay</t>
        </is>
      </c>
      <c r="C126" t="inlineStr">
        <is>
          <t>Meraas</t>
        </is>
      </c>
      <c r="D126" t="inlineStr">
        <is>
          <t>Bluewaters Island</t>
        </is>
      </c>
      <c r="E126" t="inlineStr">
        <is>
          <t>Apartments</t>
        </is>
      </c>
      <c r="F126" s="7" t="inlineStr">
        <is>
          <t>Waterfront / Wheel</t>
        </is>
      </c>
      <c r="G126" t="inlineStr">
        <is>
          <t>3.2M</t>
        </is>
      </c>
      <c r="H126" t="inlineStr">
        <is>
          <t>3500</t>
        </is>
      </c>
      <c r="I126" t="inlineStr">
        <is>
          <t>30</t>
        </is>
      </c>
      <c r="J126" t="inlineStr">
        <is>
          <t>60/40</t>
        </is>
      </c>
      <c r="K126" t="inlineStr">
        <is>
          <t>2023</t>
        </is>
      </c>
      <c r="L126" t="inlineStr">
        <is>
          <t>4.5-5.0</t>
        </is>
      </c>
      <c r="M126" t="inlineStr">
        <is>
          <t>9-12</t>
        </is>
      </c>
      <c r="N126" t="inlineStr">
        <is>
          <t>13.5-17.0</t>
        </is>
      </c>
      <c r="O126" s="7" t="inlineStr">
        <is>
          <t>Dubai British School</t>
        </is>
      </c>
      <c r="P126" s="7" t="inlineStr">
        <is>
          <t>Emirates Hospital</t>
        </is>
      </c>
      <c r="Q126" s="7" t="inlineStr">
        <is>
          <t>Dubai Marina Mall</t>
        </is>
      </c>
      <c r="R126" s="7" t="inlineStr">
        <is>
          <t>Sheikh Zayed E11</t>
        </is>
      </c>
      <c r="S126" t="inlineStr">
        <is>
          <t>20</t>
        </is>
      </c>
      <c r="T126" t="inlineStr">
        <is>
          <t>5</t>
        </is>
      </c>
      <c r="U126" t="inlineStr">
        <is>
          <t>25</t>
        </is>
      </c>
      <c r="V126" t="inlineStr">
        <is>
          <t>30</t>
        </is>
      </c>
      <c r="W126" t="n">
        <v>2</v>
      </c>
      <c r="X126" s="12" t="n">
        <v>3200000</v>
      </c>
      <c r="Y126" s="12" t="n">
        <v>3200000</v>
      </c>
      <c r="Z126" s="9" t="n">
        <v>4.5</v>
      </c>
      <c r="AA126" s="9" t="n">
        <v>5</v>
      </c>
      <c r="AB126" s="9" t="n">
        <v>9</v>
      </c>
      <c r="AC126" s="9" t="n">
        <v>12</v>
      </c>
      <c r="AD126" s="9" t="n">
        <v>13.5</v>
      </c>
      <c r="AE126" s="9" t="n">
        <v>17</v>
      </c>
      <c r="AF126" t="n">
        <v>2023</v>
      </c>
      <c r="AH126" t="inlineStr">
        <is>
          <t>Apartment</t>
        </is>
      </c>
      <c r="AI126" t="inlineStr">
        <is>
          <t>MainstreamSelective</t>
        </is>
      </c>
      <c r="AJ126" t="inlineStr">
        <is>
          <t>TopTier</t>
        </is>
      </c>
      <c r="AK126" t="inlineStr">
        <is>
          <t>Balanced / selective</t>
        </is>
      </c>
      <c r="AL126" s="7" t="inlineStr">
        <is>
          <t>Market remains active but increasingly differentiated by developer, micro-location, livability, and pricing discipline.</t>
        </is>
      </c>
      <c r="AM126" s="9" t="n">
        <v>10.5</v>
      </c>
      <c r="AN126" s="9" t="n">
        <v>4.75</v>
      </c>
      <c r="AO126" s="10" t="n">
        <v>0.55</v>
      </c>
      <c r="AP126" s="13" t="n">
        <v>0</v>
      </c>
      <c r="AQ126" s="13" t="n">
        <v>0</v>
      </c>
      <c r="AR126" s="13" t="n">
        <v>0</v>
      </c>
      <c r="AS126" s="13" t="n">
        <v>0.01</v>
      </c>
      <c r="AT126" s="13" t="n">
        <v>0.005</v>
      </c>
      <c r="AU126" s="13" t="n">
        <v>0</v>
      </c>
      <c r="AV126" s="13" t="n">
        <v>-0.005</v>
      </c>
      <c r="AW126" s="13">
        <f>IF(X126="","",(AM126/100*AO126)+AP126+AQ126+AR126)</f>
        <v/>
      </c>
      <c r="AX126" s="13">
        <f>IF(X126="","",AS126+AT126+AU126+AV126)</f>
        <v/>
      </c>
      <c r="AY126" s="12">
        <f>IF(AZ126="","",ROUND(AZ126*(1+Assumptions!$B$10),0))</f>
        <v/>
      </c>
      <c r="AZ126" s="12">
        <f>IF(X126="","",ROUND(X126*(1+AW126),0))</f>
        <v/>
      </c>
      <c r="BA126" s="12">
        <f>IF(AZ126="","",ROUND(AZ126*(1+Assumptions!$B$11),0))</f>
        <v/>
      </c>
      <c r="BB126" s="12">
        <f>IF(AZ126="","",ROUND(AZ126*(1+AX126+Assumptions!$B$10),0))</f>
        <v/>
      </c>
      <c r="BC126" s="12">
        <f>IF(AZ126="","",ROUND(AZ126*(1+AX126),0))</f>
        <v/>
      </c>
      <c r="BD126" s="12">
        <f>IF(AZ126="","",ROUND(AZ126*(1+AX126+Assumptions!$B$11),0))</f>
        <v/>
      </c>
      <c r="BE126" s="12">
        <f>IF(AZ126="","",ROUND(AZ126*(1+AX126)*(1+AX126),0))</f>
        <v/>
      </c>
      <c r="BF126" s="7" t="inlineStr">
        <is>
          <t>Rules-based enrichment using launch-price anchor, cap-app realization, and 2026 segment conditions.</t>
        </is>
      </c>
      <c r="BG126" t="inlineStr">
        <is>
          <t>2026-03-17</t>
        </is>
      </c>
      <c r="BH126" s="7" t="inlineStr">
        <is>
          <t>DLD / Digital Dubai / CBUAE / Savills / Knight Frank-Moody’s / Reuters</t>
        </is>
      </c>
    </row>
    <row r="127">
      <c r="A127" t="n">
        <v>126</v>
      </c>
      <c r="B127" s="7" t="inlineStr">
        <is>
          <t>Bluewaters Residences</t>
        </is>
      </c>
      <c r="C127" t="inlineStr">
        <is>
          <t>Meraas</t>
        </is>
      </c>
      <c r="D127" t="inlineStr">
        <is>
          <t>Bluewaters Island</t>
        </is>
      </c>
      <c r="E127" t="inlineStr">
        <is>
          <t>Apartments</t>
        </is>
      </c>
      <c r="F127" s="7" t="inlineStr">
        <is>
          <t>Waterfront / Wheel</t>
        </is>
      </c>
      <c r="G127" t="inlineStr">
        <is>
          <t>Resale (4M+)</t>
        </is>
      </c>
      <c r="H127" t="inlineStr">
        <is>
          <t>3500</t>
        </is>
      </c>
      <c r="I127" t="inlineStr">
        <is>
          <t>30</t>
        </is>
      </c>
      <c r="J127" t="inlineStr">
        <is>
          <t>Completed</t>
        </is>
      </c>
      <c r="K127" t="inlineStr">
        <is>
          <t>2018</t>
        </is>
      </c>
      <c r="L127" t="inlineStr">
        <is>
          <t>4.5-5.0</t>
        </is>
      </c>
      <c r="M127" t="inlineStr">
        <is>
          <t>7-9</t>
        </is>
      </c>
      <c r="N127" t="inlineStr">
        <is>
          <t>11.5-14.0</t>
        </is>
      </c>
      <c r="O127" s="7" t="inlineStr">
        <is>
          <t>Dubai British School</t>
        </is>
      </c>
      <c r="P127" s="7" t="inlineStr">
        <is>
          <t>Emirates Hospital</t>
        </is>
      </c>
      <c r="Q127" s="7" t="inlineStr">
        <is>
          <t>Dubai Marina Mall</t>
        </is>
      </c>
      <c r="R127" s="7" t="inlineStr">
        <is>
          <t>Sheikh Zayed E11</t>
        </is>
      </c>
      <c r="S127" t="inlineStr">
        <is>
          <t>20</t>
        </is>
      </c>
      <c r="T127" t="inlineStr">
        <is>
          <t>5</t>
        </is>
      </c>
      <c r="U127" t="inlineStr">
        <is>
          <t>25</t>
        </is>
      </c>
      <c r="V127" t="inlineStr">
        <is>
          <t>30</t>
        </is>
      </c>
      <c r="W127" t="n">
        <v>2</v>
      </c>
      <c r="X127" s="12" t="n">
        <v>4000000</v>
      </c>
      <c r="Y127" s="12" t="n">
        <v>4000000</v>
      </c>
      <c r="Z127" s="9" t="n">
        <v>4.5</v>
      </c>
      <c r="AA127" s="9" t="n">
        <v>5</v>
      </c>
      <c r="AB127" s="9" t="n">
        <v>7</v>
      </c>
      <c r="AC127" s="9" t="n">
        <v>9</v>
      </c>
      <c r="AD127" s="9" t="n">
        <v>11.5</v>
      </c>
      <c r="AE127" s="9" t="n">
        <v>14</v>
      </c>
      <c r="AF127" t="n">
        <v>2018</v>
      </c>
      <c r="AH127" t="inlineStr">
        <is>
          <t>Apartment</t>
        </is>
      </c>
      <c r="AI127" t="inlineStr">
        <is>
          <t>MainstreamSelective</t>
        </is>
      </c>
      <c r="AJ127" t="inlineStr">
        <is>
          <t>TopTier</t>
        </is>
      </c>
      <c r="AK127" t="inlineStr">
        <is>
          <t>Balanced / selective</t>
        </is>
      </c>
      <c r="AL127" s="7" t="inlineStr">
        <is>
          <t>Market remains active but increasingly differentiated by developer, micro-location, livability, and pricing discipline.</t>
        </is>
      </c>
      <c r="AM127" s="9" t="n">
        <v>8</v>
      </c>
      <c r="AN127" s="9" t="n">
        <v>4.75</v>
      </c>
      <c r="AO127" s="10" t="n">
        <v>0.55</v>
      </c>
      <c r="AP127" s="13" t="n">
        <v>0</v>
      </c>
      <c r="AQ127" s="13" t="n">
        <v>0</v>
      </c>
      <c r="AR127" s="13" t="n">
        <v>0</v>
      </c>
      <c r="AS127" s="13" t="n">
        <v>0.01</v>
      </c>
      <c r="AT127" s="13" t="n">
        <v>0.005</v>
      </c>
      <c r="AU127" s="13" t="n">
        <v>0</v>
      </c>
      <c r="AV127" s="13" t="n">
        <v>-0.005</v>
      </c>
      <c r="AW127" s="13">
        <f>IF(X127="","",(AM127/100*AO127)+AP127+AQ127+AR127)</f>
        <v/>
      </c>
      <c r="AX127" s="13">
        <f>IF(X127="","",AS127+AT127+AU127+AV127)</f>
        <v/>
      </c>
      <c r="AY127" s="12">
        <f>IF(AZ127="","",ROUND(AZ127*(1+Assumptions!$B$10),0))</f>
        <v/>
      </c>
      <c r="AZ127" s="12">
        <f>IF(X127="","",ROUND(X127*(1+AW127),0))</f>
        <v/>
      </c>
      <c r="BA127" s="12">
        <f>IF(AZ127="","",ROUND(AZ127*(1+Assumptions!$B$11),0))</f>
        <v/>
      </c>
      <c r="BB127" s="12">
        <f>IF(AZ127="","",ROUND(AZ127*(1+AX127+Assumptions!$B$10),0))</f>
        <v/>
      </c>
      <c r="BC127" s="12">
        <f>IF(AZ127="","",ROUND(AZ127*(1+AX127),0))</f>
        <v/>
      </c>
      <c r="BD127" s="12">
        <f>IF(AZ127="","",ROUND(AZ127*(1+AX127+Assumptions!$B$11),0))</f>
        <v/>
      </c>
      <c r="BE127" s="12">
        <f>IF(AZ127="","",ROUND(AZ127*(1+AX127)*(1+AX127),0))</f>
        <v/>
      </c>
      <c r="BF127" s="7" t="inlineStr">
        <is>
          <t>Rules-based enrichment using launch-price anchor, cap-app realization, and 2026 segment conditions.</t>
        </is>
      </c>
      <c r="BG127" t="inlineStr">
        <is>
          <t>2026-03-17</t>
        </is>
      </c>
      <c r="BH127" s="7" t="inlineStr">
        <is>
          <t>DLD / Digital Dubai / CBUAE / Savills / Knight Frank-Moody’s / Reuters</t>
        </is>
      </c>
    </row>
    <row r="128">
      <c r="A128" t="n">
        <v>127</v>
      </c>
      <c r="B128" s="7" t="inlineStr">
        <is>
          <t>Bulgari Resort &amp; Residences</t>
        </is>
      </c>
      <c r="C128" t="inlineStr">
        <is>
          <t>Meraas</t>
        </is>
      </c>
      <c r="D128" t="inlineStr">
        <is>
          <t>Jumeirah Bay Island</t>
        </is>
      </c>
      <c r="E128" t="inlineStr">
        <is>
          <t>Luxury Apts</t>
        </is>
      </c>
      <c r="F128" s="7" t="inlineStr">
        <is>
          <t>Ultra-Luxury</t>
        </is>
      </c>
      <c r="G128" t="inlineStr">
        <is>
          <t>Resale (15M+)</t>
        </is>
      </c>
      <c r="H128" t="inlineStr">
        <is>
          <t>7000+</t>
        </is>
      </c>
      <c r="I128" t="inlineStr">
        <is>
          <t>50+</t>
        </is>
      </c>
      <c r="J128" t="inlineStr">
        <is>
          <t>Completed</t>
        </is>
      </c>
      <c r="K128" t="inlineStr">
        <is>
          <t>2017</t>
        </is>
      </c>
      <c r="L128" t="inlineStr">
        <is>
          <t>3.0-3.5</t>
        </is>
      </c>
      <c r="M128" t="inlineStr">
        <is>
          <t>8-10</t>
        </is>
      </c>
      <c r="N128" t="inlineStr">
        <is>
          <t>11.0-13.5</t>
        </is>
      </c>
      <c r="O128" s="7" t="inlineStr">
        <is>
          <t>Jumeirah Baccalaureate</t>
        </is>
      </c>
      <c r="P128" s="7" t="inlineStr">
        <is>
          <t>Valiant Clinic</t>
        </is>
      </c>
      <c r="Q128" s="7" t="inlineStr">
        <is>
          <t>Mercato Mall</t>
        </is>
      </c>
      <c r="R128" s="7" t="inlineStr">
        <is>
          <t>Jumeirah St / D94</t>
        </is>
      </c>
      <c r="S128" t="inlineStr">
        <is>
          <t>15</t>
        </is>
      </c>
      <c r="T128" t="inlineStr">
        <is>
          <t>20</t>
        </is>
      </c>
      <c r="U128" t="inlineStr">
        <is>
          <t>20</t>
        </is>
      </c>
      <c r="V128" t="inlineStr">
        <is>
          <t>40</t>
        </is>
      </c>
      <c r="W128" t="n">
        <v>2</v>
      </c>
      <c r="X128" s="12" t="n">
        <v>15000000</v>
      </c>
      <c r="Y128" s="12" t="n">
        <v>15000000</v>
      </c>
      <c r="Z128" s="9" t="n">
        <v>3</v>
      </c>
      <c r="AA128" s="9" t="n">
        <v>3.5</v>
      </c>
      <c r="AB128" s="9" t="n">
        <v>8</v>
      </c>
      <c r="AC128" s="9" t="n">
        <v>10</v>
      </c>
      <c r="AD128" s="9" t="n">
        <v>11</v>
      </c>
      <c r="AE128" s="9" t="n">
        <v>13.5</v>
      </c>
      <c r="AF128" t="n">
        <v>2017</v>
      </c>
      <c r="AH128" t="inlineStr">
        <is>
          <t>Apartment</t>
        </is>
      </c>
      <c r="AI128" t="inlineStr">
        <is>
          <t>MainstreamSelective</t>
        </is>
      </c>
      <c r="AJ128" t="inlineStr">
        <is>
          <t>TopTier</t>
        </is>
      </c>
      <c r="AK128" t="inlineStr">
        <is>
          <t>Balanced / selective</t>
        </is>
      </c>
      <c r="AL128" s="7" t="inlineStr">
        <is>
          <t>Market remains active but increasingly differentiated by developer, micro-location, livability, and pricing discipline.</t>
        </is>
      </c>
      <c r="AM128" s="9" t="n">
        <v>9</v>
      </c>
      <c r="AN128" s="9" t="n">
        <v>3.25</v>
      </c>
      <c r="AO128" s="10" t="n">
        <v>0.55</v>
      </c>
      <c r="AP128" s="13" t="n">
        <v>0</v>
      </c>
      <c r="AQ128" s="13" t="n">
        <v>0</v>
      </c>
      <c r="AR128" s="13" t="n">
        <v>0</v>
      </c>
      <c r="AS128" s="13" t="n">
        <v>0.01</v>
      </c>
      <c r="AT128" s="13" t="n">
        <v>0.005</v>
      </c>
      <c r="AU128" s="13" t="n">
        <v>0</v>
      </c>
      <c r="AV128" s="13" t="n">
        <v>-0.005</v>
      </c>
      <c r="AW128" s="13">
        <f>IF(X128="","",(AM128/100*AO128)+AP128+AQ128+AR128)</f>
        <v/>
      </c>
      <c r="AX128" s="13">
        <f>IF(X128="","",AS128+AT128+AU128+AV128)</f>
        <v/>
      </c>
      <c r="AY128" s="12">
        <f>IF(AZ128="","",ROUND(AZ128*(1+Assumptions!$B$10),0))</f>
        <v/>
      </c>
      <c r="AZ128" s="12">
        <f>IF(X128="","",ROUND(X128*(1+AW128),0))</f>
        <v/>
      </c>
      <c r="BA128" s="12">
        <f>IF(AZ128="","",ROUND(AZ128*(1+Assumptions!$B$11),0))</f>
        <v/>
      </c>
      <c r="BB128" s="12">
        <f>IF(AZ128="","",ROUND(AZ128*(1+AX128+Assumptions!$B$10),0))</f>
        <v/>
      </c>
      <c r="BC128" s="12">
        <f>IF(AZ128="","",ROUND(AZ128*(1+AX128),0))</f>
        <v/>
      </c>
      <c r="BD128" s="12">
        <f>IF(AZ128="","",ROUND(AZ128*(1+AX128+Assumptions!$B$11),0))</f>
        <v/>
      </c>
      <c r="BE128" s="12">
        <f>IF(AZ128="","",ROUND(AZ128*(1+AX128)*(1+AX128),0))</f>
        <v/>
      </c>
      <c r="BF128" s="7" t="inlineStr">
        <is>
          <t>Rules-based enrichment using launch-price anchor, cap-app realization, and 2026 segment conditions.</t>
        </is>
      </c>
      <c r="BG128" t="inlineStr">
        <is>
          <t>2026-03-17</t>
        </is>
      </c>
      <c r="BH128" s="7" t="inlineStr">
        <is>
          <t>DLD / Digital Dubai / CBUAE / Savills / Knight Frank-Moody’s / Reuters</t>
        </is>
      </c>
    </row>
    <row r="129">
      <c r="A129" t="n">
        <v>128</v>
      </c>
      <c r="B129" s="7" t="inlineStr">
        <is>
          <t>Villa Amalfi</t>
        </is>
      </c>
      <c r="C129" t="inlineStr">
        <is>
          <t>Meraas</t>
        </is>
      </c>
      <c r="D129" t="inlineStr">
        <is>
          <t>Jumeirah Bay Island</t>
        </is>
      </c>
      <c r="E129" t="inlineStr">
        <is>
          <t>Villas</t>
        </is>
      </c>
      <c r="F129" s="7" t="inlineStr">
        <is>
          <t>Ultra-Luxury</t>
        </is>
      </c>
      <c r="G129" t="inlineStr">
        <is>
          <t>Resale (12M+)</t>
        </is>
      </c>
      <c r="H129" t="inlineStr">
        <is>
          <t>5000+</t>
        </is>
      </c>
      <c r="I129" t="inlineStr">
        <is>
          <t>25</t>
        </is>
      </c>
      <c r="J129" t="inlineStr">
        <is>
          <t>Completed</t>
        </is>
      </c>
      <c r="K129" t="inlineStr">
        <is>
          <t>2019</t>
        </is>
      </c>
      <c r="L129" t="inlineStr">
        <is>
          <t>3.5-4.0</t>
        </is>
      </c>
      <c r="M129" t="inlineStr">
        <is>
          <t>8-10</t>
        </is>
      </c>
      <c r="N129" t="inlineStr">
        <is>
          <t>11.5-14.0</t>
        </is>
      </c>
      <c r="O129" s="7" t="inlineStr">
        <is>
          <t>Jumeirah Baccalaureate</t>
        </is>
      </c>
      <c r="P129" s="7" t="inlineStr">
        <is>
          <t>Valiant Clinic</t>
        </is>
      </c>
      <c r="Q129" s="7" t="inlineStr">
        <is>
          <t>Mercato Mall</t>
        </is>
      </c>
      <c r="R129" s="7" t="inlineStr">
        <is>
          <t>Jumeirah St / D94</t>
        </is>
      </c>
      <c r="S129" t="inlineStr">
        <is>
          <t>15</t>
        </is>
      </c>
      <c r="T129" t="inlineStr">
        <is>
          <t>20</t>
        </is>
      </c>
      <c r="U129" t="inlineStr">
        <is>
          <t>20</t>
        </is>
      </c>
      <c r="V129" t="inlineStr">
        <is>
          <t>40</t>
        </is>
      </c>
      <c r="W129" t="n">
        <v>2</v>
      </c>
      <c r="X129" s="12" t="n">
        <v>12000000</v>
      </c>
      <c r="Y129" s="12" t="n">
        <v>12000000</v>
      </c>
      <c r="Z129" s="9" t="n">
        <v>3.5</v>
      </c>
      <c r="AA129" s="9" t="n">
        <v>4</v>
      </c>
      <c r="AB129" s="9" t="n">
        <v>8</v>
      </c>
      <c r="AC129" s="9" t="n">
        <v>10</v>
      </c>
      <c r="AD129" s="9" t="n">
        <v>11.5</v>
      </c>
      <c r="AE129" s="9" t="n">
        <v>14</v>
      </c>
      <c r="AF129" t="n">
        <v>2019</v>
      </c>
      <c r="AH129" t="inlineStr">
        <is>
          <t>Villa</t>
        </is>
      </c>
      <c r="AI129" t="inlineStr">
        <is>
          <t>MainstreamSelective</t>
        </is>
      </c>
      <c r="AJ129" t="inlineStr">
        <is>
          <t>TopTier</t>
        </is>
      </c>
      <c r="AK129" t="inlineStr">
        <is>
          <t>Family-villa resilient</t>
        </is>
      </c>
      <c r="AL129" s="7" t="inlineStr">
        <is>
          <t>Villa/townhouse demand remains relatively firmer, though growth should be slower than the post-2020 surge.</t>
        </is>
      </c>
      <c r="AM129" s="9" t="n">
        <v>9</v>
      </c>
      <c r="AN129" s="9" t="n">
        <v>3.75</v>
      </c>
      <c r="AO129" s="10" t="n">
        <v>0.55</v>
      </c>
      <c r="AP129" s="13" t="n">
        <v>0</v>
      </c>
      <c r="AQ129" s="13" t="n">
        <v>0.015</v>
      </c>
      <c r="AR129" s="13" t="n">
        <v>0</v>
      </c>
      <c r="AS129" s="13" t="n">
        <v>0.025</v>
      </c>
      <c r="AT129" s="13" t="n">
        <v>0.005</v>
      </c>
      <c r="AU129" s="13" t="n">
        <v>0</v>
      </c>
      <c r="AV129" s="13" t="n">
        <v>-0.005</v>
      </c>
      <c r="AW129" s="13">
        <f>IF(X129="","",(AM129/100*AO129)+AP129+AQ129+AR129)</f>
        <v/>
      </c>
      <c r="AX129" s="13">
        <f>IF(X129="","",AS129+AT129+AU129+AV129)</f>
        <v/>
      </c>
      <c r="AY129" s="12">
        <f>IF(AZ129="","",ROUND(AZ129*(1+Assumptions!$B$10),0))</f>
        <v/>
      </c>
      <c r="AZ129" s="12">
        <f>IF(X129="","",ROUND(X129*(1+AW129),0))</f>
        <v/>
      </c>
      <c r="BA129" s="12">
        <f>IF(AZ129="","",ROUND(AZ129*(1+Assumptions!$B$11),0))</f>
        <v/>
      </c>
      <c r="BB129" s="12">
        <f>IF(AZ129="","",ROUND(AZ129*(1+AX129+Assumptions!$B$10),0))</f>
        <v/>
      </c>
      <c r="BC129" s="12">
        <f>IF(AZ129="","",ROUND(AZ129*(1+AX129),0))</f>
        <v/>
      </c>
      <c r="BD129" s="12">
        <f>IF(AZ129="","",ROUND(AZ129*(1+AX129+Assumptions!$B$11),0))</f>
        <v/>
      </c>
      <c r="BE129" s="12">
        <f>IF(AZ129="","",ROUND(AZ129*(1+AX129)*(1+AX129),0))</f>
        <v/>
      </c>
      <c r="BF129" s="7" t="inlineStr">
        <is>
          <t>Rules-based enrichment using launch-price anchor, cap-app realization, and 2026 segment conditions.</t>
        </is>
      </c>
      <c r="BG129" t="inlineStr">
        <is>
          <t>2026-03-17</t>
        </is>
      </c>
      <c r="BH129" s="7" t="inlineStr">
        <is>
          <t>DLD / Digital Dubai / CBUAE / Savills / Knight Frank-Moody’s / Reuters</t>
        </is>
      </c>
    </row>
    <row r="130">
      <c r="A130" t="n">
        <v>129</v>
      </c>
      <c r="B130" s="7" t="inlineStr">
        <is>
          <t>Bulgari Lighthouse</t>
        </is>
      </c>
      <c r="C130" t="inlineStr">
        <is>
          <t>Meraas</t>
        </is>
      </c>
      <c r="D130" t="inlineStr">
        <is>
          <t>Jumeirah Bay Island</t>
        </is>
      </c>
      <c r="E130" t="inlineStr">
        <is>
          <t>Penthouses</t>
        </is>
      </c>
      <c r="F130" s="7" t="inlineStr">
        <is>
          <t>Ultra-Luxury</t>
        </is>
      </c>
      <c r="G130" t="inlineStr">
        <is>
          <t>60M+</t>
        </is>
      </c>
      <c r="H130" t="inlineStr">
        <is>
          <t>10000+</t>
        </is>
      </c>
      <c r="I130" t="inlineStr">
        <is>
          <t>50+</t>
        </is>
      </c>
      <c r="J130" t="inlineStr">
        <is>
          <t>60/40</t>
        </is>
      </c>
      <c r="K130" t="inlineStr">
        <is>
          <t>2023</t>
        </is>
      </c>
      <c r="L130" t="inlineStr">
        <is>
          <t>3.0-3.5</t>
        </is>
      </c>
      <c r="M130" t="inlineStr">
        <is>
          <t>8-10</t>
        </is>
      </c>
      <c r="N130" t="inlineStr">
        <is>
          <t>11.0-13.5</t>
        </is>
      </c>
      <c r="O130" s="7" t="inlineStr">
        <is>
          <t>Jumeirah Baccalaureate</t>
        </is>
      </c>
      <c r="P130" s="7" t="inlineStr">
        <is>
          <t>Valiant Clinic</t>
        </is>
      </c>
      <c r="Q130" s="7" t="inlineStr">
        <is>
          <t>Mercato Mall</t>
        </is>
      </c>
      <c r="R130" s="7" t="inlineStr">
        <is>
          <t>Jumeirah St / D94</t>
        </is>
      </c>
      <c r="S130" t="inlineStr">
        <is>
          <t>15</t>
        </is>
      </c>
      <c r="T130" t="inlineStr">
        <is>
          <t>20</t>
        </is>
      </c>
      <c r="U130" t="inlineStr">
        <is>
          <t>20</t>
        </is>
      </c>
      <c r="V130" t="inlineStr">
        <is>
          <t>40</t>
        </is>
      </c>
      <c r="W130" t="n">
        <v>2</v>
      </c>
      <c r="X130" s="12" t="n">
        <v>60000000</v>
      </c>
      <c r="Y130" s="12" t="n">
        <v>60000000</v>
      </c>
      <c r="Z130" s="9" t="n">
        <v>3</v>
      </c>
      <c r="AA130" s="9" t="n">
        <v>3.5</v>
      </c>
      <c r="AB130" s="9" t="n">
        <v>8</v>
      </c>
      <c r="AC130" s="9" t="n">
        <v>10</v>
      </c>
      <c r="AD130" s="9" t="n">
        <v>11</v>
      </c>
      <c r="AE130" s="9" t="n">
        <v>13.5</v>
      </c>
      <c r="AF130" t="n">
        <v>2023</v>
      </c>
      <c r="AH130" t="inlineStr">
        <is>
          <t>Mixed/Other</t>
        </is>
      </c>
      <c r="AI130" t="inlineStr">
        <is>
          <t>MainstreamSelective</t>
        </is>
      </c>
      <c r="AJ130" t="inlineStr">
        <is>
          <t>TopTier</t>
        </is>
      </c>
      <c r="AK130" t="inlineStr">
        <is>
          <t>Balanced / selective</t>
        </is>
      </c>
      <c r="AL130" s="7" t="inlineStr">
        <is>
          <t>Market remains active but increasingly differentiated by developer, micro-location, livability, and pricing discipline.</t>
        </is>
      </c>
      <c r="AM130" s="9" t="n">
        <v>9</v>
      </c>
      <c r="AN130" s="9" t="n">
        <v>3.25</v>
      </c>
      <c r="AO130" s="10" t="n">
        <v>0.55</v>
      </c>
      <c r="AP130" s="13" t="n">
        <v>0</v>
      </c>
      <c r="AQ130" s="13" t="n">
        <v>0</v>
      </c>
      <c r="AR130" s="13" t="n">
        <v>0</v>
      </c>
      <c r="AS130" s="13" t="n">
        <v>0.01</v>
      </c>
      <c r="AT130" s="13" t="n">
        <v>0.005</v>
      </c>
      <c r="AU130" s="13" t="n">
        <v>0</v>
      </c>
      <c r="AV130" s="13" t="n">
        <v>-0.005</v>
      </c>
      <c r="AW130" s="13">
        <f>IF(X130="","",(AM130/100*AO130)+AP130+AQ130+AR130)</f>
        <v/>
      </c>
      <c r="AX130" s="13">
        <f>IF(X130="","",AS130+AT130+AU130+AV130)</f>
        <v/>
      </c>
      <c r="AY130" s="12">
        <f>IF(AZ130="","",ROUND(AZ130*(1+Assumptions!$B$10),0))</f>
        <v/>
      </c>
      <c r="AZ130" s="12">
        <f>IF(X130="","",ROUND(X130*(1+AW130),0))</f>
        <v/>
      </c>
      <c r="BA130" s="12">
        <f>IF(AZ130="","",ROUND(AZ130*(1+Assumptions!$B$11),0))</f>
        <v/>
      </c>
      <c r="BB130" s="12">
        <f>IF(AZ130="","",ROUND(AZ130*(1+AX130+Assumptions!$B$10),0))</f>
        <v/>
      </c>
      <c r="BC130" s="12">
        <f>IF(AZ130="","",ROUND(AZ130*(1+AX130),0))</f>
        <v/>
      </c>
      <c r="BD130" s="12">
        <f>IF(AZ130="","",ROUND(AZ130*(1+AX130+Assumptions!$B$11),0))</f>
        <v/>
      </c>
      <c r="BE130" s="12">
        <f>IF(AZ130="","",ROUND(AZ130*(1+AX130)*(1+AX130),0))</f>
        <v/>
      </c>
      <c r="BF130" s="7" t="inlineStr">
        <is>
          <t>Rules-based enrichment using launch-price anchor, cap-app realization, and 2026 segment conditions.</t>
        </is>
      </c>
      <c r="BG130" t="inlineStr">
        <is>
          <t>2026-03-17</t>
        </is>
      </c>
      <c r="BH130" s="7" t="inlineStr">
        <is>
          <t>DLD / Digital Dubai / CBUAE / Savills / Knight Frank-Moody’s / Reuters</t>
        </is>
      </c>
    </row>
    <row r="131">
      <c r="A131" t="n">
        <v>130</v>
      </c>
      <c r="B131" s="7" t="inlineStr">
        <is>
          <t>Mudon (Master Community)</t>
        </is>
      </c>
      <c r="C131" t="inlineStr">
        <is>
          <t>Dubai Properties</t>
        </is>
      </c>
      <c r="D131" t="inlineStr">
        <is>
          <t>Dubailand</t>
        </is>
      </c>
      <c r="E131" t="inlineStr">
        <is>
          <t>Mixed</t>
        </is>
      </c>
      <c r="F131" s="7" t="inlineStr">
        <is>
          <t>Family / Gated</t>
        </is>
      </c>
      <c r="I131" t="inlineStr">
        <is>
          <t>12</t>
        </is>
      </c>
      <c r="J131" t="inlineStr">
        <is>
          <t>Varies</t>
        </is>
      </c>
      <c r="K131" t="inlineStr">
        <is>
          <t>Ongoing</t>
        </is>
      </c>
      <c r="L131" t="inlineStr">
        <is>
          <t>6.0-6.5</t>
        </is>
      </c>
      <c r="M131" t="inlineStr">
        <is>
          <t>5-7</t>
        </is>
      </c>
      <c r="N131" t="inlineStr">
        <is>
          <t>11.0-13.5</t>
        </is>
      </c>
      <c r="O131" s="7" t="inlineStr">
        <is>
          <t>Jebel Ali School</t>
        </is>
      </c>
      <c r="P131" s="7" t="inlineStr">
        <is>
          <t>Saudi German Hospital</t>
        </is>
      </c>
      <c r="Q131" s="7" t="inlineStr">
        <is>
          <t>Mudon Community Ctr</t>
        </is>
      </c>
      <c r="R131" s="7" t="inlineStr">
        <is>
          <t>Al Qudra Rd</t>
        </is>
      </c>
      <c r="S131" t="inlineStr">
        <is>
          <t>25</t>
        </is>
      </c>
      <c r="T131" t="inlineStr">
        <is>
          <t>20</t>
        </is>
      </c>
      <c r="U131" t="inlineStr">
        <is>
          <t>30</t>
        </is>
      </c>
      <c r="V131" t="inlineStr">
        <is>
          <t>25</t>
        </is>
      </c>
      <c r="W131" t="n">
        <v>2</v>
      </c>
      <c r="X131" s="12" t="n"/>
      <c r="Y131" s="12" t="n"/>
      <c r="Z131" s="9" t="n">
        <v>6</v>
      </c>
      <c r="AA131" s="9" t="n">
        <v>6.5</v>
      </c>
      <c r="AB131" s="9" t="n">
        <v>5</v>
      </c>
      <c r="AC131" s="9" t="n">
        <v>7</v>
      </c>
      <c r="AD131" s="9" t="n">
        <v>11</v>
      </c>
      <c r="AE131" s="9" t="n">
        <v>13.5</v>
      </c>
      <c r="AH131" t="inlineStr">
        <is>
          <t>Mixed/Other</t>
        </is>
      </c>
      <c r="AI131" t="inlineStr">
        <is>
          <t>MainstreamSelective</t>
        </is>
      </c>
      <c r="AJ131" t="inlineStr">
        <is>
          <t>TopTier</t>
        </is>
      </c>
      <c r="AK131" t="inlineStr">
        <is>
          <t>Balanced / selective</t>
        </is>
      </c>
      <c r="AL131" s="7" t="inlineStr">
        <is>
          <t>Market remains active but increasingly differentiated by developer, micro-location, livability, and pricing discipline.</t>
        </is>
      </c>
      <c r="AM131" s="9" t="n">
        <v>6</v>
      </c>
      <c r="AN131" s="9" t="n">
        <v>6.25</v>
      </c>
      <c r="AO131" s="10" t="n">
        <v>0.25</v>
      </c>
      <c r="AP131" s="13" t="n">
        <v>0</v>
      </c>
      <c r="AQ131" s="13" t="n">
        <v>0</v>
      </c>
      <c r="AR131" s="13" t="n">
        <v>0</v>
      </c>
      <c r="AS131" s="13" t="n">
        <v>0.01</v>
      </c>
      <c r="AT131" s="13" t="n">
        <v>0.005</v>
      </c>
      <c r="AU131" s="13" t="n">
        <v>0.0025</v>
      </c>
      <c r="AV131" s="13" t="n">
        <v>-0.005</v>
      </c>
      <c r="AW131" s="13">
        <f>IF(X131="","",(AM131/100*AO131)+AP131+AQ131+AR131)</f>
        <v/>
      </c>
      <c r="AX131" s="13">
        <f>IF(X131="","",AS131+AT131+AU131+AV131)</f>
        <v/>
      </c>
      <c r="AY131" s="12">
        <f>IF(AZ131="","",ROUND(AZ131*(1+Assumptions!$B$10),0))</f>
        <v/>
      </c>
      <c r="AZ131" s="12">
        <f>IF(X131="","",ROUND(X131*(1+AW131),0))</f>
        <v/>
      </c>
      <c r="BA131" s="12">
        <f>IF(AZ131="","",ROUND(AZ131*(1+Assumptions!$B$11),0))</f>
        <v/>
      </c>
      <c r="BB131" s="12">
        <f>IF(AZ131="","",ROUND(AZ131*(1+AX131+Assumptions!$B$10),0))</f>
        <v/>
      </c>
      <c r="BC131" s="12">
        <f>IF(AZ131="","",ROUND(AZ131*(1+AX131),0))</f>
        <v/>
      </c>
      <c r="BD131" s="12">
        <f>IF(AZ131="","",ROUND(AZ131*(1+AX131+Assumptions!$B$11),0))</f>
        <v/>
      </c>
      <c r="BE131" s="12">
        <f>IF(AZ131="","",ROUND(AZ131*(1+AX131)*(1+AX131),0))</f>
        <v/>
      </c>
      <c r="BF131" s="7" t="inlineStr">
        <is>
          <t>Rules-based enrichment using launch-price anchor, cap-app realization, and 2026 segment conditions.</t>
        </is>
      </c>
      <c r="BG131" t="inlineStr">
        <is>
          <t>2026-03-17</t>
        </is>
      </c>
      <c r="BH131" s="7" t="inlineStr">
        <is>
          <t>DLD / Digital Dubai / CBUAE / Savills / Knight Frank-Moody’s / Reuters</t>
        </is>
      </c>
    </row>
    <row r="132">
      <c r="A132" t="n">
        <v>131</v>
      </c>
      <c r="B132" s="7" t="inlineStr">
        <is>
          <t>Mudon Al Ranim Phase 1</t>
        </is>
      </c>
      <c r="C132" t="inlineStr">
        <is>
          <t>Dubai Properties</t>
        </is>
      </c>
      <c r="D132" t="inlineStr">
        <is>
          <t>Mudon</t>
        </is>
      </c>
      <c r="E132" t="inlineStr">
        <is>
          <t>Townhouses</t>
        </is>
      </c>
      <c r="F132" s="7" t="inlineStr">
        <is>
          <t>Park View</t>
        </is>
      </c>
      <c r="G132" t="inlineStr">
        <is>
          <t>2.2M</t>
        </is>
      </c>
      <c r="H132" t="inlineStr">
        <is>
          <t>1200</t>
        </is>
      </c>
      <c r="I132" t="inlineStr">
        <is>
          <t>12</t>
        </is>
      </c>
      <c r="J132" t="inlineStr">
        <is>
          <t>60/40</t>
        </is>
      </c>
      <c r="K132" t="inlineStr">
        <is>
          <t>2022</t>
        </is>
      </c>
      <c r="L132" t="inlineStr">
        <is>
          <t>6.0-6.5</t>
        </is>
      </c>
      <c r="M132" t="inlineStr">
        <is>
          <t>6-8</t>
        </is>
      </c>
      <c r="N132" t="inlineStr">
        <is>
          <t>12.0-14.5</t>
        </is>
      </c>
      <c r="O132" s="7" t="inlineStr">
        <is>
          <t>Jebel Ali School</t>
        </is>
      </c>
      <c r="P132" s="7" t="inlineStr">
        <is>
          <t>Saudi German Hospital</t>
        </is>
      </c>
      <c r="Q132" s="7" t="inlineStr">
        <is>
          <t>Mudon Community Ctr</t>
        </is>
      </c>
      <c r="R132" s="7" t="inlineStr">
        <is>
          <t>Al Qudra Rd</t>
        </is>
      </c>
      <c r="S132" t="inlineStr">
        <is>
          <t>25</t>
        </is>
      </c>
      <c r="T132" t="inlineStr">
        <is>
          <t>20</t>
        </is>
      </c>
      <c r="U132" t="inlineStr">
        <is>
          <t>30</t>
        </is>
      </c>
      <c r="V132" t="inlineStr">
        <is>
          <t>25</t>
        </is>
      </c>
      <c r="W132" t="n">
        <v>2</v>
      </c>
      <c r="X132" s="12" t="n">
        <v>2200000</v>
      </c>
      <c r="Y132" s="12" t="n">
        <v>2200000</v>
      </c>
      <c r="Z132" s="9" t="n">
        <v>6</v>
      </c>
      <c r="AA132" s="9" t="n">
        <v>6.5</v>
      </c>
      <c r="AB132" s="9" t="n">
        <v>6</v>
      </c>
      <c r="AC132" s="9" t="n">
        <v>8</v>
      </c>
      <c r="AD132" s="9" t="n">
        <v>12</v>
      </c>
      <c r="AE132" s="9" t="n">
        <v>14.5</v>
      </c>
      <c r="AF132" t="n">
        <v>2022</v>
      </c>
      <c r="AH132" t="inlineStr">
        <is>
          <t>Townhouse</t>
        </is>
      </c>
      <c r="AI132" t="inlineStr">
        <is>
          <t>FamilyVilla</t>
        </is>
      </c>
      <c r="AJ132" t="inlineStr">
        <is>
          <t>TopTier</t>
        </is>
      </c>
      <c r="AK132" t="inlineStr">
        <is>
          <t>Family-villa resilient</t>
        </is>
      </c>
      <c r="AL132" s="7" t="inlineStr">
        <is>
          <t>Villa/townhouse demand remains relatively firmer, though growth should be slower than the post-2020 surge.</t>
        </is>
      </c>
      <c r="AM132" s="9" t="n">
        <v>7</v>
      </c>
      <c r="AN132" s="9" t="n">
        <v>6.25</v>
      </c>
      <c r="AO132" s="10" t="n">
        <v>0.55</v>
      </c>
      <c r="AP132" s="13" t="n">
        <v>0</v>
      </c>
      <c r="AQ132" s="13" t="n">
        <v>0.015</v>
      </c>
      <c r="AR132" s="13" t="n">
        <v>0</v>
      </c>
      <c r="AS132" s="13" t="n">
        <v>0.025</v>
      </c>
      <c r="AT132" s="13" t="n">
        <v>0.005</v>
      </c>
      <c r="AU132" s="13" t="n">
        <v>0.0025</v>
      </c>
      <c r="AV132" s="13" t="n">
        <v>-0.005</v>
      </c>
      <c r="AW132" s="13">
        <f>IF(X132="","",(AM132/100*AO132)+AP132+AQ132+AR132)</f>
        <v/>
      </c>
      <c r="AX132" s="13">
        <f>IF(X132="","",AS132+AT132+AU132+AV132)</f>
        <v/>
      </c>
      <c r="AY132" s="12">
        <f>IF(AZ132="","",ROUND(AZ132*(1+Assumptions!$B$10),0))</f>
        <v/>
      </c>
      <c r="AZ132" s="12">
        <f>IF(X132="","",ROUND(X132*(1+AW132),0))</f>
        <v/>
      </c>
      <c r="BA132" s="12">
        <f>IF(AZ132="","",ROUND(AZ132*(1+Assumptions!$B$11),0))</f>
        <v/>
      </c>
      <c r="BB132" s="12">
        <f>IF(AZ132="","",ROUND(AZ132*(1+AX132+Assumptions!$B$10),0))</f>
        <v/>
      </c>
      <c r="BC132" s="12">
        <f>IF(AZ132="","",ROUND(AZ132*(1+AX132),0))</f>
        <v/>
      </c>
      <c r="BD132" s="12">
        <f>IF(AZ132="","",ROUND(AZ132*(1+AX132+Assumptions!$B$11),0))</f>
        <v/>
      </c>
      <c r="BE132" s="12">
        <f>IF(AZ132="","",ROUND(AZ132*(1+AX132)*(1+AX132),0))</f>
        <v/>
      </c>
      <c r="BF132" s="7" t="inlineStr">
        <is>
          <t>Rules-based enrichment using launch-price anchor, cap-app realization, and 2026 segment conditions.</t>
        </is>
      </c>
      <c r="BG132" t="inlineStr">
        <is>
          <t>2026-03-17</t>
        </is>
      </c>
      <c r="BH132" s="7" t="inlineStr">
        <is>
          <t>DLD / Digital Dubai / CBUAE / Savills / Knight Frank-Moody’s / Reuters</t>
        </is>
      </c>
    </row>
    <row r="133">
      <c r="A133" t="n">
        <v>132</v>
      </c>
      <c r="B133" s="7" t="inlineStr">
        <is>
          <t>Mudon Al Ranim Phase 2</t>
        </is>
      </c>
      <c r="C133" t="inlineStr">
        <is>
          <t>Dubai Properties</t>
        </is>
      </c>
      <c r="D133" t="inlineStr">
        <is>
          <t>Mudon</t>
        </is>
      </c>
      <c r="E133" t="inlineStr">
        <is>
          <t>Townhouses</t>
        </is>
      </c>
      <c r="F133" s="7" t="inlineStr">
        <is>
          <t>Park View</t>
        </is>
      </c>
      <c r="G133" t="inlineStr">
        <is>
          <t>2.3M</t>
        </is>
      </c>
      <c r="H133" t="inlineStr">
        <is>
          <t>1200</t>
        </is>
      </c>
      <c r="I133" t="inlineStr">
        <is>
          <t>12</t>
        </is>
      </c>
      <c r="J133" t="inlineStr">
        <is>
          <t>60/40</t>
        </is>
      </c>
      <c r="K133" t="inlineStr">
        <is>
          <t>2022</t>
        </is>
      </c>
      <c r="L133" t="inlineStr">
        <is>
          <t>6.0-6.5</t>
        </is>
      </c>
      <c r="M133" t="inlineStr">
        <is>
          <t>6-8</t>
        </is>
      </c>
      <c r="N133" t="inlineStr">
        <is>
          <t>12.0-14.5</t>
        </is>
      </c>
      <c r="O133" s="7" t="inlineStr">
        <is>
          <t>Jebel Ali School</t>
        </is>
      </c>
      <c r="P133" s="7" t="inlineStr">
        <is>
          <t>Saudi German Hospital</t>
        </is>
      </c>
      <c r="Q133" s="7" t="inlineStr">
        <is>
          <t>Mudon Community Ctr</t>
        </is>
      </c>
      <c r="R133" s="7" t="inlineStr">
        <is>
          <t>Al Qudra Rd</t>
        </is>
      </c>
      <c r="S133" t="inlineStr">
        <is>
          <t>25</t>
        </is>
      </c>
      <c r="T133" t="inlineStr">
        <is>
          <t>20</t>
        </is>
      </c>
      <c r="U133" t="inlineStr">
        <is>
          <t>30</t>
        </is>
      </c>
      <c r="V133" t="inlineStr">
        <is>
          <t>25</t>
        </is>
      </c>
      <c r="W133" t="n">
        <v>2</v>
      </c>
      <c r="X133" s="12" t="n">
        <v>2300000</v>
      </c>
      <c r="Y133" s="12" t="n">
        <v>2300000</v>
      </c>
      <c r="Z133" s="9" t="n">
        <v>6</v>
      </c>
      <c r="AA133" s="9" t="n">
        <v>6.5</v>
      </c>
      <c r="AB133" s="9" t="n">
        <v>6</v>
      </c>
      <c r="AC133" s="9" t="n">
        <v>8</v>
      </c>
      <c r="AD133" s="9" t="n">
        <v>12</v>
      </c>
      <c r="AE133" s="9" t="n">
        <v>14.5</v>
      </c>
      <c r="AF133" t="n">
        <v>2022</v>
      </c>
      <c r="AH133" t="inlineStr">
        <is>
          <t>Townhouse</t>
        </is>
      </c>
      <c r="AI133" t="inlineStr">
        <is>
          <t>FamilyVilla</t>
        </is>
      </c>
      <c r="AJ133" t="inlineStr">
        <is>
          <t>TopTier</t>
        </is>
      </c>
      <c r="AK133" t="inlineStr">
        <is>
          <t>Family-villa resilient</t>
        </is>
      </c>
      <c r="AL133" s="7" t="inlineStr">
        <is>
          <t>Villa/townhouse demand remains relatively firmer, though growth should be slower than the post-2020 surge.</t>
        </is>
      </c>
      <c r="AM133" s="9" t="n">
        <v>7</v>
      </c>
      <c r="AN133" s="9" t="n">
        <v>6.25</v>
      </c>
      <c r="AO133" s="10" t="n">
        <v>0.55</v>
      </c>
      <c r="AP133" s="13" t="n">
        <v>0</v>
      </c>
      <c r="AQ133" s="13" t="n">
        <v>0.015</v>
      </c>
      <c r="AR133" s="13" t="n">
        <v>0</v>
      </c>
      <c r="AS133" s="13" t="n">
        <v>0.025</v>
      </c>
      <c r="AT133" s="13" t="n">
        <v>0.005</v>
      </c>
      <c r="AU133" s="13" t="n">
        <v>0.0025</v>
      </c>
      <c r="AV133" s="13" t="n">
        <v>-0.005</v>
      </c>
      <c r="AW133" s="13">
        <f>IF(X133="","",(AM133/100*AO133)+AP133+AQ133+AR133)</f>
        <v/>
      </c>
      <c r="AX133" s="13">
        <f>IF(X133="","",AS133+AT133+AU133+AV133)</f>
        <v/>
      </c>
      <c r="AY133" s="12">
        <f>IF(AZ133="","",ROUND(AZ133*(1+Assumptions!$B$10),0))</f>
        <v/>
      </c>
      <c r="AZ133" s="12">
        <f>IF(X133="","",ROUND(X133*(1+AW133),0))</f>
        <v/>
      </c>
      <c r="BA133" s="12">
        <f>IF(AZ133="","",ROUND(AZ133*(1+Assumptions!$B$11),0))</f>
        <v/>
      </c>
      <c r="BB133" s="12">
        <f>IF(AZ133="","",ROUND(AZ133*(1+AX133+Assumptions!$B$10),0))</f>
        <v/>
      </c>
      <c r="BC133" s="12">
        <f>IF(AZ133="","",ROUND(AZ133*(1+AX133),0))</f>
        <v/>
      </c>
      <c r="BD133" s="12">
        <f>IF(AZ133="","",ROUND(AZ133*(1+AX133+Assumptions!$B$11),0))</f>
        <v/>
      </c>
      <c r="BE133" s="12">
        <f>IF(AZ133="","",ROUND(AZ133*(1+AX133)*(1+AX133),0))</f>
        <v/>
      </c>
      <c r="BF133" s="7" t="inlineStr">
        <is>
          <t>Rules-based enrichment using launch-price anchor, cap-app realization, and 2026 segment conditions.</t>
        </is>
      </c>
      <c r="BG133" t="inlineStr">
        <is>
          <t>2026-03-17</t>
        </is>
      </c>
      <c r="BH133" s="7" t="inlineStr">
        <is>
          <t>DLD / Digital Dubai / CBUAE / Savills / Knight Frank-Moody’s / Reuters</t>
        </is>
      </c>
    </row>
    <row r="134">
      <c r="A134" t="n">
        <v>133</v>
      </c>
      <c r="B134" s="7" t="inlineStr">
        <is>
          <t>Mudon Al Ranim Phase 3</t>
        </is>
      </c>
      <c r="C134" t="inlineStr">
        <is>
          <t>Dubai Properties</t>
        </is>
      </c>
      <c r="D134" t="inlineStr">
        <is>
          <t>Mudon</t>
        </is>
      </c>
      <c r="E134" t="inlineStr">
        <is>
          <t>Townhouses</t>
        </is>
      </c>
      <c r="F134" s="7" t="inlineStr">
        <is>
          <t>Park View</t>
        </is>
      </c>
      <c r="G134" t="inlineStr">
        <is>
          <t>2.4M</t>
        </is>
      </c>
      <c r="H134" t="inlineStr">
        <is>
          <t>1250</t>
        </is>
      </c>
      <c r="I134" t="inlineStr">
        <is>
          <t>12</t>
        </is>
      </c>
      <c r="J134" t="inlineStr">
        <is>
          <t>60/40</t>
        </is>
      </c>
      <c r="K134" t="inlineStr">
        <is>
          <t>2023</t>
        </is>
      </c>
      <c r="L134" t="inlineStr">
        <is>
          <t>6.0-6.5</t>
        </is>
      </c>
      <c r="M134" t="inlineStr">
        <is>
          <t>6-8</t>
        </is>
      </c>
      <c r="N134" t="inlineStr">
        <is>
          <t>12.0-14.5</t>
        </is>
      </c>
      <c r="O134" s="7" t="inlineStr">
        <is>
          <t>Jebel Ali School</t>
        </is>
      </c>
      <c r="P134" s="7" t="inlineStr">
        <is>
          <t>Saudi German Hospital</t>
        </is>
      </c>
      <c r="Q134" s="7" t="inlineStr">
        <is>
          <t>Mudon Community Ctr</t>
        </is>
      </c>
      <c r="R134" s="7" t="inlineStr">
        <is>
          <t>Al Qudra Rd</t>
        </is>
      </c>
      <c r="S134" t="inlineStr">
        <is>
          <t>25</t>
        </is>
      </c>
      <c r="T134" t="inlineStr">
        <is>
          <t>20</t>
        </is>
      </c>
      <c r="U134" t="inlineStr">
        <is>
          <t>30</t>
        </is>
      </c>
      <c r="V134" t="inlineStr">
        <is>
          <t>25</t>
        </is>
      </c>
      <c r="W134" t="n">
        <v>2</v>
      </c>
      <c r="X134" s="12" t="n">
        <v>2400000</v>
      </c>
      <c r="Y134" s="12" t="n">
        <v>2400000</v>
      </c>
      <c r="Z134" s="9" t="n">
        <v>6</v>
      </c>
      <c r="AA134" s="9" t="n">
        <v>6.5</v>
      </c>
      <c r="AB134" s="9" t="n">
        <v>6</v>
      </c>
      <c r="AC134" s="9" t="n">
        <v>8</v>
      </c>
      <c r="AD134" s="9" t="n">
        <v>12</v>
      </c>
      <c r="AE134" s="9" t="n">
        <v>14.5</v>
      </c>
      <c r="AF134" t="n">
        <v>2023</v>
      </c>
      <c r="AH134" t="inlineStr">
        <is>
          <t>Townhouse</t>
        </is>
      </c>
      <c r="AI134" t="inlineStr">
        <is>
          <t>FamilyVilla</t>
        </is>
      </c>
      <c r="AJ134" t="inlineStr">
        <is>
          <t>TopTier</t>
        </is>
      </c>
      <c r="AK134" t="inlineStr">
        <is>
          <t>Family-villa resilient</t>
        </is>
      </c>
      <c r="AL134" s="7" t="inlineStr">
        <is>
          <t>Villa/townhouse demand remains relatively firmer, though growth should be slower than the post-2020 surge.</t>
        </is>
      </c>
      <c r="AM134" s="9" t="n">
        <v>7</v>
      </c>
      <c r="AN134" s="9" t="n">
        <v>6.25</v>
      </c>
      <c r="AO134" s="10" t="n">
        <v>0.55</v>
      </c>
      <c r="AP134" s="13" t="n">
        <v>0</v>
      </c>
      <c r="AQ134" s="13" t="n">
        <v>0.015</v>
      </c>
      <c r="AR134" s="13" t="n">
        <v>0</v>
      </c>
      <c r="AS134" s="13" t="n">
        <v>0.025</v>
      </c>
      <c r="AT134" s="13" t="n">
        <v>0.005</v>
      </c>
      <c r="AU134" s="13" t="n">
        <v>0.0025</v>
      </c>
      <c r="AV134" s="13" t="n">
        <v>-0.005</v>
      </c>
      <c r="AW134" s="13">
        <f>IF(X134="","",(AM134/100*AO134)+AP134+AQ134+AR134)</f>
        <v/>
      </c>
      <c r="AX134" s="13">
        <f>IF(X134="","",AS134+AT134+AU134+AV134)</f>
        <v/>
      </c>
      <c r="AY134" s="12">
        <f>IF(AZ134="","",ROUND(AZ134*(1+Assumptions!$B$10),0))</f>
        <v/>
      </c>
      <c r="AZ134" s="12">
        <f>IF(X134="","",ROUND(X134*(1+AW134),0))</f>
        <v/>
      </c>
      <c r="BA134" s="12">
        <f>IF(AZ134="","",ROUND(AZ134*(1+Assumptions!$B$11),0))</f>
        <v/>
      </c>
      <c r="BB134" s="12">
        <f>IF(AZ134="","",ROUND(AZ134*(1+AX134+Assumptions!$B$10),0))</f>
        <v/>
      </c>
      <c r="BC134" s="12">
        <f>IF(AZ134="","",ROUND(AZ134*(1+AX134),0))</f>
        <v/>
      </c>
      <c r="BD134" s="12">
        <f>IF(AZ134="","",ROUND(AZ134*(1+AX134+Assumptions!$B$11),0))</f>
        <v/>
      </c>
      <c r="BE134" s="12">
        <f>IF(AZ134="","",ROUND(AZ134*(1+AX134)*(1+AX134),0))</f>
        <v/>
      </c>
      <c r="BF134" s="7" t="inlineStr">
        <is>
          <t>Rules-based enrichment using launch-price anchor, cap-app realization, and 2026 segment conditions.</t>
        </is>
      </c>
      <c r="BG134" t="inlineStr">
        <is>
          <t>2026-03-17</t>
        </is>
      </c>
      <c r="BH134" s="7" t="inlineStr">
        <is>
          <t>DLD / Digital Dubai / CBUAE / Savills / Knight Frank-Moody’s / Reuters</t>
        </is>
      </c>
    </row>
    <row r="135">
      <c r="A135" t="n">
        <v>134</v>
      </c>
      <c r="B135" s="7" t="inlineStr">
        <is>
          <t>Mudon Al Ranim Phase 4</t>
        </is>
      </c>
      <c r="C135" t="inlineStr">
        <is>
          <t>Dubai Properties</t>
        </is>
      </c>
      <c r="D135" t="inlineStr">
        <is>
          <t>Mudon</t>
        </is>
      </c>
      <c r="E135" t="inlineStr">
        <is>
          <t>Townhouses</t>
        </is>
      </c>
      <c r="F135" s="7" t="inlineStr">
        <is>
          <t>Park View</t>
        </is>
      </c>
      <c r="G135" t="inlineStr">
        <is>
          <t>2.5M</t>
        </is>
      </c>
      <c r="H135" t="inlineStr">
        <is>
          <t>1250</t>
        </is>
      </c>
      <c r="I135" t="inlineStr">
        <is>
          <t>12</t>
        </is>
      </c>
      <c r="J135" t="inlineStr">
        <is>
          <t>60/40</t>
        </is>
      </c>
      <c r="K135" t="inlineStr">
        <is>
          <t>2023</t>
        </is>
      </c>
      <c r="L135" t="inlineStr">
        <is>
          <t>6.0-6.5</t>
        </is>
      </c>
      <c r="M135" t="inlineStr">
        <is>
          <t>6-8</t>
        </is>
      </c>
      <c r="N135" t="inlineStr">
        <is>
          <t>12.0-14.5</t>
        </is>
      </c>
      <c r="O135" s="7" t="inlineStr">
        <is>
          <t>Jebel Ali School</t>
        </is>
      </c>
      <c r="P135" s="7" t="inlineStr">
        <is>
          <t>Saudi German Hospital</t>
        </is>
      </c>
      <c r="Q135" s="7" t="inlineStr">
        <is>
          <t>Mudon Community Ctr</t>
        </is>
      </c>
      <c r="R135" s="7" t="inlineStr">
        <is>
          <t>Al Qudra Rd</t>
        </is>
      </c>
      <c r="S135" t="inlineStr">
        <is>
          <t>25</t>
        </is>
      </c>
      <c r="T135" t="inlineStr">
        <is>
          <t>20</t>
        </is>
      </c>
      <c r="U135" t="inlineStr">
        <is>
          <t>30</t>
        </is>
      </c>
      <c r="V135" t="inlineStr">
        <is>
          <t>25</t>
        </is>
      </c>
      <c r="W135" t="n">
        <v>2</v>
      </c>
      <c r="X135" s="12" t="n">
        <v>2500000</v>
      </c>
      <c r="Y135" s="12" t="n">
        <v>2500000</v>
      </c>
      <c r="Z135" s="9" t="n">
        <v>6</v>
      </c>
      <c r="AA135" s="9" t="n">
        <v>6.5</v>
      </c>
      <c r="AB135" s="9" t="n">
        <v>6</v>
      </c>
      <c r="AC135" s="9" t="n">
        <v>8</v>
      </c>
      <c r="AD135" s="9" t="n">
        <v>12</v>
      </c>
      <c r="AE135" s="9" t="n">
        <v>14.5</v>
      </c>
      <c r="AF135" t="n">
        <v>2023</v>
      </c>
      <c r="AH135" t="inlineStr">
        <is>
          <t>Townhouse</t>
        </is>
      </c>
      <c r="AI135" t="inlineStr">
        <is>
          <t>FamilyVilla</t>
        </is>
      </c>
      <c r="AJ135" t="inlineStr">
        <is>
          <t>TopTier</t>
        </is>
      </c>
      <c r="AK135" t="inlineStr">
        <is>
          <t>Family-villa resilient</t>
        </is>
      </c>
      <c r="AL135" s="7" t="inlineStr">
        <is>
          <t>Villa/townhouse demand remains relatively firmer, though growth should be slower than the post-2020 surge.</t>
        </is>
      </c>
      <c r="AM135" s="9" t="n">
        <v>7</v>
      </c>
      <c r="AN135" s="9" t="n">
        <v>6.25</v>
      </c>
      <c r="AO135" s="10" t="n">
        <v>0.55</v>
      </c>
      <c r="AP135" s="13" t="n">
        <v>0</v>
      </c>
      <c r="AQ135" s="13" t="n">
        <v>0.015</v>
      </c>
      <c r="AR135" s="13" t="n">
        <v>0</v>
      </c>
      <c r="AS135" s="13" t="n">
        <v>0.025</v>
      </c>
      <c r="AT135" s="13" t="n">
        <v>0.005</v>
      </c>
      <c r="AU135" s="13" t="n">
        <v>0.0025</v>
      </c>
      <c r="AV135" s="13" t="n">
        <v>-0.005</v>
      </c>
      <c r="AW135" s="13">
        <f>IF(X135="","",(AM135/100*AO135)+AP135+AQ135+AR135)</f>
        <v/>
      </c>
      <c r="AX135" s="13">
        <f>IF(X135="","",AS135+AT135+AU135+AV135)</f>
        <v/>
      </c>
      <c r="AY135" s="12">
        <f>IF(AZ135="","",ROUND(AZ135*(1+Assumptions!$B$10),0))</f>
        <v/>
      </c>
      <c r="AZ135" s="12">
        <f>IF(X135="","",ROUND(X135*(1+AW135),0))</f>
        <v/>
      </c>
      <c r="BA135" s="12">
        <f>IF(AZ135="","",ROUND(AZ135*(1+Assumptions!$B$11),0))</f>
        <v/>
      </c>
      <c r="BB135" s="12">
        <f>IF(AZ135="","",ROUND(AZ135*(1+AX135+Assumptions!$B$10),0))</f>
        <v/>
      </c>
      <c r="BC135" s="12">
        <f>IF(AZ135="","",ROUND(AZ135*(1+AX135),0))</f>
        <v/>
      </c>
      <c r="BD135" s="12">
        <f>IF(AZ135="","",ROUND(AZ135*(1+AX135+Assumptions!$B$11),0))</f>
        <v/>
      </c>
      <c r="BE135" s="12">
        <f>IF(AZ135="","",ROUND(AZ135*(1+AX135)*(1+AX135),0))</f>
        <v/>
      </c>
      <c r="BF135" s="7" t="inlineStr">
        <is>
          <t>Rules-based enrichment using launch-price anchor, cap-app realization, and 2026 segment conditions.</t>
        </is>
      </c>
      <c r="BG135" t="inlineStr">
        <is>
          <t>2026-03-17</t>
        </is>
      </c>
      <c r="BH135" s="7" t="inlineStr">
        <is>
          <t>DLD / Digital Dubai / CBUAE / Savills / Knight Frank-Moody’s / Reuters</t>
        </is>
      </c>
    </row>
    <row r="136">
      <c r="A136" t="n">
        <v>135</v>
      </c>
      <c r="B136" s="7" t="inlineStr">
        <is>
          <t>Mudon Al Ranim Phase 5</t>
        </is>
      </c>
      <c r="C136" t="inlineStr">
        <is>
          <t>Dubai Properties</t>
        </is>
      </c>
      <c r="D136" t="inlineStr">
        <is>
          <t>Mudon</t>
        </is>
      </c>
      <c r="E136" t="inlineStr">
        <is>
          <t>Townhouses</t>
        </is>
      </c>
      <c r="F136" s="7" t="inlineStr">
        <is>
          <t>Park View</t>
        </is>
      </c>
      <c r="G136" t="inlineStr">
        <is>
          <t>2.6M</t>
        </is>
      </c>
      <c r="H136" t="inlineStr">
        <is>
          <t>1300</t>
        </is>
      </c>
      <c r="I136" t="inlineStr">
        <is>
          <t>12</t>
        </is>
      </c>
      <c r="J136" t="inlineStr">
        <is>
          <t>60/40</t>
        </is>
      </c>
      <c r="K136" t="inlineStr">
        <is>
          <t>2023</t>
        </is>
      </c>
      <c r="L136" t="inlineStr">
        <is>
          <t>6.0-6.5</t>
        </is>
      </c>
      <c r="M136" t="inlineStr">
        <is>
          <t>6-8</t>
        </is>
      </c>
      <c r="N136" t="inlineStr">
        <is>
          <t>12.0-14.5</t>
        </is>
      </c>
      <c r="O136" s="7" t="inlineStr">
        <is>
          <t>Jebel Ali School</t>
        </is>
      </c>
      <c r="P136" s="7" t="inlineStr">
        <is>
          <t>Saudi German Hospital</t>
        </is>
      </c>
      <c r="Q136" s="7" t="inlineStr">
        <is>
          <t>Mudon Community Ctr</t>
        </is>
      </c>
      <c r="R136" s="7" t="inlineStr">
        <is>
          <t>Al Qudra Rd</t>
        </is>
      </c>
      <c r="S136" t="inlineStr">
        <is>
          <t>25</t>
        </is>
      </c>
      <c r="T136" t="inlineStr">
        <is>
          <t>20</t>
        </is>
      </c>
      <c r="U136" t="inlineStr">
        <is>
          <t>30</t>
        </is>
      </c>
      <c r="V136" t="inlineStr">
        <is>
          <t>25</t>
        </is>
      </c>
      <c r="W136" t="n">
        <v>2</v>
      </c>
      <c r="X136" s="12" t="n">
        <v>2600000</v>
      </c>
      <c r="Y136" s="12" t="n">
        <v>2600000</v>
      </c>
      <c r="Z136" s="9" t="n">
        <v>6</v>
      </c>
      <c r="AA136" s="9" t="n">
        <v>6.5</v>
      </c>
      <c r="AB136" s="9" t="n">
        <v>6</v>
      </c>
      <c r="AC136" s="9" t="n">
        <v>8</v>
      </c>
      <c r="AD136" s="9" t="n">
        <v>12</v>
      </c>
      <c r="AE136" s="9" t="n">
        <v>14.5</v>
      </c>
      <c r="AF136" t="n">
        <v>2023</v>
      </c>
      <c r="AH136" t="inlineStr">
        <is>
          <t>Townhouse</t>
        </is>
      </c>
      <c r="AI136" t="inlineStr">
        <is>
          <t>FamilyVilla</t>
        </is>
      </c>
      <c r="AJ136" t="inlineStr">
        <is>
          <t>TopTier</t>
        </is>
      </c>
      <c r="AK136" t="inlineStr">
        <is>
          <t>Family-villa resilient</t>
        </is>
      </c>
      <c r="AL136" s="7" t="inlineStr">
        <is>
          <t>Villa/townhouse demand remains relatively firmer, though growth should be slower than the post-2020 surge.</t>
        </is>
      </c>
      <c r="AM136" s="9" t="n">
        <v>7</v>
      </c>
      <c r="AN136" s="9" t="n">
        <v>6.25</v>
      </c>
      <c r="AO136" s="10" t="n">
        <v>0.55</v>
      </c>
      <c r="AP136" s="13" t="n">
        <v>0</v>
      </c>
      <c r="AQ136" s="13" t="n">
        <v>0.015</v>
      </c>
      <c r="AR136" s="13" t="n">
        <v>0</v>
      </c>
      <c r="AS136" s="13" t="n">
        <v>0.025</v>
      </c>
      <c r="AT136" s="13" t="n">
        <v>0.005</v>
      </c>
      <c r="AU136" s="13" t="n">
        <v>0.0025</v>
      </c>
      <c r="AV136" s="13" t="n">
        <v>-0.005</v>
      </c>
      <c r="AW136" s="13">
        <f>IF(X136="","",(AM136/100*AO136)+AP136+AQ136+AR136)</f>
        <v/>
      </c>
      <c r="AX136" s="13">
        <f>IF(X136="","",AS136+AT136+AU136+AV136)</f>
        <v/>
      </c>
      <c r="AY136" s="12">
        <f>IF(AZ136="","",ROUND(AZ136*(1+Assumptions!$B$10),0))</f>
        <v/>
      </c>
      <c r="AZ136" s="12">
        <f>IF(X136="","",ROUND(X136*(1+AW136),0))</f>
        <v/>
      </c>
      <c r="BA136" s="12">
        <f>IF(AZ136="","",ROUND(AZ136*(1+Assumptions!$B$11),0))</f>
        <v/>
      </c>
      <c r="BB136" s="12">
        <f>IF(AZ136="","",ROUND(AZ136*(1+AX136+Assumptions!$B$10),0))</f>
        <v/>
      </c>
      <c r="BC136" s="12">
        <f>IF(AZ136="","",ROUND(AZ136*(1+AX136),0))</f>
        <v/>
      </c>
      <c r="BD136" s="12">
        <f>IF(AZ136="","",ROUND(AZ136*(1+AX136+Assumptions!$B$11),0))</f>
        <v/>
      </c>
      <c r="BE136" s="12">
        <f>IF(AZ136="","",ROUND(AZ136*(1+AX136)*(1+AX136),0))</f>
        <v/>
      </c>
      <c r="BF136" s="7" t="inlineStr">
        <is>
          <t>Rules-based enrichment using launch-price anchor, cap-app realization, and 2026 segment conditions.</t>
        </is>
      </c>
      <c r="BG136" t="inlineStr">
        <is>
          <t>2026-03-17</t>
        </is>
      </c>
      <c r="BH136" s="7" t="inlineStr">
        <is>
          <t>DLD / Digital Dubai / CBUAE / Savills / Knight Frank-Moody’s / Reuters</t>
        </is>
      </c>
    </row>
    <row r="137">
      <c r="A137" t="n">
        <v>136</v>
      </c>
      <c r="B137" s="7" t="inlineStr">
        <is>
          <t>Mudon Al Ranim Phase 6</t>
        </is>
      </c>
      <c r="C137" t="inlineStr">
        <is>
          <t>Dubai Properties</t>
        </is>
      </c>
      <c r="D137" t="inlineStr">
        <is>
          <t>Mudon</t>
        </is>
      </c>
      <c r="E137" t="inlineStr">
        <is>
          <t>Townhouses</t>
        </is>
      </c>
      <c r="F137" s="7" t="inlineStr">
        <is>
          <t>Park View</t>
        </is>
      </c>
      <c r="G137" t="inlineStr">
        <is>
          <t>2.6M</t>
        </is>
      </c>
      <c r="H137" t="inlineStr">
        <is>
          <t>1300</t>
        </is>
      </c>
      <c r="I137" t="inlineStr">
        <is>
          <t>12</t>
        </is>
      </c>
      <c r="J137" t="inlineStr">
        <is>
          <t>60/40</t>
        </is>
      </c>
      <c r="K137" t="inlineStr">
        <is>
          <t>2024</t>
        </is>
      </c>
      <c r="L137" t="inlineStr">
        <is>
          <t>6.0-6.5</t>
        </is>
      </c>
      <c r="M137" t="inlineStr">
        <is>
          <t>6-8</t>
        </is>
      </c>
      <c r="N137" t="inlineStr">
        <is>
          <t>12.0-14.5</t>
        </is>
      </c>
      <c r="O137" s="7" t="inlineStr">
        <is>
          <t>Jebel Ali School</t>
        </is>
      </c>
      <c r="P137" s="7" t="inlineStr">
        <is>
          <t>Saudi German Hospital</t>
        </is>
      </c>
      <c r="Q137" s="7" t="inlineStr">
        <is>
          <t>Mudon Community Ctr</t>
        </is>
      </c>
      <c r="R137" s="7" t="inlineStr">
        <is>
          <t>Al Qudra Rd</t>
        </is>
      </c>
      <c r="S137" t="inlineStr">
        <is>
          <t>25</t>
        </is>
      </c>
      <c r="T137" t="inlineStr">
        <is>
          <t>20</t>
        </is>
      </c>
      <c r="U137" t="inlineStr">
        <is>
          <t>30</t>
        </is>
      </c>
      <c r="V137" t="inlineStr">
        <is>
          <t>25</t>
        </is>
      </c>
      <c r="W137" t="n">
        <v>2</v>
      </c>
      <c r="X137" s="12" t="n">
        <v>2600000</v>
      </c>
      <c r="Y137" s="12" t="n">
        <v>2600000</v>
      </c>
      <c r="Z137" s="9" t="n">
        <v>6</v>
      </c>
      <c r="AA137" s="9" t="n">
        <v>6.5</v>
      </c>
      <c r="AB137" s="9" t="n">
        <v>6</v>
      </c>
      <c r="AC137" s="9" t="n">
        <v>8</v>
      </c>
      <c r="AD137" s="9" t="n">
        <v>12</v>
      </c>
      <c r="AE137" s="9" t="n">
        <v>14.5</v>
      </c>
      <c r="AF137" t="n">
        <v>2024</v>
      </c>
      <c r="AH137" t="inlineStr">
        <is>
          <t>Townhouse</t>
        </is>
      </c>
      <c r="AI137" t="inlineStr">
        <is>
          <t>FamilyVilla</t>
        </is>
      </c>
      <c r="AJ137" t="inlineStr">
        <is>
          <t>TopTier</t>
        </is>
      </c>
      <c r="AK137" t="inlineStr">
        <is>
          <t>Family-villa resilient</t>
        </is>
      </c>
      <c r="AL137" s="7" t="inlineStr">
        <is>
          <t>Villa/townhouse demand remains relatively firmer, though growth should be slower than the post-2020 surge.</t>
        </is>
      </c>
      <c r="AM137" s="9" t="n">
        <v>7</v>
      </c>
      <c r="AN137" s="9" t="n">
        <v>6.25</v>
      </c>
      <c r="AO137" s="10" t="n">
        <v>0.55</v>
      </c>
      <c r="AP137" s="13" t="n">
        <v>0</v>
      </c>
      <c r="AQ137" s="13" t="n">
        <v>0.015</v>
      </c>
      <c r="AR137" s="13" t="n">
        <v>0</v>
      </c>
      <c r="AS137" s="13" t="n">
        <v>0.025</v>
      </c>
      <c r="AT137" s="13" t="n">
        <v>0.005</v>
      </c>
      <c r="AU137" s="13" t="n">
        <v>0.0025</v>
      </c>
      <c r="AV137" s="13" t="n">
        <v>-0.005</v>
      </c>
      <c r="AW137" s="13">
        <f>IF(X137="","",(AM137/100*AO137)+AP137+AQ137+AR137)</f>
        <v/>
      </c>
      <c r="AX137" s="13">
        <f>IF(X137="","",AS137+AT137+AU137+AV137)</f>
        <v/>
      </c>
      <c r="AY137" s="12">
        <f>IF(AZ137="","",ROUND(AZ137*(1+Assumptions!$B$10),0))</f>
        <v/>
      </c>
      <c r="AZ137" s="12">
        <f>IF(X137="","",ROUND(X137*(1+AW137),0))</f>
        <v/>
      </c>
      <c r="BA137" s="12">
        <f>IF(AZ137="","",ROUND(AZ137*(1+Assumptions!$B$11),0))</f>
        <v/>
      </c>
      <c r="BB137" s="12">
        <f>IF(AZ137="","",ROUND(AZ137*(1+AX137+Assumptions!$B$10),0))</f>
        <v/>
      </c>
      <c r="BC137" s="12">
        <f>IF(AZ137="","",ROUND(AZ137*(1+AX137),0))</f>
        <v/>
      </c>
      <c r="BD137" s="12">
        <f>IF(AZ137="","",ROUND(AZ137*(1+AX137+Assumptions!$B$11),0))</f>
        <v/>
      </c>
      <c r="BE137" s="12">
        <f>IF(AZ137="","",ROUND(AZ137*(1+AX137)*(1+AX137),0))</f>
        <v/>
      </c>
      <c r="BF137" s="7" t="inlineStr">
        <is>
          <t>Rules-based enrichment using launch-price anchor, cap-app realization, and 2026 segment conditions.</t>
        </is>
      </c>
      <c r="BG137" t="inlineStr">
        <is>
          <t>2026-03-17</t>
        </is>
      </c>
      <c r="BH137" s="7" t="inlineStr">
        <is>
          <t>DLD / Digital Dubai / CBUAE / Savills / Knight Frank-Moody’s / Reuters</t>
        </is>
      </c>
    </row>
    <row r="138">
      <c r="A138" t="n">
        <v>137</v>
      </c>
      <c r="B138" s="7" t="inlineStr">
        <is>
          <t>Mudon Al Ranim Phase 7</t>
        </is>
      </c>
      <c r="C138" t="inlineStr">
        <is>
          <t>Dubai Properties</t>
        </is>
      </c>
      <c r="D138" t="inlineStr">
        <is>
          <t>Mudon</t>
        </is>
      </c>
      <c r="E138" t="inlineStr">
        <is>
          <t>Townhouses</t>
        </is>
      </c>
      <c r="F138" s="7" t="inlineStr">
        <is>
          <t>Park View</t>
        </is>
      </c>
      <c r="G138" t="inlineStr">
        <is>
          <t>2.7M</t>
        </is>
      </c>
      <c r="H138" t="inlineStr">
        <is>
          <t>1350</t>
        </is>
      </c>
      <c r="I138" t="inlineStr">
        <is>
          <t>12</t>
        </is>
      </c>
      <c r="J138" t="inlineStr">
        <is>
          <t>60/40</t>
        </is>
      </c>
      <c r="K138" t="inlineStr">
        <is>
          <t>2024</t>
        </is>
      </c>
      <c r="L138" t="inlineStr">
        <is>
          <t>6.0-6.5</t>
        </is>
      </c>
      <c r="M138" t="inlineStr">
        <is>
          <t>6-8</t>
        </is>
      </c>
      <c r="N138" t="inlineStr">
        <is>
          <t>12.0-14.5</t>
        </is>
      </c>
      <c r="O138" s="7" t="inlineStr">
        <is>
          <t>Jebel Ali School</t>
        </is>
      </c>
      <c r="P138" s="7" t="inlineStr">
        <is>
          <t>Saudi German Hospital</t>
        </is>
      </c>
      <c r="Q138" s="7" t="inlineStr">
        <is>
          <t>Mudon Community Ctr</t>
        </is>
      </c>
      <c r="R138" s="7" t="inlineStr">
        <is>
          <t>Al Qudra Rd</t>
        </is>
      </c>
      <c r="S138" t="inlineStr">
        <is>
          <t>25</t>
        </is>
      </c>
      <c r="T138" t="inlineStr">
        <is>
          <t>20</t>
        </is>
      </c>
      <c r="U138" t="inlineStr">
        <is>
          <t>30</t>
        </is>
      </c>
      <c r="V138" t="inlineStr">
        <is>
          <t>25</t>
        </is>
      </c>
      <c r="W138" t="n">
        <v>2</v>
      </c>
      <c r="X138" s="12" t="n">
        <v>2700000</v>
      </c>
      <c r="Y138" s="12" t="n">
        <v>2700000</v>
      </c>
      <c r="Z138" s="9" t="n">
        <v>6</v>
      </c>
      <c r="AA138" s="9" t="n">
        <v>6.5</v>
      </c>
      <c r="AB138" s="9" t="n">
        <v>6</v>
      </c>
      <c r="AC138" s="9" t="n">
        <v>8</v>
      </c>
      <c r="AD138" s="9" t="n">
        <v>12</v>
      </c>
      <c r="AE138" s="9" t="n">
        <v>14.5</v>
      </c>
      <c r="AF138" t="n">
        <v>2024</v>
      </c>
      <c r="AH138" t="inlineStr">
        <is>
          <t>Townhouse</t>
        </is>
      </c>
      <c r="AI138" t="inlineStr">
        <is>
          <t>FamilyVilla</t>
        </is>
      </c>
      <c r="AJ138" t="inlineStr">
        <is>
          <t>TopTier</t>
        </is>
      </c>
      <c r="AK138" t="inlineStr">
        <is>
          <t>Family-villa resilient</t>
        </is>
      </c>
      <c r="AL138" s="7" t="inlineStr">
        <is>
          <t>Villa/townhouse demand remains relatively firmer, though growth should be slower than the post-2020 surge.</t>
        </is>
      </c>
      <c r="AM138" s="9" t="n">
        <v>7</v>
      </c>
      <c r="AN138" s="9" t="n">
        <v>6.25</v>
      </c>
      <c r="AO138" s="10" t="n">
        <v>0.55</v>
      </c>
      <c r="AP138" s="13" t="n">
        <v>0</v>
      </c>
      <c r="AQ138" s="13" t="n">
        <v>0.015</v>
      </c>
      <c r="AR138" s="13" t="n">
        <v>0</v>
      </c>
      <c r="AS138" s="13" t="n">
        <v>0.025</v>
      </c>
      <c r="AT138" s="13" t="n">
        <v>0.005</v>
      </c>
      <c r="AU138" s="13" t="n">
        <v>0.0025</v>
      </c>
      <c r="AV138" s="13" t="n">
        <v>-0.005</v>
      </c>
      <c r="AW138" s="13">
        <f>IF(X138="","",(AM138/100*AO138)+AP138+AQ138+AR138)</f>
        <v/>
      </c>
      <c r="AX138" s="13">
        <f>IF(X138="","",AS138+AT138+AU138+AV138)</f>
        <v/>
      </c>
      <c r="AY138" s="12">
        <f>IF(AZ138="","",ROUND(AZ138*(1+Assumptions!$B$10),0))</f>
        <v/>
      </c>
      <c r="AZ138" s="12">
        <f>IF(X138="","",ROUND(X138*(1+AW138),0))</f>
        <v/>
      </c>
      <c r="BA138" s="12">
        <f>IF(AZ138="","",ROUND(AZ138*(1+Assumptions!$B$11),0))</f>
        <v/>
      </c>
      <c r="BB138" s="12">
        <f>IF(AZ138="","",ROUND(AZ138*(1+AX138+Assumptions!$B$10),0))</f>
        <v/>
      </c>
      <c r="BC138" s="12">
        <f>IF(AZ138="","",ROUND(AZ138*(1+AX138),0))</f>
        <v/>
      </c>
      <c r="BD138" s="12">
        <f>IF(AZ138="","",ROUND(AZ138*(1+AX138+Assumptions!$B$11),0))</f>
        <v/>
      </c>
      <c r="BE138" s="12">
        <f>IF(AZ138="","",ROUND(AZ138*(1+AX138)*(1+AX138),0))</f>
        <v/>
      </c>
      <c r="BF138" s="7" t="inlineStr">
        <is>
          <t>Rules-based enrichment using launch-price anchor, cap-app realization, and 2026 segment conditions.</t>
        </is>
      </c>
      <c r="BG138" t="inlineStr">
        <is>
          <t>2026-03-17</t>
        </is>
      </c>
      <c r="BH138" s="7" t="inlineStr">
        <is>
          <t>DLD / Digital Dubai / CBUAE / Savills / Knight Frank-Moody’s / Reuters</t>
        </is>
      </c>
    </row>
    <row r="139">
      <c r="A139" t="n">
        <v>138</v>
      </c>
      <c r="B139" s="7" t="inlineStr">
        <is>
          <t>Mudon Al Ranim Phase 8</t>
        </is>
      </c>
      <c r="C139" t="inlineStr">
        <is>
          <t>Dubai Properties</t>
        </is>
      </c>
      <c r="D139" t="inlineStr">
        <is>
          <t>Mudon</t>
        </is>
      </c>
      <c r="E139" t="inlineStr">
        <is>
          <t>Townhouses</t>
        </is>
      </c>
      <c r="F139" s="7" t="inlineStr">
        <is>
          <t>Park View</t>
        </is>
      </c>
      <c r="G139" t="inlineStr">
        <is>
          <t>2.8M</t>
        </is>
      </c>
      <c r="H139" t="inlineStr">
        <is>
          <t>1350</t>
        </is>
      </c>
      <c r="I139" t="inlineStr">
        <is>
          <t>12</t>
        </is>
      </c>
      <c r="J139" t="inlineStr">
        <is>
          <t>60/40</t>
        </is>
      </c>
      <c r="K139" t="inlineStr">
        <is>
          <t>2024</t>
        </is>
      </c>
      <c r="L139" t="inlineStr">
        <is>
          <t>6.0-6.5</t>
        </is>
      </c>
      <c r="M139" t="inlineStr">
        <is>
          <t>6-8</t>
        </is>
      </c>
      <c r="N139" t="inlineStr">
        <is>
          <t>12.0-14.5</t>
        </is>
      </c>
      <c r="O139" s="7" t="inlineStr">
        <is>
          <t>Jebel Ali School</t>
        </is>
      </c>
      <c r="P139" s="7" t="inlineStr">
        <is>
          <t>Saudi German Hospital</t>
        </is>
      </c>
      <c r="Q139" s="7" t="inlineStr">
        <is>
          <t>Mudon Community Ctr</t>
        </is>
      </c>
      <c r="R139" s="7" t="inlineStr">
        <is>
          <t>Al Qudra Rd</t>
        </is>
      </c>
      <c r="S139" t="inlineStr">
        <is>
          <t>25</t>
        </is>
      </c>
      <c r="T139" t="inlineStr">
        <is>
          <t>20</t>
        </is>
      </c>
      <c r="U139" t="inlineStr">
        <is>
          <t>30</t>
        </is>
      </c>
      <c r="V139" t="inlineStr">
        <is>
          <t>25</t>
        </is>
      </c>
      <c r="W139" t="n">
        <v>2</v>
      </c>
      <c r="X139" s="12" t="n">
        <v>2800000</v>
      </c>
      <c r="Y139" s="12" t="n">
        <v>2800000</v>
      </c>
      <c r="Z139" s="9" t="n">
        <v>6</v>
      </c>
      <c r="AA139" s="9" t="n">
        <v>6.5</v>
      </c>
      <c r="AB139" s="9" t="n">
        <v>6</v>
      </c>
      <c r="AC139" s="9" t="n">
        <v>8</v>
      </c>
      <c r="AD139" s="9" t="n">
        <v>12</v>
      </c>
      <c r="AE139" s="9" t="n">
        <v>14.5</v>
      </c>
      <c r="AF139" t="n">
        <v>2024</v>
      </c>
      <c r="AH139" t="inlineStr">
        <is>
          <t>Townhouse</t>
        </is>
      </c>
      <c r="AI139" t="inlineStr">
        <is>
          <t>FamilyVilla</t>
        </is>
      </c>
      <c r="AJ139" t="inlineStr">
        <is>
          <t>TopTier</t>
        </is>
      </c>
      <c r="AK139" t="inlineStr">
        <is>
          <t>Family-villa resilient</t>
        </is>
      </c>
      <c r="AL139" s="7" t="inlineStr">
        <is>
          <t>Villa/townhouse demand remains relatively firmer, though growth should be slower than the post-2020 surge.</t>
        </is>
      </c>
      <c r="AM139" s="9" t="n">
        <v>7</v>
      </c>
      <c r="AN139" s="9" t="n">
        <v>6.25</v>
      </c>
      <c r="AO139" s="10" t="n">
        <v>0.55</v>
      </c>
      <c r="AP139" s="13" t="n">
        <v>0</v>
      </c>
      <c r="AQ139" s="13" t="n">
        <v>0.015</v>
      </c>
      <c r="AR139" s="13" t="n">
        <v>0</v>
      </c>
      <c r="AS139" s="13" t="n">
        <v>0.025</v>
      </c>
      <c r="AT139" s="13" t="n">
        <v>0.005</v>
      </c>
      <c r="AU139" s="13" t="n">
        <v>0.0025</v>
      </c>
      <c r="AV139" s="13" t="n">
        <v>-0.005</v>
      </c>
      <c r="AW139" s="13">
        <f>IF(X139="","",(AM139/100*AO139)+AP139+AQ139+AR139)</f>
        <v/>
      </c>
      <c r="AX139" s="13">
        <f>IF(X139="","",AS139+AT139+AU139+AV139)</f>
        <v/>
      </c>
      <c r="AY139" s="12">
        <f>IF(AZ139="","",ROUND(AZ139*(1+Assumptions!$B$10),0))</f>
        <v/>
      </c>
      <c r="AZ139" s="12">
        <f>IF(X139="","",ROUND(X139*(1+AW139),0))</f>
        <v/>
      </c>
      <c r="BA139" s="12">
        <f>IF(AZ139="","",ROUND(AZ139*(1+Assumptions!$B$11),0))</f>
        <v/>
      </c>
      <c r="BB139" s="12">
        <f>IF(AZ139="","",ROUND(AZ139*(1+AX139+Assumptions!$B$10),0))</f>
        <v/>
      </c>
      <c r="BC139" s="12">
        <f>IF(AZ139="","",ROUND(AZ139*(1+AX139),0))</f>
        <v/>
      </c>
      <c r="BD139" s="12">
        <f>IF(AZ139="","",ROUND(AZ139*(1+AX139+Assumptions!$B$11),0))</f>
        <v/>
      </c>
      <c r="BE139" s="12">
        <f>IF(AZ139="","",ROUND(AZ139*(1+AX139)*(1+AX139),0))</f>
        <v/>
      </c>
      <c r="BF139" s="7" t="inlineStr">
        <is>
          <t>Rules-based enrichment using launch-price anchor, cap-app realization, and 2026 segment conditions.</t>
        </is>
      </c>
      <c r="BG139" t="inlineStr">
        <is>
          <t>2026-03-17</t>
        </is>
      </c>
      <c r="BH139" s="7" t="inlineStr">
        <is>
          <t>DLD / Digital Dubai / CBUAE / Savills / Knight Frank-Moody’s / Reuters</t>
        </is>
      </c>
    </row>
    <row r="140">
      <c r="A140" t="n">
        <v>139</v>
      </c>
      <c r="B140" s="7" t="inlineStr">
        <is>
          <t>Mudon Views</t>
        </is>
      </c>
      <c r="C140" t="inlineStr">
        <is>
          <t>Dubai Properties</t>
        </is>
      </c>
      <c r="D140" t="inlineStr">
        <is>
          <t>Mudon</t>
        </is>
      </c>
      <c r="E140" t="inlineStr">
        <is>
          <t>Apartments</t>
        </is>
      </c>
      <c r="F140" s="7" t="inlineStr">
        <is>
          <t>Golf / Park</t>
        </is>
      </c>
      <c r="G140" t="inlineStr">
        <is>
          <t>Resale (1.2M+)</t>
        </is>
      </c>
      <c r="H140" t="inlineStr">
        <is>
          <t>1100</t>
        </is>
      </c>
      <c r="I140" t="inlineStr">
        <is>
          <t>15</t>
        </is>
      </c>
      <c r="J140" t="inlineStr">
        <is>
          <t>Completed</t>
        </is>
      </c>
      <c r="K140" t="inlineStr">
        <is>
          <t>2017</t>
        </is>
      </c>
      <c r="L140" t="inlineStr">
        <is>
          <t>7.0-7.5</t>
        </is>
      </c>
      <c r="M140" t="inlineStr">
        <is>
          <t>4-6</t>
        </is>
      </c>
      <c r="N140" t="inlineStr">
        <is>
          <t>11.0-13.5</t>
        </is>
      </c>
      <c r="O140" s="7" t="inlineStr">
        <is>
          <t>Jebel Ali School</t>
        </is>
      </c>
      <c r="P140" s="7" t="inlineStr">
        <is>
          <t>Saudi German Hospital</t>
        </is>
      </c>
      <c r="Q140" s="7" t="inlineStr">
        <is>
          <t>Mudon Community Ctr</t>
        </is>
      </c>
      <c r="R140" s="7" t="inlineStr">
        <is>
          <t>Al Qudra Rd</t>
        </is>
      </c>
      <c r="S140" t="inlineStr">
        <is>
          <t>25</t>
        </is>
      </c>
      <c r="T140" t="inlineStr">
        <is>
          <t>20</t>
        </is>
      </c>
      <c r="U140" t="inlineStr">
        <is>
          <t>30</t>
        </is>
      </c>
      <c r="V140" t="inlineStr">
        <is>
          <t>25</t>
        </is>
      </c>
      <c r="W140" t="n">
        <v>2</v>
      </c>
      <c r="X140" s="12" t="n">
        <v>1200000</v>
      </c>
      <c r="Y140" s="12" t="n">
        <v>1200000</v>
      </c>
      <c r="Z140" s="9" t="n">
        <v>7</v>
      </c>
      <c r="AA140" s="9" t="n">
        <v>7.5</v>
      </c>
      <c r="AB140" s="9" t="n">
        <v>4</v>
      </c>
      <c r="AC140" s="9" t="n">
        <v>6</v>
      </c>
      <c r="AD140" s="9" t="n">
        <v>11</v>
      </c>
      <c r="AE140" s="9" t="n">
        <v>13.5</v>
      </c>
      <c r="AF140" t="n">
        <v>2017</v>
      </c>
      <c r="AH140" t="inlineStr">
        <is>
          <t>Apartment</t>
        </is>
      </c>
      <c r="AI140" t="inlineStr">
        <is>
          <t>MainstreamSelective</t>
        </is>
      </c>
      <c r="AJ140" t="inlineStr">
        <is>
          <t>TopTier</t>
        </is>
      </c>
      <c r="AK140" t="inlineStr">
        <is>
          <t>Balanced / selective</t>
        </is>
      </c>
      <c r="AL140" s="7" t="inlineStr">
        <is>
          <t>Market remains active but increasingly differentiated by developer, micro-location, livability, and pricing discipline.</t>
        </is>
      </c>
      <c r="AM140" s="9" t="n">
        <v>5</v>
      </c>
      <c r="AN140" s="9" t="n">
        <v>7.25</v>
      </c>
      <c r="AO140" s="10" t="n">
        <v>0.55</v>
      </c>
      <c r="AP140" s="13" t="n">
        <v>0</v>
      </c>
      <c r="AQ140" s="13" t="n">
        <v>0</v>
      </c>
      <c r="AR140" s="13" t="n">
        <v>0</v>
      </c>
      <c r="AS140" s="13" t="n">
        <v>0.01</v>
      </c>
      <c r="AT140" s="13" t="n">
        <v>0.005</v>
      </c>
      <c r="AU140" s="13" t="n">
        <v>0.0025</v>
      </c>
      <c r="AV140" s="13" t="n">
        <v>-0.005</v>
      </c>
      <c r="AW140" s="13">
        <f>IF(X140="","",(AM140/100*AO140)+AP140+AQ140+AR140)</f>
        <v/>
      </c>
      <c r="AX140" s="13">
        <f>IF(X140="","",AS140+AT140+AU140+AV140)</f>
        <v/>
      </c>
      <c r="AY140" s="12">
        <f>IF(AZ140="","",ROUND(AZ140*(1+Assumptions!$B$10),0))</f>
        <v/>
      </c>
      <c r="AZ140" s="12">
        <f>IF(X140="","",ROUND(X140*(1+AW140),0))</f>
        <v/>
      </c>
      <c r="BA140" s="12">
        <f>IF(AZ140="","",ROUND(AZ140*(1+Assumptions!$B$11),0))</f>
        <v/>
      </c>
      <c r="BB140" s="12">
        <f>IF(AZ140="","",ROUND(AZ140*(1+AX140+Assumptions!$B$10),0))</f>
        <v/>
      </c>
      <c r="BC140" s="12">
        <f>IF(AZ140="","",ROUND(AZ140*(1+AX140),0))</f>
        <v/>
      </c>
      <c r="BD140" s="12">
        <f>IF(AZ140="","",ROUND(AZ140*(1+AX140+Assumptions!$B$11),0))</f>
        <v/>
      </c>
      <c r="BE140" s="12">
        <f>IF(AZ140="","",ROUND(AZ140*(1+AX140)*(1+AX140),0))</f>
        <v/>
      </c>
      <c r="BF140" s="7" t="inlineStr">
        <is>
          <t>Rules-based enrichment using launch-price anchor, cap-app realization, and 2026 segment conditions.</t>
        </is>
      </c>
      <c r="BG140" t="inlineStr">
        <is>
          <t>2026-03-17</t>
        </is>
      </c>
      <c r="BH140" s="7" t="inlineStr">
        <is>
          <t>DLD / Digital Dubai / CBUAE / Savills / Knight Frank-Moody’s / Reuters</t>
        </is>
      </c>
    </row>
    <row r="141">
      <c r="A141" t="n">
        <v>140</v>
      </c>
      <c r="B141" s="7" t="inlineStr">
        <is>
          <t>Rahat</t>
        </is>
      </c>
      <c r="C141" t="inlineStr">
        <is>
          <t>Dubai Properties</t>
        </is>
      </c>
      <c r="D141" t="inlineStr">
        <is>
          <t>Mudon</t>
        </is>
      </c>
      <c r="E141" t="inlineStr">
        <is>
          <t>Villas</t>
        </is>
      </c>
      <c r="F141" s="7" t="inlineStr">
        <is>
          <t>Gated</t>
        </is>
      </c>
      <c r="G141" t="inlineStr">
        <is>
          <t>Resale (4M+)</t>
        </is>
      </c>
      <c r="H141" t="inlineStr">
        <is>
          <t>1000</t>
        </is>
      </c>
      <c r="I141" t="inlineStr">
        <is>
          <t>12</t>
        </is>
      </c>
      <c r="J141" t="inlineStr">
        <is>
          <t>Completed</t>
        </is>
      </c>
      <c r="K141" t="inlineStr">
        <is>
          <t>2015</t>
        </is>
      </c>
      <c r="L141" t="inlineStr">
        <is>
          <t>5.5-6.0</t>
        </is>
      </c>
      <c r="M141" t="inlineStr">
        <is>
          <t>5-7</t>
        </is>
      </c>
      <c r="N141" t="inlineStr">
        <is>
          <t>10.5-13.0</t>
        </is>
      </c>
      <c r="O141" s="7" t="inlineStr">
        <is>
          <t>Jebel Ali School</t>
        </is>
      </c>
      <c r="P141" s="7" t="inlineStr">
        <is>
          <t>Saudi German Hospital</t>
        </is>
      </c>
      <c r="Q141" s="7" t="inlineStr">
        <is>
          <t>Mudon Community Ctr</t>
        </is>
      </c>
      <c r="R141" s="7" t="inlineStr">
        <is>
          <t>Al Qudra Rd</t>
        </is>
      </c>
      <c r="S141" t="inlineStr">
        <is>
          <t>25</t>
        </is>
      </c>
      <c r="T141" t="inlineStr">
        <is>
          <t>20</t>
        </is>
      </c>
      <c r="U141" t="inlineStr">
        <is>
          <t>30</t>
        </is>
      </c>
      <c r="V141" t="inlineStr">
        <is>
          <t>25</t>
        </is>
      </c>
      <c r="W141" t="n">
        <v>2</v>
      </c>
      <c r="X141" s="12" t="n">
        <v>4000000</v>
      </c>
      <c r="Y141" s="12" t="n">
        <v>4000000</v>
      </c>
      <c r="Z141" s="9" t="n">
        <v>5.5</v>
      </c>
      <c r="AA141" s="9" t="n">
        <v>6</v>
      </c>
      <c r="AB141" s="9" t="n">
        <v>5</v>
      </c>
      <c r="AC141" s="9" t="n">
        <v>7</v>
      </c>
      <c r="AD141" s="9" t="n">
        <v>10.5</v>
      </c>
      <c r="AE141" s="9" t="n">
        <v>13</v>
      </c>
      <c r="AF141" t="n">
        <v>2015</v>
      </c>
      <c r="AH141" t="inlineStr">
        <is>
          <t>Villa</t>
        </is>
      </c>
      <c r="AI141" t="inlineStr">
        <is>
          <t>FamilyVilla</t>
        </is>
      </c>
      <c r="AJ141" t="inlineStr">
        <is>
          <t>TopTier</t>
        </is>
      </c>
      <c r="AK141" t="inlineStr">
        <is>
          <t>Family-villa resilient</t>
        </is>
      </c>
      <c r="AL141" s="7" t="inlineStr">
        <is>
          <t>Villa/townhouse demand remains relatively firmer, though growth should be slower than the post-2020 surge.</t>
        </is>
      </c>
      <c r="AM141" s="9" t="n">
        <v>6</v>
      </c>
      <c r="AN141" s="9" t="n">
        <v>5.75</v>
      </c>
      <c r="AO141" s="10" t="n">
        <v>0.55</v>
      </c>
      <c r="AP141" s="13" t="n">
        <v>0</v>
      </c>
      <c r="AQ141" s="13" t="n">
        <v>0.015</v>
      </c>
      <c r="AR141" s="13" t="n">
        <v>0</v>
      </c>
      <c r="AS141" s="13" t="n">
        <v>0.025</v>
      </c>
      <c r="AT141" s="13" t="n">
        <v>0.005</v>
      </c>
      <c r="AU141" s="13" t="n">
        <v>0</v>
      </c>
      <c r="AV141" s="13" t="n">
        <v>-0.005</v>
      </c>
      <c r="AW141" s="13">
        <f>IF(X141="","",(AM141/100*AO141)+AP141+AQ141+AR141)</f>
        <v/>
      </c>
      <c r="AX141" s="13">
        <f>IF(X141="","",AS141+AT141+AU141+AV141)</f>
        <v/>
      </c>
      <c r="AY141" s="12">
        <f>IF(AZ141="","",ROUND(AZ141*(1+Assumptions!$B$10),0))</f>
        <v/>
      </c>
      <c r="AZ141" s="12">
        <f>IF(X141="","",ROUND(X141*(1+AW141),0))</f>
        <v/>
      </c>
      <c r="BA141" s="12">
        <f>IF(AZ141="","",ROUND(AZ141*(1+Assumptions!$B$11),0))</f>
        <v/>
      </c>
      <c r="BB141" s="12">
        <f>IF(AZ141="","",ROUND(AZ141*(1+AX141+Assumptions!$B$10),0))</f>
        <v/>
      </c>
      <c r="BC141" s="12">
        <f>IF(AZ141="","",ROUND(AZ141*(1+AX141),0))</f>
        <v/>
      </c>
      <c r="BD141" s="12">
        <f>IF(AZ141="","",ROUND(AZ141*(1+AX141+Assumptions!$B$11),0))</f>
        <v/>
      </c>
      <c r="BE141" s="12">
        <f>IF(AZ141="","",ROUND(AZ141*(1+AX141)*(1+AX141),0))</f>
        <v/>
      </c>
      <c r="BF141" s="7" t="inlineStr">
        <is>
          <t>Rules-based enrichment using launch-price anchor, cap-app realization, and 2026 segment conditions.</t>
        </is>
      </c>
      <c r="BG141" t="inlineStr">
        <is>
          <t>2026-03-17</t>
        </is>
      </c>
      <c r="BH141" s="7" t="inlineStr">
        <is>
          <t>DLD / Digital Dubai / CBUAE / Savills / Knight Frank-Moody’s / Reuters</t>
        </is>
      </c>
    </row>
    <row r="142">
      <c r="A142" t="n">
        <v>141</v>
      </c>
      <c r="B142" s="7" t="inlineStr">
        <is>
          <t>Naseem</t>
        </is>
      </c>
      <c r="C142" t="inlineStr">
        <is>
          <t>Dubai Properties</t>
        </is>
      </c>
      <c r="D142" t="inlineStr">
        <is>
          <t>Mudon</t>
        </is>
      </c>
      <c r="E142" t="inlineStr">
        <is>
          <t>Townhouses</t>
        </is>
      </c>
      <c r="F142" s="7" t="inlineStr">
        <is>
          <t>Gated</t>
        </is>
      </c>
      <c r="G142" t="inlineStr">
        <is>
          <t>Resale (2.5M+)</t>
        </is>
      </c>
      <c r="H142" t="inlineStr">
        <is>
          <t>1000</t>
        </is>
      </c>
      <c r="I142" t="inlineStr">
        <is>
          <t>12</t>
        </is>
      </c>
      <c r="J142" t="inlineStr">
        <is>
          <t>Completed</t>
        </is>
      </c>
      <c r="K142" t="inlineStr">
        <is>
          <t>2016</t>
        </is>
      </c>
      <c r="L142" t="inlineStr">
        <is>
          <t>6.0-6.5</t>
        </is>
      </c>
      <c r="M142" t="inlineStr">
        <is>
          <t>5-7</t>
        </is>
      </c>
      <c r="N142" t="inlineStr">
        <is>
          <t>11.0-13.5</t>
        </is>
      </c>
      <c r="O142" s="7" t="inlineStr">
        <is>
          <t>Jebel Ali School</t>
        </is>
      </c>
      <c r="P142" s="7" t="inlineStr">
        <is>
          <t>Saudi German Hospital</t>
        </is>
      </c>
      <c r="Q142" s="7" t="inlineStr">
        <is>
          <t>Mudon Community Ctr</t>
        </is>
      </c>
      <c r="R142" s="7" t="inlineStr">
        <is>
          <t>Al Qudra Rd</t>
        </is>
      </c>
      <c r="S142" t="inlineStr">
        <is>
          <t>25</t>
        </is>
      </c>
      <c r="T142" t="inlineStr">
        <is>
          <t>20</t>
        </is>
      </c>
      <c r="U142" t="inlineStr">
        <is>
          <t>30</t>
        </is>
      </c>
      <c r="V142" t="inlineStr">
        <is>
          <t>25</t>
        </is>
      </c>
      <c r="W142" t="n">
        <v>2</v>
      </c>
      <c r="X142" s="12" t="n">
        <v>2500000</v>
      </c>
      <c r="Y142" s="12" t="n">
        <v>2500000</v>
      </c>
      <c r="Z142" s="9" t="n">
        <v>6</v>
      </c>
      <c r="AA142" s="9" t="n">
        <v>6.5</v>
      </c>
      <c r="AB142" s="9" t="n">
        <v>5</v>
      </c>
      <c r="AC142" s="9" t="n">
        <v>7</v>
      </c>
      <c r="AD142" s="9" t="n">
        <v>11</v>
      </c>
      <c r="AE142" s="9" t="n">
        <v>13.5</v>
      </c>
      <c r="AF142" t="n">
        <v>2016</v>
      </c>
      <c r="AH142" t="inlineStr">
        <is>
          <t>Townhouse</t>
        </is>
      </c>
      <c r="AI142" t="inlineStr">
        <is>
          <t>FamilyVilla</t>
        </is>
      </c>
      <c r="AJ142" t="inlineStr">
        <is>
          <t>TopTier</t>
        </is>
      </c>
      <c r="AK142" t="inlineStr">
        <is>
          <t>Family-villa resilient</t>
        </is>
      </c>
      <c r="AL142" s="7" t="inlineStr">
        <is>
          <t>Villa/townhouse demand remains relatively firmer, though growth should be slower than the post-2020 surge.</t>
        </is>
      </c>
      <c r="AM142" s="9" t="n">
        <v>6</v>
      </c>
      <c r="AN142" s="9" t="n">
        <v>6.25</v>
      </c>
      <c r="AO142" s="10" t="n">
        <v>0.55</v>
      </c>
      <c r="AP142" s="13" t="n">
        <v>0</v>
      </c>
      <c r="AQ142" s="13" t="n">
        <v>0.015</v>
      </c>
      <c r="AR142" s="13" t="n">
        <v>0</v>
      </c>
      <c r="AS142" s="13" t="n">
        <v>0.025</v>
      </c>
      <c r="AT142" s="13" t="n">
        <v>0.005</v>
      </c>
      <c r="AU142" s="13" t="n">
        <v>0.0025</v>
      </c>
      <c r="AV142" s="13" t="n">
        <v>-0.005</v>
      </c>
      <c r="AW142" s="13">
        <f>IF(X142="","",(AM142/100*AO142)+AP142+AQ142+AR142)</f>
        <v/>
      </c>
      <c r="AX142" s="13">
        <f>IF(X142="","",AS142+AT142+AU142+AV142)</f>
        <v/>
      </c>
      <c r="AY142" s="12">
        <f>IF(AZ142="","",ROUND(AZ142*(1+Assumptions!$B$10),0))</f>
        <v/>
      </c>
      <c r="AZ142" s="12">
        <f>IF(X142="","",ROUND(X142*(1+AW142),0))</f>
        <v/>
      </c>
      <c r="BA142" s="12">
        <f>IF(AZ142="","",ROUND(AZ142*(1+Assumptions!$B$11),0))</f>
        <v/>
      </c>
      <c r="BB142" s="12">
        <f>IF(AZ142="","",ROUND(AZ142*(1+AX142+Assumptions!$B$10),0))</f>
        <v/>
      </c>
      <c r="BC142" s="12">
        <f>IF(AZ142="","",ROUND(AZ142*(1+AX142),0))</f>
        <v/>
      </c>
      <c r="BD142" s="12">
        <f>IF(AZ142="","",ROUND(AZ142*(1+AX142+Assumptions!$B$11),0))</f>
        <v/>
      </c>
      <c r="BE142" s="12">
        <f>IF(AZ142="","",ROUND(AZ142*(1+AX142)*(1+AX142),0))</f>
        <v/>
      </c>
      <c r="BF142" s="7" t="inlineStr">
        <is>
          <t>Rules-based enrichment using launch-price anchor, cap-app realization, and 2026 segment conditions.</t>
        </is>
      </c>
      <c r="BG142" t="inlineStr">
        <is>
          <t>2026-03-17</t>
        </is>
      </c>
      <c r="BH142" s="7" t="inlineStr">
        <is>
          <t>DLD / Digital Dubai / CBUAE / Savills / Knight Frank-Moody’s / Reuters</t>
        </is>
      </c>
    </row>
    <row r="143">
      <c r="A143" t="n">
        <v>142</v>
      </c>
      <c r="B143" s="7" t="inlineStr">
        <is>
          <t>Villanova (Master Community)</t>
        </is>
      </c>
      <c r="C143" t="inlineStr">
        <is>
          <t>Dubai Properties</t>
        </is>
      </c>
      <c r="D143" t="inlineStr">
        <is>
          <t>Dubailand</t>
        </is>
      </c>
      <c r="E143" t="inlineStr">
        <is>
          <t>Townhouses &amp; Villas</t>
        </is>
      </c>
      <c r="F143" s="7" t="inlineStr">
        <is>
          <t>Family / Gated</t>
        </is>
      </c>
      <c r="I143" t="inlineStr">
        <is>
          <t>12</t>
        </is>
      </c>
      <c r="J143" t="inlineStr">
        <is>
          <t>Varies</t>
        </is>
      </c>
      <c r="K143" t="inlineStr">
        <is>
          <t>Ongoing</t>
        </is>
      </c>
      <c r="L143" t="inlineStr">
        <is>
          <t>6.0-6.5</t>
        </is>
      </c>
      <c r="M143" t="inlineStr">
        <is>
          <t>5-7</t>
        </is>
      </c>
      <c r="N143" t="inlineStr">
        <is>
          <t>11.0-13.5</t>
        </is>
      </c>
      <c r="O143" s="7" t="inlineStr">
        <is>
          <t>GEMS FirstPoint</t>
        </is>
      </c>
      <c r="P143" s="7" t="inlineStr">
        <is>
          <t>Saudi German Hospital</t>
        </is>
      </c>
      <c r="Q143" s="7" t="inlineStr">
        <is>
          <t>Villanova Marketplace</t>
        </is>
      </c>
      <c r="R143" s="7" t="inlineStr">
        <is>
          <t>Al Ain Rd / E611</t>
        </is>
      </c>
      <c r="S143" t="inlineStr">
        <is>
          <t>25</t>
        </is>
      </c>
      <c r="T143" t="inlineStr">
        <is>
          <t>30</t>
        </is>
      </c>
      <c r="U143" t="inlineStr">
        <is>
          <t>25</t>
        </is>
      </c>
      <c r="V143" t="inlineStr">
        <is>
          <t>30</t>
        </is>
      </c>
      <c r="W143" t="n">
        <v>2</v>
      </c>
      <c r="X143" s="12" t="n"/>
      <c r="Y143" s="12" t="n"/>
      <c r="Z143" s="9" t="n">
        <v>6</v>
      </c>
      <c r="AA143" s="9" t="n">
        <v>6.5</v>
      </c>
      <c r="AB143" s="9" t="n">
        <v>5</v>
      </c>
      <c r="AC143" s="9" t="n">
        <v>7</v>
      </c>
      <c r="AD143" s="9" t="n">
        <v>11</v>
      </c>
      <c r="AE143" s="9" t="n">
        <v>13.5</v>
      </c>
      <c r="AH143" t="inlineStr">
        <is>
          <t>Villa/Townhouse</t>
        </is>
      </c>
      <c r="AI143" t="inlineStr">
        <is>
          <t>MainstreamSelective</t>
        </is>
      </c>
      <c r="AJ143" t="inlineStr">
        <is>
          <t>TopTier</t>
        </is>
      </c>
      <c r="AK143" t="inlineStr">
        <is>
          <t>Family-villa resilient</t>
        </is>
      </c>
      <c r="AL143" s="7" t="inlineStr">
        <is>
          <t>Villa/townhouse demand remains relatively firmer, though growth should be slower than the post-2020 surge.</t>
        </is>
      </c>
      <c r="AM143" s="9" t="n">
        <v>6</v>
      </c>
      <c r="AN143" s="9" t="n">
        <v>6.25</v>
      </c>
      <c r="AO143" s="10" t="n">
        <v>0.25</v>
      </c>
      <c r="AP143" s="13" t="n">
        <v>0</v>
      </c>
      <c r="AQ143" s="13" t="n">
        <v>0.015</v>
      </c>
      <c r="AR143" s="13" t="n">
        <v>0</v>
      </c>
      <c r="AS143" s="13" t="n">
        <v>0.025</v>
      </c>
      <c r="AT143" s="13" t="n">
        <v>0.005</v>
      </c>
      <c r="AU143" s="13" t="n">
        <v>0.0025</v>
      </c>
      <c r="AV143" s="13" t="n">
        <v>-0.005</v>
      </c>
      <c r="AW143" s="13">
        <f>IF(X143="","",(AM143/100*AO143)+AP143+AQ143+AR143)</f>
        <v/>
      </c>
      <c r="AX143" s="13">
        <f>IF(X143="","",AS143+AT143+AU143+AV143)</f>
        <v/>
      </c>
      <c r="AY143" s="12">
        <f>IF(AZ143="","",ROUND(AZ143*(1+Assumptions!$B$10),0))</f>
        <v/>
      </c>
      <c r="AZ143" s="12">
        <f>IF(X143="","",ROUND(X143*(1+AW143),0))</f>
        <v/>
      </c>
      <c r="BA143" s="12">
        <f>IF(AZ143="","",ROUND(AZ143*(1+Assumptions!$B$11),0))</f>
        <v/>
      </c>
      <c r="BB143" s="12">
        <f>IF(AZ143="","",ROUND(AZ143*(1+AX143+Assumptions!$B$10),0))</f>
        <v/>
      </c>
      <c r="BC143" s="12">
        <f>IF(AZ143="","",ROUND(AZ143*(1+AX143),0))</f>
        <v/>
      </c>
      <c r="BD143" s="12">
        <f>IF(AZ143="","",ROUND(AZ143*(1+AX143+Assumptions!$B$11),0))</f>
        <v/>
      </c>
      <c r="BE143" s="12">
        <f>IF(AZ143="","",ROUND(AZ143*(1+AX143)*(1+AX143),0))</f>
        <v/>
      </c>
      <c r="BF143" s="7" t="inlineStr">
        <is>
          <t>Rules-based enrichment using launch-price anchor, cap-app realization, and 2026 segment conditions.</t>
        </is>
      </c>
      <c r="BG143" t="inlineStr">
        <is>
          <t>2026-03-17</t>
        </is>
      </c>
      <c r="BH143" s="7" t="inlineStr">
        <is>
          <t>DLD / Digital Dubai / CBUAE / Savills / Knight Frank-Moody’s / Reuters</t>
        </is>
      </c>
    </row>
    <row r="144">
      <c r="A144" t="n">
        <v>143</v>
      </c>
      <c r="B144" s="7" t="inlineStr">
        <is>
          <t>La Violeta</t>
        </is>
      </c>
      <c r="C144" t="inlineStr">
        <is>
          <t>Dubai Properties</t>
        </is>
      </c>
      <c r="D144" t="inlineStr">
        <is>
          <t>Villanova</t>
        </is>
      </c>
      <c r="E144" t="inlineStr">
        <is>
          <t>Townhouses</t>
        </is>
      </c>
      <c r="F144" s="7" t="inlineStr">
        <is>
          <t>Family</t>
        </is>
      </c>
      <c r="G144" t="inlineStr">
        <is>
          <t>1.8M</t>
        </is>
      </c>
      <c r="H144" t="inlineStr">
        <is>
          <t>1100</t>
        </is>
      </c>
      <c r="I144" t="inlineStr">
        <is>
          <t>12</t>
        </is>
      </c>
      <c r="J144" t="inlineStr">
        <is>
          <t>60/40</t>
        </is>
      </c>
      <c r="K144" t="inlineStr">
        <is>
          <t>2022</t>
        </is>
      </c>
      <c r="L144" t="inlineStr">
        <is>
          <t>6.0-6.5</t>
        </is>
      </c>
      <c r="M144" t="inlineStr">
        <is>
          <t>6-8</t>
        </is>
      </c>
      <c r="N144" t="inlineStr">
        <is>
          <t>12.0-14.5</t>
        </is>
      </c>
      <c r="O144" s="7" t="inlineStr">
        <is>
          <t>GEMS FirstPoint</t>
        </is>
      </c>
      <c r="P144" s="7" t="inlineStr">
        <is>
          <t>Saudi German Hospital</t>
        </is>
      </c>
      <c r="Q144" s="7" t="inlineStr">
        <is>
          <t>Villanova Marketplace</t>
        </is>
      </c>
      <c r="R144" s="7" t="inlineStr">
        <is>
          <t>Al Ain Rd / E611</t>
        </is>
      </c>
      <c r="S144" t="inlineStr">
        <is>
          <t>25</t>
        </is>
      </c>
      <c r="T144" t="inlineStr">
        <is>
          <t>30</t>
        </is>
      </c>
      <c r="U144" t="inlineStr">
        <is>
          <t>25</t>
        </is>
      </c>
      <c r="V144" t="inlineStr">
        <is>
          <t>30</t>
        </is>
      </c>
      <c r="W144" t="n">
        <v>2</v>
      </c>
      <c r="X144" s="12" t="n">
        <v>1800000</v>
      </c>
      <c r="Y144" s="12" t="n">
        <v>1800000</v>
      </c>
      <c r="Z144" s="9" t="n">
        <v>6</v>
      </c>
      <c r="AA144" s="9" t="n">
        <v>6.5</v>
      </c>
      <c r="AB144" s="9" t="n">
        <v>6</v>
      </c>
      <c r="AC144" s="9" t="n">
        <v>8</v>
      </c>
      <c r="AD144" s="9" t="n">
        <v>12</v>
      </c>
      <c r="AE144" s="9" t="n">
        <v>14.5</v>
      </c>
      <c r="AF144" t="n">
        <v>2022</v>
      </c>
      <c r="AH144" t="inlineStr">
        <is>
          <t>Townhouse</t>
        </is>
      </c>
      <c r="AI144" t="inlineStr">
        <is>
          <t>MainstreamSelective</t>
        </is>
      </c>
      <c r="AJ144" t="inlineStr">
        <is>
          <t>TopTier</t>
        </is>
      </c>
      <c r="AK144" t="inlineStr">
        <is>
          <t>Family-villa resilient</t>
        </is>
      </c>
      <c r="AL144" s="7" t="inlineStr">
        <is>
          <t>Villa/townhouse demand remains relatively firmer, though growth should be slower than the post-2020 surge.</t>
        </is>
      </c>
      <c r="AM144" s="9" t="n">
        <v>7</v>
      </c>
      <c r="AN144" s="9" t="n">
        <v>6.25</v>
      </c>
      <c r="AO144" s="10" t="n">
        <v>0.55</v>
      </c>
      <c r="AP144" s="13" t="n">
        <v>0</v>
      </c>
      <c r="AQ144" s="13" t="n">
        <v>0.015</v>
      </c>
      <c r="AR144" s="13" t="n">
        <v>0</v>
      </c>
      <c r="AS144" s="13" t="n">
        <v>0.025</v>
      </c>
      <c r="AT144" s="13" t="n">
        <v>0.005</v>
      </c>
      <c r="AU144" s="13" t="n">
        <v>0.0025</v>
      </c>
      <c r="AV144" s="13" t="n">
        <v>-0.005</v>
      </c>
      <c r="AW144" s="13">
        <f>IF(X144="","",(AM144/100*AO144)+AP144+AQ144+AR144)</f>
        <v/>
      </c>
      <c r="AX144" s="13">
        <f>IF(X144="","",AS144+AT144+AU144+AV144)</f>
        <v/>
      </c>
      <c r="AY144" s="12">
        <f>IF(AZ144="","",ROUND(AZ144*(1+Assumptions!$B$10),0))</f>
        <v/>
      </c>
      <c r="AZ144" s="12">
        <f>IF(X144="","",ROUND(X144*(1+AW144),0))</f>
        <v/>
      </c>
      <c r="BA144" s="12">
        <f>IF(AZ144="","",ROUND(AZ144*(1+Assumptions!$B$11),0))</f>
        <v/>
      </c>
      <c r="BB144" s="12">
        <f>IF(AZ144="","",ROUND(AZ144*(1+AX144+Assumptions!$B$10),0))</f>
        <v/>
      </c>
      <c r="BC144" s="12">
        <f>IF(AZ144="","",ROUND(AZ144*(1+AX144),0))</f>
        <v/>
      </c>
      <c r="BD144" s="12">
        <f>IF(AZ144="","",ROUND(AZ144*(1+AX144+Assumptions!$B$11),0))</f>
        <v/>
      </c>
      <c r="BE144" s="12">
        <f>IF(AZ144="","",ROUND(AZ144*(1+AX144)*(1+AX144),0))</f>
        <v/>
      </c>
      <c r="BF144" s="7" t="inlineStr">
        <is>
          <t>Rules-based enrichment using launch-price anchor, cap-app realization, and 2026 segment conditions.</t>
        </is>
      </c>
      <c r="BG144" t="inlineStr">
        <is>
          <t>2026-03-17</t>
        </is>
      </c>
      <c r="BH144" s="7" t="inlineStr">
        <is>
          <t>DLD / Digital Dubai / CBUAE / Savills / Knight Frank-Moody’s / Reuters</t>
        </is>
      </c>
    </row>
    <row r="145">
      <c r="A145" t="n">
        <v>144</v>
      </c>
      <c r="B145" s="7" t="inlineStr">
        <is>
          <t>Amaranta</t>
        </is>
      </c>
      <c r="C145" t="inlineStr">
        <is>
          <t>Dubai Properties</t>
        </is>
      </c>
      <c r="D145" t="inlineStr">
        <is>
          <t>Villanova</t>
        </is>
      </c>
      <c r="E145" t="inlineStr">
        <is>
          <t>Townhouses</t>
        </is>
      </c>
      <c r="F145" s="7" t="inlineStr">
        <is>
          <t>Family</t>
        </is>
      </c>
      <c r="G145" t="inlineStr">
        <is>
          <t>Resale (1.6M+)</t>
        </is>
      </c>
      <c r="H145" t="inlineStr">
        <is>
          <t>1000</t>
        </is>
      </c>
      <c r="I145" t="inlineStr">
        <is>
          <t>12</t>
        </is>
      </c>
      <c r="J145" t="inlineStr">
        <is>
          <t>Completed</t>
        </is>
      </c>
      <c r="K145" t="inlineStr">
        <is>
          <t>2017</t>
        </is>
      </c>
      <c r="L145" t="inlineStr">
        <is>
          <t>6.5-7.0</t>
        </is>
      </c>
      <c r="M145" t="inlineStr">
        <is>
          <t>5-7</t>
        </is>
      </c>
      <c r="N145" t="inlineStr">
        <is>
          <t>11.5-14.0</t>
        </is>
      </c>
      <c r="O145" s="7" t="inlineStr">
        <is>
          <t>GEMS FirstPoint</t>
        </is>
      </c>
      <c r="P145" s="7" t="inlineStr">
        <is>
          <t>Saudi German Hospital</t>
        </is>
      </c>
      <c r="Q145" s="7" t="inlineStr">
        <is>
          <t>Villanova Marketplace</t>
        </is>
      </c>
      <c r="R145" s="7" t="inlineStr">
        <is>
          <t>Al Ain Rd / E611</t>
        </is>
      </c>
      <c r="S145" t="inlineStr">
        <is>
          <t>25</t>
        </is>
      </c>
      <c r="T145" t="inlineStr">
        <is>
          <t>30</t>
        </is>
      </c>
      <c r="U145" t="inlineStr">
        <is>
          <t>25</t>
        </is>
      </c>
      <c r="V145" t="inlineStr">
        <is>
          <t>30</t>
        </is>
      </c>
      <c r="W145" t="n">
        <v>2</v>
      </c>
      <c r="X145" s="12" t="n">
        <v>1600000</v>
      </c>
      <c r="Y145" s="12" t="n">
        <v>1600000</v>
      </c>
      <c r="Z145" s="9" t="n">
        <v>6.5</v>
      </c>
      <c r="AA145" s="9" t="n">
        <v>7</v>
      </c>
      <c r="AB145" s="9" t="n">
        <v>5</v>
      </c>
      <c r="AC145" s="9" t="n">
        <v>7</v>
      </c>
      <c r="AD145" s="9" t="n">
        <v>11.5</v>
      </c>
      <c r="AE145" s="9" t="n">
        <v>14</v>
      </c>
      <c r="AF145" t="n">
        <v>2017</v>
      </c>
      <c r="AH145" t="inlineStr">
        <is>
          <t>Townhouse</t>
        </is>
      </c>
      <c r="AI145" t="inlineStr">
        <is>
          <t>MainstreamSelective</t>
        </is>
      </c>
      <c r="AJ145" t="inlineStr">
        <is>
          <t>TopTier</t>
        </is>
      </c>
      <c r="AK145" t="inlineStr">
        <is>
          <t>Family-villa resilient</t>
        </is>
      </c>
      <c r="AL145" s="7" t="inlineStr">
        <is>
          <t>Villa/townhouse demand remains relatively firmer, though growth should be slower than the post-2020 surge.</t>
        </is>
      </c>
      <c r="AM145" s="9" t="n">
        <v>6</v>
      </c>
      <c r="AN145" s="9" t="n">
        <v>6.75</v>
      </c>
      <c r="AO145" s="10" t="n">
        <v>0.55</v>
      </c>
      <c r="AP145" s="13" t="n">
        <v>0</v>
      </c>
      <c r="AQ145" s="13" t="n">
        <v>0.015</v>
      </c>
      <c r="AR145" s="13" t="n">
        <v>0</v>
      </c>
      <c r="AS145" s="13" t="n">
        <v>0.025</v>
      </c>
      <c r="AT145" s="13" t="n">
        <v>0.005</v>
      </c>
      <c r="AU145" s="13" t="n">
        <v>0.0025</v>
      </c>
      <c r="AV145" s="13" t="n">
        <v>-0.005</v>
      </c>
      <c r="AW145" s="13">
        <f>IF(X145="","",(AM145/100*AO145)+AP145+AQ145+AR145)</f>
        <v/>
      </c>
      <c r="AX145" s="13">
        <f>IF(X145="","",AS145+AT145+AU145+AV145)</f>
        <v/>
      </c>
      <c r="AY145" s="12">
        <f>IF(AZ145="","",ROUND(AZ145*(1+Assumptions!$B$10),0))</f>
        <v/>
      </c>
      <c r="AZ145" s="12">
        <f>IF(X145="","",ROUND(X145*(1+AW145),0))</f>
        <v/>
      </c>
      <c r="BA145" s="12">
        <f>IF(AZ145="","",ROUND(AZ145*(1+Assumptions!$B$11),0))</f>
        <v/>
      </c>
      <c r="BB145" s="12">
        <f>IF(AZ145="","",ROUND(AZ145*(1+AX145+Assumptions!$B$10),0))</f>
        <v/>
      </c>
      <c r="BC145" s="12">
        <f>IF(AZ145="","",ROUND(AZ145*(1+AX145),0))</f>
        <v/>
      </c>
      <c r="BD145" s="12">
        <f>IF(AZ145="","",ROUND(AZ145*(1+AX145+Assumptions!$B$11),0))</f>
        <v/>
      </c>
      <c r="BE145" s="12">
        <f>IF(AZ145="","",ROUND(AZ145*(1+AX145)*(1+AX145),0))</f>
        <v/>
      </c>
      <c r="BF145" s="7" t="inlineStr">
        <is>
          <t>Rules-based enrichment using launch-price anchor, cap-app realization, and 2026 segment conditions.</t>
        </is>
      </c>
      <c r="BG145" t="inlineStr">
        <is>
          <t>2026-03-17</t>
        </is>
      </c>
      <c r="BH145" s="7" t="inlineStr">
        <is>
          <t>DLD / Digital Dubai / CBUAE / Savills / Knight Frank-Moody’s / Reuters</t>
        </is>
      </c>
    </row>
    <row r="146">
      <c r="A146" t="n">
        <v>145</v>
      </c>
      <c r="B146" s="7" t="inlineStr">
        <is>
          <t>La Rosa Phase 1</t>
        </is>
      </c>
      <c r="C146" t="inlineStr">
        <is>
          <t>Dubai Properties</t>
        </is>
      </c>
      <c r="D146" t="inlineStr">
        <is>
          <t>Villanova</t>
        </is>
      </c>
      <c r="E146" t="inlineStr">
        <is>
          <t>Townhouses</t>
        </is>
      </c>
      <c r="F146" s="7" t="inlineStr">
        <is>
          <t>Family</t>
        </is>
      </c>
      <c r="G146" t="inlineStr">
        <is>
          <t>Resale (1.7M+)</t>
        </is>
      </c>
      <c r="H146" t="inlineStr">
        <is>
          <t>1050</t>
        </is>
      </c>
      <c r="I146" t="inlineStr">
        <is>
          <t>12</t>
        </is>
      </c>
      <c r="J146" t="inlineStr">
        <is>
          <t>Completed</t>
        </is>
      </c>
      <c r="K146" t="inlineStr">
        <is>
          <t>2019</t>
        </is>
      </c>
      <c r="L146" t="inlineStr">
        <is>
          <t>6.5-7.0</t>
        </is>
      </c>
      <c r="M146" t="inlineStr">
        <is>
          <t>5-7</t>
        </is>
      </c>
      <c r="N146" t="inlineStr">
        <is>
          <t>11.5-14.0</t>
        </is>
      </c>
      <c r="O146" s="7" t="inlineStr">
        <is>
          <t>GEMS FirstPoint</t>
        </is>
      </c>
      <c r="P146" s="7" t="inlineStr">
        <is>
          <t>Saudi German Hospital</t>
        </is>
      </c>
      <c r="Q146" s="7" t="inlineStr">
        <is>
          <t>Villanova Marketplace</t>
        </is>
      </c>
      <c r="R146" s="7" t="inlineStr">
        <is>
          <t>Al Ain Rd / E611</t>
        </is>
      </c>
      <c r="S146" t="inlineStr">
        <is>
          <t>25</t>
        </is>
      </c>
      <c r="T146" t="inlineStr">
        <is>
          <t>30</t>
        </is>
      </c>
      <c r="U146" t="inlineStr">
        <is>
          <t>25</t>
        </is>
      </c>
      <c r="V146" t="inlineStr">
        <is>
          <t>30</t>
        </is>
      </c>
      <c r="W146" t="n">
        <v>2</v>
      </c>
      <c r="X146" s="12" t="n">
        <v>1700000</v>
      </c>
      <c r="Y146" s="12" t="n">
        <v>1700000</v>
      </c>
      <c r="Z146" s="9" t="n">
        <v>6.5</v>
      </c>
      <c r="AA146" s="9" t="n">
        <v>7</v>
      </c>
      <c r="AB146" s="9" t="n">
        <v>5</v>
      </c>
      <c r="AC146" s="9" t="n">
        <v>7</v>
      </c>
      <c r="AD146" s="9" t="n">
        <v>11.5</v>
      </c>
      <c r="AE146" s="9" t="n">
        <v>14</v>
      </c>
      <c r="AF146" t="n">
        <v>2019</v>
      </c>
      <c r="AH146" t="inlineStr">
        <is>
          <t>Townhouse</t>
        </is>
      </c>
      <c r="AI146" t="inlineStr">
        <is>
          <t>MainstreamSelective</t>
        </is>
      </c>
      <c r="AJ146" t="inlineStr">
        <is>
          <t>TopTier</t>
        </is>
      </c>
      <c r="AK146" t="inlineStr">
        <is>
          <t>Family-villa resilient</t>
        </is>
      </c>
      <c r="AL146" s="7" t="inlineStr">
        <is>
          <t>Villa/townhouse demand remains relatively firmer, though growth should be slower than the post-2020 surge.</t>
        </is>
      </c>
      <c r="AM146" s="9" t="n">
        <v>6</v>
      </c>
      <c r="AN146" s="9" t="n">
        <v>6.75</v>
      </c>
      <c r="AO146" s="10" t="n">
        <v>0.55</v>
      </c>
      <c r="AP146" s="13" t="n">
        <v>0</v>
      </c>
      <c r="AQ146" s="13" t="n">
        <v>0.015</v>
      </c>
      <c r="AR146" s="13" t="n">
        <v>0</v>
      </c>
      <c r="AS146" s="13" t="n">
        <v>0.025</v>
      </c>
      <c r="AT146" s="13" t="n">
        <v>0.005</v>
      </c>
      <c r="AU146" s="13" t="n">
        <v>0.0025</v>
      </c>
      <c r="AV146" s="13" t="n">
        <v>-0.005</v>
      </c>
      <c r="AW146" s="13">
        <f>IF(X146="","",(AM146/100*AO146)+AP146+AQ146+AR146)</f>
        <v/>
      </c>
      <c r="AX146" s="13">
        <f>IF(X146="","",AS146+AT146+AU146+AV146)</f>
        <v/>
      </c>
      <c r="AY146" s="12">
        <f>IF(AZ146="","",ROUND(AZ146*(1+Assumptions!$B$10),0))</f>
        <v/>
      </c>
      <c r="AZ146" s="12">
        <f>IF(X146="","",ROUND(X146*(1+AW146),0))</f>
        <v/>
      </c>
      <c r="BA146" s="12">
        <f>IF(AZ146="","",ROUND(AZ146*(1+Assumptions!$B$11),0))</f>
        <v/>
      </c>
      <c r="BB146" s="12">
        <f>IF(AZ146="","",ROUND(AZ146*(1+AX146+Assumptions!$B$10),0))</f>
        <v/>
      </c>
      <c r="BC146" s="12">
        <f>IF(AZ146="","",ROUND(AZ146*(1+AX146),0))</f>
        <v/>
      </c>
      <c r="BD146" s="12">
        <f>IF(AZ146="","",ROUND(AZ146*(1+AX146+Assumptions!$B$11),0))</f>
        <v/>
      </c>
      <c r="BE146" s="12">
        <f>IF(AZ146="","",ROUND(AZ146*(1+AX146)*(1+AX146),0))</f>
        <v/>
      </c>
      <c r="BF146" s="7" t="inlineStr">
        <is>
          <t>Rules-based enrichment using launch-price anchor, cap-app realization, and 2026 segment conditions.</t>
        </is>
      </c>
      <c r="BG146" t="inlineStr">
        <is>
          <t>2026-03-17</t>
        </is>
      </c>
      <c r="BH146" s="7" t="inlineStr">
        <is>
          <t>DLD / Digital Dubai / CBUAE / Savills / Knight Frank-Moody’s / Reuters</t>
        </is>
      </c>
    </row>
    <row r="147">
      <c r="A147" t="n">
        <v>146</v>
      </c>
      <c r="B147" s="7" t="inlineStr">
        <is>
          <t>La Rosa Phase 2</t>
        </is>
      </c>
      <c r="C147" t="inlineStr">
        <is>
          <t>Dubai Properties</t>
        </is>
      </c>
      <c r="D147" t="inlineStr">
        <is>
          <t>Villanova</t>
        </is>
      </c>
      <c r="E147" t="inlineStr">
        <is>
          <t>Townhouses</t>
        </is>
      </c>
      <c r="F147" s="7" t="inlineStr">
        <is>
          <t>Family</t>
        </is>
      </c>
      <c r="G147" t="inlineStr">
        <is>
          <t>Resale (1.75M+)</t>
        </is>
      </c>
      <c r="H147" t="inlineStr">
        <is>
          <t>1050</t>
        </is>
      </c>
      <c r="I147" t="inlineStr">
        <is>
          <t>12</t>
        </is>
      </c>
      <c r="J147" t="inlineStr">
        <is>
          <t>Completed</t>
        </is>
      </c>
      <c r="K147" t="inlineStr">
        <is>
          <t>2019</t>
        </is>
      </c>
      <c r="L147" t="inlineStr">
        <is>
          <t>6.5-7.0</t>
        </is>
      </c>
      <c r="M147" t="inlineStr">
        <is>
          <t>5-7</t>
        </is>
      </c>
      <c r="N147" t="inlineStr">
        <is>
          <t>11.5-14.0</t>
        </is>
      </c>
      <c r="O147" s="7" t="inlineStr">
        <is>
          <t>GEMS FirstPoint</t>
        </is>
      </c>
      <c r="P147" s="7" t="inlineStr">
        <is>
          <t>Saudi German Hospital</t>
        </is>
      </c>
      <c r="Q147" s="7" t="inlineStr">
        <is>
          <t>Villanova Marketplace</t>
        </is>
      </c>
      <c r="R147" s="7" t="inlineStr">
        <is>
          <t>Al Ain Rd / E611</t>
        </is>
      </c>
      <c r="S147" t="inlineStr">
        <is>
          <t>25</t>
        </is>
      </c>
      <c r="T147" t="inlineStr">
        <is>
          <t>30</t>
        </is>
      </c>
      <c r="U147" t="inlineStr">
        <is>
          <t>25</t>
        </is>
      </c>
      <c r="V147" t="inlineStr">
        <is>
          <t>30</t>
        </is>
      </c>
      <c r="W147" t="n">
        <v>2</v>
      </c>
      <c r="X147" s="12" t="n">
        <v>1750000</v>
      </c>
      <c r="Y147" s="12" t="n">
        <v>1750000</v>
      </c>
      <c r="Z147" s="9" t="n">
        <v>6.5</v>
      </c>
      <c r="AA147" s="9" t="n">
        <v>7</v>
      </c>
      <c r="AB147" s="9" t="n">
        <v>5</v>
      </c>
      <c r="AC147" s="9" t="n">
        <v>7</v>
      </c>
      <c r="AD147" s="9" t="n">
        <v>11.5</v>
      </c>
      <c r="AE147" s="9" t="n">
        <v>14</v>
      </c>
      <c r="AF147" t="n">
        <v>2019</v>
      </c>
      <c r="AH147" t="inlineStr">
        <is>
          <t>Townhouse</t>
        </is>
      </c>
      <c r="AI147" t="inlineStr">
        <is>
          <t>MainstreamSelective</t>
        </is>
      </c>
      <c r="AJ147" t="inlineStr">
        <is>
          <t>TopTier</t>
        </is>
      </c>
      <c r="AK147" t="inlineStr">
        <is>
          <t>Family-villa resilient</t>
        </is>
      </c>
      <c r="AL147" s="7" t="inlineStr">
        <is>
          <t>Villa/townhouse demand remains relatively firmer, though growth should be slower than the post-2020 surge.</t>
        </is>
      </c>
      <c r="AM147" s="9" t="n">
        <v>6</v>
      </c>
      <c r="AN147" s="9" t="n">
        <v>6.75</v>
      </c>
      <c r="AO147" s="10" t="n">
        <v>0.55</v>
      </c>
      <c r="AP147" s="13" t="n">
        <v>0</v>
      </c>
      <c r="AQ147" s="13" t="n">
        <v>0.015</v>
      </c>
      <c r="AR147" s="13" t="n">
        <v>0</v>
      </c>
      <c r="AS147" s="13" t="n">
        <v>0.025</v>
      </c>
      <c r="AT147" s="13" t="n">
        <v>0.005</v>
      </c>
      <c r="AU147" s="13" t="n">
        <v>0.0025</v>
      </c>
      <c r="AV147" s="13" t="n">
        <v>-0.005</v>
      </c>
      <c r="AW147" s="13">
        <f>IF(X147="","",(AM147/100*AO147)+AP147+AQ147+AR147)</f>
        <v/>
      </c>
      <c r="AX147" s="13">
        <f>IF(X147="","",AS147+AT147+AU147+AV147)</f>
        <v/>
      </c>
      <c r="AY147" s="12">
        <f>IF(AZ147="","",ROUND(AZ147*(1+Assumptions!$B$10),0))</f>
        <v/>
      </c>
      <c r="AZ147" s="12">
        <f>IF(X147="","",ROUND(X147*(1+AW147),0))</f>
        <v/>
      </c>
      <c r="BA147" s="12">
        <f>IF(AZ147="","",ROUND(AZ147*(1+Assumptions!$B$11),0))</f>
        <v/>
      </c>
      <c r="BB147" s="12">
        <f>IF(AZ147="","",ROUND(AZ147*(1+AX147+Assumptions!$B$10),0))</f>
        <v/>
      </c>
      <c r="BC147" s="12">
        <f>IF(AZ147="","",ROUND(AZ147*(1+AX147),0))</f>
        <v/>
      </c>
      <c r="BD147" s="12">
        <f>IF(AZ147="","",ROUND(AZ147*(1+AX147+Assumptions!$B$11),0))</f>
        <v/>
      </c>
      <c r="BE147" s="12">
        <f>IF(AZ147="","",ROUND(AZ147*(1+AX147)*(1+AX147),0))</f>
        <v/>
      </c>
      <c r="BF147" s="7" t="inlineStr">
        <is>
          <t>Rules-based enrichment using launch-price anchor, cap-app realization, and 2026 segment conditions.</t>
        </is>
      </c>
      <c r="BG147" t="inlineStr">
        <is>
          <t>2026-03-17</t>
        </is>
      </c>
      <c r="BH147" s="7" t="inlineStr">
        <is>
          <t>DLD / Digital Dubai / CBUAE / Savills / Knight Frank-Moody’s / Reuters</t>
        </is>
      </c>
    </row>
    <row r="148">
      <c r="A148" t="n">
        <v>147</v>
      </c>
      <c r="B148" s="7" t="inlineStr">
        <is>
          <t>La Rosa Phase 3</t>
        </is>
      </c>
      <c r="C148" t="inlineStr">
        <is>
          <t>Dubai Properties</t>
        </is>
      </c>
      <c r="D148" t="inlineStr">
        <is>
          <t>Villanova</t>
        </is>
      </c>
      <c r="E148" t="inlineStr">
        <is>
          <t>Townhouses</t>
        </is>
      </c>
      <c r="F148" s="7" t="inlineStr">
        <is>
          <t>Family</t>
        </is>
      </c>
      <c r="G148" t="inlineStr">
        <is>
          <t>Resale (1.8M+)</t>
        </is>
      </c>
      <c r="H148" t="inlineStr">
        <is>
          <t>1050</t>
        </is>
      </c>
      <c r="I148" t="inlineStr">
        <is>
          <t>12</t>
        </is>
      </c>
      <c r="J148" t="inlineStr">
        <is>
          <t>Completed</t>
        </is>
      </c>
      <c r="K148" t="inlineStr">
        <is>
          <t>2020</t>
        </is>
      </c>
      <c r="L148" t="inlineStr">
        <is>
          <t>6.5-7.0</t>
        </is>
      </c>
      <c r="M148" t="inlineStr">
        <is>
          <t>5-7</t>
        </is>
      </c>
      <c r="N148" t="inlineStr">
        <is>
          <t>11.5-14.0</t>
        </is>
      </c>
      <c r="O148" s="7" t="inlineStr">
        <is>
          <t>GEMS FirstPoint</t>
        </is>
      </c>
      <c r="P148" s="7" t="inlineStr">
        <is>
          <t>Saudi German Hospital</t>
        </is>
      </c>
      <c r="Q148" s="7" t="inlineStr">
        <is>
          <t>Villanova Marketplace</t>
        </is>
      </c>
      <c r="R148" s="7" t="inlineStr">
        <is>
          <t>Al Ain Rd / E611</t>
        </is>
      </c>
      <c r="S148" t="inlineStr">
        <is>
          <t>25</t>
        </is>
      </c>
      <c r="T148" t="inlineStr">
        <is>
          <t>30</t>
        </is>
      </c>
      <c r="U148" t="inlineStr">
        <is>
          <t>25</t>
        </is>
      </c>
      <c r="V148" t="inlineStr">
        <is>
          <t>30</t>
        </is>
      </c>
      <c r="W148" t="n">
        <v>2</v>
      </c>
      <c r="X148" s="12" t="n">
        <v>1800000</v>
      </c>
      <c r="Y148" s="12" t="n">
        <v>1800000</v>
      </c>
      <c r="Z148" s="9" t="n">
        <v>6.5</v>
      </c>
      <c r="AA148" s="9" t="n">
        <v>7</v>
      </c>
      <c r="AB148" s="9" t="n">
        <v>5</v>
      </c>
      <c r="AC148" s="9" t="n">
        <v>7</v>
      </c>
      <c r="AD148" s="9" t="n">
        <v>11.5</v>
      </c>
      <c r="AE148" s="9" t="n">
        <v>14</v>
      </c>
      <c r="AF148" t="n">
        <v>2020</v>
      </c>
      <c r="AH148" t="inlineStr">
        <is>
          <t>Townhouse</t>
        </is>
      </c>
      <c r="AI148" t="inlineStr">
        <is>
          <t>MainstreamSelective</t>
        </is>
      </c>
      <c r="AJ148" t="inlineStr">
        <is>
          <t>TopTier</t>
        </is>
      </c>
      <c r="AK148" t="inlineStr">
        <is>
          <t>Family-villa resilient</t>
        </is>
      </c>
      <c r="AL148" s="7" t="inlineStr">
        <is>
          <t>Villa/townhouse demand remains relatively firmer, though growth should be slower than the post-2020 surge.</t>
        </is>
      </c>
      <c r="AM148" s="9" t="n">
        <v>6</v>
      </c>
      <c r="AN148" s="9" t="n">
        <v>6.75</v>
      </c>
      <c r="AO148" s="10" t="n">
        <v>0.55</v>
      </c>
      <c r="AP148" s="13" t="n">
        <v>0</v>
      </c>
      <c r="AQ148" s="13" t="n">
        <v>0.015</v>
      </c>
      <c r="AR148" s="13" t="n">
        <v>0</v>
      </c>
      <c r="AS148" s="13" t="n">
        <v>0.025</v>
      </c>
      <c r="AT148" s="13" t="n">
        <v>0.005</v>
      </c>
      <c r="AU148" s="13" t="n">
        <v>0.0025</v>
      </c>
      <c r="AV148" s="13" t="n">
        <v>-0.005</v>
      </c>
      <c r="AW148" s="13">
        <f>IF(X148="","",(AM148/100*AO148)+AP148+AQ148+AR148)</f>
        <v/>
      </c>
      <c r="AX148" s="13">
        <f>IF(X148="","",AS148+AT148+AU148+AV148)</f>
        <v/>
      </c>
      <c r="AY148" s="12">
        <f>IF(AZ148="","",ROUND(AZ148*(1+Assumptions!$B$10),0))</f>
        <v/>
      </c>
      <c r="AZ148" s="12">
        <f>IF(X148="","",ROUND(X148*(1+AW148),0))</f>
        <v/>
      </c>
      <c r="BA148" s="12">
        <f>IF(AZ148="","",ROUND(AZ148*(1+Assumptions!$B$11),0))</f>
        <v/>
      </c>
      <c r="BB148" s="12">
        <f>IF(AZ148="","",ROUND(AZ148*(1+AX148+Assumptions!$B$10),0))</f>
        <v/>
      </c>
      <c r="BC148" s="12">
        <f>IF(AZ148="","",ROUND(AZ148*(1+AX148),0))</f>
        <v/>
      </c>
      <c r="BD148" s="12">
        <f>IF(AZ148="","",ROUND(AZ148*(1+AX148+Assumptions!$B$11),0))</f>
        <v/>
      </c>
      <c r="BE148" s="12">
        <f>IF(AZ148="","",ROUND(AZ148*(1+AX148)*(1+AX148),0))</f>
        <v/>
      </c>
      <c r="BF148" s="7" t="inlineStr">
        <is>
          <t>Rules-based enrichment using launch-price anchor, cap-app realization, and 2026 segment conditions.</t>
        </is>
      </c>
      <c r="BG148" t="inlineStr">
        <is>
          <t>2026-03-17</t>
        </is>
      </c>
      <c r="BH148" s="7" t="inlineStr">
        <is>
          <t>DLD / Digital Dubai / CBUAE / Savills / Knight Frank-Moody’s / Reuters</t>
        </is>
      </c>
    </row>
    <row r="149">
      <c r="A149" t="n">
        <v>148</v>
      </c>
      <c r="B149" s="7" t="inlineStr">
        <is>
          <t>La Rosa Phase 4</t>
        </is>
      </c>
      <c r="C149" t="inlineStr">
        <is>
          <t>Dubai Properties</t>
        </is>
      </c>
      <c r="D149" t="inlineStr">
        <is>
          <t>Villanova</t>
        </is>
      </c>
      <c r="E149" t="inlineStr">
        <is>
          <t>Townhouses</t>
        </is>
      </c>
      <c r="F149" s="7" t="inlineStr">
        <is>
          <t>Family</t>
        </is>
      </c>
      <c r="G149" t="inlineStr">
        <is>
          <t>Resale (1.85M+)</t>
        </is>
      </c>
      <c r="H149" t="inlineStr">
        <is>
          <t>1100</t>
        </is>
      </c>
      <c r="I149" t="inlineStr">
        <is>
          <t>12</t>
        </is>
      </c>
      <c r="J149" t="inlineStr">
        <is>
          <t>Completed</t>
        </is>
      </c>
      <c r="K149" t="inlineStr">
        <is>
          <t>2021</t>
        </is>
      </c>
      <c r="L149" t="inlineStr">
        <is>
          <t>6.5-7.0</t>
        </is>
      </c>
      <c r="M149" t="inlineStr">
        <is>
          <t>5-7</t>
        </is>
      </c>
      <c r="N149" t="inlineStr">
        <is>
          <t>11.5-14.0</t>
        </is>
      </c>
      <c r="O149" s="7" t="inlineStr">
        <is>
          <t>GEMS FirstPoint</t>
        </is>
      </c>
      <c r="P149" s="7" t="inlineStr">
        <is>
          <t>Saudi German Hospital</t>
        </is>
      </c>
      <c r="Q149" s="7" t="inlineStr">
        <is>
          <t>Villanova Marketplace</t>
        </is>
      </c>
      <c r="R149" s="7" t="inlineStr">
        <is>
          <t>Al Ain Rd / E611</t>
        </is>
      </c>
      <c r="S149" t="inlineStr">
        <is>
          <t>25</t>
        </is>
      </c>
      <c r="T149" t="inlineStr">
        <is>
          <t>30</t>
        </is>
      </c>
      <c r="U149" t="inlineStr">
        <is>
          <t>25</t>
        </is>
      </c>
      <c r="V149" t="inlineStr">
        <is>
          <t>30</t>
        </is>
      </c>
      <c r="W149" t="n">
        <v>2</v>
      </c>
      <c r="X149" s="12" t="n">
        <v>1850000</v>
      </c>
      <c r="Y149" s="12" t="n">
        <v>1850000</v>
      </c>
      <c r="Z149" s="9" t="n">
        <v>6.5</v>
      </c>
      <c r="AA149" s="9" t="n">
        <v>7</v>
      </c>
      <c r="AB149" s="9" t="n">
        <v>5</v>
      </c>
      <c r="AC149" s="9" t="n">
        <v>7</v>
      </c>
      <c r="AD149" s="9" t="n">
        <v>11.5</v>
      </c>
      <c r="AE149" s="9" t="n">
        <v>14</v>
      </c>
      <c r="AF149" t="n">
        <v>2021</v>
      </c>
      <c r="AH149" t="inlineStr">
        <is>
          <t>Townhouse</t>
        </is>
      </c>
      <c r="AI149" t="inlineStr">
        <is>
          <t>MainstreamSelective</t>
        </is>
      </c>
      <c r="AJ149" t="inlineStr">
        <is>
          <t>TopTier</t>
        </is>
      </c>
      <c r="AK149" t="inlineStr">
        <is>
          <t>Family-villa resilient</t>
        </is>
      </c>
      <c r="AL149" s="7" t="inlineStr">
        <is>
          <t>Villa/townhouse demand remains relatively firmer, though growth should be slower than the post-2020 surge.</t>
        </is>
      </c>
      <c r="AM149" s="9" t="n">
        <v>6</v>
      </c>
      <c r="AN149" s="9" t="n">
        <v>6.75</v>
      </c>
      <c r="AO149" s="10" t="n">
        <v>0.55</v>
      </c>
      <c r="AP149" s="13" t="n">
        <v>0</v>
      </c>
      <c r="AQ149" s="13" t="n">
        <v>0.015</v>
      </c>
      <c r="AR149" s="13" t="n">
        <v>0</v>
      </c>
      <c r="AS149" s="13" t="n">
        <v>0.025</v>
      </c>
      <c r="AT149" s="13" t="n">
        <v>0.005</v>
      </c>
      <c r="AU149" s="13" t="n">
        <v>0.0025</v>
      </c>
      <c r="AV149" s="13" t="n">
        <v>-0.005</v>
      </c>
      <c r="AW149" s="13">
        <f>IF(X149="","",(AM149/100*AO149)+AP149+AQ149+AR149)</f>
        <v/>
      </c>
      <c r="AX149" s="13">
        <f>IF(X149="","",AS149+AT149+AU149+AV149)</f>
        <v/>
      </c>
      <c r="AY149" s="12">
        <f>IF(AZ149="","",ROUND(AZ149*(1+Assumptions!$B$10),0))</f>
        <v/>
      </c>
      <c r="AZ149" s="12">
        <f>IF(X149="","",ROUND(X149*(1+AW149),0))</f>
        <v/>
      </c>
      <c r="BA149" s="12">
        <f>IF(AZ149="","",ROUND(AZ149*(1+Assumptions!$B$11),0))</f>
        <v/>
      </c>
      <c r="BB149" s="12">
        <f>IF(AZ149="","",ROUND(AZ149*(1+AX149+Assumptions!$B$10),0))</f>
        <v/>
      </c>
      <c r="BC149" s="12">
        <f>IF(AZ149="","",ROUND(AZ149*(1+AX149),0))</f>
        <v/>
      </c>
      <c r="BD149" s="12">
        <f>IF(AZ149="","",ROUND(AZ149*(1+AX149+Assumptions!$B$11),0))</f>
        <v/>
      </c>
      <c r="BE149" s="12">
        <f>IF(AZ149="","",ROUND(AZ149*(1+AX149)*(1+AX149),0))</f>
        <v/>
      </c>
      <c r="BF149" s="7" t="inlineStr">
        <is>
          <t>Rules-based enrichment using launch-price anchor, cap-app realization, and 2026 segment conditions.</t>
        </is>
      </c>
      <c r="BG149" t="inlineStr">
        <is>
          <t>2026-03-17</t>
        </is>
      </c>
      <c r="BH149" s="7" t="inlineStr">
        <is>
          <t>DLD / Digital Dubai / CBUAE / Savills / Knight Frank-Moody’s / Reuters</t>
        </is>
      </c>
    </row>
    <row r="150">
      <c r="A150" t="n">
        <v>149</v>
      </c>
      <c r="B150" s="7" t="inlineStr">
        <is>
          <t>La Rosa Phase 5</t>
        </is>
      </c>
      <c r="C150" t="inlineStr">
        <is>
          <t>Dubai Properties</t>
        </is>
      </c>
      <c r="D150" t="inlineStr">
        <is>
          <t>Villanova</t>
        </is>
      </c>
      <c r="E150" t="inlineStr">
        <is>
          <t>Townhouses</t>
        </is>
      </c>
      <c r="F150" s="7" t="inlineStr">
        <is>
          <t>Family</t>
        </is>
      </c>
      <c r="G150" t="inlineStr">
        <is>
          <t>Resale (1.9M+)</t>
        </is>
      </c>
      <c r="H150" t="inlineStr">
        <is>
          <t>1100</t>
        </is>
      </c>
      <c r="I150" t="inlineStr">
        <is>
          <t>12</t>
        </is>
      </c>
      <c r="J150" t="inlineStr">
        <is>
          <t>Completed</t>
        </is>
      </c>
      <c r="K150" t="inlineStr">
        <is>
          <t>2021</t>
        </is>
      </c>
      <c r="L150" t="inlineStr">
        <is>
          <t>6.5-7.0</t>
        </is>
      </c>
      <c r="M150" t="inlineStr">
        <is>
          <t>5-7</t>
        </is>
      </c>
      <c r="N150" t="inlineStr">
        <is>
          <t>11.5-14.0</t>
        </is>
      </c>
      <c r="O150" s="7" t="inlineStr">
        <is>
          <t>GEMS FirstPoint</t>
        </is>
      </c>
      <c r="P150" s="7" t="inlineStr">
        <is>
          <t>Saudi German Hospital</t>
        </is>
      </c>
      <c r="Q150" s="7" t="inlineStr">
        <is>
          <t>Villanova Marketplace</t>
        </is>
      </c>
      <c r="R150" s="7" t="inlineStr">
        <is>
          <t>Al Ain Rd / E611</t>
        </is>
      </c>
      <c r="S150" t="inlineStr">
        <is>
          <t>25</t>
        </is>
      </c>
      <c r="T150" t="inlineStr">
        <is>
          <t>30</t>
        </is>
      </c>
      <c r="U150" t="inlineStr">
        <is>
          <t>25</t>
        </is>
      </c>
      <c r="V150" t="inlineStr">
        <is>
          <t>30</t>
        </is>
      </c>
      <c r="W150" t="n">
        <v>2</v>
      </c>
      <c r="X150" s="12" t="n">
        <v>1900000</v>
      </c>
      <c r="Y150" s="12" t="n">
        <v>1900000</v>
      </c>
      <c r="Z150" s="9" t="n">
        <v>6.5</v>
      </c>
      <c r="AA150" s="9" t="n">
        <v>7</v>
      </c>
      <c r="AB150" s="9" t="n">
        <v>5</v>
      </c>
      <c r="AC150" s="9" t="n">
        <v>7</v>
      </c>
      <c r="AD150" s="9" t="n">
        <v>11.5</v>
      </c>
      <c r="AE150" s="9" t="n">
        <v>14</v>
      </c>
      <c r="AF150" t="n">
        <v>2021</v>
      </c>
      <c r="AH150" t="inlineStr">
        <is>
          <t>Townhouse</t>
        </is>
      </c>
      <c r="AI150" t="inlineStr">
        <is>
          <t>MainstreamSelective</t>
        </is>
      </c>
      <c r="AJ150" t="inlineStr">
        <is>
          <t>TopTier</t>
        </is>
      </c>
      <c r="AK150" t="inlineStr">
        <is>
          <t>Family-villa resilient</t>
        </is>
      </c>
      <c r="AL150" s="7" t="inlineStr">
        <is>
          <t>Villa/townhouse demand remains relatively firmer, though growth should be slower than the post-2020 surge.</t>
        </is>
      </c>
      <c r="AM150" s="9" t="n">
        <v>6</v>
      </c>
      <c r="AN150" s="9" t="n">
        <v>6.75</v>
      </c>
      <c r="AO150" s="10" t="n">
        <v>0.55</v>
      </c>
      <c r="AP150" s="13" t="n">
        <v>0</v>
      </c>
      <c r="AQ150" s="13" t="n">
        <v>0.015</v>
      </c>
      <c r="AR150" s="13" t="n">
        <v>0</v>
      </c>
      <c r="AS150" s="13" t="n">
        <v>0.025</v>
      </c>
      <c r="AT150" s="13" t="n">
        <v>0.005</v>
      </c>
      <c r="AU150" s="13" t="n">
        <v>0.0025</v>
      </c>
      <c r="AV150" s="13" t="n">
        <v>-0.005</v>
      </c>
      <c r="AW150" s="13">
        <f>IF(X150="","",(AM150/100*AO150)+AP150+AQ150+AR150)</f>
        <v/>
      </c>
      <c r="AX150" s="13">
        <f>IF(X150="","",AS150+AT150+AU150+AV150)</f>
        <v/>
      </c>
      <c r="AY150" s="12">
        <f>IF(AZ150="","",ROUND(AZ150*(1+Assumptions!$B$10),0))</f>
        <v/>
      </c>
      <c r="AZ150" s="12">
        <f>IF(X150="","",ROUND(X150*(1+AW150),0))</f>
        <v/>
      </c>
      <c r="BA150" s="12">
        <f>IF(AZ150="","",ROUND(AZ150*(1+Assumptions!$B$11),0))</f>
        <v/>
      </c>
      <c r="BB150" s="12">
        <f>IF(AZ150="","",ROUND(AZ150*(1+AX150+Assumptions!$B$10),0))</f>
        <v/>
      </c>
      <c r="BC150" s="12">
        <f>IF(AZ150="","",ROUND(AZ150*(1+AX150),0))</f>
        <v/>
      </c>
      <c r="BD150" s="12">
        <f>IF(AZ150="","",ROUND(AZ150*(1+AX150+Assumptions!$B$11),0))</f>
        <v/>
      </c>
      <c r="BE150" s="12">
        <f>IF(AZ150="","",ROUND(AZ150*(1+AX150)*(1+AX150),0))</f>
        <v/>
      </c>
      <c r="BF150" s="7" t="inlineStr">
        <is>
          <t>Rules-based enrichment using launch-price anchor, cap-app realization, and 2026 segment conditions.</t>
        </is>
      </c>
      <c r="BG150" t="inlineStr">
        <is>
          <t>2026-03-17</t>
        </is>
      </c>
      <c r="BH150" s="7" t="inlineStr">
        <is>
          <t>DLD / Digital Dubai / CBUAE / Savills / Knight Frank-Moody’s / Reuters</t>
        </is>
      </c>
    </row>
    <row r="151">
      <c r="A151" t="n">
        <v>150</v>
      </c>
      <c r="B151" s="7" t="inlineStr">
        <is>
          <t>La Rosa Phase 6</t>
        </is>
      </c>
      <c r="C151" t="inlineStr">
        <is>
          <t>Dubai Properties</t>
        </is>
      </c>
      <c r="D151" t="inlineStr">
        <is>
          <t>Villanova</t>
        </is>
      </c>
      <c r="E151" t="inlineStr">
        <is>
          <t>Townhouses</t>
        </is>
      </c>
      <c r="F151" s="7" t="inlineStr">
        <is>
          <t>Family</t>
        </is>
      </c>
      <c r="G151" t="inlineStr">
        <is>
          <t>2.0M</t>
        </is>
      </c>
      <c r="H151" t="inlineStr">
        <is>
          <t>1150</t>
        </is>
      </c>
      <c r="I151" t="inlineStr">
        <is>
          <t>12</t>
        </is>
      </c>
      <c r="J151" t="inlineStr">
        <is>
          <t>50/50</t>
        </is>
      </c>
      <c r="K151" t="inlineStr">
        <is>
          <t>2022</t>
        </is>
      </c>
      <c r="L151" t="inlineStr">
        <is>
          <t>6.0-6.5</t>
        </is>
      </c>
      <c r="M151" t="inlineStr">
        <is>
          <t>5-7</t>
        </is>
      </c>
      <c r="N151" t="inlineStr">
        <is>
          <t>11.0-13.5</t>
        </is>
      </c>
      <c r="O151" s="7" t="inlineStr">
        <is>
          <t>GEMS FirstPoint</t>
        </is>
      </c>
      <c r="P151" s="7" t="inlineStr">
        <is>
          <t>Saudi German Hospital</t>
        </is>
      </c>
      <c r="Q151" s="7" t="inlineStr">
        <is>
          <t>Villanova Marketplace</t>
        </is>
      </c>
      <c r="R151" s="7" t="inlineStr">
        <is>
          <t>Al Ain Rd / E611</t>
        </is>
      </c>
      <c r="S151" t="inlineStr">
        <is>
          <t>25</t>
        </is>
      </c>
      <c r="T151" t="inlineStr">
        <is>
          <t>30</t>
        </is>
      </c>
      <c r="U151" t="inlineStr">
        <is>
          <t>25</t>
        </is>
      </c>
      <c r="V151" t="inlineStr">
        <is>
          <t>30</t>
        </is>
      </c>
      <c r="W151" t="n">
        <v>2</v>
      </c>
      <c r="X151" s="12" t="n">
        <v>2000000</v>
      </c>
      <c r="Y151" s="12" t="n">
        <v>2000000</v>
      </c>
      <c r="Z151" s="9" t="n">
        <v>6</v>
      </c>
      <c r="AA151" s="9" t="n">
        <v>6.5</v>
      </c>
      <c r="AB151" s="9" t="n">
        <v>5</v>
      </c>
      <c r="AC151" s="9" t="n">
        <v>7</v>
      </c>
      <c r="AD151" s="9" t="n">
        <v>11</v>
      </c>
      <c r="AE151" s="9" t="n">
        <v>13.5</v>
      </c>
      <c r="AF151" t="n">
        <v>2022</v>
      </c>
      <c r="AH151" t="inlineStr">
        <is>
          <t>Townhouse</t>
        </is>
      </c>
      <c r="AI151" t="inlineStr">
        <is>
          <t>MainstreamSelective</t>
        </is>
      </c>
      <c r="AJ151" t="inlineStr">
        <is>
          <t>TopTier</t>
        </is>
      </c>
      <c r="AK151" t="inlineStr">
        <is>
          <t>Family-villa resilient</t>
        </is>
      </c>
      <c r="AL151" s="7" t="inlineStr">
        <is>
          <t>Villa/townhouse demand remains relatively firmer, though growth should be slower than the post-2020 surge.</t>
        </is>
      </c>
      <c r="AM151" s="9" t="n">
        <v>6</v>
      </c>
      <c r="AN151" s="9" t="n">
        <v>6.25</v>
      </c>
      <c r="AO151" s="10" t="n">
        <v>0.55</v>
      </c>
      <c r="AP151" s="13" t="n">
        <v>0</v>
      </c>
      <c r="AQ151" s="13" t="n">
        <v>0.015</v>
      </c>
      <c r="AR151" s="13" t="n">
        <v>0</v>
      </c>
      <c r="AS151" s="13" t="n">
        <v>0.025</v>
      </c>
      <c r="AT151" s="13" t="n">
        <v>0.005</v>
      </c>
      <c r="AU151" s="13" t="n">
        <v>0.0025</v>
      </c>
      <c r="AV151" s="13" t="n">
        <v>-0.005</v>
      </c>
      <c r="AW151" s="13">
        <f>IF(X151="","",(AM151/100*AO151)+AP151+AQ151+AR151)</f>
        <v/>
      </c>
      <c r="AX151" s="13">
        <f>IF(X151="","",AS151+AT151+AU151+AV151)</f>
        <v/>
      </c>
      <c r="AY151" s="12">
        <f>IF(AZ151="","",ROUND(AZ151*(1+Assumptions!$B$10),0))</f>
        <v/>
      </c>
      <c r="AZ151" s="12">
        <f>IF(X151="","",ROUND(X151*(1+AW151),0))</f>
        <v/>
      </c>
      <c r="BA151" s="12">
        <f>IF(AZ151="","",ROUND(AZ151*(1+Assumptions!$B$11),0))</f>
        <v/>
      </c>
      <c r="BB151" s="12">
        <f>IF(AZ151="","",ROUND(AZ151*(1+AX151+Assumptions!$B$10),0))</f>
        <v/>
      </c>
      <c r="BC151" s="12">
        <f>IF(AZ151="","",ROUND(AZ151*(1+AX151),0))</f>
        <v/>
      </c>
      <c r="BD151" s="12">
        <f>IF(AZ151="","",ROUND(AZ151*(1+AX151+Assumptions!$B$11),0))</f>
        <v/>
      </c>
      <c r="BE151" s="12">
        <f>IF(AZ151="","",ROUND(AZ151*(1+AX151)*(1+AX151),0))</f>
        <v/>
      </c>
      <c r="BF151" s="7" t="inlineStr">
        <is>
          <t>Rules-based enrichment using launch-price anchor, cap-app realization, and 2026 segment conditions.</t>
        </is>
      </c>
      <c r="BG151" t="inlineStr">
        <is>
          <t>2026-03-17</t>
        </is>
      </c>
      <c r="BH151" s="7" t="inlineStr">
        <is>
          <t>DLD / Digital Dubai / CBUAE / Savills / Knight Frank-Moody’s / Reuters</t>
        </is>
      </c>
    </row>
    <row r="152">
      <c r="A152" t="n">
        <v>151</v>
      </c>
      <c r="B152" s="7" t="inlineStr">
        <is>
          <t>Jumeirah Beach Residence (JBR)</t>
        </is>
      </c>
      <c r="C152" t="inlineStr">
        <is>
          <t>Dubai Properties</t>
        </is>
      </c>
      <c r="D152" t="inlineStr">
        <is>
          <t>Marina/Beach</t>
        </is>
      </c>
      <c r="E152" t="inlineStr">
        <is>
          <t>Apartments</t>
        </is>
      </c>
      <c r="F152" s="7" t="inlineStr">
        <is>
          <t>Beachfront / High-Rise</t>
        </is>
      </c>
      <c r="I152" t="inlineStr">
        <is>
          <t>25</t>
        </is>
      </c>
      <c r="J152" t="inlineStr">
        <is>
          <t>Completed</t>
        </is>
      </c>
      <c r="K152" t="inlineStr">
        <is>
          <t>2007</t>
        </is>
      </c>
      <c r="L152" t="inlineStr">
        <is>
          <t>5.5-6.5</t>
        </is>
      </c>
      <c r="M152" t="inlineStr">
        <is>
          <t>5-7</t>
        </is>
      </c>
      <c r="N152" t="inlineStr">
        <is>
          <t>10.5-13.5</t>
        </is>
      </c>
      <c r="O152" s="7" t="inlineStr">
        <is>
          <t>Emirates Intl School</t>
        </is>
      </c>
      <c r="P152" s="7" t="inlineStr">
        <is>
          <t>Emirates Hospital</t>
        </is>
      </c>
      <c r="Q152" s="7" t="inlineStr">
        <is>
          <t>Dubai Marina Mall</t>
        </is>
      </c>
      <c r="R152" s="7" t="inlineStr">
        <is>
          <t>Sheikh Zayed E11</t>
        </is>
      </c>
      <c r="S152" t="inlineStr">
        <is>
          <t>20</t>
        </is>
      </c>
      <c r="T152" t="inlineStr">
        <is>
          <t>2</t>
        </is>
      </c>
      <c r="U152" t="inlineStr">
        <is>
          <t>25</t>
        </is>
      </c>
      <c r="V152" t="inlineStr">
        <is>
          <t>30</t>
        </is>
      </c>
      <c r="W152" t="n">
        <v>2</v>
      </c>
      <c r="X152" s="12" t="n"/>
      <c r="Y152" s="12" t="n"/>
      <c r="Z152" s="9" t="n">
        <v>5.5</v>
      </c>
      <c r="AA152" s="9" t="n">
        <v>6.5</v>
      </c>
      <c r="AB152" s="9" t="n">
        <v>5</v>
      </c>
      <c r="AC152" s="9" t="n">
        <v>7</v>
      </c>
      <c r="AD152" s="9" t="n">
        <v>10.5</v>
      </c>
      <c r="AE152" s="9" t="n">
        <v>13.5</v>
      </c>
      <c r="AF152" t="n">
        <v>2007</v>
      </c>
      <c r="AH152" t="inlineStr">
        <is>
          <t>Apartment</t>
        </is>
      </c>
      <c r="AI152" t="inlineStr">
        <is>
          <t>MainstreamSelective</t>
        </is>
      </c>
      <c r="AJ152" t="inlineStr">
        <is>
          <t>TopTier</t>
        </is>
      </c>
      <c r="AK152" t="inlineStr">
        <is>
          <t>Balanced / selective</t>
        </is>
      </c>
      <c r="AL152" s="7" t="inlineStr">
        <is>
          <t>Market remains active but increasingly differentiated by developer, micro-location, livability, and pricing discipline.</t>
        </is>
      </c>
      <c r="AM152" s="9" t="n">
        <v>6</v>
      </c>
      <c r="AN152" s="9" t="n">
        <v>6</v>
      </c>
      <c r="AO152" s="10" t="n">
        <v>0.55</v>
      </c>
      <c r="AP152" s="13" t="n">
        <v>0</v>
      </c>
      <c r="AQ152" s="13" t="n">
        <v>0</v>
      </c>
      <c r="AR152" s="13" t="n">
        <v>0</v>
      </c>
      <c r="AS152" s="13" t="n">
        <v>0.01</v>
      </c>
      <c r="AT152" s="13" t="n">
        <v>0.005</v>
      </c>
      <c r="AU152" s="13" t="n">
        <v>0</v>
      </c>
      <c r="AV152" s="13" t="n">
        <v>-0.005</v>
      </c>
      <c r="AW152" s="13">
        <f>IF(X152="","",(AM152/100*AO152)+AP152+AQ152+AR152)</f>
        <v/>
      </c>
      <c r="AX152" s="13">
        <f>IF(X152="","",AS152+AT152+AU152+AV152)</f>
        <v/>
      </c>
      <c r="AY152" s="12">
        <f>IF(AZ152="","",ROUND(AZ152*(1+Assumptions!$B$10),0))</f>
        <v/>
      </c>
      <c r="AZ152" s="12">
        <f>IF(X152="","",ROUND(X152*(1+AW152),0))</f>
        <v/>
      </c>
      <c r="BA152" s="12">
        <f>IF(AZ152="","",ROUND(AZ152*(1+Assumptions!$B$11),0))</f>
        <v/>
      </c>
      <c r="BB152" s="12">
        <f>IF(AZ152="","",ROUND(AZ152*(1+AX152+Assumptions!$B$10),0))</f>
        <v/>
      </c>
      <c r="BC152" s="12">
        <f>IF(AZ152="","",ROUND(AZ152*(1+AX152),0))</f>
        <v/>
      </c>
      <c r="BD152" s="12">
        <f>IF(AZ152="","",ROUND(AZ152*(1+AX152+Assumptions!$B$11),0))</f>
        <v/>
      </c>
      <c r="BE152" s="12">
        <f>IF(AZ152="","",ROUND(AZ152*(1+AX152)*(1+AX152),0))</f>
        <v/>
      </c>
      <c r="BF152" s="7" t="inlineStr">
        <is>
          <t>Rules-based enrichment using launch-price anchor, cap-app realization, and 2026 segment conditions.</t>
        </is>
      </c>
      <c r="BG152" t="inlineStr">
        <is>
          <t>2026-03-17</t>
        </is>
      </c>
      <c r="BH152" s="7" t="inlineStr">
        <is>
          <t>DLD / Digital Dubai / CBUAE / Savills / Knight Frank-Moody’s / Reuters</t>
        </is>
      </c>
    </row>
    <row r="153">
      <c r="A153" t="n">
        <v>152</v>
      </c>
      <c r="B153" s="7" t="inlineStr">
        <is>
          <t>1/JBR</t>
        </is>
      </c>
      <c r="C153" t="inlineStr">
        <is>
          <t>Dubai Properties</t>
        </is>
      </c>
      <c r="D153" t="inlineStr">
        <is>
          <t>JBR</t>
        </is>
      </c>
      <c r="E153" t="inlineStr">
        <is>
          <t>Luxury Apts</t>
        </is>
      </c>
      <c r="F153" s="7" t="inlineStr">
        <is>
          <t>Ultra-Luxury / Beach</t>
        </is>
      </c>
      <c r="G153" t="inlineStr">
        <is>
          <t>Resale (6M+)</t>
        </is>
      </c>
      <c r="H153" t="inlineStr">
        <is>
          <t>3500</t>
        </is>
      </c>
      <c r="I153" t="inlineStr">
        <is>
          <t>30</t>
        </is>
      </c>
      <c r="J153" t="inlineStr">
        <is>
          <t>Completed</t>
        </is>
      </c>
      <c r="K153" t="inlineStr">
        <is>
          <t>2019</t>
        </is>
      </c>
      <c r="L153" t="inlineStr">
        <is>
          <t>4.5-5.0</t>
        </is>
      </c>
      <c r="M153" t="inlineStr">
        <is>
          <t>6-8</t>
        </is>
      </c>
      <c r="N153" t="inlineStr">
        <is>
          <t>10.5-13.0</t>
        </is>
      </c>
      <c r="O153" s="7" t="inlineStr">
        <is>
          <t>Emirates Intl School</t>
        </is>
      </c>
      <c r="P153" s="7" t="inlineStr">
        <is>
          <t>Emirates Hospital</t>
        </is>
      </c>
      <c r="Q153" s="7" t="inlineStr">
        <is>
          <t>Dubai Marina Mall</t>
        </is>
      </c>
      <c r="R153" s="7" t="inlineStr">
        <is>
          <t>Sheikh Zayed E11</t>
        </is>
      </c>
      <c r="S153" t="inlineStr">
        <is>
          <t>20</t>
        </is>
      </c>
      <c r="T153" t="inlineStr">
        <is>
          <t>2</t>
        </is>
      </c>
      <c r="U153" t="inlineStr">
        <is>
          <t>25</t>
        </is>
      </c>
      <c r="V153" t="inlineStr">
        <is>
          <t>30</t>
        </is>
      </c>
      <c r="W153" t="n">
        <v>2</v>
      </c>
      <c r="X153" s="12" t="n">
        <v>6000000</v>
      </c>
      <c r="Y153" s="12" t="n">
        <v>6000000</v>
      </c>
      <c r="Z153" s="9" t="n">
        <v>4.5</v>
      </c>
      <c r="AA153" s="9" t="n">
        <v>5</v>
      </c>
      <c r="AB153" s="9" t="n">
        <v>6</v>
      </c>
      <c r="AC153" s="9" t="n">
        <v>8</v>
      </c>
      <c r="AD153" s="9" t="n">
        <v>10.5</v>
      </c>
      <c r="AE153" s="9" t="n">
        <v>13</v>
      </c>
      <c r="AF153" t="n">
        <v>2019</v>
      </c>
      <c r="AH153" t="inlineStr">
        <is>
          <t>Apartment</t>
        </is>
      </c>
      <c r="AI153" t="inlineStr">
        <is>
          <t>MainstreamSelective</t>
        </is>
      </c>
      <c r="AJ153" t="inlineStr">
        <is>
          <t>TopTier</t>
        </is>
      </c>
      <c r="AK153" t="inlineStr">
        <is>
          <t>Balanced / selective</t>
        </is>
      </c>
      <c r="AL153" s="7" t="inlineStr">
        <is>
          <t>Market remains active but increasingly differentiated by developer, micro-location, livability, and pricing discipline.</t>
        </is>
      </c>
      <c r="AM153" s="9" t="n">
        <v>7</v>
      </c>
      <c r="AN153" s="9" t="n">
        <v>4.75</v>
      </c>
      <c r="AO153" s="10" t="n">
        <v>0.55</v>
      </c>
      <c r="AP153" s="13" t="n">
        <v>0</v>
      </c>
      <c r="AQ153" s="13" t="n">
        <v>0</v>
      </c>
      <c r="AR153" s="13" t="n">
        <v>0</v>
      </c>
      <c r="AS153" s="13" t="n">
        <v>0.01</v>
      </c>
      <c r="AT153" s="13" t="n">
        <v>0.005</v>
      </c>
      <c r="AU153" s="13" t="n">
        <v>0</v>
      </c>
      <c r="AV153" s="13" t="n">
        <v>-0.005</v>
      </c>
      <c r="AW153" s="13">
        <f>IF(X153="","",(AM153/100*AO153)+AP153+AQ153+AR153)</f>
        <v/>
      </c>
      <c r="AX153" s="13">
        <f>IF(X153="","",AS153+AT153+AU153+AV153)</f>
        <v/>
      </c>
      <c r="AY153" s="12">
        <f>IF(AZ153="","",ROUND(AZ153*(1+Assumptions!$B$10),0))</f>
        <v/>
      </c>
      <c r="AZ153" s="12">
        <f>IF(X153="","",ROUND(X153*(1+AW153),0))</f>
        <v/>
      </c>
      <c r="BA153" s="12">
        <f>IF(AZ153="","",ROUND(AZ153*(1+Assumptions!$B$11),0))</f>
        <v/>
      </c>
      <c r="BB153" s="12">
        <f>IF(AZ153="","",ROUND(AZ153*(1+AX153+Assumptions!$B$10),0))</f>
        <v/>
      </c>
      <c r="BC153" s="12">
        <f>IF(AZ153="","",ROUND(AZ153*(1+AX153),0))</f>
        <v/>
      </c>
      <c r="BD153" s="12">
        <f>IF(AZ153="","",ROUND(AZ153*(1+AX153+Assumptions!$B$11),0))</f>
        <v/>
      </c>
      <c r="BE153" s="12">
        <f>IF(AZ153="","",ROUND(AZ153*(1+AX153)*(1+AX153),0))</f>
        <v/>
      </c>
      <c r="BF153" s="7" t="inlineStr">
        <is>
          <t>Rules-based enrichment using launch-price anchor, cap-app realization, and 2026 segment conditions.</t>
        </is>
      </c>
      <c r="BG153" t="inlineStr">
        <is>
          <t>2026-03-17</t>
        </is>
      </c>
      <c r="BH153" s="7" t="inlineStr">
        <is>
          <t>DLD / Digital Dubai / CBUAE / Savills / Knight Frank-Moody’s / Reuters</t>
        </is>
      </c>
    </row>
    <row r="154">
      <c r="A154" t="n">
        <v>153</v>
      </c>
      <c r="B154" s="7" t="inlineStr">
        <is>
          <t>La Vie</t>
        </is>
      </c>
      <c r="C154" t="inlineStr">
        <is>
          <t>Dubai Properties</t>
        </is>
      </c>
      <c r="D154" t="inlineStr">
        <is>
          <t>JBR</t>
        </is>
      </c>
      <c r="E154" t="inlineStr">
        <is>
          <t>Apartments</t>
        </is>
      </c>
      <c r="F154" s="7" t="inlineStr">
        <is>
          <t>Beachfront</t>
        </is>
      </c>
      <c r="G154" t="inlineStr">
        <is>
          <t>Resale (3M+)</t>
        </is>
      </c>
      <c r="H154" t="inlineStr">
        <is>
          <t>3200</t>
        </is>
      </c>
      <c r="I154" t="inlineStr">
        <is>
          <t>25</t>
        </is>
      </c>
      <c r="J154" t="inlineStr">
        <is>
          <t>Completed</t>
        </is>
      </c>
      <c r="K154" t="inlineStr">
        <is>
          <t>2019</t>
        </is>
      </c>
      <c r="L154" t="inlineStr">
        <is>
          <t>5.0-5.5</t>
        </is>
      </c>
      <c r="M154" t="inlineStr">
        <is>
          <t>6-8</t>
        </is>
      </c>
      <c r="N154" t="inlineStr">
        <is>
          <t>11.0-13.5</t>
        </is>
      </c>
      <c r="O154" s="7" t="inlineStr">
        <is>
          <t>Emirates Intl School</t>
        </is>
      </c>
      <c r="P154" s="7" t="inlineStr">
        <is>
          <t>Emirates Hospital</t>
        </is>
      </c>
      <c r="Q154" s="7" t="inlineStr">
        <is>
          <t>Dubai Marina Mall</t>
        </is>
      </c>
      <c r="R154" s="7" t="inlineStr">
        <is>
          <t>Sheikh Zayed E11</t>
        </is>
      </c>
      <c r="S154" t="inlineStr">
        <is>
          <t>20</t>
        </is>
      </c>
      <c r="T154" t="inlineStr">
        <is>
          <t>2</t>
        </is>
      </c>
      <c r="U154" t="inlineStr">
        <is>
          <t>25</t>
        </is>
      </c>
      <c r="V154" t="inlineStr">
        <is>
          <t>30</t>
        </is>
      </c>
      <c r="W154" t="n">
        <v>2</v>
      </c>
      <c r="X154" s="12" t="n">
        <v>3000000</v>
      </c>
      <c r="Y154" s="12" t="n">
        <v>3000000</v>
      </c>
      <c r="Z154" s="9" t="n">
        <v>5</v>
      </c>
      <c r="AA154" s="9" t="n">
        <v>5.5</v>
      </c>
      <c r="AB154" s="9" t="n">
        <v>6</v>
      </c>
      <c r="AC154" s="9" t="n">
        <v>8</v>
      </c>
      <c r="AD154" s="9" t="n">
        <v>11</v>
      </c>
      <c r="AE154" s="9" t="n">
        <v>13.5</v>
      </c>
      <c r="AF154" t="n">
        <v>2019</v>
      </c>
      <c r="AH154" t="inlineStr">
        <is>
          <t>Apartment</t>
        </is>
      </c>
      <c r="AI154" t="inlineStr">
        <is>
          <t>MainstreamSelective</t>
        </is>
      </c>
      <c r="AJ154" t="inlineStr">
        <is>
          <t>TopTier</t>
        </is>
      </c>
      <c r="AK154" t="inlineStr">
        <is>
          <t>Balanced / selective</t>
        </is>
      </c>
      <c r="AL154" s="7" t="inlineStr">
        <is>
          <t>Market remains active but increasingly differentiated by developer, micro-location, livability, and pricing discipline.</t>
        </is>
      </c>
      <c r="AM154" s="9" t="n">
        <v>7</v>
      </c>
      <c r="AN154" s="9" t="n">
        <v>5.25</v>
      </c>
      <c r="AO154" s="10" t="n">
        <v>0.55</v>
      </c>
      <c r="AP154" s="13" t="n">
        <v>0</v>
      </c>
      <c r="AQ154" s="13" t="n">
        <v>0</v>
      </c>
      <c r="AR154" s="13" t="n">
        <v>0</v>
      </c>
      <c r="AS154" s="13" t="n">
        <v>0.01</v>
      </c>
      <c r="AT154" s="13" t="n">
        <v>0.005</v>
      </c>
      <c r="AU154" s="13" t="n">
        <v>0</v>
      </c>
      <c r="AV154" s="13" t="n">
        <v>-0.005</v>
      </c>
      <c r="AW154" s="13">
        <f>IF(X154="","",(AM154/100*AO154)+AP154+AQ154+AR154)</f>
        <v/>
      </c>
      <c r="AX154" s="13">
        <f>IF(X154="","",AS154+AT154+AU154+AV154)</f>
        <v/>
      </c>
      <c r="AY154" s="12">
        <f>IF(AZ154="","",ROUND(AZ154*(1+Assumptions!$B$10),0))</f>
        <v/>
      </c>
      <c r="AZ154" s="12">
        <f>IF(X154="","",ROUND(X154*(1+AW154),0))</f>
        <v/>
      </c>
      <c r="BA154" s="12">
        <f>IF(AZ154="","",ROUND(AZ154*(1+Assumptions!$B$11),0))</f>
        <v/>
      </c>
      <c r="BB154" s="12">
        <f>IF(AZ154="","",ROUND(AZ154*(1+AX154+Assumptions!$B$10),0))</f>
        <v/>
      </c>
      <c r="BC154" s="12">
        <f>IF(AZ154="","",ROUND(AZ154*(1+AX154),0))</f>
        <v/>
      </c>
      <c r="BD154" s="12">
        <f>IF(AZ154="","",ROUND(AZ154*(1+AX154+Assumptions!$B$11),0))</f>
        <v/>
      </c>
      <c r="BE154" s="12">
        <f>IF(AZ154="","",ROUND(AZ154*(1+AX154)*(1+AX154),0))</f>
        <v/>
      </c>
      <c r="BF154" s="7" t="inlineStr">
        <is>
          <t>Rules-based enrichment using launch-price anchor, cap-app realization, and 2026 segment conditions.</t>
        </is>
      </c>
      <c r="BG154" t="inlineStr">
        <is>
          <t>2026-03-17</t>
        </is>
      </c>
      <c r="BH154" s="7" t="inlineStr">
        <is>
          <t>DLD / Digital Dubai / CBUAE / Savills / Knight Frank-Moody’s / Reuters</t>
        </is>
      </c>
    </row>
    <row r="155">
      <c r="A155" t="n">
        <v>154</v>
      </c>
      <c r="B155" s="7" t="inlineStr">
        <is>
          <t>Riverside (Marasi Business Bay)</t>
        </is>
      </c>
      <c r="C155" t="inlineStr">
        <is>
          <t>Dubai Properties</t>
        </is>
      </c>
      <c r="D155" t="inlineStr">
        <is>
          <t>Business Bay</t>
        </is>
      </c>
      <c r="E155" t="inlineStr">
        <is>
          <t>Apartments</t>
        </is>
      </c>
      <c r="F155" s="7" t="inlineStr">
        <is>
          <t>Canal / City</t>
        </is>
      </c>
      <c r="G155" t="inlineStr">
        <is>
          <t>Resale (2M+)</t>
        </is>
      </c>
      <c r="H155" t="inlineStr">
        <is>
          <t>2000</t>
        </is>
      </c>
      <c r="I155" t="inlineStr">
        <is>
          <t>25</t>
        </is>
      </c>
      <c r="J155" t="inlineStr">
        <is>
          <t>Completed</t>
        </is>
      </c>
      <c r="K155" t="inlineStr">
        <is>
          <t>2017</t>
        </is>
      </c>
      <c r="L155" t="inlineStr">
        <is>
          <t>6.0-6.5</t>
        </is>
      </c>
      <c r="M155" t="inlineStr">
        <is>
          <t>5-7</t>
        </is>
      </c>
      <c r="N155" t="inlineStr">
        <is>
          <t>11.0-13.5</t>
        </is>
      </c>
      <c r="O155" s="7" t="inlineStr">
        <is>
          <t>Hartland Intl</t>
        </is>
      </c>
      <c r="P155" s="7" t="inlineStr">
        <is>
          <t>Emirates Hospital BB</t>
        </is>
      </c>
      <c r="Q155" s="7" t="inlineStr">
        <is>
          <t>Dubai Mall</t>
        </is>
      </c>
      <c r="R155" s="7" t="inlineStr">
        <is>
          <t>Al Khail E44</t>
        </is>
      </c>
      <c r="S155" t="inlineStr">
        <is>
          <t>5</t>
        </is>
      </c>
      <c r="T155" t="inlineStr">
        <is>
          <t>20</t>
        </is>
      </c>
      <c r="U155" t="inlineStr">
        <is>
          <t>15</t>
        </is>
      </c>
      <c r="V155" t="inlineStr">
        <is>
          <t>35</t>
        </is>
      </c>
      <c r="W155" t="n">
        <v>2</v>
      </c>
      <c r="X155" s="12" t="n">
        <v>2000000</v>
      </c>
      <c r="Y155" s="12" t="n">
        <v>2000000</v>
      </c>
      <c r="Z155" s="9" t="n">
        <v>6</v>
      </c>
      <c r="AA155" s="9" t="n">
        <v>6.5</v>
      </c>
      <c r="AB155" s="9" t="n">
        <v>5</v>
      </c>
      <c r="AC155" s="9" t="n">
        <v>7</v>
      </c>
      <c r="AD155" s="9" t="n">
        <v>11</v>
      </c>
      <c r="AE155" s="9" t="n">
        <v>13.5</v>
      </c>
      <c r="AF155" t="n">
        <v>2017</v>
      </c>
      <c r="AH155" t="inlineStr">
        <is>
          <t>Apartment</t>
        </is>
      </c>
      <c r="AI155" t="inlineStr">
        <is>
          <t>Prime</t>
        </is>
      </c>
      <c r="AJ155" t="inlineStr">
        <is>
          <t>TopTier</t>
        </is>
      </c>
      <c r="AK155" t="inlineStr">
        <is>
          <t>Prime resilient / selective</t>
        </is>
      </c>
      <c r="AL155" s="7" t="inlineStr">
        <is>
          <t>Better support from quality, branding, and scarcer prime stock; still entry-price sensitive.</t>
        </is>
      </c>
      <c r="AM155" s="9" t="n">
        <v>6</v>
      </c>
      <c r="AN155" s="9" t="n">
        <v>6.25</v>
      </c>
      <c r="AO155" s="10" t="n">
        <v>0.55</v>
      </c>
      <c r="AP155" s="13" t="n">
        <v>0.02</v>
      </c>
      <c r="AQ155" s="13" t="n">
        <v>0</v>
      </c>
      <c r="AR155" s="13" t="n">
        <v>0</v>
      </c>
      <c r="AS155" s="13" t="n">
        <v>0.03</v>
      </c>
      <c r="AT155" s="13" t="n">
        <v>0.005</v>
      </c>
      <c r="AU155" s="13" t="n">
        <v>0.0025</v>
      </c>
      <c r="AV155" s="13" t="n">
        <v>-0.005</v>
      </c>
      <c r="AW155" s="13">
        <f>IF(X155="","",(AM155/100*AO155)+AP155+AQ155+AR155)</f>
        <v/>
      </c>
      <c r="AX155" s="13">
        <f>IF(X155="","",AS155+AT155+AU155+AV155)</f>
        <v/>
      </c>
      <c r="AY155" s="12">
        <f>IF(AZ155="","",ROUND(AZ155*(1+Assumptions!$B$10),0))</f>
        <v/>
      </c>
      <c r="AZ155" s="12">
        <f>IF(X155="","",ROUND(X155*(1+AW155),0))</f>
        <v/>
      </c>
      <c r="BA155" s="12">
        <f>IF(AZ155="","",ROUND(AZ155*(1+Assumptions!$B$11),0))</f>
        <v/>
      </c>
      <c r="BB155" s="12">
        <f>IF(AZ155="","",ROUND(AZ155*(1+AX155+Assumptions!$B$10),0))</f>
        <v/>
      </c>
      <c r="BC155" s="12">
        <f>IF(AZ155="","",ROUND(AZ155*(1+AX155),0))</f>
        <v/>
      </c>
      <c r="BD155" s="12">
        <f>IF(AZ155="","",ROUND(AZ155*(1+AX155+Assumptions!$B$11),0))</f>
        <v/>
      </c>
      <c r="BE155" s="12">
        <f>IF(AZ155="","",ROUND(AZ155*(1+AX155)*(1+AX155),0))</f>
        <v/>
      </c>
      <c r="BF155" s="7" t="inlineStr">
        <is>
          <t>Rules-based enrichment using launch-price anchor, cap-app realization, and 2026 segment conditions.</t>
        </is>
      </c>
      <c r="BG155" t="inlineStr">
        <is>
          <t>2026-03-17</t>
        </is>
      </c>
      <c r="BH155" s="7" t="inlineStr">
        <is>
          <t>DLD / Digital Dubai / CBUAE / Savills / Knight Frank-Moody’s / Reuters</t>
        </is>
      </c>
    </row>
    <row r="156">
      <c r="A156" t="n">
        <v>155</v>
      </c>
      <c r="B156" s="7" t="inlineStr">
        <is>
          <t>Bellevue Towers</t>
        </is>
      </c>
      <c r="C156" t="inlineStr">
        <is>
          <t>Dubai Properties</t>
        </is>
      </c>
      <c r="D156" t="inlineStr">
        <is>
          <t>Downtown Dubai</t>
        </is>
      </c>
      <c r="E156" t="inlineStr">
        <is>
          <t>Apartments</t>
        </is>
      </c>
      <c r="F156" s="7" t="inlineStr">
        <is>
          <t>City Centre</t>
        </is>
      </c>
      <c r="G156" t="inlineStr">
        <is>
          <t>Resale (1.8M+)</t>
        </is>
      </c>
      <c r="H156" t="inlineStr">
        <is>
          <t>1800</t>
        </is>
      </c>
      <c r="I156" t="inlineStr">
        <is>
          <t>22</t>
        </is>
      </c>
      <c r="J156" t="inlineStr">
        <is>
          <t>Completed</t>
        </is>
      </c>
      <c r="K156" t="inlineStr">
        <is>
          <t>2019</t>
        </is>
      </c>
      <c r="L156" t="inlineStr">
        <is>
          <t>6.0-6.5</t>
        </is>
      </c>
      <c r="M156" t="inlineStr">
        <is>
          <t>5-7</t>
        </is>
      </c>
      <c r="N156" t="inlineStr">
        <is>
          <t>11.0-13.5</t>
        </is>
      </c>
      <c r="O156" s="7" t="inlineStr">
        <is>
          <t>Hartland Intl</t>
        </is>
      </c>
      <c r="P156" s="7" t="inlineStr">
        <is>
          <t>Emirates Hospital BB</t>
        </is>
      </c>
      <c r="Q156" s="7" t="inlineStr">
        <is>
          <t>Dubai Mall</t>
        </is>
      </c>
      <c r="R156" s="7" t="inlineStr">
        <is>
          <t>Financial Ctr Rd</t>
        </is>
      </c>
      <c r="S156" t="inlineStr">
        <is>
          <t>5</t>
        </is>
      </c>
      <c r="T156" t="inlineStr">
        <is>
          <t>20</t>
        </is>
      </c>
      <c r="U156" t="inlineStr">
        <is>
          <t>15</t>
        </is>
      </c>
      <c r="V156" t="inlineStr">
        <is>
          <t>35</t>
        </is>
      </c>
      <c r="W156" t="n">
        <v>2</v>
      </c>
      <c r="X156" s="12" t="n">
        <v>1800000</v>
      </c>
      <c r="Y156" s="12" t="n">
        <v>1800000</v>
      </c>
      <c r="Z156" s="9" t="n">
        <v>6</v>
      </c>
      <c r="AA156" s="9" t="n">
        <v>6.5</v>
      </c>
      <c r="AB156" s="9" t="n">
        <v>5</v>
      </c>
      <c r="AC156" s="9" t="n">
        <v>7</v>
      </c>
      <c r="AD156" s="9" t="n">
        <v>11</v>
      </c>
      <c r="AE156" s="9" t="n">
        <v>13.5</v>
      </c>
      <c r="AF156" t="n">
        <v>2019</v>
      </c>
      <c r="AH156" t="inlineStr">
        <is>
          <t>Apartment</t>
        </is>
      </c>
      <c r="AI156" t="inlineStr">
        <is>
          <t>Prime</t>
        </is>
      </c>
      <c r="AJ156" t="inlineStr">
        <is>
          <t>TopTier</t>
        </is>
      </c>
      <c r="AK156" t="inlineStr">
        <is>
          <t>Prime resilient / selective</t>
        </is>
      </c>
      <c r="AL156" s="7" t="inlineStr">
        <is>
          <t>Better support from quality, branding, and scarcer prime stock; still entry-price sensitive.</t>
        </is>
      </c>
      <c r="AM156" s="9" t="n">
        <v>6</v>
      </c>
      <c r="AN156" s="9" t="n">
        <v>6.25</v>
      </c>
      <c r="AO156" s="10" t="n">
        <v>0.55</v>
      </c>
      <c r="AP156" s="13" t="n">
        <v>0.02</v>
      </c>
      <c r="AQ156" s="13" t="n">
        <v>0</v>
      </c>
      <c r="AR156" s="13" t="n">
        <v>0</v>
      </c>
      <c r="AS156" s="13" t="n">
        <v>0.03</v>
      </c>
      <c r="AT156" s="13" t="n">
        <v>0.005</v>
      </c>
      <c r="AU156" s="13" t="n">
        <v>0.0025</v>
      </c>
      <c r="AV156" s="13" t="n">
        <v>-0.005</v>
      </c>
      <c r="AW156" s="13">
        <f>IF(X156="","",(AM156/100*AO156)+AP156+AQ156+AR156)</f>
        <v/>
      </c>
      <c r="AX156" s="13">
        <f>IF(X156="","",AS156+AT156+AU156+AV156)</f>
        <v/>
      </c>
      <c r="AY156" s="12">
        <f>IF(AZ156="","",ROUND(AZ156*(1+Assumptions!$B$10),0))</f>
        <v/>
      </c>
      <c r="AZ156" s="12">
        <f>IF(X156="","",ROUND(X156*(1+AW156),0))</f>
        <v/>
      </c>
      <c r="BA156" s="12">
        <f>IF(AZ156="","",ROUND(AZ156*(1+Assumptions!$B$11),0))</f>
        <v/>
      </c>
      <c r="BB156" s="12">
        <f>IF(AZ156="","",ROUND(AZ156*(1+AX156+Assumptions!$B$10),0))</f>
        <v/>
      </c>
      <c r="BC156" s="12">
        <f>IF(AZ156="","",ROUND(AZ156*(1+AX156),0))</f>
        <v/>
      </c>
      <c r="BD156" s="12">
        <f>IF(AZ156="","",ROUND(AZ156*(1+AX156+Assumptions!$B$11),0))</f>
        <v/>
      </c>
      <c r="BE156" s="12">
        <f>IF(AZ156="","",ROUND(AZ156*(1+AX156)*(1+AX156),0))</f>
        <v/>
      </c>
      <c r="BF156" s="7" t="inlineStr">
        <is>
          <t>Rules-based enrichment using launch-price anchor, cap-app realization, and 2026 segment conditions.</t>
        </is>
      </c>
      <c r="BG156" t="inlineStr">
        <is>
          <t>2026-03-17</t>
        </is>
      </c>
      <c r="BH156" s="7" t="inlineStr">
        <is>
          <t>DLD / Digital Dubai / CBUAE / Savills / Knight Frank-Moody’s / Reuters</t>
        </is>
      </c>
    </row>
    <row r="157">
      <c r="A157" t="n">
        <v>156</v>
      </c>
      <c r="B157" s="7" t="inlineStr">
        <is>
          <t>Executive Towers</t>
        </is>
      </c>
      <c r="C157" t="inlineStr">
        <is>
          <t>Dubai Properties</t>
        </is>
      </c>
      <c r="D157" t="inlineStr">
        <is>
          <t>Business Bay</t>
        </is>
      </c>
      <c r="E157" t="inlineStr">
        <is>
          <t>Apartments</t>
        </is>
      </c>
      <c r="F157" s="7" t="inlineStr">
        <is>
          <t>City / Commercial</t>
        </is>
      </c>
      <c r="G157" t="inlineStr">
        <is>
          <t>Resale (1.5M+)</t>
        </is>
      </c>
      <c r="H157" t="inlineStr">
        <is>
          <t>1200</t>
        </is>
      </c>
      <c r="I157" t="inlineStr">
        <is>
          <t>20</t>
        </is>
      </c>
      <c r="J157" t="inlineStr">
        <is>
          <t>Completed</t>
        </is>
      </c>
      <c r="K157" t="inlineStr">
        <is>
          <t>2008</t>
        </is>
      </c>
      <c r="L157" t="inlineStr">
        <is>
          <t>6.5-7.5</t>
        </is>
      </c>
      <c r="M157" t="inlineStr">
        <is>
          <t>4-6</t>
        </is>
      </c>
      <c r="N157" t="inlineStr">
        <is>
          <t>10.5-13.5</t>
        </is>
      </c>
      <c r="O157" s="7" t="inlineStr">
        <is>
          <t>Hartland Intl</t>
        </is>
      </c>
      <c r="P157" s="7" t="inlineStr">
        <is>
          <t>Emirates Hospital BB</t>
        </is>
      </c>
      <c r="Q157" s="7" t="inlineStr">
        <is>
          <t>Bay Avenue</t>
        </is>
      </c>
      <c r="R157" s="7" t="inlineStr">
        <is>
          <t>Sheikh Zayed E11</t>
        </is>
      </c>
      <c r="S157" t="inlineStr">
        <is>
          <t>5</t>
        </is>
      </c>
      <c r="T157" t="inlineStr">
        <is>
          <t>20</t>
        </is>
      </c>
      <c r="U157" t="inlineStr">
        <is>
          <t>15</t>
        </is>
      </c>
      <c r="V157" t="inlineStr">
        <is>
          <t>35</t>
        </is>
      </c>
      <c r="W157" t="n">
        <v>2</v>
      </c>
      <c r="X157" s="12" t="n">
        <v>1500000</v>
      </c>
      <c r="Y157" s="12" t="n">
        <v>1500000</v>
      </c>
      <c r="Z157" s="9" t="n">
        <v>6.5</v>
      </c>
      <c r="AA157" s="9" t="n">
        <v>7.5</v>
      </c>
      <c r="AB157" s="9" t="n">
        <v>4</v>
      </c>
      <c r="AC157" s="9" t="n">
        <v>6</v>
      </c>
      <c r="AD157" s="9" t="n">
        <v>10.5</v>
      </c>
      <c r="AE157" s="9" t="n">
        <v>13.5</v>
      </c>
      <c r="AF157" t="n">
        <v>2008</v>
      </c>
      <c r="AH157" t="inlineStr">
        <is>
          <t>Apartment</t>
        </is>
      </c>
      <c r="AI157" t="inlineStr">
        <is>
          <t>Prime</t>
        </is>
      </c>
      <c r="AJ157" t="inlineStr">
        <is>
          <t>TopTier</t>
        </is>
      </c>
      <c r="AK157" t="inlineStr">
        <is>
          <t>Prime resilient / selective</t>
        </is>
      </c>
      <c r="AL157" s="7" t="inlineStr">
        <is>
          <t>Better support from quality, branding, and scarcer prime stock; still entry-price sensitive.</t>
        </is>
      </c>
      <c r="AM157" s="9" t="n">
        <v>5</v>
      </c>
      <c r="AN157" s="9" t="n">
        <v>7</v>
      </c>
      <c r="AO157" s="10" t="n">
        <v>0.55</v>
      </c>
      <c r="AP157" s="13" t="n">
        <v>0.02</v>
      </c>
      <c r="AQ157" s="13" t="n">
        <v>0</v>
      </c>
      <c r="AR157" s="13" t="n">
        <v>0</v>
      </c>
      <c r="AS157" s="13" t="n">
        <v>0.03</v>
      </c>
      <c r="AT157" s="13" t="n">
        <v>0.005</v>
      </c>
      <c r="AU157" s="13" t="n">
        <v>0.0025</v>
      </c>
      <c r="AV157" s="13" t="n">
        <v>-0.005</v>
      </c>
      <c r="AW157" s="13">
        <f>IF(X157="","",(AM157/100*AO157)+AP157+AQ157+AR157)</f>
        <v/>
      </c>
      <c r="AX157" s="13">
        <f>IF(X157="","",AS157+AT157+AU157+AV157)</f>
        <v/>
      </c>
      <c r="AY157" s="12">
        <f>IF(AZ157="","",ROUND(AZ157*(1+Assumptions!$B$10),0))</f>
        <v/>
      </c>
      <c r="AZ157" s="12">
        <f>IF(X157="","",ROUND(X157*(1+AW157),0))</f>
        <v/>
      </c>
      <c r="BA157" s="12">
        <f>IF(AZ157="","",ROUND(AZ157*(1+Assumptions!$B$11),0))</f>
        <v/>
      </c>
      <c r="BB157" s="12">
        <f>IF(AZ157="","",ROUND(AZ157*(1+AX157+Assumptions!$B$10),0))</f>
        <v/>
      </c>
      <c r="BC157" s="12">
        <f>IF(AZ157="","",ROUND(AZ157*(1+AX157),0))</f>
        <v/>
      </c>
      <c r="BD157" s="12">
        <f>IF(AZ157="","",ROUND(AZ157*(1+AX157+Assumptions!$B$11),0))</f>
        <v/>
      </c>
      <c r="BE157" s="12">
        <f>IF(AZ157="","",ROUND(AZ157*(1+AX157)*(1+AX157),0))</f>
        <v/>
      </c>
      <c r="BF157" s="7" t="inlineStr">
        <is>
          <t>Rules-based enrichment using launch-price anchor, cap-app realization, and 2026 segment conditions.</t>
        </is>
      </c>
      <c r="BG157" t="inlineStr">
        <is>
          <t>2026-03-17</t>
        </is>
      </c>
      <c r="BH157" s="7" t="inlineStr">
        <is>
          <t>DLD / Digital Dubai / CBUAE / Savills / Knight Frank-Moody’s / Reuters</t>
        </is>
      </c>
    </row>
    <row r="158">
      <c r="A158" t="n">
        <v>157</v>
      </c>
      <c r="B158" s="7" t="inlineStr">
        <is>
          <t>Bay Square</t>
        </is>
      </c>
      <c r="C158" t="inlineStr">
        <is>
          <t>Dubai Properties</t>
        </is>
      </c>
      <c r="D158" t="inlineStr">
        <is>
          <t>Business Bay</t>
        </is>
      </c>
      <c r="E158" t="inlineStr">
        <is>
          <t>Mixed Use</t>
        </is>
      </c>
      <c r="F158" s="7" t="inlineStr">
        <is>
          <t>City / Office</t>
        </is>
      </c>
      <c r="G158" t="inlineStr">
        <is>
          <t>Resale</t>
        </is>
      </c>
      <c r="H158" t="inlineStr">
        <is>
          <t>1300</t>
        </is>
      </c>
      <c r="I158" t="inlineStr">
        <is>
          <t>22</t>
        </is>
      </c>
      <c r="J158" t="inlineStr">
        <is>
          <t>Completed</t>
        </is>
      </c>
      <c r="K158" t="inlineStr">
        <is>
          <t>2010</t>
        </is>
      </c>
      <c r="L158" t="inlineStr">
        <is>
          <t>7.0-7.5</t>
        </is>
      </c>
      <c r="M158" t="inlineStr">
        <is>
          <t>4-6</t>
        </is>
      </c>
      <c r="N158" t="inlineStr">
        <is>
          <t>11.0-13.5</t>
        </is>
      </c>
      <c r="O158" s="7" t="inlineStr">
        <is>
          <t>Hartland Intl</t>
        </is>
      </c>
      <c r="P158" s="7" t="inlineStr">
        <is>
          <t>Emirates Hospital BB</t>
        </is>
      </c>
      <c r="Q158" s="7" t="inlineStr">
        <is>
          <t>Dubai Mall</t>
        </is>
      </c>
      <c r="R158" s="7" t="inlineStr">
        <is>
          <t>Al Khail E44</t>
        </is>
      </c>
      <c r="S158" t="inlineStr">
        <is>
          <t>5</t>
        </is>
      </c>
      <c r="T158" t="inlineStr">
        <is>
          <t>20</t>
        </is>
      </c>
      <c r="U158" t="inlineStr">
        <is>
          <t>15</t>
        </is>
      </c>
      <c r="V158" t="inlineStr">
        <is>
          <t>35</t>
        </is>
      </c>
      <c r="W158" t="n">
        <v>2</v>
      </c>
      <c r="X158" s="12" t="n"/>
      <c r="Y158" s="12" t="n"/>
      <c r="Z158" s="9" t="n">
        <v>7</v>
      </c>
      <c r="AA158" s="9" t="n">
        <v>7.5</v>
      </c>
      <c r="AB158" s="9" t="n">
        <v>4</v>
      </c>
      <c r="AC158" s="9" t="n">
        <v>6</v>
      </c>
      <c r="AD158" s="9" t="n">
        <v>11</v>
      </c>
      <c r="AE158" s="9" t="n">
        <v>13.5</v>
      </c>
      <c r="AF158" t="n">
        <v>2010</v>
      </c>
      <c r="AH158" t="inlineStr">
        <is>
          <t>Mixed/Other</t>
        </is>
      </c>
      <c r="AI158" t="inlineStr">
        <is>
          <t>Prime</t>
        </is>
      </c>
      <c r="AJ158" t="inlineStr">
        <is>
          <t>TopTier</t>
        </is>
      </c>
      <c r="AK158" t="inlineStr">
        <is>
          <t>Prime resilient / selective</t>
        </is>
      </c>
      <c r="AL158" s="7" t="inlineStr">
        <is>
          <t>Better support from quality, branding, and scarcer prime stock; still entry-price sensitive.</t>
        </is>
      </c>
      <c r="AM158" s="9" t="n">
        <v>5</v>
      </c>
      <c r="AN158" s="9" t="n">
        <v>7.25</v>
      </c>
      <c r="AO158" s="10" t="n">
        <v>0.55</v>
      </c>
      <c r="AP158" s="13" t="n">
        <v>0.02</v>
      </c>
      <c r="AQ158" s="13" t="n">
        <v>0</v>
      </c>
      <c r="AR158" s="13" t="n">
        <v>0</v>
      </c>
      <c r="AS158" s="13" t="n">
        <v>0.03</v>
      </c>
      <c r="AT158" s="13" t="n">
        <v>0.005</v>
      </c>
      <c r="AU158" s="13" t="n">
        <v>0.0025</v>
      </c>
      <c r="AV158" s="13" t="n">
        <v>-0.005</v>
      </c>
      <c r="AW158" s="13">
        <f>IF(X158="","",(AM158/100*AO158)+AP158+AQ158+AR158)</f>
        <v/>
      </c>
      <c r="AX158" s="13">
        <f>IF(X158="","",AS158+AT158+AU158+AV158)</f>
        <v/>
      </c>
      <c r="AY158" s="12">
        <f>IF(AZ158="","",ROUND(AZ158*(1+Assumptions!$B$10),0))</f>
        <v/>
      </c>
      <c r="AZ158" s="12">
        <f>IF(X158="","",ROUND(X158*(1+AW158),0))</f>
        <v/>
      </c>
      <c r="BA158" s="12">
        <f>IF(AZ158="","",ROUND(AZ158*(1+Assumptions!$B$11),0))</f>
        <v/>
      </c>
      <c r="BB158" s="12">
        <f>IF(AZ158="","",ROUND(AZ158*(1+AX158+Assumptions!$B$10),0))</f>
        <v/>
      </c>
      <c r="BC158" s="12">
        <f>IF(AZ158="","",ROUND(AZ158*(1+AX158),0))</f>
        <v/>
      </c>
      <c r="BD158" s="12">
        <f>IF(AZ158="","",ROUND(AZ158*(1+AX158+Assumptions!$B$11),0))</f>
        <v/>
      </c>
      <c r="BE158" s="12">
        <f>IF(AZ158="","",ROUND(AZ158*(1+AX158)*(1+AX158),0))</f>
        <v/>
      </c>
      <c r="BF158" s="7" t="inlineStr">
        <is>
          <t>Rules-based enrichment using launch-price anchor, cap-app realization, and 2026 segment conditions.</t>
        </is>
      </c>
      <c r="BG158" t="inlineStr">
        <is>
          <t>2026-03-17</t>
        </is>
      </c>
      <c r="BH158" s="7" t="inlineStr">
        <is>
          <t>DLD / Digital Dubai / CBUAE / Savills / Knight Frank-Moody’s / Reuters</t>
        </is>
      </c>
    </row>
    <row r="159">
      <c r="A159" t="n">
        <v>158</v>
      </c>
      <c r="B159" s="7" t="inlineStr">
        <is>
          <t>Serena: Bella Casa</t>
        </is>
      </c>
      <c r="C159" t="inlineStr">
        <is>
          <t>Dubai Properties</t>
        </is>
      </c>
      <c r="D159" t="inlineStr">
        <is>
          <t>Dubailand</t>
        </is>
      </c>
      <c r="E159" t="inlineStr">
        <is>
          <t>Townhouses</t>
        </is>
      </c>
      <c r="F159" s="7" t="inlineStr">
        <is>
          <t>Budget / Family</t>
        </is>
      </c>
      <c r="G159" t="inlineStr">
        <is>
          <t>Resale (1.6M+)</t>
        </is>
      </c>
      <c r="H159" t="inlineStr">
        <is>
          <t>950</t>
        </is>
      </c>
      <c r="I159" t="inlineStr">
        <is>
          <t>10</t>
        </is>
      </c>
      <c r="J159" t="inlineStr">
        <is>
          <t>Completed</t>
        </is>
      </c>
      <c r="K159" t="inlineStr">
        <is>
          <t>2016</t>
        </is>
      </c>
      <c r="L159" t="inlineStr">
        <is>
          <t>6.5-7.0</t>
        </is>
      </c>
      <c r="M159" t="inlineStr">
        <is>
          <t>5-7</t>
        </is>
      </c>
      <c r="N159" t="inlineStr">
        <is>
          <t>11.5-14.0</t>
        </is>
      </c>
      <c r="O159" s="7" t="inlineStr">
        <is>
          <t>Ranches Primary</t>
        </is>
      </c>
      <c r="P159" s="7" t="inlineStr">
        <is>
          <t>Saudi German Hospital</t>
        </is>
      </c>
      <c r="Q159" s="7" t="inlineStr">
        <is>
          <t>Serena Marketplace</t>
        </is>
      </c>
      <c r="R159" s="7" t="inlineStr">
        <is>
          <t>Al Qudra Rd</t>
        </is>
      </c>
      <c r="S159" t="inlineStr">
        <is>
          <t>25</t>
        </is>
      </c>
      <c r="T159" t="inlineStr">
        <is>
          <t>25</t>
        </is>
      </c>
      <c r="U159" t="inlineStr">
        <is>
          <t>30</t>
        </is>
      </c>
      <c r="V159" t="inlineStr">
        <is>
          <t>25</t>
        </is>
      </c>
      <c r="W159" t="n">
        <v>2</v>
      </c>
      <c r="X159" s="12" t="n">
        <v>1600000</v>
      </c>
      <c r="Y159" s="12" t="n">
        <v>1600000</v>
      </c>
      <c r="Z159" s="9" t="n">
        <v>6.5</v>
      </c>
      <c r="AA159" s="9" t="n">
        <v>7</v>
      </c>
      <c r="AB159" s="9" t="n">
        <v>5</v>
      </c>
      <c r="AC159" s="9" t="n">
        <v>7</v>
      </c>
      <c r="AD159" s="9" t="n">
        <v>11.5</v>
      </c>
      <c r="AE159" s="9" t="n">
        <v>14</v>
      </c>
      <c r="AF159" t="n">
        <v>2016</v>
      </c>
      <c r="AH159" t="inlineStr">
        <is>
          <t>Townhouse</t>
        </is>
      </c>
      <c r="AI159" t="inlineStr">
        <is>
          <t>MainstreamSelective</t>
        </is>
      </c>
      <c r="AJ159" t="inlineStr">
        <is>
          <t>TopTier</t>
        </is>
      </c>
      <c r="AK159" t="inlineStr">
        <is>
          <t>Family-villa resilient</t>
        </is>
      </c>
      <c r="AL159" s="7" t="inlineStr">
        <is>
          <t>Villa/townhouse demand remains relatively firmer, though growth should be slower than the post-2020 surge.</t>
        </is>
      </c>
      <c r="AM159" s="9" t="n">
        <v>6</v>
      </c>
      <c r="AN159" s="9" t="n">
        <v>6.75</v>
      </c>
      <c r="AO159" s="10" t="n">
        <v>0.55</v>
      </c>
      <c r="AP159" s="13" t="n">
        <v>0</v>
      </c>
      <c r="AQ159" s="13" t="n">
        <v>0.015</v>
      </c>
      <c r="AR159" s="13" t="n">
        <v>0</v>
      </c>
      <c r="AS159" s="13" t="n">
        <v>0.025</v>
      </c>
      <c r="AT159" s="13" t="n">
        <v>0.005</v>
      </c>
      <c r="AU159" s="13" t="n">
        <v>0.0025</v>
      </c>
      <c r="AV159" s="13" t="n">
        <v>-0.005</v>
      </c>
      <c r="AW159" s="13">
        <f>IF(X159="","",(AM159/100*AO159)+AP159+AQ159+AR159)</f>
        <v/>
      </c>
      <c r="AX159" s="13">
        <f>IF(X159="","",AS159+AT159+AU159+AV159)</f>
        <v/>
      </c>
      <c r="AY159" s="12">
        <f>IF(AZ159="","",ROUND(AZ159*(1+Assumptions!$B$10),0))</f>
        <v/>
      </c>
      <c r="AZ159" s="12">
        <f>IF(X159="","",ROUND(X159*(1+AW159),0))</f>
        <v/>
      </c>
      <c r="BA159" s="12">
        <f>IF(AZ159="","",ROUND(AZ159*(1+Assumptions!$B$11),0))</f>
        <v/>
      </c>
      <c r="BB159" s="12">
        <f>IF(AZ159="","",ROUND(AZ159*(1+AX159+Assumptions!$B$10),0))</f>
        <v/>
      </c>
      <c r="BC159" s="12">
        <f>IF(AZ159="","",ROUND(AZ159*(1+AX159),0))</f>
        <v/>
      </c>
      <c r="BD159" s="12">
        <f>IF(AZ159="","",ROUND(AZ159*(1+AX159+Assumptions!$B$11),0))</f>
        <v/>
      </c>
      <c r="BE159" s="12">
        <f>IF(AZ159="","",ROUND(AZ159*(1+AX159)*(1+AX159),0))</f>
        <v/>
      </c>
      <c r="BF159" s="7" t="inlineStr">
        <is>
          <t>Rules-based enrichment using launch-price anchor, cap-app realization, and 2026 segment conditions.</t>
        </is>
      </c>
      <c r="BG159" t="inlineStr">
        <is>
          <t>2026-03-17</t>
        </is>
      </c>
      <c r="BH159" s="7" t="inlineStr">
        <is>
          <t>DLD / Digital Dubai / CBUAE / Savills / Knight Frank-Moody’s / Reuters</t>
        </is>
      </c>
    </row>
    <row r="160">
      <c r="A160" t="n">
        <v>159</v>
      </c>
      <c r="B160" s="7" t="inlineStr">
        <is>
          <t>Serena: Casa Dora</t>
        </is>
      </c>
      <c r="C160" t="inlineStr">
        <is>
          <t>Dubai Properties</t>
        </is>
      </c>
      <c r="D160" t="inlineStr">
        <is>
          <t>Dubailand</t>
        </is>
      </c>
      <c r="E160" t="inlineStr">
        <is>
          <t>Townhouses</t>
        </is>
      </c>
      <c r="F160" s="7" t="inlineStr">
        <is>
          <t>Budget / Family</t>
        </is>
      </c>
      <c r="G160" t="inlineStr">
        <is>
          <t>Resale (1.6M+)</t>
        </is>
      </c>
      <c r="H160" t="inlineStr">
        <is>
          <t>950</t>
        </is>
      </c>
      <c r="I160" t="inlineStr">
        <is>
          <t>10</t>
        </is>
      </c>
      <c r="J160" t="inlineStr">
        <is>
          <t>Completed</t>
        </is>
      </c>
      <c r="K160" t="inlineStr">
        <is>
          <t>2016</t>
        </is>
      </c>
      <c r="L160" t="inlineStr">
        <is>
          <t>6.5-7.0</t>
        </is>
      </c>
      <c r="M160" t="inlineStr">
        <is>
          <t>5-7</t>
        </is>
      </c>
      <c r="N160" t="inlineStr">
        <is>
          <t>11.5-14.0</t>
        </is>
      </c>
      <c r="O160" s="7" t="inlineStr">
        <is>
          <t>Ranches Primary</t>
        </is>
      </c>
      <c r="P160" s="7" t="inlineStr">
        <is>
          <t>Saudi German Hospital</t>
        </is>
      </c>
      <c r="Q160" s="7" t="inlineStr">
        <is>
          <t>Serena Marketplace</t>
        </is>
      </c>
      <c r="R160" s="7" t="inlineStr">
        <is>
          <t>Al Qudra Rd</t>
        </is>
      </c>
      <c r="S160" t="inlineStr">
        <is>
          <t>25</t>
        </is>
      </c>
      <c r="T160" t="inlineStr">
        <is>
          <t>25</t>
        </is>
      </c>
      <c r="U160" t="inlineStr">
        <is>
          <t>30</t>
        </is>
      </c>
      <c r="V160" t="inlineStr">
        <is>
          <t>25</t>
        </is>
      </c>
      <c r="W160" t="n">
        <v>2</v>
      </c>
      <c r="X160" s="12" t="n">
        <v>1600000</v>
      </c>
      <c r="Y160" s="12" t="n">
        <v>1600000</v>
      </c>
      <c r="Z160" s="9" t="n">
        <v>6.5</v>
      </c>
      <c r="AA160" s="9" t="n">
        <v>7</v>
      </c>
      <c r="AB160" s="9" t="n">
        <v>5</v>
      </c>
      <c r="AC160" s="9" t="n">
        <v>7</v>
      </c>
      <c r="AD160" s="9" t="n">
        <v>11.5</v>
      </c>
      <c r="AE160" s="9" t="n">
        <v>14</v>
      </c>
      <c r="AF160" t="n">
        <v>2016</v>
      </c>
      <c r="AH160" t="inlineStr">
        <is>
          <t>Townhouse</t>
        </is>
      </c>
      <c r="AI160" t="inlineStr">
        <is>
          <t>MainstreamSelective</t>
        </is>
      </c>
      <c r="AJ160" t="inlineStr">
        <is>
          <t>TopTier</t>
        </is>
      </c>
      <c r="AK160" t="inlineStr">
        <is>
          <t>Family-villa resilient</t>
        </is>
      </c>
      <c r="AL160" s="7" t="inlineStr">
        <is>
          <t>Villa/townhouse demand remains relatively firmer, though growth should be slower than the post-2020 surge.</t>
        </is>
      </c>
      <c r="AM160" s="9" t="n">
        <v>6</v>
      </c>
      <c r="AN160" s="9" t="n">
        <v>6.75</v>
      </c>
      <c r="AO160" s="10" t="n">
        <v>0.55</v>
      </c>
      <c r="AP160" s="13" t="n">
        <v>0</v>
      </c>
      <c r="AQ160" s="13" t="n">
        <v>0.015</v>
      </c>
      <c r="AR160" s="13" t="n">
        <v>0</v>
      </c>
      <c r="AS160" s="13" t="n">
        <v>0.025</v>
      </c>
      <c r="AT160" s="13" t="n">
        <v>0.005</v>
      </c>
      <c r="AU160" s="13" t="n">
        <v>0.0025</v>
      </c>
      <c r="AV160" s="13" t="n">
        <v>-0.005</v>
      </c>
      <c r="AW160" s="13">
        <f>IF(X160="","",(AM160/100*AO160)+AP160+AQ160+AR160)</f>
        <v/>
      </c>
      <c r="AX160" s="13">
        <f>IF(X160="","",AS160+AT160+AU160+AV160)</f>
        <v/>
      </c>
      <c r="AY160" s="12">
        <f>IF(AZ160="","",ROUND(AZ160*(1+Assumptions!$B$10),0))</f>
        <v/>
      </c>
      <c r="AZ160" s="12">
        <f>IF(X160="","",ROUND(X160*(1+AW160),0))</f>
        <v/>
      </c>
      <c r="BA160" s="12">
        <f>IF(AZ160="","",ROUND(AZ160*(1+Assumptions!$B$11),0))</f>
        <v/>
      </c>
      <c r="BB160" s="12">
        <f>IF(AZ160="","",ROUND(AZ160*(1+AX160+Assumptions!$B$10),0))</f>
        <v/>
      </c>
      <c r="BC160" s="12">
        <f>IF(AZ160="","",ROUND(AZ160*(1+AX160),0))</f>
        <v/>
      </c>
      <c r="BD160" s="12">
        <f>IF(AZ160="","",ROUND(AZ160*(1+AX160+Assumptions!$B$11),0))</f>
        <v/>
      </c>
      <c r="BE160" s="12">
        <f>IF(AZ160="","",ROUND(AZ160*(1+AX160)*(1+AX160),0))</f>
        <v/>
      </c>
      <c r="BF160" s="7" t="inlineStr">
        <is>
          <t>Rules-based enrichment using launch-price anchor, cap-app realization, and 2026 segment conditions.</t>
        </is>
      </c>
      <c r="BG160" t="inlineStr">
        <is>
          <t>2026-03-17</t>
        </is>
      </c>
      <c r="BH160" s="7" t="inlineStr">
        <is>
          <t>DLD / Digital Dubai / CBUAE / Savills / Knight Frank-Moody’s / Reuters</t>
        </is>
      </c>
    </row>
    <row r="161">
      <c r="A161" t="n">
        <v>160</v>
      </c>
      <c r="B161" s="7" t="inlineStr">
        <is>
          <t>Serena: Casa Viva</t>
        </is>
      </c>
      <c r="C161" t="inlineStr">
        <is>
          <t>Dubai Properties</t>
        </is>
      </c>
      <c r="D161" t="inlineStr">
        <is>
          <t>Dubailand</t>
        </is>
      </c>
      <c r="E161" t="inlineStr">
        <is>
          <t>Townhouses</t>
        </is>
      </c>
      <c r="F161" s="7" t="inlineStr">
        <is>
          <t>Budget / Family</t>
        </is>
      </c>
      <c r="G161" t="inlineStr">
        <is>
          <t>Resale (1.7M+)</t>
        </is>
      </c>
      <c r="H161" t="inlineStr">
        <is>
          <t>950</t>
        </is>
      </c>
      <c r="I161" t="inlineStr">
        <is>
          <t>10</t>
        </is>
      </c>
      <c r="J161" t="inlineStr">
        <is>
          <t>Completed</t>
        </is>
      </c>
      <c r="K161" t="inlineStr">
        <is>
          <t>2017</t>
        </is>
      </c>
      <c r="L161" t="inlineStr">
        <is>
          <t>6.5-7.0</t>
        </is>
      </c>
      <c r="M161" t="inlineStr">
        <is>
          <t>5-7</t>
        </is>
      </c>
      <c r="N161" t="inlineStr">
        <is>
          <t>11.5-14.0</t>
        </is>
      </c>
      <c r="O161" s="7" t="inlineStr">
        <is>
          <t>Ranches Primary</t>
        </is>
      </c>
      <c r="P161" s="7" t="inlineStr">
        <is>
          <t>Saudi German Hospital</t>
        </is>
      </c>
      <c r="Q161" s="7" t="inlineStr">
        <is>
          <t>Serena Marketplace</t>
        </is>
      </c>
      <c r="R161" s="7" t="inlineStr">
        <is>
          <t>Al Qudra Rd</t>
        </is>
      </c>
      <c r="S161" t="inlineStr">
        <is>
          <t>25</t>
        </is>
      </c>
      <c r="T161" t="inlineStr">
        <is>
          <t>25</t>
        </is>
      </c>
      <c r="U161" t="inlineStr">
        <is>
          <t>30</t>
        </is>
      </c>
      <c r="V161" t="inlineStr">
        <is>
          <t>25</t>
        </is>
      </c>
      <c r="W161" t="n">
        <v>2</v>
      </c>
      <c r="X161" s="12" t="n">
        <v>1700000</v>
      </c>
      <c r="Y161" s="12" t="n">
        <v>1700000</v>
      </c>
      <c r="Z161" s="9" t="n">
        <v>6.5</v>
      </c>
      <c r="AA161" s="9" t="n">
        <v>7</v>
      </c>
      <c r="AB161" s="9" t="n">
        <v>5</v>
      </c>
      <c r="AC161" s="9" t="n">
        <v>7</v>
      </c>
      <c r="AD161" s="9" t="n">
        <v>11.5</v>
      </c>
      <c r="AE161" s="9" t="n">
        <v>14</v>
      </c>
      <c r="AF161" t="n">
        <v>2017</v>
      </c>
      <c r="AH161" t="inlineStr">
        <is>
          <t>Townhouse</t>
        </is>
      </c>
      <c r="AI161" t="inlineStr">
        <is>
          <t>MainstreamSelective</t>
        </is>
      </c>
      <c r="AJ161" t="inlineStr">
        <is>
          <t>TopTier</t>
        </is>
      </c>
      <c r="AK161" t="inlineStr">
        <is>
          <t>Family-villa resilient</t>
        </is>
      </c>
      <c r="AL161" s="7" t="inlineStr">
        <is>
          <t>Villa/townhouse demand remains relatively firmer, though growth should be slower than the post-2020 surge.</t>
        </is>
      </c>
      <c r="AM161" s="9" t="n">
        <v>6</v>
      </c>
      <c r="AN161" s="9" t="n">
        <v>6.75</v>
      </c>
      <c r="AO161" s="10" t="n">
        <v>0.55</v>
      </c>
      <c r="AP161" s="13" t="n">
        <v>0</v>
      </c>
      <c r="AQ161" s="13" t="n">
        <v>0.015</v>
      </c>
      <c r="AR161" s="13" t="n">
        <v>0</v>
      </c>
      <c r="AS161" s="13" t="n">
        <v>0.025</v>
      </c>
      <c r="AT161" s="13" t="n">
        <v>0.005</v>
      </c>
      <c r="AU161" s="13" t="n">
        <v>0.0025</v>
      </c>
      <c r="AV161" s="13" t="n">
        <v>-0.005</v>
      </c>
      <c r="AW161" s="13">
        <f>IF(X161="","",(AM161/100*AO161)+AP161+AQ161+AR161)</f>
        <v/>
      </c>
      <c r="AX161" s="13">
        <f>IF(X161="","",AS161+AT161+AU161+AV161)</f>
        <v/>
      </c>
      <c r="AY161" s="12">
        <f>IF(AZ161="","",ROUND(AZ161*(1+Assumptions!$B$10),0))</f>
        <v/>
      </c>
      <c r="AZ161" s="12">
        <f>IF(X161="","",ROUND(X161*(1+AW161),0))</f>
        <v/>
      </c>
      <c r="BA161" s="12">
        <f>IF(AZ161="","",ROUND(AZ161*(1+Assumptions!$B$11),0))</f>
        <v/>
      </c>
      <c r="BB161" s="12">
        <f>IF(AZ161="","",ROUND(AZ161*(1+AX161+Assumptions!$B$10),0))</f>
        <v/>
      </c>
      <c r="BC161" s="12">
        <f>IF(AZ161="","",ROUND(AZ161*(1+AX161),0))</f>
        <v/>
      </c>
      <c r="BD161" s="12">
        <f>IF(AZ161="","",ROUND(AZ161*(1+AX161+Assumptions!$B$11),0))</f>
        <v/>
      </c>
      <c r="BE161" s="12">
        <f>IF(AZ161="","",ROUND(AZ161*(1+AX161)*(1+AX161),0))</f>
        <v/>
      </c>
      <c r="BF161" s="7" t="inlineStr">
        <is>
          <t>Rules-based enrichment using launch-price anchor, cap-app realization, and 2026 segment conditions.</t>
        </is>
      </c>
      <c r="BG161" t="inlineStr">
        <is>
          <t>2026-03-17</t>
        </is>
      </c>
      <c r="BH161" s="7" t="inlineStr">
        <is>
          <t>DLD / Digital Dubai / CBUAE / Savills / Knight Frank-Moody’s / Reuters</t>
        </is>
      </c>
    </row>
    <row r="162">
      <c r="A162" t="n">
        <v>161</v>
      </c>
      <c r="B162" s="7" t="inlineStr">
        <is>
          <t>Remraam</t>
        </is>
      </c>
      <c r="C162" t="inlineStr">
        <is>
          <t>Dubai Properties</t>
        </is>
      </c>
      <c r="D162" t="inlineStr">
        <is>
          <t>Dubailand</t>
        </is>
      </c>
      <c r="E162" t="inlineStr">
        <is>
          <t>Apartments</t>
        </is>
      </c>
      <c r="F162" s="7" t="inlineStr">
        <is>
          <t>Budget / Community</t>
        </is>
      </c>
      <c r="G162" t="inlineStr">
        <is>
          <t>Resale (600k+)</t>
        </is>
      </c>
      <c r="H162" t="inlineStr">
        <is>
          <t>700</t>
        </is>
      </c>
      <c r="I162" t="inlineStr">
        <is>
          <t>12</t>
        </is>
      </c>
      <c r="J162" t="inlineStr">
        <is>
          <t>Completed</t>
        </is>
      </c>
      <c r="K162" t="inlineStr">
        <is>
          <t>2009</t>
        </is>
      </c>
      <c r="L162" t="inlineStr">
        <is>
          <t>7.5-8.0</t>
        </is>
      </c>
      <c r="M162" t="inlineStr">
        <is>
          <t>4-6</t>
        </is>
      </c>
      <c r="N162" t="inlineStr">
        <is>
          <t>11.5-14.0</t>
        </is>
      </c>
      <c r="O162" s="7" t="inlineStr">
        <is>
          <t>South View School</t>
        </is>
      </c>
      <c r="P162" s="7" t="inlineStr">
        <is>
          <t>NMC Royal DIP</t>
        </is>
      </c>
      <c r="Q162" s="7" t="inlineStr">
        <is>
          <t>Remraam Centre</t>
        </is>
      </c>
      <c r="R162" s="7" t="inlineStr">
        <is>
          <t>Hessa St / E611</t>
        </is>
      </c>
      <c r="S162" t="inlineStr">
        <is>
          <t>30</t>
        </is>
      </c>
      <c r="T162" t="inlineStr">
        <is>
          <t>20</t>
        </is>
      </c>
      <c r="U162" t="inlineStr">
        <is>
          <t>35</t>
        </is>
      </c>
      <c r="V162" t="inlineStr">
        <is>
          <t>20</t>
        </is>
      </c>
      <c r="W162" t="n">
        <v>2</v>
      </c>
      <c r="X162" s="12" t="n">
        <v>600000</v>
      </c>
      <c r="Y162" s="12" t="n">
        <v>600000</v>
      </c>
      <c r="Z162" s="9" t="n">
        <v>7.5</v>
      </c>
      <c r="AA162" s="9" t="n">
        <v>8</v>
      </c>
      <c r="AB162" s="9" t="n">
        <v>4</v>
      </c>
      <c r="AC162" s="9" t="n">
        <v>6</v>
      </c>
      <c r="AD162" s="9" t="n">
        <v>11.5</v>
      </c>
      <c r="AE162" s="9" t="n">
        <v>14</v>
      </c>
      <c r="AF162" t="n">
        <v>2009</v>
      </c>
      <c r="AH162" t="inlineStr">
        <is>
          <t>Apartment</t>
        </is>
      </c>
      <c r="AI162" t="inlineStr">
        <is>
          <t>SupplySensitiveApartment</t>
        </is>
      </c>
      <c r="AJ162" t="inlineStr">
        <is>
          <t>TopTier</t>
        </is>
      </c>
      <c r="AK162" t="inlineStr">
        <is>
          <t>Supply-sensitive / selective</t>
        </is>
      </c>
      <c r="AL162" s="7" t="inlineStr">
        <is>
          <t>Higher delivery risk in more price-sensitive apartment clusters; building selection and exit liquidity matter.</t>
        </is>
      </c>
      <c r="AM162" s="9" t="n">
        <v>5</v>
      </c>
      <c r="AN162" s="9" t="n">
        <v>7.75</v>
      </c>
      <c r="AO162" s="10" t="n">
        <v>0.55</v>
      </c>
      <c r="AP162" s="13" t="n">
        <v>0</v>
      </c>
      <c r="AQ162" s="13" t="n">
        <v>0</v>
      </c>
      <c r="AR162" s="13" t="n">
        <v>-0.01</v>
      </c>
      <c r="AS162" s="13" t="n">
        <v>-0.01</v>
      </c>
      <c r="AT162" s="13" t="n">
        <v>0.005</v>
      </c>
      <c r="AU162" s="13" t="n">
        <v>0.0025</v>
      </c>
      <c r="AV162" s="13" t="n">
        <v>-0.005</v>
      </c>
      <c r="AW162" s="13">
        <f>IF(X162="","",(AM162/100*AO162)+AP162+AQ162+AR162)</f>
        <v/>
      </c>
      <c r="AX162" s="13">
        <f>IF(X162="","",AS162+AT162+AU162+AV162)</f>
        <v/>
      </c>
      <c r="AY162" s="12">
        <f>IF(AZ162="","",ROUND(AZ162*(1+Assumptions!$B$10),0))</f>
        <v/>
      </c>
      <c r="AZ162" s="12">
        <f>IF(X162="","",ROUND(X162*(1+AW162),0))</f>
        <v/>
      </c>
      <c r="BA162" s="12">
        <f>IF(AZ162="","",ROUND(AZ162*(1+Assumptions!$B$11),0))</f>
        <v/>
      </c>
      <c r="BB162" s="12">
        <f>IF(AZ162="","",ROUND(AZ162*(1+AX162+Assumptions!$B$10),0))</f>
        <v/>
      </c>
      <c r="BC162" s="12">
        <f>IF(AZ162="","",ROUND(AZ162*(1+AX162),0))</f>
        <v/>
      </c>
      <c r="BD162" s="12">
        <f>IF(AZ162="","",ROUND(AZ162*(1+AX162+Assumptions!$B$11),0))</f>
        <v/>
      </c>
      <c r="BE162" s="12">
        <f>IF(AZ162="","",ROUND(AZ162*(1+AX162)*(1+AX162),0))</f>
        <v/>
      </c>
      <c r="BF162" s="7" t="inlineStr">
        <is>
          <t>Rules-based enrichment using launch-price anchor, cap-app realization, and 2026 segment conditions.</t>
        </is>
      </c>
      <c r="BG162" t="inlineStr">
        <is>
          <t>2026-03-17</t>
        </is>
      </c>
      <c r="BH162" s="7" t="inlineStr">
        <is>
          <t>DLD / Digital Dubai / CBUAE / Savills / Knight Frank-Moody’s / Reuters</t>
        </is>
      </c>
    </row>
    <row r="163">
      <c r="A163" t="n">
        <v>162</v>
      </c>
      <c r="B163" s="7" t="inlineStr">
        <is>
          <t>Layan</t>
        </is>
      </c>
      <c r="C163" t="inlineStr">
        <is>
          <t>Dubai Properties</t>
        </is>
      </c>
      <c r="D163" t="inlineStr">
        <is>
          <t>Dubailand</t>
        </is>
      </c>
      <c r="E163" t="inlineStr">
        <is>
          <t>Villas &amp; Apts</t>
        </is>
      </c>
      <c r="F163" s="7" t="inlineStr">
        <is>
          <t>Gated / Quiet</t>
        </is>
      </c>
      <c r="G163" t="inlineStr">
        <is>
          <t>Resale (2.5M+)</t>
        </is>
      </c>
      <c r="H163" t="inlineStr">
        <is>
          <t>850</t>
        </is>
      </c>
      <c r="I163" t="inlineStr">
        <is>
          <t>12</t>
        </is>
      </c>
      <c r="J163" t="inlineStr">
        <is>
          <t>Completed</t>
        </is>
      </c>
      <c r="K163" t="inlineStr">
        <is>
          <t>2008</t>
        </is>
      </c>
      <c r="L163" t="inlineStr">
        <is>
          <t>6.0-6.5</t>
        </is>
      </c>
      <c r="M163" t="inlineStr">
        <is>
          <t>4-6</t>
        </is>
      </c>
      <c r="N163" t="inlineStr">
        <is>
          <t>10.0-12.5</t>
        </is>
      </c>
      <c r="O163" s="7" t="inlineStr">
        <is>
          <t>Ranches Primary</t>
        </is>
      </c>
      <c r="P163" s="7" t="inlineStr">
        <is>
          <t>Saudi German Hospital</t>
        </is>
      </c>
      <c r="Q163" s="7" t="inlineStr">
        <is>
          <t>The Ranches Souk</t>
        </is>
      </c>
      <c r="R163" s="7" t="inlineStr">
        <is>
          <t>Al Qudra Rd</t>
        </is>
      </c>
      <c r="S163" t="inlineStr">
        <is>
          <t>25</t>
        </is>
      </c>
      <c r="T163" t="inlineStr">
        <is>
          <t>25</t>
        </is>
      </c>
      <c r="U163" t="inlineStr">
        <is>
          <t>30</t>
        </is>
      </c>
      <c r="V163" t="inlineStr">
        <is>
          <t>25</t>
        </is>
      </c>
      <c r="W163" t="n">
        <v>2</v>
      </c>
      <c r="X163" s="12" t="n">
        <v>2500000</v>
      </c>
      <c r="Y163" s="12" t="n">
        <v>2500000</v>
      </c>
      <c r="Z163" s="9" t="n">
        <v>6</v>
      </c>
      <c r="AA163" s="9" t="n">
        <v>6.5</v>
      </c>
      <c r="AB163" s="9" t="n">
        <v>4</v>
      </c>
      <c r="AC163" s="9" t="n">
        <v>6</v>
      </c>
      <c r="AD163" s="9" t="n">
        <v>10</v>
      </c>
      <c r="AE163" s="9" t="n">
        <v>12.5</v>
      </c>
      <c r="AF163" t="n">
        <v>2008</v>
      </c>
      <c r="AH163" t="inlineStr">
        <is>
          <t>Villa</t>
        </is>
      </c>
      <c r="AI163" t="inlineStr">
        <is>
          <t>MainstreamSelective</t>
        </is>
      </c>
      <c r="AJ163" t="inlineStr">
        <is>
          <t>TopTier</t>
        </is>
      </c>
      <c r="AK163" t="inlineStr">
        <is>
          <t>Family-villa resilient</t>
        </is>
      </c>
      <c r="AL163" s="7" t="inlineStr">
        <is>
          <t>Villa/townhouse demand remains relatively firmer, though growth should be slower than the post-2020 surge.</t>
        </is>
      </c>
      <c r="AM163" s="9" t="n">
        <v>5</v>
      </c>
      <c r="AN163" s="9" t="n">
        <v>6.25</v>
      </c>
      <c r="AO163" s="10" t="n">
        <v>0.55</v>
      </c>
      <c r="AP163" s="13" t="n">
        <v>0</v>
      </c>
      <c r="AQ163" s="13" t="n">
        <v>0.015</v>
      </c>
      <c r="AR163" s="13" t="n">
        <v>0</v>
      </c>
      <c r="AS163" s="13" t="n">
        <v>0.025</v>
      </c>
      <c r="AT163" s="13" t="n">
        <v>0.005</v>
      </c>
      <c r="AU163" s="13" t="n">
        <v>0.0025</v>
      </c>
      <c r="AV163" s="13" t="n">
        <v>-0.005</v>
      </c>
      <c r="AW163" s="13">
        <f>IF(X163="","",(AM163/100*AO163)+AP163+AQ163+AR163)</f>
        <v/>
      </c>
      <c r="AX163" s="13">
        <f>IF(X163="","",AS163+AT163+AU163+AV163)</f>
        <v/>
      </c>
      <c r="AY163" s="12">
        <f>IF(AZ163="","",ROUND(AZ163*(1+Assumptions!$B$10),0))</f>
        <v/>
      </c>
      <c r="AZ163" s="12">
        <f>IF(X163="","",ROUND(X163*(1+AW163),0))</f>
        <v/>
      </c>
      <c r="BA163" s="12">
        <f>IF(AZ163="","",ROUND(AZ163*(1+Assumptions!$B$11),0))</f>
        <v/>
      </c>
      <c r="BB163" s="12">
        <f>IF(AZ163="","",ROUND(AZ163*(1+AX163+Assumptions!$B$10),0))</f>
        <v/>
      </c>
      <c r="BC163" s="12">
        <f>IF(AZ163="","",ROUND(AZ163*(1+AX163),0))</f>
        <v/>
      </c>
      <c r="BD163" s="12">
        <f>IF(AZ163="","",ROUND(AZ163*(1+AX163+Assumptions!$B$11),0))</f>
        <v/>
      </c>
      <c r="BE163" s="12">
        <f>IF(AZ163="","",ROUND(AZ163*(1+AX163)*(1+AX163),0))</f>
        <v/>
      </c>
      <c r="BF163" s="7" t="inlineStr">
        <is>
          <t>Rules-based enrichment using launch-price anchor, cap-app realization, and 2026 segment conditions.</t>
        </is>
      </c>
      <c r="BG163" t="inlineStr">
        <is>
          <t>2026-03-17</t>
        </is>
      </c>
      <c r="BH163" s="7" t="inlineStr">
        <is>
          <t>DLD / Digital Dubai / CBUAE / Savills / Knight Frank-Moody’s / Reuters</t>
        </is>
      </c>
    </row>
    <row r="164">
      <c r="A164" t="n">
        <v>163</v>
      </c>
      <c r="B164" s="7" t="inlineStr">
        <is>
          <t>The Villa</t>
        </is>
      </c>
      <c r="C164" t="inlineStr">
        <is>
          <t>Dubai Properties</t>
        </is>
      </c>
      <c r="D164" t="inlineStr">
        <is>
          <t>Dubailand</t>
        </is>
      </c>
      <c r="E164" t="inlineStr">
        <is>
          <t>Villas</t>
        </is>
      </c>
      <c r="F164" s="7" t="inlineStr">
        <is>
          <t>Spanish Style</t>
        </is>
      </c>
      <c r="G164" t="inlineStr">
        <is>
          <t>Resale (4.5M+)</t>
        </is>
      </c>
      <c r="H164" t="inlineStr">
        <is>
          <t>900</t>
        </is>
      </c>
      <c r="I164" t="inlineStr">
        <is>
          <t>10</t>
        </is>
      </c>
      <c r="J164" t="inlineStr">
        <is>
          <t>Completed</t>
        </is>
      </c>
      <c r="K164" t="inlineStr">
        <is>
          <t>2009</t>
        </is>
      </c>
      <c r="L164" t="inlineStr">
        <is>
          <t>5.5-6.0</t>
        </is>
      </c>
      <c r="M164" t="inlineStr">
        <is>
          <t>5-7</t>
        </is>
      </c>
      <c r="N164" t="inlineStr">
        <is>
          <t>10.5-13.0</t>
        </is>
      </c>
      <c r="O164" s="7" t="inlineStr">
        <is>
          <t>GEMS FirstPoint</t>
        </is>
      </c>
      <c r="P164" s="7" t="inlineStr">
        <is>
          <t>Fakeeh University Hosp</t>
        </is>
      </c>
      <c r="Q164" s="7" t="inlineStr">
        <is>
          <t>The Villa Centro</t>
        </is>
      </c>
      <c r="R164" s="7" t="inlineStr">
        <is>
          <t>Al Ain Rd / E611</t>
        </is>
      </c>
      <c r="S164" t="inlineStr">
        <is>
          <t>25</t>
        </is>
      </c>
      <c r="T164" t="inlineStr">
        <is>
          <t>30</t>
        </is>
      </c>
      <c r="U164" t="inlineStr">
        <is>
          <t>25</t>
        </is>
      </c>
      <c r="V164" t="inlineStr">
        <is>
          <t>30</t>
        </is>
      </c>
      <c r="W164" t="n">
        <v>2</v>
      </c>
      <c r="X164" s="12" t="n">
        <v>4500000</v>
      </c>
      <c r="Y164" s="12" t="n">
        <v>4500000</v>
      </c>
      <c r="Z164" s="9" t="n">
        <v>5.5</v>
      </c>
      <c r="AA164" s="9" t="n">
        <v>6</v>
      </c>
      <c r="AB164" s="9" t="n">
        <v>5</v>
      </c>
      <c r="AC164" s="9" t="n">
        <v>7</v>
      </c>
      <c r="AD164" s="9" t="n">
        <v>10.5</v>
      </c>
      <c r="AE164" s="9" t="n">
        <v>13</v>
      </c>
      <c r="AF164" t="n">
        <v>2009</v>
      </c>
      <c r="AH164" t="inlineStr">
        <is>
          <t>Villa</t>
        </is>
      </c>
      <c r="AI164" t="inlineStr">
        <is>
          <t>MainstreamSelective</t>
        </is>
      </c>
      <c r="AJ164" t="inlineStr">
        <is>
          <t>TopTier</t>
        </is>
      </c>
      <c r="AK164" t="inlineStr">
        <is>
          <t>Family-villa resilient</t>
        </is>
      </c>
      <c r="AL164" s="7" t="inlineStr">
        <is>
          <t>Villa/townhouse demand remains relatively firmer, though growth should be slower than the post-2020 surge.</t>
        </is>
      </c>
      <c r="AM164" s="9" t="n">
        <v>6</v>
      </c>
      <c r="AN164" s="9" t="n">
        <v>5.75</v>
      </c>
      <c r="AO164" s="10" t="n">
        <v>0.55</v>
      </c>
      <c r="AP164" s="13" t="n">
        <v>0</v>
      </c>
      <c r="AQ164" s="13" t="n">
        <v>0.015</v>
      </c>
      <c r="AR164" s="13" t="n">
        <v>0</v>
      </c>
      <c r="AS164" s="13" t="n">
        <v>0.025</v>
      </c>
      <c r="AT164" s="13" t="n">
        <v>0.005</v>
      </c>
      <c r="AU164" s="13" t="n">
        <v>0</v>
      </c>
      <c r="AV164" s="13" t="n">
        <v>-0.005</v>
      </c>
      <c r="AW164" s="13">
        <f>IF(X164="","",(AM164/100*AO164)+AP164+AQ164+AR164)</f>
        <v/>
      </c>
      <c r="AX164" s="13">
        <f>IF(X164="","",AS164+AT164+AU164+AV164)</f>
        <v/>
      </c>
      <c r="AY164" s="12">
        <f>IF(AZ164="","",ROUND(AZ164*(1+Assumptions!$B$10),0))</f>
        <v/>
      </c>
      <c r="AZ164" s="12">
        <f>IF(X164="","",ROUND(X164*(1+AW164),0))</f>
        <v/>
      </c>
      <c r="BA164" s="12">
        <f>IF(AZ164="","",ROUND(AZ164*(1+Assumptions!$B$11),0))</f>
        <v/>
      </c>
      <c r="BB164" s="12">
        <f>IF(AZ164="","",ROUND(AZ164*(1+AX164+Assumptions!$B$10),0))</f>
        <v/>
      </c>
      <c r="BC164" s="12">
        <f>IF(AZ164="","",ROUND(AZ164*(1+AX164),0))</f>
        <v/>
      </c>
      <c r="BD164" s="12">
        <f>IF(AZ164="","",ROUND(AZ164*(1+AX164+Assumptions!$B$11),0))</f>
        <v/>
      </c>
      <c r="BE164" s="12">
        <f>IF(AZ164="","",ROUND(AZ164*(1+AX164)*(1+AX164),0))</f>
        <v/>
      </c>
      <c r="BF164" s="7" t="inlineStr">
        <is>
          <t>Rules-based enrichment using launch-price anchor, cap-app realization, and 2026 segment conditions.</t>
        </is>
      </c>
      <c r="BG164" t="inlineStr">
        <is>
          <t>2026-03-17</t>
        </is>
      </c>
      <c r="BH164" s="7" t="inlineStr">
        <is>
          <t>DLD / Digital Dubai / CBUAE / Savills / Knight Frank-Moody’s / Reuters</t>
        </is>
      </c>
    </row>
    <row r="165">
      <c r="A165" t="n">
        <v>164</v>
      </c>
      <c r="B165" s="7" t="inlineStr">
        <is>
          <t>Manazel Al Khor</t>
        </is>
      </c>
      <c r="C165" t="inlineStr">
        <is>
          <t>Dubai Properties</t>
        </is>
      </c>
      <c r="D165" t="inlineStr">
        <is>
          <t>Culture Village</t>
        </is>
      </c>
      <c r="E165" t="inlineStr">
        <is>
          <t>Apartments</t>
        </is>
      </c>
      <c r="F165" s="7" t="inlineStr">
        <is>
          <t>Creek / Traditional</t>
        </is>
      </c>
      <c r="G165" t="inlineStr">
        <is>
          <t>Resale (2M+)</t>
        </is>
      </c>
      <c r="H165" t="inlineStr">
        <is>
          <t>1500</t>
        </is>
      </c>
      <c r="I165" t="inlineStr">
        <is>
          <t>18</t>
        </is>
      </c>
      <c r="J165" t="inlineStr">
        <is>
          <t>Completed</t>
        </is>
      </c>
      <c r="K165" t="inlineStr">
        <is>
          <t>2016</t>
        </is>
      </c>
      <c r="L165" t="inlineStr">
        <is>
          <t>5.5-6.0</t>
        </is>
      </c>
      <c r="M165" t="inlineStr">
        <is>
          <t>5-7</t>
        </is>
      </c>
      <c r="N165" t="inlineStr">
        <is>
          <t>10.5-13.0</t>
        </is>
      </c>
      <c r="O165" s="7" t="inlineStr">
        <is>
          <t>Swiss Intl School</t>
        </is>
      </c>
      <c r="P165" s="7" t="inlineStr">
        <is>
          <t>American Hospital</t>
        </is>
      </c>
      <c r="Q165" s="7" t="inlineStr">
        <is>
          <t>Dubai Festival City</t>
        </is>
      </c>
      <c r="R165" s="7" t="inlineStr">
        <is>
          <t>Ras Al Khor / E44</t>
        </is>
      </c>
      <c r="S165" t="inlineStr">
        <is>
          <t>12</t>
        </is>
      </c>
      <c r="T165" t="inlineStr">
        <is>
          <t>25</t>
        </is>
      </c>
      <c r="U165" t="inlineStr">
        <is>
          <t>10</t>
        </is>
      </c>
      <c r="V165" t="inlineStr">
        <is>
          <t>40</t>
        </is>
      </c>
      <c r="W165" t="n">
        <v>2</v>
      </c>
      <c r="X165" s="12" t="n">
        <v>2000000</v>
      </c>
      <c r="Y165" s="12" t="n">
        <v>2000000</v>
      </c>
      <c r="Z165" s="9" t="n">
        <v>5.5</v>
      </c>
      <c r="AA165" s="9" t="n">
        <v>6</v>
      </c>
      <c r="AB165" s="9" t="n">
        <v>5</v>
      </c>
      <c r="AC165" s="9" t="n">
        <v>7</v>
      </c>
      <c r="AD165" s="9" t="n">
        <v>10.5</v>
      </c>
      <c r="AE165" s="9" t="n">
        <v>13</v>
      </c>
      <c r="AF165" t="n">
        <v>2016</v>
      </c>
      <c r="AH165" t="inlineStr">
        <is>
          <t>Apartment</t>
        </is>
      </c>
      <c r="AI165" t="inlineStr">
        <is>
          <t>MainstreamSelective</t>
        </is>
      </c>
      <c r="AJ165" t="inlineStr">
        <is>
          <t>TopTier</t>
        </is>
      </c>
      <c r="AK165" t="inlineStr">
        <is>
          <t>Balanced / selective</t>
        </is>
      </c>
      <c r="AL165" s="7" t="inlineStr">
        <is>
          <t>Market remains active but increasingly differentiated by developer, micro-location, livability, and pricing discipline.</t>
        </is>
      </c>
      <c r="AM165" s="9" t="n">
        <v>6</v>
      </c>
      <c r="AN165" s="9" t="n">
        <v>5.75</v>
      </c>
      <c r="AO165" s="10" t="n">
        <v>0.55</v>
      </c>
      <c r="AP165" s="13" t="n">
        <v>0</v>
      </c>
      <c r="AQ165" s="13" t="n">
        <v>0</v>
      </c>
      <c r="AR165" s="13" t="n">
        <v>0</v>
      </c>
      <c r="AS165" s="13" t="n">
        <v>0.01</v>
      </c>
      <c r="AT165" s="13" t="n">
        <v>0.005</v>
      </c>
      <c r="AU165" s="13" t="n">
        <v>0</v>
      </c>
      <c r="AV165" s="13" t="n">
        <v>-0.005</v>
      </c>
      <c r="AW165" s="13">
        <f>IF(X165="","",(AM165/100*AO165)+AP165+AQ165+AR165)</f>
        <v/>
      </c>
      <c r="AX165" s="13">
        <f>IF(X165="","",AS165+AT165+AU165+AV165)</f>
        <v/>
      </c>
      <c r="AY165" s="12">
        <f>IF(AZ165="","",ROUND(AZ165*(1+Assumptions!$B$10),0))</f>
        <v/>
      </c>
      <c r="AZ165" s="12">
        <f>IF(X165="","",ROUND(X165*(1+AW165),0))</f>
        <v/>
      </c>
      <c r="BA165" s="12">
        <f>IF(AZ165="","",ROUND(AZ165*(1+Assumptions!$B$11),0))</f>
        <v/>
      </c>
      <c r="BB165" s="12">
        <f>IF(AZ165="","",ROUND(AZ165*(1+AX165+Assumptions!$B$10),0))</f>
        <v/>
      </c>
      <c r="BC165" s="12">
        <f>IF(AZ165="","",ROUND(AZ165*(1+AX165),0))</f>
        <v/>
      </c>
      <c r="BD165" s="12">
        <f>IF(AZ165="","",ROUND(AZ165*(1+AX165+Assumptions!$B$11),0))</f>
        <v/>
      </c>
      <c r="BE165" s="12">
        <f>IF(AZ165="","",ROUND(AZ165*(1+AX165)*(1+AX165),0))</f>
        <v/>
      </c>
      <c r="BF165" s="7" t="inlineStr">
        <is>
          <t>Rules-based enrichment using launch-price anchor, cap-app realization, and 2026 segment conditions.</t>
        </is>
      </c>
      <c r="BG165" t="inlineStr">
        <is>
          <t>2026-03-17</t>
        </is>
      </c>
      <c r="BH165" s="7" t="inlineStr">
        <is>
          <t>DLD / Digital Dubai / CBUAE / Savills / Knight Frank-Moody’s / Reuters</t>
        </is>
      </c>
    </row>
    <row r="166">
      <c r="A166" t="n">
        <v>165</v>
      </c>
      <c r="B166" s="7" t="inlineStr">
        <is>
          <t>Dubai Wharf</t>
        </is>
      </c>
      <c r="C166" t="inlineStr">
        <is>
          <t>Dubai Properties</t>
        </is>
      </c>
      <c r="D166" t="inlineStr">
        <is>
          <t>Culture Village</t>
        </is>
      </c>
      <c r="E166" t="inlineStr">
        <is>
          <t>Apartments</t>
        </is>
      </c>
      <c r="F166" s="7" t="inlineStr">
        <is>
          <t>Creek / Modern</t>
        </is>
      </c>
      <c r="G166" t="inlineStr">
        <is>
          <t>Resale (1.5M+)</t>
        </is>
      </c>
      <c r="H166" t="inlineStr">
        <is>
          <t>1300</t>
        </is>
      </c>
      <c r="I166" t="inlineStr">
        <is>
          <t>18</t>
        </is>
      </c>
      <c r="J166" t="inlineStr">
        <is>
          <t>Completed</t>
        </is>
      </c>
      <c r="K166" t="inlineStr">
        <is>
          <t>2017</t>
        </is>
      </c>
      <c r="L166" t="inlineStr">
        <is>
          <t>6.0-6.5</t>
        </is>
      </c>
      <c r="M166" t="inlineStr">
        <is>
          <t>5-7</t>
        </is>
      </c>
      <c r="N166" t="inlineStr">
        <is>
          <t>11.0-13.5</t>
        </is>
      </c>
      <c r="O166" s="7" t="inlineStr">
        <is>
          <t>Swiss Intl School</t>
        </is>
      </c>
      <c r="P166" s="7" t="inlineStr">
        <is>
          <t>American Hospital</t>
        </is>
      </c>
      <c r="Q166" s="7" t="inlineStr">
        <is>
          <t>Dubai Festival City</t>
        </is>
      </c>
      <c r="R166" s="7" t="inlineStr">
        <is>
          <t>Ras Al Khor / E44</t>
        </is>
      </c>
      <c r="S166" t="inlineStr">
        <is>
          <t>12</t>
        </is>
      </c>
      <c r="T166" t="inlineStr">
        <is>
          <t>25</t>
        </is>
      </c>
      <c r="U166" t="inlineStr">
        <is>
          <t>10</t>
        </is>
      </c>
      <c r="V166" t="inlineStr">
        <is>
          <t>40</t>
        </is>
      </c>
      <c r="W166" t="n">
        <v>2</v>
      </c>
      <c r="X166" s="12" t="n">
        <v>1500000</v>
      </c>
      <c r="Y166" s="12" t="n">
        <v>1500000</v>
      </c>
      <c r="Z166" s="9" t="n">
        <v>6</v>
      </c>
      <c r="AA166" s="9" t="n">
        <v>6.5</v>
      </c>
      <c r="AB166" s="9" t="n">
        <v>5</v>
      </c>
      <c r="AC166" s="9" t="n">
        <v>7</v>
      </c>
      <c r="AD166" s="9" t="n">
        <v>11</v>
      </c>
      <c r="AE166" s="9" t="n">
        <v>13.5</v>
      </c>
      <c r="AF166" t="n">
        <v>2017</v>
      </c>
      <c r="AH166" t="inlineStr">
        <is>
          <t>Apartment</t>
        </is>
      </c>
      <c r="AI166" t="inlineStr">
        <is>
          <t>MainstreamSelective</t>
        </is>
      </c>
      <c r="AJ166" t="inlineStr">
        <is>
          <t>TopTier</t>
        </is>
      </c>
      <c r="AK166" t="inlineStr">
        <is>
          <t>Balanced / selective</t>
        </is>
      </c>
      <c r="AL166" s="7" t="inlineStr">
        <is>
          <t>Market remains active but increasingly differentiated by developer, micro-location, livability, and pricing discipline.</t>
        </is>
      </c>
      <c r="AM166" s="9" t="n">
        <v>6</v>
      </c>
      <c r="AN166" s="9" t="n">
        <v>6.25</v>
      </c>
      <c r="AO166" s="10" t="n">
        <v>0.55</v>
      </c>
      <c r="AP166" s="13" t="n">
        <v>0</v>
      </c>
      <c r="AQ166" s="13" t="n">
        <v>0</v>
      </c>
      <c r="AR166" s="13" t="n">
        <v>0</v>
      </c>
      <c r="AS166" s="13" t="n">
        <v>0.01</v>
      </c>
      <c r="AT166" s="13" t="n">
        <v>0.005</v>
      </c>
      <c r="AU166" s="13" t="n">
        <v>0.0025</v>
      </c>
      <c r="AV166" s="13" t="n">
        <v>-0.005</v>
      </c>
      <c r="AW166" s="13">
        <f>IF(X166="","",(AM166/100*AO166)+AP166+AQ166+AR166)</f>
        <v/>
      </c>
      <c r="AX166" s="13">
        <f>IF(X166="","",AS166+AT166+AU166+AV166)</f>
        <v/>
      </c>
      <c r="AY166" s="12">
        <f>IF(AZ166="","",ROUND(AZ166*(1+Assumptions!$B$10),0))</f>
        <v/>
      </c>
      <c r="AZ166" s="12">
        <f>IF(X166="","",ROUND(X166*(1+AW166),0))</f>
        <v/>
      </c>
      <c r="BA166" s="12">
        <f>IF(AZ166="","",ROUND(AZ166*(1+Assumptions!$B$11),0))</f>
        <v/>
      </c>
      <c r="BB166" s="12">
        <f>IF(AZ166="","",ROUND(AZ166*(1+AX166+Assumptions!$B$10),0))</f>
        <v/>
      </c>
      <c r="BC166" s="12">
        <f>IF(AZ166="","",ROUND(AZ166*(1+AX166),0))</f>
        <v/>
      </c>
      <c r="BD166" s="12">
        <f>IF(AZ166="","",ROUND(AZ166*(1+AX166+Assumptions!$B$11),0))</f>
        <v/>
      </c>
      <c r="BE166" s="12">
        <f>IF(AZ166="","",ROUND(AZ166*(1+AX166)*(1+AX166),0))</f>
        <v/>
      </c>
      <c r="BF166" s="7" t="inlineStr">
        <is>
          <t>Rules-based enrichment using launch-price anchor, cap-app realization, and 2026 segment conditions.</t>
        </is>
      </c>
      <c r="BG166" t="inlineStr">
        <is>
          <t>2026-03-17</t>
        </is>
      </c>
      <c r="BH166" s="7" t="inlineStr">
        <is>
          <t>DLD / Digital Dubai / CBUAE / Savills / Knight Frank-Moody’s / Reuters</t>
        </is>
      </c>
    </row>
    <row r="167">
      <c r="A167" t="n">
        <v>166</v>
      </c>
      <c r="B167" s="7" t="inlineStr">
        <is>
          <t>Haven (Master Community)</t>
        </is>
      </c>
      <c r="C167" t="inlineStr">
        <is>
          <t>Aldar Properties</t>
        </is>
      </c>
      <c r="D167" t="inlineStr">
        <is>
          <t>Dubailand (Opp Al Habtoor)</t>
        </is>
      </c>
      <c r="E167" t="inlineStr">
        <is>
          <t>Villas &amp; Townhouses</t>
        </is>
      </c>
      <c r="F167" s="7" t="inlineStr">
        <is>
          <t>Wellness / Green</t>
        </is>
      </c>
      <c r="G167" t="inlineStr">
        <is>
          <t>2.5M</t>
        </is>
      </c>
      <c r="H167" t="inlineStr">
        <is>
          <t>1400</t>
        </is>
      </c>
      <c r="I167" t="inlineStr">
        <is>
          <t>15</t>
        </is>
      </c>
      <c r="J167" t="inlineStr">
        <is>
          <t>60/40</t>
        </is>
      </c>
      <c r="K167" t="inlineStr">
        <is>
          <t>2023</t>
        </is>
      </c>
      <c r="L167" t="inlineStr">
        <is>
          <t>6.0-6.5</t>
        </is>
      </c>
      <c r="M167" t="inlineStr">
        <is>
          <t>10-12</t>
        </is>
      </c>
      <c r="N167" t="inlineStr">
        <is>
          <t>16.0-18.5</t>
        </is>
      </c>
      <c r="O167" s="7" t="inlineStr">
        <is>
          <t>GEMS Metropole</t>
        </is>
      </c>
      <c r="P167" s="7" t="inlineStr">
        <is>
          <t>Mediclinic Parkview</t>
        </is>
      </c>
      <c r="Q167" s="7" t="inlineStr">
        <is>
          <t>Cityland Mall</t>
        </is>
      </c>
      <c r="R167" s="7" t="inlineStr">
        <is>
          <t>E611 / Al Ain Rd</t>
        </is>
      </c>
      <c r="S167" t="inlineStr">
        <is>
          <t>20</t>
        </is>
      </c>
      <c r="T167" t="inlineStr">
        <is>
          <t>25</t>
        </is>
      </c>
      <c r="U167" t="inlineStr">
        <is>
          <t>25</t>
        </is>
      </c>
      <c r="V167" t="inlineStr">
        <is>
          <t>30</t>
        </is>
      </c>
      <c r="W167" t="n">
        <v>2</v>
      </c>
      <c r="X167" s="12" t="n">
        <v>2500000</v>
      </c>
      <c r="Y167" s="12" t="n">
        <v>2500000</v>
      </c>
      <c r="Z167" s="9" t="n">
        <v>6</v>
      </c>
      <c r="AA167" s="9" t="n">
        <v>6.5</v>
      </c>
      <c r="AB167" s="9" t="n">
        <v>10</v>
      </c>
      <c r="AC167" s="9" t="n">
        <v>12</v>
      </c>
      <c r="AD167" s="9" t="n">
        <v>16</v>
      </c>
      <c r="AE167" s="9" t="n">
        <v>18.5</v>
      </c>
      <c r="AF167" t="n">
        <v>2023</v>
      </c>
      <c r="AH167" t="inlineStr">
        <is>
          <t>Villa/Townhouse</t>
        </is>
      </c>
      <c r="AI167" t="inlineStr">
        <is>
          <t>MainstreamSelective</t>
        </is>
      </c>
      <c r="AJ167" t="inlineStr">
        <is>
          <t>Established</t>
        </is>
      </c>
      <c r="AK167" t="inlineStr">
        <is>
          <t>Family-villa resilient</t>
        </is>
      </c>
      <c r="AL167" s="7" t="inlineStr">
        <is>
          <t>Villa/townhouse demand remains relatively firmer, though growth should be slower than the post-2020 surge.</t>
        </is>
      </c>
      <c r="AM167" s="9" t="n">
        <v>11</v>
      </c>
      <c r="AN167" s="9" t="n">
        <v>6.25</v>
      </c>
      <c r="AO167" s="10" t="n">
        <v>0.55</v>
      </c>
      <c r="AP167" s="13" t="n">
        <v>0</v>
      </c>
      <c r="AQ167" s="13" t="n">
        <v>0.015</v>
      </c>
      <c r="AR167" s="13" t="n">
        <v>0</v>
      </c>
      <c r="AS167" s="13" t="n">
        <v>0.025</v>
      </c>
      <c r="AT167" s="13" t="n">
        <v>0</v>
      </c>
      <c r="AU167" s="13" t="n">
        <v>0.0025</v>
      </c>
      <c r="AV167" s="13" t="n">
        <v>-0.005</v>
      </c>
      <c r="AW167" s="13">
        <f>IF(X167="","",(AM167/100*AO167)+AP167+AQ167+AR167)</f>
        <v/>
      </c>
      <c r="AX167" s="13">
        <f>IF(X167="","",AS167+AT167+AU167+AV167)</f>
        <v/>
      </c>
      <c r="AY167" s="12">
        <f>IF(AZ167="","",ROUND(AZ167*(1+Assumptions!$B$10),0))</f>
        <v/>
      </c>
      <c r="AZ167" s="12">
        <f>IF(X167="","",ROUND(X167*(1+AW167),0))</f>
        <v/>
      </c>
      <c r="BA167" s="12">
        <f>IF(AZ167="","",ROUND(AZ167*(1+Assumptions!$B$11),0))</f>
        <v/>
      </c>
      <c r="BB167" s="12">
        <f>IF(AZ167="","",ROUND(AZ167*(1+AX167+Assumptions!$B$10),0))</f>
        <v/>
      </c>
      <c r="BC167" s="12">
        <f>IF(AZ167="","",ROUND(AZ167*(1+AX167),0))</f>
        <v/>
      </c>
      <c r="BD167" s="12">
        <f>IF(AZ167="","",ROUND(AZ167*(1+AX167+Assumptions!$B$11),0))</f>
        <v/>
      </c>
      <c r="BE167" s="12">
        <f>IF(AZ167="","",ROUND(AZ167*(1+AX167)*(1+AX167),0))</f>
        <v/>
      </c>
      <c r="BF167" s="7" t="inlineStr">
        <is>
          <t>Rules-based enrichment using launch-price anchor, cap-app realization, and 2026 segment conditions.</t>
        </is>
      </c>
      <c r="BG167" t="inlineStr">
        <is>
          <t>2026-03-17</t>
        </is>
      </c>
      <c r="BH167" s="7" t="inlineStr">
        <is>
          <t>DLD / Digital Dubai / CBUAE / Savills / Knight Frank-Moody’s / Reuters</t>
        </is>
      </c>
    </row>
    <row r="168">
      <c r="A168" t="n">
        <v>167</v>
      </c>
      <c r="B168" s="7" t="inlineStr">
        <is>
          <t>Verdes by Haven</t>
        </is>
      </c>
      <c r="C168" t="inlineStr">
        <is>
          <t>Aldar Properties</t>
        </is>
      </c>
      <c r="D168" t="inlineStr">
        <is>
          <t>Haven Community</t>
        </is>
      </c>
      <c r="E168" t="inlineStr">
        <is>
          <t>Apartments</t>
        </is>
      </c>
      <c r="F168" s="7" t="inlineStr">
        <is>
          <t>Wellness / Green</t>
        </is>
      </c>
      <c r="G168" t="inlineStr">
        <is>
          <t>1.6M</t>
        </is>
      </c>
      <c r="H168" t="inlineStr">
        <is>
          <t>1600</t>
        </is>
      </c>
      <c r="I168" t="inlineStr">
        <is>
          <t>18</t>
        </is>
      </c>
      <c r="J168" t="inlineStr">
        <is>
          <t>60/40</t>
        </is>
      </c>
      <c r="K168" t="inlineStr">
        <is>
          <t>2024</t>
        </is>
      </c>
      <c r="L168" t="inlineStr">
        <is>
          <t>6.5-7.0</t>
        </is>
      </c>
      <c r="M168" t="inlineStr">
        <is>
          <t>10-12</t>
        </is>
      </c>
      <c r="N168" t="inlineStr">
        <is>
          <t>16.5-19.0</t>
        </is>
      </c>
      <c r="O168" s="7" t="inlineStr">
        <is>
          <t>GEMS Metropole</t>
        </is>
      </c>
      <c r="P168" s="7" t="inlineStr">
        <is>
          <t>Mediclinic Parkview</t>
        </is>
      </c>
      <c r="Q168" s="7" t="inlineStr">
        <is>
          <t>Cityland Mall</t>
        </is>
      </c>
      <c r="R168" s="7" t="inlineStr">
        <is>
          <t>E611 / Al Ain Rd</t>
        </is>
      </c>
      <c r="S168" t="inlineStr">
        <is>
          <t>20</t>
        </is>
      </c>
      <c r="T168" t="inlineStr">
        <is>
          <t>25</t>
        </is>
      </c>
      <c r="U168" t="inlineStr">
        <is>
          <t>25</t>
        </is>
      </c>
      <c r="V168" t="inlineStr">
        <is>
          <t>30</t>
        </is>
      </c>
      <c r="W168" t="n">
        <v>2</v>
      </c>
      <c r="X168" s="12" t="n">
        <v>1600000</v>
      </c>
      <c r="Y168" s="12" t="n">
        <v>1600000</v>
      </c>
      <c r="Z168" s="9" t="n">
        <v>6.5</v>
      </c>
      <c r="AA168" s="9" t="n">
        <v>7</v>
      </c>
      <c r="AB168" s="9" t="n">
        <v>10</v>
      </c>
      <c r="AC168" s="9" t="n">
        <v>12</v>
      </c>
      <c r="AD168" s="9" t="n">
        <v>16.5</v>
      </c>
      <c r="AE168" s="9" t="n">
        <v>19</v>
      </c>
      <c r="AF168" t="n">
        <v>2024</v>
      </c>
      <c r="AH168" t="inlineStr">
        <is>
          <t>Apartment</t>
        </is>
      </c>
      <c r="AI168" t="inlineStr">
        <is>
          <t>MainstreamSelective</t>
        </is>
      </c>
      <c r="AJ168" t="inlineStr">
        <is>
          <t>Established</t>
        </is>
      </c>
      <c r="AK168" t="inlineStr">
        <is>
          <t>Balanced / selective</t>
        </is>
      </c>
      <c r="AL168" s="7" t="inlineStr">
        <is>
          <t>Market remains active but increasingly differentiated by developer, micro-location, livability, and pricing discipline.</t>
        </is>
      </c>
      <c r="AM168" s="9" t="n">
        <v>11</v>
      </c>
      <c r="AN168" s="9" t="n">
        <v>6.75</v>
      </c>
      <c r="AO168" s="10" t="n">
        <v>0.55</v>
      </c>
      <c r="AP168" s="13" t="n">
        <v>0</v>
      </c>
      <c r="AQ168" s="13" t="n">
        <v>0</v>
      </c>
      <c r="AR168" s="13" t="n">
        <v>0</v>
      </c>
      <c r="AS168" s="13" t="n">
        <v>0.01</v>
      </c>
      <c r="AT168" s="13" t="n">
        <v>0</v>
      </c>
      <c r="AU168" s="13" t="n">
        <v>0.0025</v>
      </c>
      <c r="AV168" s="13" t="n">
        <v>-0.005</v>
      </c>
      <c r="AW168" s="13">
        <f>IF(X168="","",(AM168/100*AO168)+AP168+AQ168+AR168)</f>
        <v/>
      </c>
      <c r="AX168" s="13">
        <f>IF(X168="","",AS168+AT168+AU168+AV168)</f>
        <v/>
      </c>
      <c r="AY168" s="12">
        <f>IF(AZ168="","",ROUND(AZ168*(1+Assumptions!$B$10),0))</f>
        <v/>
      </c>
      <c r="AZ168" s="12">
        <f>IF(X168="","",ROUND(X168*(1+AW168),0))</f>
        <v/>
      </c>
      <c r="BA168" s="12">
        <f>IF(AZ168="","",ROUND(AZ168*(1+Assumptions!$B$11),0))</f>
        <v/>
      </c>
      <c r="BB168" s="12">
        <f>IF(AZ168="","",ROUND(AZ168*(1+AX168+Assumptions!$B$10),0))</f>
        <v/>
      </c>
      <c r="BC168" s="12">
        <f>IF(AZ168="","",ROUND(AZ168*(1+AX168),0))</f>
        <v/>
      </c>
      <c r="BD168" s="12">
        <f>IF(AZ168="","",ROUND(AZ168*(1+AX168+Assumptions!$B$11),0))</f>
        <v/>
      </c>
      <c r="BE168" s="12">
        <f>IF(AZ168="","",ROUND(AZ168*(1+AX168)*(1+AX168),0))</f>
        <v/>
      </c>
      <c r="BF168" s="7" t="inlineStr">
        <is>
          <t>Rules-based enrichment using launch-price anchor, cap-app realization, and 2026 segment conditions.</t>
        </is>
      </c>
      <c r="BG168" t="inlineStr">
        <is>
          <t>2026-03-17</t>
        </is>
      </c>
      <c r="BH168" s="7" t="inlineStr">
        <is>
          <t>DLD / Digital Dubai / CBUAE / Savills / Knight Frank-Moody’s / Reuters</t>
        </is>
      </c>
    </row>
    <row r="169">
      <c r="A169" t="n">
        <v>168</v>
      </c>
      <c r="B169" s="7" t="inlineStr">
        <is>
          <t>Athlon (Master Community)</t>
        </is>
      </c>
      <c r="C169" t="inlineStr">
        <is>
          <t>Aldar Properties</t>
        </is>
      </c>
      <c r="D169" t="inlineStr">
        <is>
          <t>Dubailand (Near Global Vill)</t>
        </is>
      </c>
      <c r="E169" t="inlineStr">
        <is>
          <t>Villas &amp; Townhouses</t>
        </is>
      </c>
      <c r="F169" s="7" t="inlineStr">
        <is>
          <t>Active / Sports</t>
        </is>
      </c>
      <c r="G169" t="inlineStr">
        <is>
          <t>2.8M (TH) / 4.6M (Villa)</t>
        </is>
      </c>
      <c r="H169" t="inlineStr">
        <is>
          <t>1300-1500</t>
        </is>
      </c>
      <c r="I169" t="inlineStr">
        <is>
          <t>15</t>
        </is>
      </c>
      <c r="J169" t="inlineStr">
        <is>
          <t>5/55/40</t>
        </is>
      </c>
      <c r="K169" t="inlineStr">
        <is>
          <t>2024</t>
        </is>
      </c>
      <c r="L169" t="inlineStr">
        <is>
          <t>6.0-6.5</t>
        </is>
      </c>
      <c r="M169" t="inlineStr">
        <is>
          <t>10-12</t>
        </is>
      </c>
      <c r="N169" t="inlineStr">
        <is>
          <t>16.0-18.5</t>
        </is>
      </c>
      <c r="O169" s="7" t="inlineStr">
        <is>
          <t>GEMS Winchester</t>
        </is>
      </c>
      <c r="P169" s="7" t="inlineStr">
        <is>
          <t>Fakeeh University Hosp</t>
        </is>
      </c>
      <c r="Q169" s="7" t="inlineStr">
        <is>
          <t>Global Village</t>
        </is>
      </c>
      <c r="R169" s="7" t="inlineStr">
        <is>
          <t>E611 / Sheikh Zayed Bin Hamdan</t>
        </is>
      </c>
      <c r="S169" t="inlineStr">
        <is>
          <t>20</t>
        </is>
      </c>
      <c r="T169" t="inlineStr">
        <is>
          <t>25</t>
        </is>
      </c>
      <c r="U169" t="inlineStr">
        <is>
          <t>25</t>
        </is>
      </c>
      <c r="V169" t="inlineStr">
        <is>
          <t>30</t>
        </is>
      </c>
      <c r="W169" t="n">
        <v>2</v>
      </c>
      <c r="X169" s="12" t="n">
        <v>2800000</v>
      </c>
      <c r="Y169" s="12" t="n">
        <v>4600000</v>
      </c>
      <c r="Z169" s="9" t="n">
        <v>6</v>
      </c>
      <c r="AA169" s="9" t="n">
        <v>6.5</v>
      </c>
      <c r="AB169" s="9" t="n">
        <v>10</v>
      </c>
      <c r="AC169" s="9" t="n">
        <v>12</v>
      </c>
      <c r="AD169" s="9" t="n">
        <v>16</v>
      </c>
      <c r="AE169" s="9" t="n">
        <v>18.5</v>
      </c>
      <c r="AF169" t="n">
        <v>2024</v>
      </c>
      <c r="AH169" t="inlineStr">
        <is>
          <t>Villa/Townhouse</t>
        </is>
      </c>
      <c r="AI169" t="inlineStr">
        <is>
          <t>MainstreamSelective</t>
        </is>
      </c>
      <c r="AJ169" t="inlineStr">
        <is>
          <t>Established</t>
        </is>
      </c>
      <c r="AK169" t="inlineStr">
        <is>
          <t>Family-villa resilient</t>
        </is>
      </c>
      <c r="AL169" s="7" t="inlineStr">
        <is>
          <t>Villa/townhouse demand remains relatively firmer, though growth should be slower than the post-2020 surge.</t>
        </is>
      </c>
      <c r="AM169" s="9" t="n">
        <v>11</v>
      </c>
      <c r="AN169" s="9" t="n">
        <v>6.25</v>
      </c>
      <c r="AO169" s="10" t="n">
        <v>0.55</v>
      </c>
      <c r="AP169" s="13" t="n">
        <v>0</v>
      </c>
      <c r="AQ169" s="13" t="n">
        <v>0.015</v>
      </c>
      <c r="AR169" s="13" t="n">
        <v>0</v>
      </c>
      <c r="AS169" s="13" t="n">
        <v>0.025</v>
      </c>
      <c r="AT169" s="13" t="n">
        <v>0</v>
      </c>
      <c r="AU169" s="13" t="n">
        <v>0.0025</v>
      </c>
      <c r="AV169" s="13" t="n">
        <v>-0.005</v>
      </c>
      <c r="AW169" s="13">
        <f>IF(X169="","",(AM169/100*AO169)+AP169+AQ169+AR169)</f>
        <v/>
      </c>
      <c r="AX169" s="13">
        <f>IF(X169="","",AS169+AT169+AU169+AV169)</f>
        <v/>
      </c>
      <c r="AY169" s="12">
        <f>IF(AZ169="","",ROUND(AZ169*(1+Assumptions!$B$10),0))</f>
        <v/>
      </c>
      <c r="AZ169" s="12">
        <f>IF(X169="","",ROUND(X169*(1+AW169),0))</f>
        <v/>
      </c>
      <c r="BA169" s="12">
        <f>IF(AZ169="","",ROUND(AZ169*(1+Assumptions!$B$11),0))</f>
        <v/>
      </c>
      <c r="BB169" s="12">
        <f>IF(AZ169="","",ROUND(AZ169*(1+AX169+Assumptions!$B$10),0))</f>
        <v/>
      </c>
      <c r="BC169" s="12">
        <f>IF(AZ169="","",ROUND(AZ169*(1+AX169),0))</f>
        <v/>
      </c>
      <c r="BD169" s="12">
        <f>IF(AZ169="","",ROUND(AZ169*(1+AX169+Assumptions!$B$11),0))</f>
        <v/>
      </c>
      <c r="BE169" s="12">
        <f>IF(AZ169="","",ROUND(AZ169*(1+AX169)*(1+AX169),0))</f>
        <v/>
      </c>
      <c r="BF169" s="7" t="inlineStr">
        <is>
          <t>Rules-based enrichment using launch-price anchor, cap-app realization, and 2026 segment conditions.</t>
        </is>
      </c>
      <c r="BG169" t="inlineStr">
        <is>
          <t>2026-03-17</t>
        </is>
      </c>
      <c r="BH169" s="7" t="inlineStr">
        <is>
          <t>DLD / Digital Dubai / CBUAE / Savills / Knight Frank-Moody’s / Reuters</t>
        </is>
      </c>
    </row>
    <row r="170">
      <c r="A170" t="n">
        <v>169</v>
      </c>
      <c r="B170" s="7" t="inlineStr">
        <is>
          <t>Rise by Athlon</t>
        </is>
      </c>
      <c r="C170" t="inlineStr">
        <is>
          <t>Aldar Properties</t>
        </is>
      </c>
      <c r="D170" t="inlineStr">
        <is>
          <t>Athlon Community</t>
        </is>
      </c>
      <c r="E170" t="inlineStr">
        <is>
          <t>Apartments/TH</t>
        </is>
      </c>
      <c r="F170" s="7" t="inlineStr">
        <is>
          <t>Active / Sports</t>
        </is>
      </c>
      <c r="G170" t="inlineStr">
        <is>
          <t>1.35M</t>
        </is>
      </c>
      <c r="H170" t="inlineStr">
        <is>
          <t>1400</t>
        </is>
      </c>
      <c r="I170" t="inlineStr">
        <is>
          <t>15</t>
        </is>
      </c>
      <c r="J170" t="inlineStr">
        <is>
          <t>5/55/40</t>
        </is>
      </c>
      <c r="K170" t="inlineStr">
        <is>
          <t>2024</t>
        </is>
      </c>
      <c r="L170" t="inlineStr">
        <is>
          <t>6.5-7.0</t>
        </is>
      </c>
      <c r="M170" t="inlineStr">
        <is>
          <t>10-12</t>
        </is>
      </c>
      <c r="N170" t="inlineStr">
        <is>
          <t>16.5-19.0</t>
        </is>
      </c>
      <c r="O170" s="7" t="inlineStr">
        <is>
          <t>GEMS Winchester</t>
        </is>
      </c>
      <c r="P170" s="7" t="inlineStr">
        <is>
          <t>Fakeeh University Hosp</t>
        </is>
      </c>
      <c r="Q170" s="7" t="inlineStr">
        <is>
          <t>Global Village</t>
        </is>
      </c>
      <c r="R170" s="7" t="inlineStr">
        <is>
          <t>E611 / Sheikh Zayed Bin Hamdan</t>
        </is>
      </c>
      <c r="S170" t="inlineStr">
        <is>
          <t>20</t>
        </is>
      </c>
      <c r="T170" t="inlineStr">
        <is>
          <t>25</t>
        </is>
      </c>
      <c r="U170" t="inlineStr">
        <is>
          <t>25</t>
        </is>
      </c>
      <c r="V170" t="inlineStr">
        <is>
          <t>30</t>
        </is>
      </c>
      <c r="W170" t="n">
        <v>2</v>
      </c>
      <c r="X170" s="12" t="n">
        <v>1350000</v>
      </c>
      <c r="Y170" s="12" t="n">
        <v>1350000</v>
      </c>
      <c r="Z170" s="9" t="n">
        <v>6.5</v>
      </c>
      <c r="AA170" s="9" t="n">
        <v>7</v>
      </c>
      <c r="AB170" s="9" t="n">
        <v>10</v>
      </c>
      <c r="AC170" s="9" t="n">
        <v>12</v>
      </c>
      <c r="AD170" s="9" t="n">
        <v>16.5</v>
      </c>
      <c r="AE170" s="9" t="n">
        <v>19</v>
      </c>
      <c r="AF170" t="n">
        <v>2024</v>
      </c>
      <c r="AH170" t="inlineStr">
        <is>
          <t>Apartment</t>
        </is>
      </c>
      <c r="AI170" t="inlineStr">
        <is>
          <t>MainstreamSelective</t>
        </is>
      </c>
      <c r="AJ170" t="inlineStr">
        <is>
          <t>Established</t>
        </is>
      </c>
      <c r="AK170" t="inlineStr">
        <is>
          <t>Balanced / selective</t>
        </is>
      </c>
      <c r="AL170" s="7" t="inlineStr">
        <is>
          <t>Market remains active but increasingly differentiated by developer, micro-location, livability, and pricing discipline.</t>
        </is>
      </c>
      <c r="AM170" s="9" t="n">
        <v>11</v>
      </c>
      <c r="AN170" s="9" t="n">
        <v>6.75</v>
      </c>
      <c r="AO170" s="10" t="n">
        <v>0.55</v>
      </c>
      <c r="AP170" s="13" t="n">
        <v>0</v>
      </c>
      <c r="AQ170" s="13" t="n">
        <v>0</v>
      </c>
      <c r="AR170" s="13" t="n">
        <v>0</v>
      </c>
      <c r="AS170" s="13" t="n">
        <v>0.01</v>
      </c>
      <c r="AT170" s="13" t="n">
        <v>0</v>
      </c>
      <c r="AU170" s="13" t="n">
        <v>0.0025</v>
      </c>
      <c r="AV170" s="13" t="n">
        <v>-0.005</v>
      </c>
      <c r="AW170" s="13">
        <f>IF(X170="","",(AM170/100*AO170)+AP170+AQ170+AR170)</f>
        <v/>
      </c>
      <c r="AX170" s="13">
        <f>IF(X170="","",AS170+AT170+AU170+AV170)</f>
        <v/>
      </c>
      <c r="AY170" s="12">
        <f>IF(AZ170="","",ROUND(AZ170*(1+Assumptions!$B$10),0))</f>
        <v/>
      </c>
      <c r="AZ170" s="12">
        <f>IF(X170="","",ROUND(X170*(1+AW170),0))</f>
        <v/>
      </c>
      <c r="BA170" s="12">
        <f>IF(AZ170="","",ROUND(AZ170*(1+Assumptions!$B$11),0))</f>
        <v/>
      </c>
      <c r="BB170" s="12">
        <f>IF(AZ170="","",ROUND(AZ170*(1+AX170+Assumptions!$B$10),0))</f>
        <v/>
      </c>
      <c r="BC170" s="12">
        <f>IF(AZ170="","",ROUND(AZ170*(1+AX170),0))</f>
        <v/>
      </c>
      <c r="BD170" s="12">
        <f>IF(AZ170="","",ROUND(AZ170*(1+AX170+Assumptions!$B$11),0))</f>
        <v/>
      </c>
      <c r="BE170" s="12">
        <f>IF(AZ170="","",ROUND(AZ170*(1+AX170)*(1+AX170),0))</f>
        <v/>
      </c>
      <c r="BF170" s="7" t="inlineStr">
        <is>
          <t>Rules-based enrichment using launch-price anchor, cap-app realization, and 2026 segment conditions.</t>
        </is>
      </c>
      <c r="BG170" t="inlineStr">
        <is>
          <t>2026-03-17</t>
        </is>
      </c>
      <c r="BH170" s="7" t="inlineStr">
        <is>
          <t>DLD / Digital Dubai / CBUAE / Savills / Knight Frank-Moody’s / Reuters</t>
        </is>
      </c>
    </row>
    <row r="171">
      <c r="A171" t="n">
        <v>170</v>
      </c>
      <c r="B171" s="7" t="inlineStr">
        <is>
          <t>The Wilds</t>
        </is>
      </c>
      <c r="C171" t="inlineStr">
        <is>
          <t>Aldar Properties</t>
        </is>
      </c>
      <c r="D171" t="inlineStr">
        <is>
          <t>Athlon Community</t>
        </is>
      </c>
      <c r="E171" t="inlineStr">
        <is>
          <t>Villas</t>
        </is>
      </c>
      <c r="F171" s="7" t="inlineStr">
        <is>
          <t>Nature / Sports</t>
        </is>
      </c>
      <c r="G171" t="inlineStr">
        <is>
          <t>3.9M</t>
        </is>
      </c>
      <c r="H171" t="inlineStr">
        <is>
          <t>1500</t>
        </is>
      </c>
      <c r="I171" t="inlineStr">
        <is>
          <t>15</t>
        </is>
      </c>
      <c r="J171" t="inlineStr">
        <is>
          <t>50/50</t>
        </is>
      </c>
      <c r="K171" t="inlineStr">
        <is>
          <t>2024</t>
        </is>
      </c>
      <c r="L171" t="inlineStr">
        <is>
          <t>6.0-6.5</t>
        </is>
      </c>
      <c r="M171" t="inlineStr">
        <is>
          <t>10-12</t>
        </is>
      </c>
      <c r="N171" t="inlineStr">
        <is>
          <t>16.0-18.5</t>
        </is>
      </c>
      <c r="O171" s="7" t="inlineStr">
        <is>
          <t>GEMS Winchester</t>
        </is>
      </c>
      <c r="P171" s="7" t="inlineStr">
        <is>
          <t>Fakeeh University Hosp</t>
        </is>
      </c>
      <c r="Q171" s="7" t="inlineStr">
        <is>
          <t>Global Village</t>
        </is>
      </c>
      <c r="R171" s="7" t="inlineStr">
        <is>
          <t>E611 / Sheikh Zayed Bin Hamdan</t>
        </is>
      </c>
      <c r="S171" t="inlineStr">
        <is>
          <t>20</t>
        </is>
      </c>
      <c r="T171" t="inlineStr">
        <is>
          <t>25</t>
        </is>
      </c>
      <c r="U171" t="inlineStr">
        <is>
          <t>25</t>
        </is>
      </c>
      <c r="V171" t="inlineStr">
        <is>
          <t>30</t>
        </is>
      </c>
      <c r="W171" t="n">
        <v>2</v>
      </c>
      <c r="X171" s="12" t="n">
        <v>3900000</v>
      </c>
      <c r="Y171" s="12" t="n">
        <v>3900000</v>
      </c>
      <c r="Z171" s="9" t="n">
        <v>6</v>
      </c>
      <c r="AA171" s="9" t="n">
        <v>6.5</v>
      </c>
      <c r="AB171" s="9" t="n">
        <v>10</v>
      </c>
      <c r="AC171" s="9" t="n">
        <v>12</v>
      </c>
      <c r="AD171" s="9" t="n">
        <v>16</v>
      </c>
      <c r="AE171" s="9" t="n">
        <v>18.5</v>
      </c>
      <c r="AF171" t="n">
        <v>2024</v>
      </c>
      <c r="AH171" t="inlineStr">
        <is>
          <t>Villa</t>
        </is>
      </c>
      <c r="AI171" t="inlineStr">
        <is>
          <t>MainstreamSelective</t>
        </is>
      </c>
      <c r="AJ171" t="inlineStr">
        <is>
          <t>Established</t>
        </is>
      </c>
      <c r="AK171" t="inlineStr">
        <is>
          <t>Family-villa resilient</t>
        </is>
      </c>
      <c r="AL171" s="7" t="inlineStr">
        <is>
          <t>Villa/townhouse demand remains relatively firmer, though growth should be slower than the post-2020 surge.</t>
        </is>
      </c>
      <c r="AM171" s="9" t="n">
        <v>11</v>
      </c>
      <c r="AN171" s="9" t="n">
        <v>6.25</v>
      </c>
      <c r="AO171" s="10" t="n">
        <v>0.55</v>
      </c>
      <c r="AP171" s="13" t="n">
        <v>0</v>
      </c>
      <c r="AQ171" s="13" t="n">
        <v>0.015</v>
      </c>
      <c r="AR171" s="13" t="n">
        <v>0</v>
      </c>
      <c r="AS171" s="13" t="n">
        <v>0.025</v>
      </c>
      <c r="AT171" s="13" t="n">
        <v>0</v>
      </c>
      <c r="AU171" s="13" t="n">
        <v>0.0025</v>
      </c>
      <c r="AV171" s="13" t="n">
        <v>-0.005</v>
      </c>
      <c r="AW171" s="13">
        <f>IF(X171="","",(AM171/100*AO171)+AP171+AQ171+AR171)</f>
        <v/>
      </c>
      <c r="AX171" s="13">
        <f>IF(X171="","",AS171+AT171+AU171+AV171)</f>
        <v/>
      </c>
      <c r="AY171" s="12">
        <f>IF(AZ171="","",ROUND(AZ171*(1+Assumptions!$B$10),0))</f>
        <v/>
      </c>
      <c r="AZ171" s="12">
        <f>IF(X171="","",ROUND(X171*(1+AW171),0))</f>
        <v/>
      </c>
      <c r="BA171" s="12">
        <f>IF(AZ171="","",ROUND(AZ171*(1+Assumptions!$B$11),0))</f>
        <v/>
      </c>
      <c r="BB171" s="12">
        <f>IF(AZ171="","",ROUND(AZ171*(1+AX171+Assumptions!$B$10),0))</f>
        <v/>
      </c>
      <c r="BC171" s="12">
        <f>IF(AZ171="","",ROUND(AZ171*(1+AX171),0))</f>
        <v/>
      </c>
      <c r="BD171" s="12">
        <f>IF(AZ171="","",ROUND(AZ171*(1+AX171+Assumptions!$B$11),0))</f>
        <v/>
      </c>
      <c r="BE171" s="12">
        <f>IF(AZ171="","",ROUND(AZ171*(1+AX171)*(1+AX171),0))</f>
        <v/>
      </c>
      <c r="BF171" s="7" t="inlineStr">
        <is>
          <t>Rules-based enrichment using launch-price anchor, cap-app realization, and 2026 segment conditions.</t>
        </is>
      </c>
      <c r="BG171" t="inlineStr">
        <is>
          <t>2026-03-17</t>
        </is>
      </c>
      <c r="BH171" s="7" t="inlineStr">
        <is>
          <t>DLD / Digital Dubai / CBUAE / Savills / Knight Frank-Moody’s / Reuters</t>
        </is>
      </c>
    </row>
    <row r="172">
      <c r="A172" t="n">
        <v>171</v>
      </c>
      <c r="B172" s="7" t="inlineStr">
        <is>
          <t>Nikki Beach Residences RAK</t>
        </is>
      </c>
      <c r="C172" t="inlineStr">
        <is>
          <t>Aldar Properties</t>
        </is>
      </c>
      <c r="D172" t="inlineStr">
        <is>
          <t>Ras Al Khaimah (Marjan)</t>
        </is>
      </c>
      <c r="E172" t="inlineStr">
        <is>
          <t>Apartments</t>
        </is>
      </c>
      <c r="F172" s="7" t="inlineStr">
        <is>
          <t>Beach / Resort</t>
        </is>
      </c>
      <c r="G172" t="inlineStr">
        <is>
          <t>2.0M</t>
        </is>
      </c>
      <c r="H172" t="inlineStr">
        <is>
          <t>2200</t>
        </is>
      </c>
      <c r="I172" t="inlineStr">
        <is>
          <t>TBA</t>
        </is>
      </c>
      <c r="J172" t="inlineStr">
        <is>
          <t>60/40</t>
        </is>
      </c>
      <c r="K172" t="inlineStr">
        <is>
          <t>2023</t>
        </is>
      </c>
      <c r="L172" t="inlineStr">
        <is>
          <t>6.5-7.5</t>
        </is>
      </c>
      <c r="M172" t="inlineStr">
        <is>
          <t>10-15</t>
        </is>
      </c>
      <c r="N172" t="inlineStr">
        <is>
          <t>16.5-22.5</t>
        </is>
      </c>
      <c r="O172" s="7" t="inlineStr">
        <is>
          <t>RAK Academy</t>
        </is>
      </c>
      <c r="P172" s="7" t="inlineStr">
        <is>
          <t>RAK Hospital</t>
        </is>
      </c>
      <c r="Q172" s="7" t="inlineStr">
        <is>
          <t>Al Hamra Mall</t>
        </is>
      </c>
      <c r="R172" s="7" t="inlineStr">
        <is>
          <t>E11 (RAK)</t>
        </is>
      </c>
      <c r="S172" t="inlineStr">
        <is>
          <t>60+</t>
        </is>
      </c>
      <c r="T172" t="inlineStr">
        <is>
          <t>60+</t>
        </is>
      </c>
      <c r="U172" t="inlineStr">
        <is>
          <t>50</t>
        </is>
      </c>
      <c r="V172" t="inlineStr">
        <is>
          <t>60+</t>
        </is>
      </c>
      <c r="W172" t="n">
        <v>2</v>
      </c>
      <c r="X172" s="12" t="n">
        <v>2000000</v>
      </c>
      <c r="Y172" s="12" t="n">
        <v>2000000</v>
      </c>
      <c r="Z172" s="9" t="n">
        <v>6.5</v>
      </c>
      <c r="AA172" s="9" t="n">
        <v>7.5</v>
      </c>
      <c r="AB172" s="9" t="n">
        <v>10</v>
      </c>
      <c r="AC172" s="9" t="n">
        <v>15</v>
      </c>
      <c r="AD172" s="9" t="n">
        <v>16.5</v>
      </c>
      <c r="AE172" s="9" t="n">
        <v>22.5</v>
      </c>
      <c r="AF172" t="n">
        <v>2023</v>
      </c>
      <c r="AH172" t="inlineStr">
        <is>
          <t>Apartment</t>
        </is>
      </c>
      <c r="AI172" t="inlineStr">
        <is>
          <t>MainstreamSelective</t>
        </is>
      </c>
      <c r="AJ172" t="inlineStr">
        <is>
          <t>Established</t>
        </is>
      </c>
      <c r="AK172" t="inlineStr">
        <is>
          <t>Balanced / selective</t>
        </is>
      </c>
      <c r="AL172" s="7" t="inlineStr">
        <is>
          <t>Market remains active but increasingly differentiated by developer, micro-location, livability, and pricing discipline.</t>
        </is>
      </c>
      <c r="AM172" s="9" t="n">
        <v>12.5</v>
      </c>
      <c r="AN172" s="9" t="n">
        <v>7</v>
      </c>
      <c r="AO172" s="10" t="n">
        <v>0.55</v>
      </c>
      <c r="AP172" s="13" t="n">
        <v>0</v>
      </c>
      <c r="AQ172" s="13" t="n">
        <v>0</v>
      </c>
      <c r="AR172" s="13" t="n">
        <v>0</v>
      </c>
      <c r="AS172" s="13" t="n">
        <v>0.01</v>
      </c>
      <c r="AT172" s="13" t="n">
        <v>0</v>
      </c>
      <c r="AU172" s="13" t="n">
        <v>0.0025</v>
      </c>
      <c r="AV172" s="13" t="n">
        <v>-0.005</v>
      </c>
      <c r="AW172" s="13">
        <f>IF(X172="","",(AM172/100*AO172)+AP172+AQ172+AR172)</f>
        <v/>
      </c>
      <c r="AX172" s="13">
        <f>IF(X172="","",AS172+AT172+AU172+AV172)</f>
        <v/>
      </c>
      <c r="AY172" s="12">
        <f>IF(AZ172="","",ROUND(AZ172*(1+Assumptions!$B$10),0))</f>
        <v/>
      </c>
      <c r="AZ172" s="12">
        <f>IF(X172="","",ROUND(X172*(1+AW172),0))</f>
        <v/>
      </c>
      <c r="BA172" s="12">
        <f>IF(AZ172="","",ROUND(AZ172*(1+Assumptions!$B$11),0))</f>
        <v/>
      </c>
      <c r="BB172" s="12">
        <f>IF(AZ172="","",ROUND(AZ172*(1+AX172+Assumptions!$B$10),0))</f>
        <v/>
      </c>
      <c r="BC172" s="12">
        <f>IF(AZ172="","",ROUND(AZ172*(1+AX172),0))</f>
        <v/>
      </c>
      <c r="BD172" s="12">
        <f>IF(AZ172="","",ROUND(AZ172*(1+AX172+Assumptions!$B$11),0))</f>
        <v/>
      </c>
      <c r="BE172" s="12">
        <f>IF(AZ172="","",ROUND(AZ172*(1+AX172)*(1+AX172),0))</f>
        <v/>
      </c>
      <c r="BF172" s="7" t="inlineStr">
        <is>
          <t>Rules-based enrichment using launch-price anchor, cap-app realization, and 2026 segment conditions.</t>
        </is>
      </c>
      <c r="BG172" t="inlineStr">
        <is>
          <t>2026-03-17</t>
        </is>
      </c>
      <c r="BH172" s="7" t="inlineStr">
        <is>
          <t>DLD / Digital Dubai / CBUAE / Savills / Knight Frank-Moody’s / Reuters</t>
        </is>
      </c>
    </row>
    <row r="173">
      <c r="A173" t="n">
        <v>172</v>
      </c>
      <c r="B173" s="7" t="inlineStr">
        <is>
          <t>Rosso Bay (Dubai Marketed)</t>
        </is>
      </c>
      <c r="C173" t="inlineStr">
        <is>
          <t>Aldar Properties</t>
        </is>
      </c>
      <c r="D173" t="inlineStr">
        <is>
          <t>Ras Al Khaimah (Marjan)</t>
        </is>
      </c>
      <c r="E173" t="inlineStr">
        <is>
          <t>Apartments</t>
        </is>
      </c>
      <c r="F173" s="7" t="inlineStr">
        <is>
          <t>Beach / Resort</t>
        </is>
      </c>
      <c r="G173" t="inlineStr">
        <is>
          <t>1.8M</t>
        </is>
      </c>
      <c r="H173" t="inlineStr">
        <is>
          <t>2000</t>
        </is>
      </c>
      <c r="I173" t="inlineStr">
        <is>
          <t>TBA</t>
        </is>
      </c>
      <c r="J173" t="inlineStr">
        <is>
          <t>60/40</t>
        </is>
      </c>
      <c r="K173" t="inlineStr">
        <is>
          <t>2023</t>
        </is>
      </c>
      <c r="L173" t="inlineStr">
        <is>
          <t>6.5-7.5</t>
        </is>
      </c>
      <c r="M173" t="inlineStr">
        <is>
          <t>10-15</t>
        </is>
      </c>
      <c r="N173" t="inlineStr">
        <is>
          <t>16.5-22.5</t>
        </is>
      </c>
      <c r="O173" s="7" t="inlineStr">
        <is>
          <t>RAK Academy</t>
        </is>
      </c>
      <c r="P173" s="7" t="inlineStr">
        <is>
          <t>RAK Hospital</t>
        </is>
      </c>
      <c r="Q173" s="7" t="inlineStr">
        <is>
          <t>Al Hamra Mall</t>
        </is>
      </c>
      <c r="R173" s="7" t="inlineStr">
        <is>
          <t>E11 (RAK)</t>
        </is>
      </c>
      <c r="S173" t="inlineStr">
        <is>
          <t>60+</t>
        </is>
      </c>
      <c r="T173" t="inlineStr">
        <is>
          <t>60+</t>
        </is>
      </c>
      <c r="U173" t="inlineStr">
        <is>
          <t>50</t>
        </is>
      </c>
      <c r="V173" t="inlineStr">
        <is>
          <t>60+</t>
        </is>
      </c>
      <c r="W173" t="n">
        <v>2</v>
      </c>
      <c r="X173" s="12" t="n">
        <v>1800000</v>
      </c>
      <c r="Y173" s="12" t="n">
        <v>1800000</v>
      </c>
      <c r="Z173" s="9" t="n">
        <v>6.5</v>
      </c>
      <c r="AA173" s="9" t="n">
        <v>7.5</v>
      </c>
      <c r="AB173" s="9" t="n">
        <v>10</v>
      </c>
      <c r="AC173" s="9" t="n">
        <v>15</v>
      </c>
      <c r="AD173" s="9" t="n">
        <v>16.5</v>
      </c>
      <c r="AE173" s="9" t="n">
        <v>22.5</v>
      </c>
      <c r="AF173" t="n">
        <v>2023</v>
      </c>
      <c r="AH173" t="inlineStr">
        <is>
          <t>Apartment</t>
        </is>
      </c>
      <c r="AI173" t="inlineStr">
        <is>
          <t>MainstreamSelective</t>
        </is>
      </c>
      <c r="AJ173" t="inlineStr">
        <is>
          <t>Established</t>
        </is>
      </c>
      <c r="AK173" t="inlineStr">
        <is>
          <t>Balanced / selective</t>
        </is>
      </c>
      <c r="AL173" s="7" t="inlineStr">
        <is>
          <t>Market remains active but increasingly differentiated by developer, micro-location, livability, and pricing discipline.</t>
        </is>
      </c>
      <c r="AM173" s="9" t="n">
        <v>12.5</v>
      </c>
      <c r="AN173" s="9" t="n">
        <v>7</v>
      </c>
      <c r="AO173" s="10" t="n">
        <v>0.55</v>
      </c>
      <c r="AP173" s="13" t="n">
        <v>0</v>
      </c>
      <c r="AQ173" s="13" t="n">
        <v>0</v>
      </c>
      <c r="AR173" s="13" t="n">
        <v>0</v>
      </c>
      <c r="AS173" s="13" t="n">
        <v>0.01</v>
      </c>
      <c r="AT173" s="13" t="n">
        <v>0</v>
      </c>
      <c r="AU173" s="13" t="n">
        <v>0.0025</v>
      </c>
      <c r="AV173" s="13" t="n">
        <v>-0.005</v>
      </c>
      <c r="AW173" s="13">
        <f>IF(X173="","",(AM173/100*AO173)+AP173+AQ173+AR173)</f>
        <v/>
      </c>
      <c r="AX173" s="13">
        <f>IF(X173="","",AS173+AT173+AU173+AV173)</f>
        <v/>
      </c>
      <c r="AY173" s="12">
        <f>IF(AZ173="","",ROUND(AZ173*(1+Assumptions!$B$10),0))</f>
        <v/>
      </c>
      <c r="AZ173" s="12">
        <f>IF(X173="","",ROUND(X173*(1+AW173),0))</f>
        <v/>
      </c>
      <c r="BA173" s="12">
        <f>IF(AZ173="","",ROUND(AZ173*(1+Assumptions!$B$11),0))</f>
        <v/>
      </c>
      <c r="BB173" s="12">
        <f>IF(AZ173="","",ROUND(AZ173*(1+AX173+Assumptions!$B$10),0))</f>
        <v/>
      </c>
      <c r="BC173" s="12">
        <f>IF(AZ173="","",ROUND(AZ173*(1+AX173),0))</f>
        <v/>
      </c>
      <c r="BD173" s="12">
        <f>IF(AZ173="","",ROUND(AZ173*(1+AX173+Assumptions!$B$11),0))</f>
        <v/>
      </c>
      <c r="BE173" s="12">
        <f>IF(AZ173="","",ROUND(AZ173*(1+AX173)*(1+AX173),0))</f>
        <v/>
      </c>
      <c r="BF173" s="7" t="inlineStr">
        <is>
          <t>Rules-based enrichment using launch-price anchor, cap-app realization, and 2026 segment conditions.</t>
        </is>
      </c>
      <c r="BG173" t="inlineStr">
        <is>
          <t>2026-03-17</t>
        </is>
      </c>
      <c r="BH173" s="7" t="inlineStr">
        <is>
          <t>DLD / Digital Dubai / CBUAE / Savills / Knight Frank-Moody’s / Reuters</t>
        </is>
      </c>
    </row>
    <row r="174">
      <c r="A174" t="n">
        <v>173</v>
      </c>
      <c r="B174" s="7" t="inlineStr">
        <is>
          <t>Sun City (Master Community)</t>
        </is>
      </c>
      <c r="C174" t="inlineStr">
        <is>
          <t>DAMAC Properties</t>
        </is>
      </c>
      <c r="D174" t="inlineStr">
        <is>
          <t>Dubailand (Cherrywoods)</t>
        </is>
      </c>
      <c r="E174" t="inlineStr">
        <is>
          <t>Townhouses (4/5 Bed)</t>
        </is>
      </c>
      <c r="F174" s="7" t="inlineStr">
        <is>
          <t>Wellness / Nature</t>
        </is>
      </c>
      <c r="G174" t="inlineStr">
        <is>
          <t>2.25M</t>
        </is>
      </c>
      <c r="H174" t="inlineStr">
        <is>
          <t>1000</t>
        </is>
      </c>
      <c r="I174" t="inlineStr">
        <is>
          <t>TBA</t>
        </is>
      </c>
      <c r="J174" t="inlineStr">
        <is>
          <t>75/25</t>
        </is>
      </c>
      <c r="K174" t="inlineStr">
        <is>
          <t>2024</t>
        </is>
      </c>
      <c r="L174" t="inlineStr">
        <is>
          <t>6.5-7.0</t>
        </is>
      </c>
      <c r="M174" t="inlineStr">
        <is>
          <t>12-15</t>
        </is>
      </c>
      <c r="N174" t="inlineStr">
        <is>
          <t>18.5-22.0</t>
        </is>
      </c>
      <c r="O174" s="7" t="inlineStr">
        <is>
          <t>Ranches Primary</t>
        </is>
      </c>
      <c r="P174" s="7" t="inlineStr">
        <is>
          <t>King's College Hospital</t>
        </is>
      </c>
      <c r="Q174" s="7" t="inlineStr">
        <is>
          <t>Dubai Hills Mall</t>
        </is>
      </c>
      <c r="R174" s="7" t="inlineStr">
        <is>
          <t>Al Qudra Rd</t>
        </is>
      </c>
      <c r="S174" t="inlineStr">
        <is>
          <t>25</t>
        </is>
      </c>
      <c r="T174" t="inlineStr">
        <is>
          <t>20</t>
        </is>
      </c>
      <c r="U174" t="inlineStr">
        <is>
          <t>30</t>
        </is>
      </c>
      <c r="V174" t="inlineStr">
        <is>
          <t>25</t>
        </is>
      </c>
      <c r="W174" t="n">
        <v>2</v>
      </c>
      <c r="X174" s="12" t="n">
        <v>2250000</v>
      </c>
      <c r="Y174" s="12" t="n">
        <v>2250000</v>
      </c>
      <c r="Z174" s="9" t="n">
        <v>6.5</v>
      </c>
      <c r="AA174" s="9" t="n">
        <v>7</v>
      </c>
      <c r="AB174" s="9" t="n">
        <v>12</v>
      </c>
      <c r="AC174" s="9" t="n">
        <v>15</v>
      </c>
      <c r="AD174" s="9" t="n">
        <v>18.5</v>
      </c>
      <c r="AE174" s="9" t="n">
        <v>22</v>
      </c>
      <c r="AF174" t="n">
        <v>2024</v>
      </c>
      <c r="AH174" t="inlineStr">
        <is>
          <t>Townhouse</t>
        </is>
      </c>
      <c r="AI174" t="inlineStr">
        <is>
          <t>MainstreamSelective</t>
        </is>
      </c>
      <c r="AJ174" t="inlineStr">
        <is>
          <t>TopTier</t>
        </is>
      </c>
      <c r="AK174" t="inlineStr">
        <is>
          <t>Family-villa resilient</t>
        </is>
      </c>
      <c r="AL174" s="7" t="inlineStr">
        <is>
          <t>Villa/townhouse demand remains relatively firmer, though growth should be slower than the post-2020 surge.</t>
        </is>
      </c>
      <c r="AM174" s="9" t="n">
        <v>13.5</v>
      </c>
      <c r="AN174" s="9" t="n">
        <v>6.75</v>
      </c>
      <c r="AO174" s="10" t="n">
        <v>0.55</v>
      </c>
      <c r="AP174" s="13" t="n">
        <v>0</v>
      </c>
      <c r="AQ174" s="13" t="n">
        <v>0.015</v>
      </c>
      <c r="AR174" s="13" t="n">
        <v>0</v>
      </c>
      <c r="AS174" s="13" t="n">
        <v>0.025</v>
      </c>
      <c r="AT174" s="13" t="n">
        <v>0.005</v>
      </c>
      <c r="AU174" s="13" t="n">
        <v>0.0025</v>
      </c>
      <c r="AV174" s="13" t="n">
        <v>-0.005</v>
      </c>
      <c r="AW174" s="13">
        <f>IF(X174="","",(AM174/100*AO174)+AP174+AQ174+AR174)</f>
        <v/>
      </c>
      <c r="AX174" s="13">
        <f>IF(X174="","",AS174+AT174+AU174+AV174)</f>
        <v/>
      </c>
      <c r="AY174" s="12">
        <f>IF(AZ174="","",ROUND(AZ174*(1+Assumptions!$B$10),0))</f>
        <v/>
      </c>
      <c r="AZ174" s="12">
        <f>IF(X174="","",ROUND(X174*(1+AW174),0))</f>
        <v/>
      </c>
      <c r="BA174" s="12">
        <f>IF(AZ174="","",ROUND(AZ174*(1+Assumptions!$B$11),0))</f>
        <v/>
      </c>
      <c r="BB174" s="12">
        <f>IF(AZ174="","",ROUND(AZ174*(1+AX174+Assumptions!$B$10),0))</f>
        <v/>
      </c>
      <c r="BC174" s="12">
        <f>IF(AZ174="","",ROUND(AZ174*(1+AX174),0))</f>
        <v/>
      </c>
      <c r="BD174" s="12">
        <f>IF(AZ174="","",ROUND(AZ174*(1+AX174+Assumptions!$B$11),0))</f>
        <v/>
      </c>
      <c r="BE174" s="12">
        <f>IF(AZ174="","",ROUND(AZ174*(1+AX174)*(1+AX174),0))</f>
        <v/>
      </c>
      <c r="BF174" s="7" t="inlineStr">
        <is>
          <t>Rules-based enrichment using launch-price anchor, cap-app realization, and 2026 segment conditions.</t>
        </is>
      </c>
      <c r="BG174" t="inlineStr">
        <is>
          <t>2026-03-17</t>
        </is>
      </c>
      <c r="BH174" s="7" t="inlineStr">
        <is>
          <t>DLD / Digital Dubai / CBUAE / Savills / Knight Frank-Moody’s / Reuters</t>
        </is>
      </c>
    </row>
    <row r="175">
      <c r="A175" t="n">
        <v>174</v>
      </c>
      <c r="B175" s="7" t="inlineStr">
        <is>
          <t>Cherrywoods District</t>
        </is>
      </c>
      <c r="C175" t="inlineStr">
        <is>
          <t>DAMAC Properties</t>
        </is>
      </c>
      <c r="D175" t="inlineStr">
        <is>
          <t>Dubailand</t>
        </is>
      </c>
      <c r="E175" t="inlineStr">
        <is>
          <t>Townhouses</t>
        </is>
      </c>
      <c r="F175" s="7" t="inlineStr">
        <is>
          <t>Gated</t>
        </is>
      </c>
      <c r="G175" t="inlineStr">
        <is>
          <t>Resale</t>
        </is>
      </c>
      <c r="H175" t="inlineStr">
        <is>
          <t>1100</t>
        </is>
      </c>
      <c r="I175" t="inlineStr">
        <is>
          <t>TBA</t>
        </is>
      </c>
      <c r="J175" t="inlineStr">
        <is>
          <t>Completed</t>
        </is>
      </c>
      <c r="K175" t="inlineStr">
        <is>
          <t>2021</t>
        </is>
      </c>
      <c r="L175" t="inlineStr">
        <is>
          <t>6.5-7.0</t>
        </is>
      </c>
      <c r="M175" t="inlineStr">
        <is>
          <t>6-8</t>
        </is>
      </c>
      <c r="N175" t="inlineStr">
        <is>
          <t>12.5-15.0</t>
        </is>
      </c>
      <c r="O175" s="7" t="inlineStr">
        <is>
          <t>Ranches Primary</t>
        </is>
      </c>
      <c r="P175" s="7" t="inlineStr">
        <is>
          <t>King's College Hospital</t>
        </is>
      </c>
      <c r="Q175" s="7" t="inlineStr">
        <is>
          <t>Dubai Hills Mall</t>
        </is>
      </c>
      <c r="R175" s="7" t="inlineStr">
        <is>
          <t>Al Qudra Rd</t>
        </is>
      </c>
      <c r="S175" t="inlineStr">
        <is>
          <t>25</t>
        </is>
      </c>
      <c r="T175" t="inlineStr">
        <is>
          <t>20</t>
        </is>
      </c>
      <c r="U175" t="inlineStr">
        <is>
          <t>30</t>
        </is>
      </c>
      <c r="V175" t="inlineStr">
        <is>
          <t>25</t>
        </is>
      </c>
      <c r="W175" t="n">
        <v>2</v>
      </c>
      <c r="X175" s="12" t="n"/>
      <c r="Y175" s="12" t="n"/>
      <c r="Z175" s="9" t="n">
        <v>6.5</v>
      </c>
      <c r="AA175" s="9" t="n">
        <v>7</v>
      </c>
      <c r="AB175" s="9" t="n">
        <v>6</v>
      </c>
      <c r="AC175" s="9" t="n">
        <v>8</v>
      </c>
      <c r="AD175" s="9" t="n">
        <v>12.5</v>
      </c>
      <c r="AE175" s="9" t="n">
        <v>15</v>
      </c>
      <c r="AF175" t="n">
        <v>2021</v>
      </c>
      <c r="AH175" t="inlineStr">
        <is>
          <t>Townhouse</t>
        </is>
      </c>
      <c r="AI175" t="inlineStr">
        <is>
          <t>MainstreamSelective</t>
        </is>
      </c>
      <c r="AJ175" t="inlineStr">
        <is>
          <t>TopTier</t>
        </is>
      </c>
      <c r="AK175" t="inlineStr">
        <is>
          <t>Family-villa resilient</t>
        </is>
      </c>
      <c r="AL175" s="7" t="inlineStr">
        <is>
          <t>Villa/townhouse demand remains relatively firmer, though growth should be slower than the post-2020 surge.</t>
        </is>
      </c>
      <c r="AM175" s="9" t="n">
        <v>7</v>
      </c>
      <c r="AN175" s="9" t="n">
        <v>6.75</v>
      </c>
      <c r="AO175" s="10" t="n">
        <v>0.55</v>
      </c>
      <c r="AP175" s="13" t="n">
        <v>0</v>
      </c>
      <c r="AQ175" s="13" t="n">
        <v>0.015</v>
      </c>
      <c r="AR175" s="13" t="n">
        <v>0</v>
      </c>
      <c r="AS175" s="13" t="n">
        <v>0.025</v>
      </c>
      <c r="AT175" s="13" t="n">
        <v>0.005</v>
      </c>
      <c r="AU175" s="13" t="n">
        <v>0.0025</v>
      </c>
      <c r="AV175" s="13" t="n">
        <v>-0.005</v>
      </c>
      <c r="AW175" s="13">
        <f>IF(X175="","",(AM175/100*AO175)+AP175+AQ175+AR175)</f>
        <v/>
      </c>
      <c r="AX175" s="13">
        <f>IF(X175="","",AS175+AT175+AU175+AV175)</f>
        <v/>
      </c>
      <c r="AY175" s="12">
        <f>IF(AZ175="","",ROUND(AZ175*(1+Assumptions!$B$10),0))</f>
        <v/>
      </c>
      <c r="AZ175" s="12">
        <f>IF(X175="","",ROUND(X175*(1+AW175),0))</f>
        <v/>
      </c>
      <c r="BA175" s="12">
        <f>IF(AZ175="","",ROUND(AZ175*(1+Assumptions!$B$11),0))</f>
        <v/>
      </c>
      <c r="BB175" s="12">
        <f>IF(AZ175="","",ROUND(AZ175*(1+AX175+Assumptions!$B$10),0))</f>
        <v/>
      </c>
      <c r="BC175" s="12">
        <f>IF(AZ175="","",ROUND(AZ175*(1+AX175),0))</f>
        <v/>
      </c>
      <c r="BD175" s="12">
        <f>IF(AZ175="","",ROUND(AZ175*(1+AX175+Assumptions!$B$11),0))</f>
        <v/>
      </c>
      <c r="BE175" s="12">
        <f>IF(AZ175="","",ROUND(AZ175*(1+AX175)*(1+AX175),0))</f>
        <v/>
      </c>
      <c r="BF175" s="7" t="inlineStr">
        <is>
          <t>Rules-based enrichment using launch-price anchor, cap-app realization, and 2026 segment conditions.</t>
        </is>
      </c>
      <c r="BG175" t="inlineStr">
        <is>
          <t>2026-03-17</t>
        </is>
      </c>
      <c r="BH175" s="7" t="inlineStr">
        <is>
          <t>DLD / Digital Dubai / CBUAE / Savills / Knight Frank-Moody’s / Reuters</t>
        </is>
      </c>
    </row>
    <row r="176">
      <c r="A176" t="n">
        <v>175</v>
      </c>
      <c r="B176" s="7" t="inlineStr">
        <is>
          <t>DAMAC Lagoons (Master Community)</t>
        </is>
      </c>
      <c r="C176" t="inlineStr">
        <is>
          <t>DAMAC Properties</t>
        </is>
      </c>
      <c r="D176" t="inlineStr">
        <is>
          <t>Hessa Street</t>
        </is>
      </c>
      <c r="E176" t="inlineStr">
        <is>
          <t>Townhouses &amp; Villas</t>
        </is>
      </c>
      <c r="F176" s="7" t="inlineStr">
        <is>
          <t>Water / Lagoon</t>
        </is>
      </c>
      <c r="I176" t="inlineStr">
        <is>
          <t>12-15</t>
        </is>
      </c>
      <c r="J176" t="inlineStr">
        <is>
          <t>Varies</t>
        </is>
      </c>
      <c r="K176" t="inlineStr">
        <is>
          <t>2021-2025</t>
        </is>
      </c>
      <c r="L176" t="inlineStr">
        <is>
          <t>6.0-7.0</t>
        </is>
      </c>
      <c r="M176" t="inlineStr">
        <is>
          <t>8-12</t>
        </is>
      </c>
      <c r="N176" t="inlineStr">
        <is>
          <t>14.0-19.0</t>
        </is>
      </c>
      <c r="O176" s="7" t="inlineStr">
        <is>
          <t>Royal Grammar</t>
        </is>
      </c>
      <c r="P176" s="7" t="inlineStr">
        <is>
          <t>Mediclinic Parkview</t>
        </is>
      </c>
      <c r="Q176" s="7" t="inlineStr">
        <is>
          <t>First Avenue Mall</t>
        </is>
      </c>
      <c r="R176" s="7" t="inlineStr">
        <is>
          <t>Hessa St / E611</t>
        </is>
      </c>
      <c r="S176" t="inlineStr">
        <is>
          <t>25</t>
        </is>
      </c>
      <c r="T176" t="inlineStr">
        <is>
          <t>20</t>
        </is>
      </c>
      <c r="U176" t="inlineStr">
        <is>
          <t>30</t>
        </is>
      </c>
      <c r="V176" t="inlineStr">
        <is>
          <t>25</t>
        </is>
      </c>
      <c r="W176" t="n">
        <v>2</v>
      </c>
      <c r="X176" s="12" t="n"/>
      <c r="Y176" s="12" t="n"/>
      <c r="Z176" s="9" t="n">
        <v>6</v>
      </c>
      <c r="AA176" s="9" t="n">
        <v>7</v>
      </c>
      <c r="AB176" s="9" t="n">
        <v>8</v>
      </c>
      <c r="AC176" s="9" t="n">
        <v>12</v>
      </c>
      <c r="AD176" s="9" t="n">
        <v>14</v>
      </c>
      <c r="AE176" s="9" t="n">
        <v>19</v>
      </c>
      <c r="AF176" t="n">
        <v>2021</v>
      </c>
      <c r="AH176" t="inlineStr">
        <is>
          <t>Villa/Townhouse</t>
        </is>
      </c>
      <c r="AI176" t="inlineStr">
        <is>
          <t>MainstreamSelective</t>
        </is>
      </c>
      <c r="AJ176" t="inlineStr">
        <is>
          <t>TopTier</t>
        </is>
      </c>
      <c r="AK176" t="inlineStr">
        <is>
          <t>Family-villa resilient</t>
        </is>
      </c>
      <c r="AL176" s="7" t="inlineStr">
        <is>
          <t>Villa/townhouse demand remains relatively firmer, though growth should be slower than the post-2020 surge.</t>
        </is>
      </c>
      <c r="AM176" s="9" t="n">
        <v>10</v>
      </c>
      <c r="AN176" s="9" t="n">
        <v>6.5</v>
      </c>
      <c r="AO176" s="10" t="n">
        <v>0.55</v>
      </c>
      <c r="AP176" s="13" t="n">
        <v>0</v>
      </c>
      <c r="AQ176" s="13" t="n">
        <v>0.015</v>
      </c>
      <c r="AR176" s="13" t="n">
        <v>0</v>
      </c>
      <c r="AS176" s="13" t="n">
        <v>0.025</v>
      </c>
      <c r="AT176" s="13" t="n">
        <v>0.005</v>
      </c>
      <c r="AU176" s="13" t="n">
        <v>0.0025</v>
      </c>
      <c r="AV176" s="13" t="n">
        <v>-0.005</v>
      </c>
      <c r="AW176" s="13">
        <f>IF(X176="","",(AM176/100*AO176)+AP176+AQ176+AR176)</f>
        <v/>
      </c>
      <c r="AX176" s="13">
        <f>IF(X176="","",AS176+AT176+AU176+AV176)</f>
        <v/>
      </c>
      <c r="AY176" s="12">
        <f>IF(AZ176="","",ROUND(AZ176*(1+Assumptions!$B$10),0))</f>
        <v/>
      </c>
      <c r="AZ176" s="12">
        <f>IF(X176="","",ROUND(X176*(1+AW176),0))</f>
        <v/>
      </c>
      <c r="BA176" s="12">
        <f>IF(AZ176="","",ROUND(AZ176*(1+Assumptions!$B$11),0))</f>
        <v/>
      </c>
      <c r="BB176" s="12">
        <f>IF(AZ176="","",ROUND(AZ176*(1+AX176+Assumptions!$B$10),0))</f>
        <v/>
      </c>
      <c r="BC176" s="12">
        <f>IF(AZ176="","",ROUND(AZ176*(1+AX176),0))</f>
        <v/>
      </c>
      <c r="BD176" s="12">
        <f>IF(AZ176="","",ROUND(AZ176*(1+AX176+Assumptions!$B$11),0))</f>
        <v/>
      </c>
      <c r="BE176" s="12">
        <f>IF(AZ176="","",ROUND(AZ176*(1+AX176)*(1+AX176),0))</f>
        <v/>
      </c>
      <c r="BF176" s="7" t="inlineStr">
        <is>
          <t>Rules-based enrichment using launch-price anchor, cap-app realization, and 2026 segment conditions.</t>
        </is>
      </c>
      <c r="BG176" t="inlineStr">
        <is>
          <t>2026-03-17</t>
        </is>
      </c>
      <c r="BH176" s="7" t="inlineStr">
        <is>
          <t>DLD / Digital Dubai / CBUAE / Savills / Knight Frank-Moody’s / Reuters</t>
        </is>
      </c>
    </row>
    <row r="177">
      <c r="A177" t="n">
        <v>176</v>
      </c>
      <c r="B177" s="7" t="inlineStr">
        <is>
          <t>Venice</t>
        </is>
      </c>
      <c r="C177" t="inlineStr">
        <is>
          <t>DAMAC Properties</t>
        </is>
      </c>
      <c r="D177" t="inlineStr">
        <is>
          <t>DAMAC Lagoons</t>
        </is>
      </c>
      <c r="E177" t="inlineStr">
        <is>
          <t>Villas (Large)</t>
        </is>
      </c>
      <c r="F177" s="7" t="inlineStr">
        <is>
          <t>Water / Luxury</t>
        </is>
      </c>
      <c r="G177" t="inlineStr">
        <is>
          <t>5.5M</t>
        </is>
      </c>
      <c r="H177" t="inlineStr">
        <is>
          <t>1400</t>
        </is>
      </c>
      <c r="I177" t="inlineStr">
        <is>
          <t>15</t>
        </is>
      </c>
      <c r="J177" t="inlineStr">
        <is>
          <t>80/20</t>
        </is>
      </c>
      <c r="K177" t="inlineStr">
        <is>
          <t>2022</t>
        </is>
      </c>
      <c r="L177" t="inlineStr">
        <is>
          <t>5.5-6.0</t>
        </is>
      </c>
      <c r="M177" t="inlineStr">
        <is>
          <t>8-12</t>
        </is>
      </c>
      <c r="N177" t="inlineStr">
        <is>
          <t>13.5-18.0</t>
        </is>
      </c>
      <c r="O177" s="7" t="inlineStr">
        <is>
          <t>Royal Grammar</t>
        </is>
      </c>
      <c r="P177" s="7" t="inlineStr">
        <is>
          <t>Mediclinic Parkview</t>
        </is>
      </c>
      <c r="Q177" s="7" t="inlineStr">
        <is>
          <t>First Avenue Mall</t>
        </is>
      </c>
      <c r="R177" s="7" t="inlineStr">
        <is>
          <t>Hessa St / E611</t>
        </is>
      </c>
      <c r="S177" t="inlineStr">
        <is>
          <t>25</t>
        </is>
      </c>
      <c r="T177" t="inlineStr">
        <is>
          <t>20</t>
        </is>
      </c>
      <c r="U177" t="inlineStr">
        <is>
          <t>30</t>
        </is>
      </c>
      <c r="V177" t="inlineStr">
        <is>
          <t>25</t>
        </is>
      </c>
      <c r="W177" t="n">
        <v>2</v>
      </c>
      <c r="X177" s="12" t="n">
        <v>5500000</v>
      </c>
      <c r="Y177" s="12" t="n">
        <v>5500000</v>
      </c>
      <c r="Z177" s="9" t="n">
        <v>5.5</v>
      </c>
      <c r="AA177" s="9" t="n">
        <v>6</v>
      </c>
      <c r="AB177" s="9" t="n">
        <v>8</v>
      </c>
      <c r="AC177" s="9" t="n">
        <v>12</v>
      </c>
      <c r="AD177" s="9" t="n">
        <v>13.5</v>
      </c>
      <c r="AE177" s="9" t="n">
        <v>18</v>
      </c>
      <c r="AF177" t="n">
        <v>2022</v>
      </c>
      <c r="AH177" t="inlineStr">
        <is>
          <t>Villa</t>
        </is>
      </c>
      <c r="AI177" t="inlineStr">
        <is>
          <t>FamilyVilla</t>
        </is>
      </c>
      <c r="AJ177" t="inlineStr">
        <is>
          <t>TopTier</t>
        </is>
      </c>
      <c r="AK177" t="inlineStr">
        <is>
          <t>Family-villa resilient</t>
        </is>
      </c>
      <c r="AL177" s="7" t="inlineStr">
        <is>
          <t>Villa/townhouse demand remains relatively firmer, though growth should be slower than the post-2020 surge.</t>
        </is>
      </c>
      <c r="AM177" s="9" t="n">
        <v>10</v>
      </c>
      <c r="AN177" s="9" t="n">
        <v>5.75</v>
      </c>
      <c r="AO177" s="10" t="n">
        <v>0.55</v>
      </c>
      <c r="AP177" s="13" t="n">
        <v>0</v>
      </c>
      <c r="AQ177" s="13" t="n">
        <v>0.015</v>
      </c>
      <c r="AR177" s="13" t="n">
        <v>0</v>
      </c>
      <c r="AS177" s="13" t="n">
        <v>0.025</v>
      </c>
      <c r="AT177" s="13" t="n">
        <v>0.005</v>
      </c>
      <c r="AU177" s="13" t="n">
        <v>0</v>
      </c>
      <c r="AV177" s="13" t="n">
        <v>-0.005</v>
      </c>
      <c r="AW177" s="13">
        <f>IF(X177="","",(AM177/100*AO177)+AP177+AQ177+AR177)</f>
        <v/>
      </c>
      <c r="AX177" s="13">
        <f>IF(X177="","",AS177+AT177+AU177+AV177)</f>
        <v/>
      </c>
      <c r="AY177" s="12">
        <f>IF(AZ177="","",ROUND(AZ177*(1+Assumptions!$B$10),0))</f>
        <v/>
      </c>
      <c r="AZ177" s="12">
        <f>IF(X177="","",ROUND(X177*(1+AW177),0))</f>
        <v/>
      </c>
      <c r="BA177" s="12">
        <f>IF(AZ177="","",ROUND(AZ177*(1+Assumptions!$B$11),0))</f>
        <v/>
      </c>
      <c r="BB177" s="12">
        <f>IF(AZ177="","",ROUND(AZ177*(1+AX177+Assumptions!$B$10),0))</f>
        <v/>
      </c>
      <c r="BC177" s="12">
        <f>IF(AZ177="","",ROUND(AZ177*(1+AX177),0))</f>
        <v/>
      </c>
      <c r="BD177" s="12">
        <f>IF(AZ177="","",ROUND(AZ177*(1+AX177+Assumptions!$B$11),0))</f>
        <v/>
      </c>
      <c r="BE177" s="12">
        <f>IF(AZ177="","",ROUND(AZ177*(1+AX177)*(1+AX177),0))</f>
        <v/>
      </c>
      <c r="BF177" s="7" t="inlineStr">
        <is>
          <t>Rules-based enrichment using launch-price anchor, cap-app realization, and 2026 segment conditions.</t>
        </is>
      </c>
      <c r="BG177" t="inlineStr">
        <is>
          <t>2026-03-17</t>
        </is>
      </c>
      <c r="BH177" s="7" t="inlineStr">
        <is>
          <t>DLD / Digital Dubai / CBUAE / Savills / Knight Frank-Moody’s / Reuters</t>
        </is>
      </c>
    </row>
    <row r="178">
      <c r="A178" t="n">
        <v>177</v>
      </c>
      <c r="B178" s="7" t="inlineStr">
        <is>
          <t>Morocco</t>
        </is>
      </c>
      <c r="C178" t="inlineStr">
        <is>
          <t>DAMAC Properties</t>
        </is>
      </c>
      <c r="D178" t="inlineStr">
        <is>
          <t>DAMAC Lagoons</t>
        </is>
      </c>
      <c r="E178" t="inlineStr">
        <is>
          <t>Townhouses &amp; Villas</t>
        </is>
      </c>
      <c r="F178" s="7" t="inlineStr">
        <is>
          <t>Water / Style</t>
        </is>
      </c>
      <c r="G178" t="inlineStr">
        <is>
          <t>2.8M</t>
        </is>
      </c>
      <c r="H178" t="inlineStr">
        <is>
          <t>1200</t>
        </is>
      </c>
      <c r="I178" t="inlineStr">
        <is>
          <t>15</t>
        </is>
      </c>
      <c r="J178" t="inlineStr">
        <is>
          <t>80/20</t>
        </is>
      </c>
      <c r="K178" t="inlineStr">
        <is>
          <t>2023</t>
        </is>
      </c>
      <c r="L178" t="inlineStr">
        <is>
          <t>6.0-6.5</t>
        </is>
      </c>
      <c r="M178" t="inlineStr">
        <is>
          <t>8-12</t>
        </is>
      </c>
      <c r="N178" t="inlineStr">
        <is>
          <t>14.0-18.5</t>
        </is>
      </c>
      <c r="O178" s="7" t="inlineStr">
        <is>
          <t>Royal Grammar</t>
        </is>
      </c>
      <c r="P178" s="7" t="inlineStr">
        <is>
          <t>Mediclinic Parkview</t>
        </is>
      </c>
      <c r="Q178" s="7" t="inlineStr">
        <is>
          <t>First Avenue Mall</t>
        </is>
      </c>
      <c r="R178" s="7" t="inlineStr">
        <is>
          <t>Hessa St / E611</t>
        </is>
      </c>
      <c r="S178" t="inlineStr">
        <is>
          <t>25</t>
        </is>
      </c>
      <c r="T178" t="inlineStr">
        <is>
          <t>20</t>
        </is>
      </c>
      <c r="U178" t="inlineStr">
        <is>
          <t>30</t>
        </is>
      </c>
      <c r="V178" t="inlineStr">
        <is>
          <t>25</t>
        </is>
      </c>
      <c r="W178" t="n">
        <v>2</v>
      </c>
      <c r="X178" s="12" t="n">
        <v>2800000</v>
      </c>
      <c r="Y178" s="12" t="n">
        <v>2800000</v>
      </c>
      <c r="Z178" s="9" t="n">
        <v>6</v>
      </c>
      <c r="AA178" s="9" t="n">
        <v>6.5</v>
      </c>
      <c r="AB178" s="9" t="n">
        <v>8</v>
      </c>
      <c r="AC178" s="9" t="n">
        <v>12</v>
      </c>
      <c r="AD178" s="9" t="n">
        <v>14</v>
      </c>
      <c r="AE178" s="9" t="n">
        <v>18.5</v>
      </c>
      <c r="AF178" t="n">
        <v>2023</v>
      </c>
      <c r="AH178" t="inlineStr">
        <is>
          <t>Villa/Townhouse</t>
        </is>
      </c>
      <c r="AI178" t="inlineStr">
        <is>
          <t>FamilyVilla</t>
        </is>
      </c>
      <c r="AJ178" t="inlineStr">
        <is>
          <t>TopTier</t>
        </is>
      </c>
      <c r="AK178" t="inlineStr">
        <is>
          <t>Family-villa resilient</t>
        </is>
      </c>
      <c r="AL178" s="7" t="inlineStr">
        <is>
          <t>Villa/townhouse demand remains relatively firmer, though growth should be slower than the post-2020 surge.</t>
        </is>
      </c>
      <c r="AM178" s="9" t="n">
        <v>10</v>
      </c>
      <c r="AN178" s="9" t="n">
        <v>6.25</v>
      </c>
      <c r="AO178" s="10" t="n">
        <v>0.55</v>
      </c>
      <c r="AP178" s="13" t="n">
        <v>0</v>
      </c>
      <c r="AQ178" s="13" t="n">
        <v>0.015</v>
      </c>
      <c r="AR178" s="13" t="n">
        <v>0</v>
      </c>
      <c r="AS178" s="13" t="n">
        <v>0.025</v>
      </c>
      <c r="AT178" s="13" t="n">
        <v>0.005</v>
      </c>
      <c r="AU178" s="13" t="n">
        <v>0.0025</v>
      </c>
      <c r="AV178" s="13" t="n">
        <v>-0.005</v>
      </c>
      <c r="AW178" s="13">
        <f>IF(X178="","",(AM178/100*AO178)+AP178+AQ178+AR178)</f>
        <v/>
      </c>
      <c r="AX178" s="13">
        <f>IF(X178="","",AS178+AT178+AU178+AV178)</f>
        <v/>
      </c>
      <c r="AY178" s="12">
        <f>IF(AZ178="","",ROUND(AZ178*(1+Assumptions!$B$10),0))</f>
        <v/>
      </c>
      <c r="AZ178" s="12">
        <f>IF(X178="","",ROUND(X178*(1+AW178),0))</f>
        <v/>
      </c>
      <c r="BA178" s="12">
        <f>IF(AZ178="","",ROUND(AZ178*(1+Assumptions!$B$11),0))</f>
        <v/>
      </c>
      <c r="BB178" s="12">
        <f>IF(AZ178="","",ROUND(AZ178*(1+AX178+Assumptions!$B$10),0))</f>
        <v/>
      </c>
      <c r="BC178" s="12">
        <f>IF(AZ178="","",ROUND(AZ178*(1+AX178),0))</f>
        <v/>
      </c>
      <c r="BD178" s="12">
        <f>IF(AZ178="","",ROUND(AZ178*(1+AX178+Assumptions!$B$11),0))</f>
        <v/>
      </c>
      <c r="BE178" s="12">
        <f>IF(AZ178="","",ROUND(AZ178*(1+AX178)*(1+AX178),0))</f>
        <v/>
      </c>
      <c r="BF178" s="7" t="inlineStr">
        <is>
          <t>Rules-based enrichment using launch-price anchor, cap-app realization, and 2026 segment conditions.</t>
        </is>
      </c>
      <c r="BG178" t="inlineStr">
        <is>
          <t>2026-03-17</t>
        </is>
      </c>
      <c r="BH178" s="7" t="inlineStr">
        <is>
          <t>DLD / Digital Dubai / CBUAE / Savills / Knight Frank-Moody’s / Reuters</t>
        </is>
      </c>
    </row>
    <row r="179">
      <c r="A179" t="n">
        <v>178</v>
      </c>
      <c r="B179" s="7" t="inlineStr">
        <is>
          <t>Mykonos</t>
        </is>
      </c>
      <c r="C179" t="inlineStr">
        <is>
          <t>DAMAC Properties</t>
        </is>
      </c>
      <c r="D179" t="inlineStr">
        <is>
          <t>DAMAC Lagoons</t>
        </is>
      </c>
      <c r="E179" t="inlineStr">
        <is>
          <t>Townhouses</t>
        </is>
      </c>
      <c r="F179" s="7" t="inlineStr">
        <is>
          <t>Water / Style</t>
        </is>
      </c>
      <c r="G179" t="inlineStr">
        <is>
          <t>2.5M</t>
        </is>
      </c>
      <c r="H179" t="inlineStr">
        <is>
          <t>1150</t>
        </is>
      </c>
      <c r="I179" t="inlineStr">
        <is>
          <t>15</t>
        </is>
      </c>
      <c r="J179" t="inlineStr">
        <is>
          <t>80/20</t>
        </is>
      </c>
      <c r="K179" t="inlineStr">
        <is>
          <t>2023</t>
        </is>
      </c>
      <c r="L179" t="inlineStr">
        <is>
          <t>6.0-6.5</t>
        </is>
      </c>
      <c r="M179" t="inlineStr">
        <is>
          <t>8-12</t>
        </is>
      </c>
      <c r="N179" t="inlineStr">
        <is>
          <t>14.0-18.5</t>
        </is>
      </c>
      <c r="O179" s="7" t="inlineStr">
        <is>
          <t>Royal Grammar</t>
        </is>
      </c>
      <c r="P179" s="7" t="inlineStr">
        <is>
          <t>Mediclinic Parkview</t>
        </is>
      </c>
      <c r="Q179" s="7" t="inlineStr">
        <is>
          <t>First Avenue Mall</t>
        </is>
      </c>
      <c r="R179" s="7" t="inlineStr">
        <is>
          <t>Hessa St / E611</t>
        </is>
      </c>
      <c r="S179" t="inlineStr">
        <is>
          <t>25</t>
        </is>
      </c>
      <c r="T179" t="inlineStr">
        <is>
          <t>20</t>
        </is>
      </c>
      <c r="U179" t="inlineStr">
        <is>
          <t>30</t>
        </is>
      </c>
      <c r="V179" t="inlineStr">
        <is>
          <t>25</t>
        </is>
      </c>
      <c r="W179" t="n">
        <v>2</v>
      </c>
      <c r="X179" s="12" t="n">
        <v>2500000</v>
      </c>
      <c r="Y179" s="12" t="n">
        <v>2500000</v>
      </c>
      <c r="Z179" s="9" t="n">
        <v>6</v>
      </c>
      <c r="AA179" s="9" t="n">
        <v>6.5</v>
      </c>
      <c r="AB179" s="9" t="n">
        <v>8</v>
      </c>
      <c r="AC179" s="9" t="n">
        <v>12</v>
      </c>
      <c r="AD179" s="9" t="n">
        <v>14</v>
      </c>
      <c r="AE179" s="9" t="n">
        <v>18.5</v>
      </c>
      <c r="AF179" t="n">
        <v>2023</v>
      </c>
      <c r="AH179" t="inlineStr">
        <is>
          <t>Townhouse</t>
        </is>
      </c>
      <c r="AI179" t="inlineStr">
        <is>
          <t>FamilyVilla</t>
        </is>
      </c>
      <c r="AJ179" t="inlineStr">
        <is>
          <t>TopTier</t>
        </is>
      </c>
      <c r="AK179" t="inlineStr">
        <is>
          <t>Family-villa resilient</t>
        </is>
      </c>
      <c r="AL179" s="7" t="inlineStr">
        <is>
          <t>Villa/townhouse demand remains relatively firmer, though growth should be slower than the post-2020 surge.</t>
        </is>
      </c>
      <c r="AM179" s="9" t="n">
        <v>10</v>
      </c>
      <c r="AN179" s="9" t="n">
        <v>6.25</v>
      </c>
      <c r="AO179" s="10" t="n">
        <v>0.55</v>
      </c>
      <c r="AP179" s="13" t="n">
        <v>0</v>
      </c>
      <c r="AQ179" s="13" t="n">
        <v>0.015</v>
      </c>
      <c r="AR179" s="13" t="n">
        <v>0</v>
      </c>
      <c r="AS179" s="13" t="n">
        <v>0.025</v>
      </c>
      <c r="AT179" s="13" t="n">
        <v>0.005</v>
      </c>
      <c r="AU179" s="13" t="n">
        <v>0.0025</v>
      </c>
      <c r="AV179" s="13" t="n">
        <v>-0.005</v>
      </c>
      <c r="AW179" s="13">
        <f>IF(X179="","",(AM179/100*AO179)+AP179+AQ179+AR179)</f>
        <v/>
      </c>
      <c r="AX179" s="13">
        <f>IF(X179="","",AS179+AT179+AU179+AV179)</f>
        <v/>
      </c>
      <c r="AY179" s="12">
        <f>IF(AZ179="","",ROUND(AZ179*(1+Assumptions!$B$10),0))</f>
        <v/>
      </c>
      <c r="AZ179" s="12">
        <f>IF(X179="","",ROUND(X179*(1+AW179),0))</f>
        <v/>
      </c>
      <c r="BA179" s="12">
        <f>IF(AZ179="","",ROUND(AZ179*(1+Assumptions!$B$11),0))</f>
        <v/>
      </c>
      <c r="BB179" s="12">
        <f>IF(AZ179="","",ROUND(AZ179*(1+AX179+Assumptions!$B$10),0))</f>
        <v/>
      </c>
      <c r="BC179" s="12">
        <f>IF(AZ179="","",ROUND(AZ179*(1+AX179),0))</f>
        <v/>
      </c>
      <c r="BD179" s="12">
        <f>IF(AZ179="","",ROUND(AZ179*(1+AX179+Assumptions!$B$11),0))</f>
        <v/>
      </c>
      <c r="BE179" s="12">
        <f>IF(AZ179="","",ROUND(AZ179*(1+AX179)*(1+AX179),0))</f>
        <v/>
      </c>
      <c r="BF179" s="7" t="inlineStr">
        <is>
          <t>Rules-based enrichment using launch-price anchor, cap-app realization, and 2026 segment conditions.</t>
        </is>
      </c>
      <c r="BG179" t="inlineStr">
        <is>
          <t>2026-03-17</t>
        </is>
      </c>
      <c r="BH179" s="7" t="inlineStr">
        <is>
          <t>DLD / Digital Dubai / CBUAE / Savills / Knight Frank-Moody’s / Reuters</t>
        </is>
      </c>
    </row>
    <row r="180">
      <c r="A180" t="n">
        <v>179</v>
      </c>
      <c r="B180" s="7" t="inlineStr">
        <is>
          <t>Santorini</t>
        </is>
      </c>
      <c r="C180" t="inlineStr">
        <is>
          <t>DAMAC Properties</t>
        </is>
      </c>
      <c r="D180" t="inlineStr">
        <is>
          <t>DAMAC Lagoons</t>
        </is>
      </c>
      <c r="E180" t="inlineStr">
        <is>
          <t>Townhouses</t>
        </is>
      </c>
      <c r="F180" s="7" t="inlineStr">
        <is>
          <t>Water / Style</t>
        </is>
      </c>
      <c r="G180" t="inlineStr">
        <is>
          <t>2.2M</t>
        </is>
      </c>
      <c r="H180" t="inlineStr">
        <is>
          <t>1100</t>
        </is>
      </c>
      <c r="I180" t="inlineStr">
        <is>
          <t>15</t>
        </is>
      </c>
      <c r="J180" t="inlineStr">
        <is>
          <t>80/20</t>
        </is>
      </c>
      <c r="K180" t="inlineStr">
        <is>
          <t>2021</t>
        </is>
      </c>
      <c r="L180" t="inlineStr">
        <is>
          <t>6.5-7.0</t>
        </is>
      </c>
      <c r="M180" t="inlineStr">
        <is>
          <t>8-12</t>
        </is>
      </c>
      <c r="N180" t="inlineStr">
        <is>
          <t>14.5-19.0</t>
        </is>
      </c>
      <c r="O180" s="7" t="inlineStr">
        <is>
          <t>Royal Grammar</t>
        </is>
      </c>
      <c r="P180" s="7" t="inlineStr">
        <is>
          <t>Mediclinic Parkview</t>
        </is>
      </c>
      <c r="Q180" s="7" t="inlineStr">
        <is>
          <t>First Avenue Mall</t>
        </is>
      </c>
      <c r="R180" s="7" t="inlineStr">
        <is>
          <t>Hessa St / E611</t>
        </is>
      </c>
      <c r="S180" t="inlineStr">
        <is>
          <t>25</t>
        </is>
      </c>
      <c r="T180" t="inlineStr">
        <is>
          <t>20</t>
        </is>
      </c>
      <c r="U180" t="inlineStr">
        <is>
          <t>30</t>
        </is>
      </c>
      <c r="V180" t="inlineStr">
        <is>
          <t>25</t>
        </is>
      </c>
      <c r="W180" t="n">
        <v>2</v>
      </c>
      <c r="X180" s="12" t="n">
        <v>2200000</v>
      </c>
      <c r="Y180" s="12" t="n">
        <v>2200000</v>
      </c>
      <c r="Z180" s="9" t="n">
        <v>6.5</v>
      </c>
      <c r="AA180" s="9" t="n">
        <v>7</v>
      </c>
      <c r="AB180" s="9" t="n">
        <v>8</v>
      </c>
      <c r="AC180" s="9" t="n">
        <v>12</v>
      </c>
      <c r="AD180" s="9" t="n">
        <v>14.5</v>
      </c>
      <c r="AE180" s="9" t="n">
        <v>19</v>
      </c>
      <c r="AF180" t="n">
        <v>2021</v>
      </c>
      <c r="AH180" t="inlineStr">
        <is>
          <t>Townhouse</t>
        </is>
      </c>
      <c r="AI180" t="inlineStr">
        <is>
          <t>FamilyVilla</t>
        </is>
      </c>
      <c r="AJ180" t="inlineStr">
        <is>
          <t>TopTier</t>
        </is>
      </c>
      <c r="AK180" t="inlineStr">
        <is>
          <t>Family-villa resilient</t>
        </is>
      </c>
      <c r="AL180" s="7" t="inlineStr">
        <is>
          <t>Villa/townhouse demand remains relatively firmer, though growth should be slower than the post-2020 surge.</t>
        </is>
      </c>
      <c r="AM180" s="9" t="n">
        <v>10</v>
      </c>
      <c r="AN180" s="9" t="n">
        <v>6.75</v>
      </c>
      <c r="AO180" s="10" t="n">
        <v>0.55</v>
      </c>
      <c r="AP180" s="13" t="n">
        <v>0</v>
      </c>
      <c r="AQ180" s="13" t="n">
        <v>0.015</v>
      </c>
      <c r="AR180" s="13" t="n">
        <v>0</v>
      </c>
      <c r="AS180" s="13" t="n">
        <v>0.025</v>
      </c>
      <c r="AT180" s="13" t="n">
        <v>0.005</v>
      </c>
      <c r="AU180" s="13" t="n">
        <v>0.0025</v>
      </c>
      <c r="AV180" s="13" t="n">
        <v>-0.005</v>
      </c>
      <c r="AW180" s="13">
        <f>IF(X180="","",(AM180/100*AO180)+AP180+AQ180+AR180)</f>
        <v/>
      </c>
      <c r="AX180" s="13">
        <f>IF(X180="","",AS180+AT180+AU180+AV180)</f>
        <v/>
      </c>
      <c r="AY180" s="12">
        <f>IF(AZ180="","",ROUND(AZ180*(1+Assumptions!$B$10),0))</f>
        <v/>
      </c>
      <c r="AZ180" s="12">
        <f>IF(X180="","",ROUND(X180*(1+AW180),0))</f>
        <v/>
      </c>
      <c r="BA180" s="12">
        <f>IF(AZ180="","",ROUND(AZ180*(1+Assumptions!$B$11),0))</f>
        <v/>
      </c>
      <c r="BB180" s="12">
        <f>IF(AZ180="","",ROUND(AZ180*(1+AX180+Assumptions!$B$10),0))</f>
        <v/>
      </c>
      <c r="BC180" s="12">
        <f>IF(AZ180="","",ROUND(AZ180*(1+AX180),0))</f>
        <v/>
      </c>
      <c r="BD180" s="12">
        <f>IF(AZ180="","",ROUND(AZ180*(1+AX180+Assumptions!$B$11),0))</f>
        <v/>
      </c>
      <c r="BE180" s="12">
        <f>IF(AZ180="","",ROUND(AZ180*(1+AX180)*(1+AX180),0))</f>
        <v/>
      </c>
      <c r="BF180" s="7" t="inlineStr">
        <is>
          <t>Rules-based enrichment using launch-price anchor, cap-app realization, and 2026 segment conditions.</t>
        </is>
      </c>
      <c r="BG180" t="inlineStr">
        <is>
          <t>2026-03-17</t>
        </is>
      </c>
      <c r="BH180" s="7" t="inlineStr">
        <is>
          <t>DLD / Digital Dubai / CBUAE / Savills / Knight Frank-Moody’s / Reuters</t>
        </is>
      </c>
    </row>
    <row r="181">
      <c r="A181" t="n">
        <v>180</v>
      </c>
      <c r="B181" s="7" t="inlineStr">
        <is>
          <t>Costa Brava</t>
        </is>
      </c>
      <c r="C181" t="inlineStr">
        <is>
          <t>DAMAC Properties</t>
        </is>
      </c>
      <c r="D181" t="inlineStr">
        <is>
          <t>DAMAC Lagoons</t>
        </is>
      </c>
      <c r="E181" t="inlineStr">
        <is>
          <t>Townhouses &amp; Villas</t>
        </is>
      </c>
      <c r="F181" s="7" t="inlineStr">
        <is>
          <t>Water / Style</t>
        </is>
      </c>
      <c r="G181" t="inlineStr">
        <is>
          <t>2.3M</t>
        </is>
      </c>
      <c r="H181" t="inlineStr">
        <is>
          <t>1100</t>
        </is>
      </c>
      <c r="I181" t="inlineStr">
        <is>
          <t>15</t>
        </is>
      </c>
      <c r="J181" t="inlineStr">
        <is>
          <t>80/20</t>
        </is>
      </c>
      <c r="K181" t="inlineStr">
        <is>
          <t>2022</t>
        </is>
      </c>
      <c r="L181" t="inlineStr">
        <is>
          <t>6.5-7.0</t>
        </is>
      </c>
      <c r="M181" t="inlineStr">
        <is>
          <t>8-12</t>
        </is>
      </c>
      <c r="N181" t="inlineStr">
        <is>
          <t>14.5-19.0</t>
        </is>
      </c>
      <c r="O181" s="7" t="inlineStr">
        <is>
          <t>Royal Grammar</t>
        </is>
      </c>
      <c r="P181" s="7" t="inlineStr">
        <is>
          <t>Mediclinic Parkview</t>
        </is>
      </c>
      <c r="Q181" s="7" t="inlineStr">
        <is>
          <t>First Avenue Mall</t>
        </is>
      </c>
      <c r="R181" s="7" t="inlineStr">
        <is>
          <t>Hessa St / E611</t>
        </is>
      </c>
      <c r="S181" t="inlineStr">
        <is>
          <t>25</t>
        </is>
      </c>
      <c r="T181" t="inlineStr">
        <is>
          <t>20</t>
        </is>
      </c>
      <c r="U181" t="inlineStr">
        <is>
          <t>30</t>
        </is>
      </c>
      <c r="V181" t="inlineStr">
        <is>
          <t>25</t>
        </is>
      </c>
      <c r="W181" t="n">
        <v>2</v>
      </c>
      <c r="X181" s="12" t="n">
        <v>2300000</v>
      </c>
      <c r="Y181" s="12" t="n">
        <v>2300000</v>
      </c>
      <c r="Z181" s="9" t="n">
        <v>6.5</v>
      </c>
      <c r="AA181" s="9" t="n">
        <v>7</v>
      </c>
      <c r="AB181" s="9" t="n">
        <v>8</v>
      </c>
      <c r="AC181" s="9" t="n">
        <v>12</v>
      </c>
      <c r="AD181" s="9" t="n">
        <v>14.5</v>
      </c>
      <c r="AE181" s="9" t="n">
        <v>19</v>
      </c>
      <c r="AF181" t="n">
        <v>2022</v>
      </c>
      <c r="AH181" t="inlineStr">
        <is>
          <t>Villa/Townhouse</t>
        </is>
      </c>
      <c r="AI181" t="inlineStr">
        <is>
          <t>FamilyVilla</t>
        </is>
      </c>
      <c r="AJ181" t="inlineStr">
        <is>
          <t>TopTier</t>
        </is>
      </c>
      <c r="AK181" t="inlineStr">
        <is>
          <t>Family-villa resilient</t>
        </is>
      </c>
      <c r="AL181" s="7" t="inlineStr">
        <is>
          <t>Villa/townhouse demand remains relatively firmer, though growth should be slower than the post-2020 surge.</t>
        </is>
      </c>
      <c r="AM181" s="9" t="n">
        <v>10</v>
      </c>
      <c r="AN181" s="9" t="n">
        <v>6.75</v>
      </c>
      <c r="AO181" s="10" t="n">
        <v>0.55</v>
      </c>
      <c r="AP181" s="13" t="n">
        <v>0</v>
      </c>
      <c r="AQ181" s="13" t="n">
        <v>0.015</v>
      </c>
      <c r="AR181" s="13" t="n">
        <v>0</v>
      </c>
      <c r="AS181" s="13" t="n">
        <v>0.025</v>
      </c>
      <c r="AT181" s="13" t="n">
        <v>0.005</v>
      </c>
      <c r="AU181" s="13" t="n">
        <v>0.0025</v>
      </c>
      <c r="AV181" s="13" t="n">
        <v>-0.005</v>
      </c>
      <c r="AW181" s="13">
        <f>IF(X181="","",(AM181/100*AO181)+AP181+AQ181+AR181)</f>
        <v/>
      </c>
      <c r="AX181" s="13">
        <f>IF(X181="","",AS181+AT181+AU181+AV181)</f>
        <v/>
      </c>
      <c r="AY181" s="12">
        <f>IF(AZ181="","",ROUND(AZ181*(1+Assumptions!$B$10),0))</f>
        <v/>
      </c>
      <c r="AZ181" s="12">
        <f>IF(X181="","",ROUND(X181*(1+AW181),0))</f>
        <v/>
      </c>
      <c r="BA181" s="12">
        <f>IF(AZ181="","",ROUND(AZ181*(1+Assumptions!$B$11),0))</f>
        <v/>
      </c>
      <c r="BB181" s="12">
        <f>IF(AZ181="","",ROUND(AZ181*(1+AX181+Assumptions!$B$10),0))</f>
        <v/>
      </c>
      <c r="BC181" s="12">
        <f>IF(AZ181="","",ROUND(AZ181*(1+AX181),0))</f>
        <v/>
      </c>
      <c r="BD181" s="12">
        <f>IF(AZ181="","",ROUND(AZ181*(1+AX181+Assumptions!$B$11),0))</f>
        <v/>
      </c>
      <c r="BE181" s="12">
        <f>IF(AZ181="","",ROUND(AZ181*(1+AX181)*(1+AX181),0))</f>
        <v/>
      </c>
      <c r="BF181" s="7" t="inlineStr">
        <is>
          <t>Rules-based enrichment using launch-price anchor, cap-app realization, and 2026 segment conditions.</t>
        </is>
      </c>
      <c r="BG181" t="inlineStr">
        <is>
          <t>2026-03-17</t>
        </is>
      </c>
      <c r="BH181" s="7" t="inlineStr">
        <is>
          <t>DLD / Digital Dubai / CBUAE / Savills / Knight Frank-Moody’s / Reuters</t>
        </is>
      </c>
    </row>
    <row r="182">
      <c r="A182" t="n">
        <v>181</v>
      </c>
      <c r="B182" s="7" t="inlineStr">
        <is>
          <t>Nice</t>
        </is>
      </c>
      <c r="C182" t="inlineStr">
        <is>
          <t>DAMAC Properties</t>
        </is>
      </c>
      <c r="D182" t="inlineStr">
        <is>
          <t>DAMAC Lagoons</t>
        </is>
      </c>
      <c r="E182" t="inlineStr">
        <is>
          <t>Townhouses</t>
        </is>
      </c>
      <c r="F182" s="7" t="inlineStr">
        <is>
          <t>Water / Style</t>
        </is>
      </c>
      <c r="G182" t="inlineStr">
        <is>
          <t>2.3M</t>
        </is>
      </c>
      <c r="H182" t="inlineStr">
        <is>
          <t>1100</t>
        </is>
      </c>
      <c r="I182" t="inlineStr">
        <is>
          <t>15</t>
        </is>
      </c>
      <c r="J182" t="inlineStr">
        <is>
          <t>80/20</t>
        </is>
      </c>
      <c r="K182" t="inlineStr">
        <is>
          <t>2022</t>
        </is>
      </c>
      <c r="L182" t="inlineStr">
        <is>
          <t>6.5-7.0</t>
        </is>
      </c>
      <c r="M182" t="inlineStr">
        <is>
          <t>8-12</t>
        </is>
      </c>
      <c r="N182" t="inlineStr">
        <is>
          <t>14.5-19.0</t>
        </is>
      </c>
      <c r="O182" s="7" t="inlineStr">
        <is>
          <t>Royal Grammar</t>
        </is>
      </c>
      <c r="P182" s="7" t="inlineStr">
        <is>
          <t>Mediclinic Parkview</t>
        </is>
      </c>
      <c r="Q182" s="7" t="inlineStr">
        <is>
          <t>First Avenue Mall</t>
        </is>
      </c>
      <c r="R182" s="7" t="inlineStr">
        <is>
          <t>Hessa St / E611</t>
        </is>
      </c>
      <c r="S182" t="inlineStr">
        <is>
          <t>25</t>
        </is>
      </c>
      <c r="T182" t="inlineStr">
        <is>
          <t>20</t>
        </is>
      </c>
      <c r="U182" t="inlineStr">
        <is>
          <t>30</t>
        </is>
      </c>
      <c r="V182" t="inlineStr">
        <is>
          <t>25</t>
        </is>
      </c>
      <c r="W182" t="n">
        <v>2</v>
      </c>
      <c r="X182" s="12" t="n">
        <v>2300000</v>
      </c>
      <c r="Y182" s="12" t="n">
        <v>2300000</v>
      </c>
      <c r="Z182" s="9" t="n">
        <v>6.5</v>
      </c>
      <c r="AA182" s="9" t="n">
        <v>7</v>
      </c>
      <c r="AB182" s="9" t="n">
        <v>8</v>
      </c>
      <c r="AC182" s="9" t="n">
        <v>12</v>
      </c>
      <c r="AD182" s="9" t="n">
        <v>14.5</v>
      </c>
      <c r="AE182" s="9" t="n">
        <v>19</v>
      </c>
      <c r="AF182" t="n">
        <v>2022</v>
      </c>
      <c r="AH182" t="inlineStr">
        <is>
          <t>Townhouse</t>
        </is>
      </c>
      <c r="AI182" t="inlineStr">
        <is>
          <t>FamilyVilla</t>
        </is>
      </c>
      <c r="AJ182" t="inlineStr">
        <is>
          <t>TopTier</t>
        </is>
      </c>
      <c r="AK182" t="inlineStr">
        <is>
          <t>Family-villa resilient</t>
        </is>
      </c>
      <c r="AL182" s="7" t="inlineStr">
        <is>
          <t>Villa/townhouse demand remains relatively firmer, though growth should be slower than the post-2020 surge.</t>
        </is>
      </c>
      <c r="AM182" s="9" t="n">
        <v>10</v>
      </c>
      <c r="AN182" s="9" t="n">
        <v>6.75</v>
      </c>
      <c r="AO182" s="10" t="n">
        <v>0.55</v>
      </c>
      <c r="AP182" s="13" t="n">
        <v>0</v>
      </c>
      <c r="AQ182" s="13" t="n">
        <v>0.015</v>
      </c>
      <c r="AR182" s="13" t="n">
        <v>0</v>
      </c>
      <c r="AS182" s="13" t="n">
        <v>0.025</v>
      </c>
      <c r="AT182" s="13" t="n">
        <v>0.005</v>
      </c>
      <c r="AU182" s="13" t="n">
        <v>0.0025</v>
      </c>
      <c r="AV182" s="13" t="n">
        <v>-0.005</v>
      </c>
      <c r="AW182" s="13">
        <f>IF(X182="","",(AM182/100*AO182)+AP182+AQ182+AR182)</f>
        <v/>
      </c>
      <c r="AX182" s="13">
        <f>IF(X182="","",AS182+AT182+AU182+AV182)</f>
        <v/>
      </c>
      <c r="AY182" s="12">
        <f>IF(AZ182="","",ROUND(AZ182*(1+Assumptions!$B$10),0))</f>
        <v/>
      </c>
      <c r="AZ182" s="12">
        <f>IF(X182="","",ROUND(X182*(1+AW182),0))</f>
        <v/>
      </c>
      <c r="BA182" s="12">
        <f>IF(AZ182="","",ROUND(AZ182*(1+Assumptions!$B$11),0))</f>
        <v/>
      </c>
      <c r="BB182" s="12">
        <f>IF(AZ182="","",ROUND(AZ182*(1+AX182+Assumptions!$B$10),0))</f>
        <v/>
      </c>
      <c r="BC182" s="12">
        <f>IF(AZ182="","",ROUND(AZ182*(1+AX182),0))</f>
        <v/>
      </c>
      <c r="BD182" s="12">
        <f>IF(AZ182="","",ROUND(AZ182*(1+AX182+Assumptions!$B$11),0))</f>
        <v/>
      </c>
      <c r="BE182" s="12">
        <f>IF(AZ182="","",ROUND(AZ182*(1+AX182)*(1+AX182),0))</f>
        <v/>
      </c>
      <c r="BF182" s="7" t="inlineStr">
        <is>
          <t>Rules-based enrichment using launch-price anchor, cap-app realization, and 2026 segment conditions.</t>
        </is>
      </c>
      <c r="BG182" t="inlineStr">
        <is>
          <t>2026-03-17</t>
        </is>
      </c>
      <c r="BH182" s="7" t="inlineStr">
        <is>
          <t>DLD / Digital Dubai / CBUAE / Savills / Knight Frank-Moody’s / Reuters</t>
        </is>
      </c>
    </row>
    <row r="183">
      <c r="A183" t="n">
        <v>182</v>
      </c>
      <c r="B183" s="7" t="inlineStr">
        <is>
          <t>Malta</t>
        </is>
      </c>
      <c r="C183" t="inlineStr">
        <is>
          <t>DAMAC Properties</t>
        </is>
      </c>
      <c r="D183" t="inlineStr">
        <is>
          <t>DAMAC Lagoons</t>
        </is>
      </c>
      <c r="E183" t="inlineStr">
        <is>
          <t>Townhouses</t>
        </is>
      </c>
      <c r="F183" s="7" t="inlineStr">
        <is>
          <t>Water / Learning</t>
        </is>
      </c>
      <c r="G183" t="inlineStr">
        <is>
          <t>2.4M</t>
        </is>
      </c>
      <c r="H183" t="inlineStr">
        <is>
          <t>1100</t>
        </is>
      </c>
      <c r="I183" t="inlineStr">
        <is>
          <t>15</t>
        </is>
      </c>
      <c r="J183" t="inlineStr">
        <is>
          <t>80/20</t>
        </is>
      </c>
      <c r="K183" t="inlineStr">
        <is>
          <t>2022</t>
        </is>
      </c>
      <c r="L183" t="inlineStr">
        <is>
          <t>6.5-7.0</t>
        </is>
      </c>
      <c r="M183" t="inlineStr">
        <is>
          <t>8-12</t>
        </is>
      </c>
      <c r="N183" t="inlineStr">
        <is>
          <t>14.5-19.0</t>
        </is>
      </c>
      <c r="O183" s="7" t="inlineStr">
        <is>
          <t>Royal Grammar</t>
        </is>
      </c>
      <c r="P183" s="7" t="inlineStr">
        <is>
          <t>Mediclinic Parkview</t>
        </is>
      </c>
      <c r="Q183" s="7" t="inlineStr">
        <is>
          <t>First Avenue Mall</t>
        </is>
      </c>
      <c r="R183" s="7" t="inlineStr">
        <is>
          <t>Hessa St / E611</t>
        </is>
      </c>
      <c r="S183" t="inlineStr">
        <is>
          <t>25</t>
        </is>
      </c>
      <c r="T183" t="inlineStr">
        <is>
          <t>20</t>
        </is>
      </c>
      <c r="U183" t="inlineStr">
        <is>
          <t>30</t>
        </is>
      </c>
      <c r="V183" t="inlineStr">
        <is>
          <t>25</t>
        </is>
      </c>
      <c r="W183" t="n">
        <v>2</v>
      </c>
      <c r="X183" s="12" t="n">
        <v>2400000</v>
      </c>
      <c r="Y183" s="12" t="n">
        <v>2400000</v>
      </c>
      <c r="Z183" s="9" t="n">
        <v>6.5</v>
      </c>
      <c r="AA183" s="9" t="n">
        <v>7</v>
      </c>
      <c r="AB183" s="9" t="n">
        <v>8</v>
      </c>
      <c r="AC183" s="9" t="n">
        <v>12</v>
      </c>
      <c r="AD183" s="9" t="n">
        <v>14.5</v>
      </c>
      <c r="AE183" s="9" t="n">
        <v>19</v>
      </c>
      <c r="AF183" t="n">
        <v>2022</v>
      </c>
      <c r="AH183" t="inlineStr">
        <is>
          <t>Townhouse</t>
        </is>
      </c>
      <c r="AI183" t="inlineStr">
        <is>
          <t>FamilyVilla</t>
        </is>
      </c>
      <c r="AJ183" t="inlineStr">
        <is>
          <t>TopTier</t>
        </is>
      </c>
      <c r="AK183" t="inlineStr">
        <is>
          <t>Family-villa resilient</t>
        </is>
      </c>
      <c r="AL183" s="7" t="inlineStr">
        <is>
          <t>Villa/townhouse demand remains relatively firmer, though growth should be slower than the post-2020 surge.</t>
        </is>
      </c>
      <c r="AM183" s="9" t="n">
        <v>10</v>
      </c>
      <c r="AN183" s="9" t="n">
        <v>6.75</v>
      </c>
      <c r="AO183" s="10" t="n">
        <v>0.55</v>
      </c>
      <c r="AP183" s="13" t="n">
        <v>0</v>
      </c>
      <c r="AQ183" s="13" t="n">
        <v>0.015</v>
      </c>
      <c r="AR183" s="13" t="n">
        <v>0</v>
      </c>
      <c r="AS183" s="13" t="n">
        <v>0.025</v>
      </c>
      <c r="AT183" s="13" t="n">
        <v>0.005</v>
      </c>
      <c r="AU183" s="13" t="n">
        <v>0.0025</v>
      </c>
      <c r="AV183" s="13" t="n">
        <v>-0.005</v>
      </c>
      <c r="AW183" s="13">
        <f>IF(X183="","",(AM183/100*AO183)+AP183+AQ183+AR183)</f>
        <v/>
      </c>
      <c r="AX183" s="13">
        <f>IF(X183="","",AS183+AT183+AU183+AV183)</f>
        <v/>
      </c>
      <c r="AY183" s="12">
        <f>IF(AZ183="","",ROUND(AZ183*(1+Assumptions!$B$10),0))</f>
        <v/>
      </c>
      <c r="AZ183" s="12">
        <f>IF(X183="","",ROUND(X183*(1+AW183),0))</f>
        <v/>
      </c>
      <c r="BA183" s="12">
        <f>IF(AZ183="","",ROUND(AZ183*(1+Assumptions!$B$11),0))</f>
        <v/>
      </c>
      <c r="BB183" s="12">
        <f>IF(AZ183="","",ROUND(AZ183*(1+AX183+Assumptions!$B$10),0))</f>
        <v/>
      </c>
      <c r="BC183" s="12">
        <f>IF(AZ183="","",ROUND(AZ183*(1+AX183),0))</f>
        <v/>
      </c>
      <c r="BD183" s="12">
        <f>IF(AZ183="","",ROUND(AZ183*(1+AX183+Assumptions!$B$11),0))</f>
        <v/>
      </c>
      <c r="BE183" s="12">
        <f>IF(AZ183="","",ROUND(AZ183*(1+AX183)*(1+AX183),0))</f>
        <v/>
      </c>
      <c r="BF183" s="7" t="inlineStr">
        <is>
          <t>Rules-based enrichment using launch-price anchor, cap-app realization, and 2026 segment conditions.</t>
        </is>
      </c>
      <c r="BG183" t="inlineStr">
        <is>
          <t>2026-03-17</t>
        </is>
      </c>
      <c r="BH183" s="7" t="inlineStr">
        <is>
          <t>DLD / Digital Dubai / CBUAE / Savills / Knight Frank-Moody’s / Reuters</t>
        </is>
      </c>
    </row>
    <row r="184">
      <c r="A184" t="n">
        <v>183</v>
      </c>
      <c r="B184" s="7" t="inlineStr">
        <is>
          <t>Portofino</t>
        </is>
      </c>
      <c r="C184" t="inlineStr">
        <is>
          <t>DAMAC Properties</t>
        </is>
      </c>
      <c r="D184" t="inlineStr">
        <is>
          <t>DAMAC Lagoons</t>
        </is>
      </c>
      <c r="E184" t="inlineStr">
        <is>
          <t>Townhouses</t>
        </is>
      </c>
      <c r="F184" s="7" t="inlineStr">
        <is>
          <t>Water / Work</t>
        </is>
      </c>
      <c r="G184" t="inlineStr">
        <is>
          <t>2.4M</t>
        </is>
      </c>
      <c r="H184" t="inlineStr">
        <is>
          <t>1100</t>
        </is>
      </c>
      <c r="I184" t="inlineStr">
        <is>
          <t>15</t>
        </is>
      </c>
      <c r="J184" t="inlineStr">
        <is>
          <t>80/20</t>
        </is>
      </c>
      <c r="K184" t="inlineStr">
        <is>
          <t>2022</t>
        </is>
      </c>
      <c r="L184" t="inlineStr">
        <is>
          <t>6.5-7.0</t>
        </is>
      </c>
      <c r="M184" t="inlineStr">
        <is>
          <t>8-12</t>
        </is>
      </c>
      <c r="N184" t="inlineStr">
        <is>
          <t>14.5-19.0</t>
        </is>
      </c>
      <c r="O184" s="7" t="inlineStr">
        <is>
          <t>Royal Grammar</t>
        </is>
      </c>
      <c r="P184" s="7" t="inlineStr">
        <is>
          <t>Mediclinic Parkview</t>
        </is>
      </c>
      <c r="Q184" s="7" t="inlineStr">
        <is>
          <t>First Avenue Mall</t>
        </is>
      </c>
      <c r="R184" s="7" t="inlineStr">
        <is>
          <t>Hessa St / E611</t>
        </is>
      </c>
      <c r="S184" t="inlineStr">
        <is>
          <t>25</t>
        </is>
      </c>
      <c r="T184" t="inlineStr">
        <is>
          <t>20</t>
        </is>
      </c>
      <c r="U184" t="inlineStr">
        <is>
          <t>30</t>
        </is>
      </c>
      <c r="V184" t="inlineStr">
        <is>
          <t>25</t>
        </is>
      </c>
      <c r="W184" t="n">
        <v>2</v>
      </c>
      <c r="X184" s="12" t="n">
        <v>2400000</v>
      </c>
      <c r="Y184" s="12" t="n">
        <v>2400000</v>
      </c>
      <c r="Z184" s="9" t="n">
        <v>6.5</v>
      </c>
      <c r="AA184" s="9" t="n">
        <v>7</v>
      </c>
      <c r="AB184" s="9" t="n">
        <v>8</v>
      </c>
      <c r="AC184" s="9" t="n">
        <v>12</v>
      </c>
      <c r="AD184" s="9" t="n">
        <v>14.5</v>
      </c>
      <c r="AE184" s="9" t="n">
        <v>19</v>
      </c>
      <c r="AF184" t="n">
        <v>2022</v>
      </c>
      <c r="AH184" t="inlineStr">
        <is>
          <t>Townhouse</t>
        </is>
      </c>
      <c r="AI184" t="inlineStr">
        <is>
          <t>FamilyVilla</t>
        </is>
      </c>
      <c r="AJ184" t="inlineStr">
        <is>
          <t>TopTier</t>
        </is>
      </c>
      <c r="AK184" t="inlineStr">
        <is>
          <t>Family-villa resilient</t>
        </is>
      </c>
      <c r="AL184" s="7" t="inlineStr">
        <is>
          <t>Villa/townhouse demand remains relatively firmer, though growth should be slower than the post-2020 surge.</t>
        </is>
      </c>
      <c r="AM184" s="9" t="n">
        <v>10</v>
      </c>
      <c r="AN184" s="9" t="n">
        <v>6.75</v>
      </c>
      <c r="AO184" s="10" t="n">
        <v>0.55</v>
      </c>
      <c r="AP184" s="13" t="n">
        <v>0</v>
      </c>
      <c r="AQ184" s="13" t="n">
        <v>0.015</v>
      </c>
      <c r="AR184" s="13" t="n">
        <v>0</v>
      </c>
      <c r="AS184" s="13" t="n">
        <v>0.025</v>
      </c>
      <c r="AT184" s="13" t="n">
        <v>0.005</v>
      </c>
      <c r="AU184" s="13" t="n">
        <v>0.0025</v>
      </c>
      <c r="AV184" s="13" t="n">
        <v>-0.005</v>
      </c>
      <c r="AW184" s="13">
        <f>IF(X184="","",(AM184/100*AO184)+AP184+AQ184+AR184)</f>
        <v/>
      </c>
      <c r="AX184" s="13">
        <f>IF(X184="","",AS184+AT184+AU184+AV184)</f>
        <v/>
      </c>
      <c r="AY184" s="12">
        <f>IF(AZ184="","",ROUND(AZ184*(1+Assumptions!$B$10),0))</f>
        <v/>
      </c>
      <c r="AZ184" s="12">
        <f>IF(X184="","",ROUND(X184*(1+AW184),0))</f>
        <v/>
      </c>
      <c r="BA184" s="12">
        <f>IF(AZ184="","",ROUND(AZ184*(1+Assumptions!$B$11),0))</f>
        <v/>
      </c>
      <c r="BB184" s="12">
        <f>IF(AZ184="","",ROUND(AZ184*(1+AX184+Assumptions!$B$10),0))</f>
        <v/>
      </c>
      <c r="BC184" s="12">
        <f>IF(AZ184="","",ROUND(AZ184*(1+AX184),0))</f>
        <v/>
      </c>
      <c r="BD184" s="12">
        <f>IF(AZ184="","",ROUND(AZ184*(1+AX184+Assumptions!$B$11),0))</f>
        <v/>
      </c>
      <c r="BE184" s="12">
        <f>IF(AZ184="","",ROUND(AZ184*(1+AX184)*(1+AX184),0))</f>
        <v/>
      </c>
      <c r="BF184" s="7" t="inlineStr">
        <is>
          <t>Rules-based enrichment using launch-price anchor, cap-app realization, and 2026 segment conditions.</t>
        </is>
      </c>
      <c r="BG184" t="inlineStr">
        <is>
          <t>2026-03-17</t>
        </is>
      </c>
      <c r="BH184" s="7" t="inlineStr">
        <is>
          <t>DLD / Digital Dubai / CBUAE / Savills / Knight Frank-Moody’s / Reuters</t>
        </is>
      </c>
    </row>
    <row r="185">
      <c r="A185" t="n">
        <v>184</v>
      </c>
      <c r="B185" s="7" t="inlineStr">
        <is>
          <t>Ibiza</t>
        </is>
      </c>
      <c r="C185" t="inlineStr">
        <is>
          <t>DAMAC Properties</t>
        </is>
      </c>
      <c r="D185" t="inlineStr">
        <is>
          <t>DAMAC Lagoons</t>
        </is>
      </c>
      <c r="E185" t="inlineStr">
        <is>
          <t>Townhouses</t>
        </is>
      </c>
      <c r="F185" s="7" t="inlineStr">
        <is>
          <t>Water / Party</t>
        </is>
      </c>
      <c r="G185" t="inlineStr">
        <is>
          <t>2.5M</t>
        </is>
      </c>
      <c r="H185" t="inlineStr">
        <is>
          <t>1150</t>
        </is>
      </c>
      <c r="I185" t="inlineStr">
        <is>
          <t>15</t>
        </is>
      </c>
      <c r="J185" t="inlineStr">
        <is>
          <t>80/20</t>
        </is>
      </c>
      <c r="K185" t="inlineStr">
        <is>
          <t>2023</t>
        </is>
      </c>
      <c r="L185" t="inlineStr">
        <is>
          <t>6.0-6.5</t>
        </is>
      </c>
      <c r="M185" t="inlineStr">
        <is>
          <t>8-12</t>
        </is>
      </c>
      <c r="N185" t="inlineStr">
        <is>
          <t>14.0-18.5</t>
        </is>
      </c>
      <c r="O185" s="7" t="inlineStr">
        <is>
          <t>Royal Grammar</t>
        </is>
      </c>
      <c r="P185" s="7" t="inlineStr">
        <is>
          <t>Mediclinic Parkview</t>
        </is>
      </c>
      <c r="Q185" s="7" t="inlineStr">
        <is>
          <t>First Avenue Mall</t>
        </is>
      </c>
      <c r="R185" s="7" t="inlineStr">
        <is>
          <t>Hessa St / E611</t>
        </is>
      </c>
      <c r="S185" t="inlineStr">
        <is>
          <t>25</t>
        </is>
      </c>
      <c r="T185" t="inlineStr">
        <is>
          <t>20</t>
        </is>
      </c>
      <c r="U185" t="inlineStr">
        <is>
          <t>30</t>
        </is>
      </c>
      <c r="V185" t="inlineStr">
        <is>
          <t>25</t>
        </is>
      </c>
      <c r="W185" t="n">
        <v>2</v>
      </c>
      <c r="X185" s="12" t="n">
        <v>2500000</v>
      </c>
      <c r="Y185" s="12" t="n">
        <v>2500000</v>
      </c>
      <c r="Z185" s="9" t="n">
        <v>6</v>
      </c>
      <c r="AA185" s="9" t="n">
        <v>6.5</v>
      </c>
      <c r="AB185" s="9" t="n">
        <v>8</v>
      </c>
      <c r="AC185" s="9" t="n">
        <v>12</v>
      </c>
      <c r="AD185" s="9" t="n">
        <v>14</v>
      </c>
      <c r="AE185" s="9" t="n">
        <v>18.5</v>
      </c>
      <c r="AF185" t="n">
        <v>2023</v>
      </c>
      <c r="AH185" t="inlineStr">
        <is>
          <t>Townhouse</t>
        </is>
      </c>
      <c r="AI185" t="inlineStr">
        <is>
          <t>FamilyVilla</t>
        </is>
      </c>
      <c r="AJ185" t="inlineStr">
        <is>
          <t>TopTier</t>
        </is>
      </c>
      <c r="AK185" t="inlineStr">
        <is>
          <t>Family-villa resilient</t>
        </is>
      </c>
      <c r="AL185" s="7" t="inlineStr">
        <is>
          <t>Villa/townhouse demand remains relatively firmer, though growth should be slower than the post-2020 surge.</t>
        </is>
      </c>
      <c r="AM185" s="9" t="n">
        <v>10</v>
      </c>
      <c r="AN185" s="9" t="n">
        <v>6.25</v>
      </c>
      <c r="AO185" s="10" t="n">
        <v>0.55</v>
      </c>
      <c r="AP185" s="13" t="n">
        <v>0</v>
      </c>
      <c r="AQ185" s="13" t="n">
        <v>0.015</v>
      </c>
      <c r="AR185" s="13" t="n">
        <v>0</v>
      </c>
      <c r="AS185" s="13" t="n">
        <v>0.025</v>
      </c>
      <c r="AT185" s="13" t="n">
        <v>0.005</v>
      </c>
      <c r="AU185" s="13" t="n">
        <v>0.0025</v>
      </c>
      <c r="AV185" s="13" t="n">
        <v>-0.005</v>
      </c>
      <c r="AW185" s="13">
        <f>IF(X185="","",(AM185/100*AO185)+AP185+AQ185+AR185)</f>
        <v/>
      </c>
      <c r="AX185" s="13">
        <f>IF(X185="","",AS185+AT185+AU185+AV185)</f>
        <v/>
      </c>
      <c r="AY185" s="12">
        <f>IF(AZ185="","",ROUND(AZ185*(1+Assumptions!$B$10),0))</f>
        <v/>
      </c>
      <c r="AZ185" s="12">
        <f>IF(X185="","",ROUND(X185*(1+AW185),0))</f>
        <v/>
      </c>
      <c r="BA185" s="12">
        <f>IF(AZ185="","",ROUND(AZ185*(1+Assumptions!$B$11),0))</f>
        <v/>
      </c>
      <c r="BB185" s="12">
        <f>IF(AZ185="","",ROUND(AZ185*(1+AX185+Assumptions!$B$10),0))</f>
        <v/>
      </c>
      <c r="BC185" s="12">
        <f>IF(AZ185="","",ROUND(AZ185*(1+AX185),0))</f>
        <v/>
      </c>
      <c r="BD185" s="12">
        <f>IF(AZ185="","",ROUND(AZ185*(1+AX185+Assumptions!$B$11),0))</f>
        <v/>
      </c>
      <c r="BE185" s="12">
        <f>IF(AZ185="","",ROUND(AZ185*(1+AX185)*(1+AX185),0))</f>
        <v/>
      </c>
      <c r="BF185" s="7" t="inlineStr">
        <is>
          <t>Rules-based enrichment using launch-price anchor, cap-app realization, and 2026 segment conditions.</t>
        </is>
      </c>
      <c r="BG185" t="inlineStr">
        <is>
          <t>2026-03-17</t>
        </is>
      </c>
      <c r="BH185" s="7" t="inlineStr">
        <is>
          <t>DLD / Digital Dubai / CBUAE / Savills / Knight Frank-Moody’s / Reuters</t>
        </is>
      </c>
    </row>
    <row r="186">
      <c r="A186" t="n">
        <v>185</v>
      </c>
      <c r="B186" s="7" t="inlineStr">
        <is>
          <t>Monte Carlo</t>
        </is>
      </c>
      <c r="C186" t="inlineStr">
        <is>
          <t>DAMAC Properties</t>
        </is>
      </c>
      <c r="D186" t="inlineStr">
        <is>
          <t>DAMAC Lagoons</t>
        </is>
      </c>
      <c r="E186" t="inlineStr">
        <is>
          <t>Townhouses</t>
        </is>
      </c>
      <c r="F186" s="7" t="inlineStr">
        <is>
          <t>Water / Luxury</t>
        </is>
      </c>
      <c r="G186" t="inlineStr">
        <is>
          <t>2.6M</t>
        </is>
      </c>
      <c r="H186" t="inlineStr">
        <is>
          <t>1200</t>
        </is>
      </c>
      <c r="I186" t="inlineStr">
        <is>
          <t>15</t>
        </is>
      </c>
      <c r="J186" t="inlineStr">
        <is>
          <t>80/20</t>
        </is>
      </c>
      <c r="K186" t="inlineStr">
        <is>
          <t>2023</t>
        </is>
      </c>
      <c r="L186" t="inlineStr">
        <is>
          <t>6.0-6.5</t>
        </is>
      </c>
      <c r="M186" t="inlineStr">
        <is>
          <t>8-12</t>
        </is>
      </c>
      <c r="N186" t="inlineStr">
        <is>
          <t>14.0-18.5</t>
        </is>
      </c>
      <c r="O186" s="7" t="inlineStr">
        <is>
          <t>Royal Grammar</t>
        </is>
      </c>
      <c r="P186" s="7" t="inlineStr">
        <is>
          <t>Mediclinic Parkview</t>
        </is>
      </c>
      <c r="Q186" s="7" t="inlineStr">
        <is>
          <t>First Avenue Mall</t>
        </is>
      </c>
      <c r="R186" s="7" t="inlineStr">
        <is>
          <t>Hessa St / E611</t>
        </is>
      </c>
      <c r="S186" t="inlineStr">
        <is>
          <t>25</t>
        </is>
      </c>
      <c r="T186" t="inlineStr">
        <is>
          <t>20</t>
        </is>
      </c>
      <c r="U186" t="inlineStr">
        <is>
          <t>30</t>
        </is>
      </c>
      <c r="V186" t="inlineStr">
        <is>
          <t>25</t>
        </is>
      </c>
      <c r="W186" t="n">
        <v>2</v>
      </c>
      <c r="X186" s="12" t="n">
        <v>2600000</v>
      </c>
      <c r="Y186" s="12" t="n">
        <v>2600000</v>
      </c>
      <c r="Z186" s="9" t="n">
        <v>6</v>
      </c>
      <c r="AA186" s="9" t="n">
        <v>6.5</v>
      </c>
      <c r="AB186" s="9" t="n">
        <v>8</v>
      </c>
      <c r="AC186" s="9" t="n">
        <v>12</v>
      </c>
      <c r="AD186" s="9" t="n">
        <v>14</v>
      </c>
      <c r="AE186" s="9" t="n">
        <v>18.5</v>
      </c>
      <c r="AF186" t="n">
        <v>2023</v>
      </c>
      <c r="AH186" t="inlineStr">
        <is>
          <t>Townhouse</t>
        </is>
      </c>
      <c r="AI186" t="inlineStr">
        <is>
          <t>FamilyVilla</t>
        </is>
      </c>
      <c r="AJ186" t="inlineStr">
        <is>
          <t>TopTier</t>
        </is>
      </c>
      <c r="AK186" t="inlineStr">
        <is>
          <t>Family-villa resilient</t>
        </is>
      </c>
      <c r="AL186" s="7" t="inlineStr">
        <is>
          <t>Villa/townhouse demand remains relatively firmer, though growth should be slower than the post-2020 surge.</t>
        </is>
      </c>
      <c r="AM186" s="9" t="n">
        <v>10</v>
      </c>
      <c r="AN186" s="9" t="n">
        <v>6.25</v>
      </c>
      <c r="AO186" s="10" t="n">
        <v>0.55</v>
      </c>
      <c r="AP186" s="13" t="n">
        <v>0</v>
      </c>
      <c r="AQ186" s="13" t="n">
        <v>0.015</v>
      </c>
      <c r="AR186" s="13" t="n">
        <v>0</v>
      </c>
      <c r="AS186" s="13" t="n">
        <v>0.025</v>
      </c>
      <c r="AT186" s="13" t="n">
        <v>0.005</v>
      </c>
      <c r="AU186" s="13" t="n">
        <v>0.0025</v>
      </c>
      <c r="AV186" s="13" t="n">
        <v>-0.005</v>
      </c>
      <c r="AW186" s="13">
        <f>IF(X186="","",(AM186/100*AO186)+AP186+AQ186+AR186)</f>
        <v/>
      </c>
      <c r="AX186" s="13">
        <f>IF(X186="","",AS186+AT186+AU186+AV186)</f>
        <v/>
      </c>
      <c r="AY186" s="12">
        <f>IF(AZ186="","",ROUND(AZ186*(1+Assumptions!$B$10),0))</f>
        <v/>
      </c>
      <c r="AZ186" s="12">
        <f>IF(X186="","",ROUND(X186*(1+AW186),0))</f>
        <v/>
      </c>
      <c r="BA186" s="12">
        <f>IF(AZ186="","",ROUND(AZ186*(1+Assumptions!$B$11),0))</f>
        <v/>
      </c>
      <c r="BB186" s="12">
        <f>IF(AZ186="","",ROUND(AZ186*(1+AX186+Assumptions!$B$10),0))</f>
        <v/>
      </c>
      <c r="BC186" s="12">
        <f>IF(AZ186="","",ROUND(AZ186*(1+AX186),0))</f>
        <v/>
      </c>
      <c r="BD186" s="12">
        <f>IF(AZ186="","",ROUND(AZ186*(1+AX186+Assumptions!$B$11),0))</f>
        <v/>
      </c>
      <c r="BE186" s="12">
        <f>IF(AZ186="","",ROUND(AZ186*(1+AX186)*(1+AX186),0))</f>
        <v/>
      </c>
      <c r="BF186" s="7" t="inlineStr">
        <is>
          <t>Rules-based enrichment using launch-price anchor, cap-app realization, and 2026 segment conditions.</t>
        </is>
      </c>
      <c r="BG186" t="inlineStr">
        <is>
          <t>2026-03-17</t>
        </is>
      </c>
      <c r="BH186" s="7" t="inlineStr">
        <is>
          <t>DLD / Digital Dubai / CBUAE / Savills / Knight Frank-Moody’s / Reuters</t>
        </is>
      </c>
    </row>
    <row r="187">
      <c r="A187" t="n">
        <v>186</v>
      </c>
      <c r="B187" s="7" t="inlineStr">
        <is>
          <t>Marbella</t>
        </is>
      </c>
      <c r="C187" t="inlineStr">
        <is>
          <t>DAMAC Properties</t>
        </is>
      </c>
      <c r="D187" t="inlineStr">
        <is>
          <t>DAMAC Lagoons</t>
        </is>
      </c>
      <c r="E187" t="inlineStr">
        <is>
          <t>Townhouses</t>
        </is>
      </c>
      <c r="F187" s="7" t="inlineStr">
        <is>
          <t>Water / Luxury</t>
        </is>
      </c>
      <c r="G187" t="inlineStr">
        <is>
          <t>2.7M</t>
        </is>
      </c>
      <c r="H187" t="inlineStr">
        <is>
          <t>1200</t>
        </is>
      </c>
      <c r="I187" t="inlineStr">
        <is>
          <t>15</t>
        </is>
      </c>
      <c r="J187" t="inlineStr">
        <is>
          <t>80/20</t>
        </is>
      </c>
      <c r="K187" t="inlineStr">
        <is>
          <t>2023</t>
        </is>
      </c>
      <c r="L187" t="inlineStr">
        <is>
          <t>6.0-6.5</t>
        </is>
      </c>
      <c r="M187" t="inlineStr">
        <is>
          <t>8-12</t>
        </is>
      </c>
      <c r="N187" t="inlineStr">
        <is>
          <t>14.0-18.5</t>
        </is>
      </c>
      <c r="O187" s="7" t="inlineStr">
        <is>
          <t>Royal Grammar</t>
        </is>
      </c>
      <c r="P187" s="7" t="inlineStr">
        <is>
          <t>Mediclinic Parkview</t>
        </is>
      </c>
      <c r="Q187" s="7" t="inlineStr">
        <is>
          <t>First Avenue Mall</t>
        </is>
      </c>
      <c r="R187" s="7" t="inlineStr">
        <is>
          <t>Hessa St / E611</t>
        </is>
      </c>
      <c r="S187" t="inlineStr">
        <is>
          <t>25</t>
        </is>
      </c>
      <c r="T187" t="inlineStr">
        <is>
          <t>20</t>
        </is>
      </c>
      <c r="U187" t="inlineStr">
        <is>
          <t>30</t>
        </is>
      </c>
      <c r="V187" t="inlineStr">
        <is>
          <t>25</t>
        </is>
      </c>
      <c r="W187" t="n">
        <v>2</v>
      </c>
      <c r="X187" s="12" t="n">
        <v>2700000</v>
      </c>
      <c r="Y187" s="12" t="n">
        <v>2700000</v>
      </c>
      <c r="Z187" s="9" t="n">
        <v>6</v>
      </c>
      <c r="AA187" s="9" t="n">
        <v>6.5</v>
      </c>
      <c r="AB187" s="9" t="n">
        <v>8</v>
      </c>
      <c r="AC187" s="9" t="n">
        <v>12</v>
      </c>
      <c r="AD187" s="9" t="n">
        <v>14</v>
      </c>
      <c r="AE187" s="9" t="n">
        <v>18.5</v>
      </c>
      <c r="AF187" t="n">
        <v>2023</v>
      </c>
      <c r="AH187" t="inlineStr">
        <is>
          <t>Townhouse</t>
        </is>
      </c>
      <c r="AI187" t="inlineStr">
        <is>
          <t>FamilyVilla</t>
        </is>
      </c>
      <c r="AJ187" t="inlineStr">
        <is>
          <t>TopTier</t>
        </is>
      </c>
      <c r="AK187" t="inlineStr">
        <is>
          <t>Family-villa resilient</t>
        </is>
      </c>
      <c r="AL187" s="7" t="inlineStr">
        <is>
          <t>Villa/townhouse demand remains relatively firmer, though growth should be slower than the post-2020 surge.</t>
        </is>
      </c>
      <c r="AM187" s="9" t="n">
        <v>10</v>
      </c>
      <c r="AN187" s="9" t="n">
        <v>6.25</v>
      </c>
      <c r="AO187" s="10" t="n">
        <v>0.55</v>
      </c>
      <c r="AP187" s="13" t="n">
        <v>0</v>
      </c>
      <c r="AQ187" s="13" t="n">
        <v>0.015</v>
      </c>
      <c r="AR187" s="13" t="n">
        <v>0</v>
      </c>
      <c r="AS187" s="13" t="n">
        <v>0.025</v>
      </c>
      <c r="AT187" s="13" t="n">
        <v>0.005</v>
      </c>
      <c r="AU187" s="13" t="n">
        <v>0.0025</v>
      </c>
      <c r="AV187" s="13" t="n">
        <v>-0.005</v>
      </c>
      <c r="AW187" s="13">
        <f>IF(X187="","",(AM187/100*AO187)+AP187+AQ187+AR187)</f>
        <v/>
      </c>
      <c r="AX187" s="13">
        <f>IF(X187="","",AS187+AT187+AU187+AV187)</f>
        <v/>
      </c>
      <c r="AY187" s="12">
        <f>IF(AZ187="","",ROUND(AZ187*(1+Assumptions!$B$10),0))</f>
        <v/>
      </c>
      <c r="AZ187" s="12">
        <f>IF(X187="","",ROUND(X187*(1+AW187),0))</f>
        <v/>
      </c>
      <c r="BA187" s="12">
        <f>IF(AZ187="","",ROUND(AZ187*(1+Assumptions!$B$11),0))</f>
        <v/>
      </c>
      <c r="BB187" s="12">
        <f>IF(AZ187="","",ROUND(AZ187*(1+AX187+Assumptions!$B$10),0))</f>
        <v/>
      </c>
      <c r="BC187" s="12">
        <f>IF(AZ187="","",ROUND(AZ187*(1+AX187),0))</f>
        <v/>
      </c>
      <c r="BD187" s="12">
        <f>IF(AZ187="","",ROUND(AZ187*(1+AX187+Assumptions!$B$11),0))</f>
        <v/>
      </c>
      <c r="BE187" s="12">
        <f>IF(AZ187="","",ROUND(AZ187*(1+AX187)*(1+AX187),0))</f>
        <v/>
      </c>
      <c r="BF187" s="7" t="inlineStr">
        <is>
          <t>Rules-based enrichment using launch-price anchor, cap-app realization, and 2026 segment conditions.</t>
        </is>
      </c>
      <c r="BG187" t="inlineStr">
        <is>
          <t>2026-03-17</t>
        </is>
      </c>
      <c r="BH187" s="7" t="inlineStr">
        <is>
          <t>DLD / Digital Dubai / CBUAE / Savills / Knight Frank-Moody’s / Reuters</t>
        </is>
      </c>
    </row>
    <row r="188">
      <c r="A188" t="n">
        <v>187</v>
      </c>
      <c r="B188" s="7" t="inlineStr">
        <is>
          <t>DAMAC Hills 2 (Master Community)</t>
        </is>
      </c>
      <c r="C188" t="inlineStr">
        <is>
          <t>DAMAC Properties</t>
        </is>
      </c>
      <c r="D188" t="inlineStr">
        <is>
          <t>Al Qudra Road</t>
        </is>
      </c>
      <c r="E188" t="inlineStr">
        <is>
          <t>Mixed</t>
        </is>
      </c>
      <c r="F188" s="7" t="inlineStr">
        <is>
          <t>Budget / Family</t>
        </is>
      </c>
      <c r="I188" t="inlineStr">
        <is>
          <t>8-10</t>
        </is>
      </c>
      <c r="J188" t="inlineStr">
        <is>
          <t>Varies</t>
        </is>
      </c>
      <c r="K188" t="inlineStr">
        <is>
          <t>Ongoing</t>
        </is>
      </c>
      <c r="L188" t="inlineStr">
        <is>
          <t>7.0-8.0</t>
        </is>
      </c>
      <c r="M188" t="inlineStr">
        <is>
          <t>6-9</t>
        </is>
      </c>
      <c r="N188" t="inlineStr">
        <is>
          <t>13.0-17.0</t>
        </is>
      </c>
      <c r="O188" s="7" t="inlineStr">
        <is>
          <t>The Aquila School</t>
        </is>
      </c>
      <c r="P188" s="7" t="inlineStr">
        <is>
          <t>Saudi German Hospital</t>
        </is>
      </c>
      <c r="Q188" s="7" t="inlineStr">
        <is>
          <t>Dubai Outlet Mall</t>
        </is>
      </c>
      <c r="R188" s="7" t="inlineStr">
        <is>
          <t>Al Qudra / E77</t>
        </is>
      </c>
      <c r="S188" t="inlineStr">
        <is>
          <t>35</t>
        </is>
      </c>
      <c r="T188" t="inlineStr">
        <is>
          <t>40</t>
        </is>
      </c>
      <c r="U188" t="inlineStr">
        <is>
          <t>40</t>
        </is>
      </c>
      <c r="V188" t="inlineStr">
        <is>
          <t>35</t>
        </is>
      </c>
      <c r="W188" t="n">
        <v>2</v>
      </c>
      <c r="X188" s="12" t="n"/>
      <c r="Y188" s="12" t="n"/>
      <c r="Z188" s="9" t="n">
        <v>7</v>
      </c>
      <c r="AA188" s="9" t="n">
        <v>8</v>
      </c>
      <c r="AB188" s="9" t="n">
        <v>6</v>
      </c>
      <c r="AC188" s="9" t="n">
        <v>9</v>
      </c>
      <c r="AD188" s="9" t="n">
        <v>13</v>
      </c>
      <c r="AE188" s="9" t="n">
        <v>17</v>
      </c>
      <c r="AH188" t="inlineStr">
        <is>
          <t>Mixed/Other</t>
        </is>
      </c>
      <c r="AI188" t="inlineStr">
        <is>
          <t>MainstreamSelective</t>
        </is>
      </c>
      <c r="AJ188" t="inlineStr">
        <is>
          <t>TopTier</t>
        </is>
      </c>
      <c r="AK188" t="inlineStr">
        <is>
          <t>Balanced / selective</t>
        </is>
      </c>
      <c r="AL188" s="7" t="inlineStr">
        <is>
          <t>Market remains active but increasingly differentiated by developer, micro-location, livability, and pricing discipline.</t>
        </is>
      </c>
      <c r="AM188" s="9" t="n">
        <v>7.5</v>
      </c>
      <c r="AN188" s="9" t="n">
        <v>7.5</v>
      </c>
      <c r="AO188" s="10" t="n">
        <v>0.25</v>
      </c>
      <c r="AP188" s="13" t="n">
        <v>0</v>
      </c>
      <c r="AQ188" s="13" t="n">
        <v>0</v>
      </c>
      <c r="AR188" s="13" t="n">
        <v>0</v>
      </c>
      <c r="AS188" s="13" t="n">
        <v>0.01</v>
      </c>
      <c r="AT188" s="13" t="n">
        <v>0.005</v>
      </c>
      <c r="AU188" s="13" t="n">
        <v>0.0025</v>
      </c>
      <c r="AV188" s="13" t="n">
        <v>-0.005</v>
      </c>
      <c r="AW188" s="13">
        <f>IF(X188="","",(AM188/100*AO188)+AP188+AQ188+AR188)</f>
        <v/>
      </c>
      <c r="AX188" s="13">
        <f>IF(X188="","",AS188+AT188+AU188+AV188)</f>
        <v/>
      </c>
      <c r="AY188" s="12">
        <f>IF(AZ188="","",ROUND(AZ188*(1+Assumptions!$B$10),0))</f>
        <v/>
      </c>
      <c r="AZ188" s="12">
        <f>IF(X188="","",ROUND(X188*(1+AW188),0))</f>
        <v/>
      </c>
      <c r="BA188" s="12">
        <f>IF(AZ188="","",ROUND(AZ188*(1+Assumptions!$B$11),0))</f>
        <v/>
      </c>
      <c r="BB188" s="12">
        <f>IF(AZ188="","",ROUND(AZ188*(1+AX188+Assumptions!$B$10),0))</f>
        <v/>
      </c>
      <c r="BC188" s="12">
        <f>IF(AZ188="","",ROUND(AZ188*(1+AX188),0))</f>
        <v/>
      </c>
      <c r="BD188" s="12">
        <f>IF(AZ188="","",ROUND(AZ188*(1+AX188+Assumptions!$B$11),0))</f>
        <v/>
      </c>
      <c r="BE188" s="12">
        <f>IF(AZ188="","",ROUND(AZ188*(1+AX188)*(1+AX188),0))</f>
        <v/>
      </c>
      <c r="BF188" s="7" t="inlineStr">
        <is>
          <t>Rules-based enrichment using launch-price anchor, cap-app realization, and 2026 segment conditions.</t>
        </is>
      </c>
      <c r="BG188" t="inlineStr">
        <is>
          <t>2026-03-17</t>
        </is>
      </c>
      <c r="BH188" s="7" t="inlineStr">
        <is>
          <t>DLD / Digital Dubai / CBUAE / Savills / Knight Frank-Moody’s / Reuters</t>
        </is>
      </c>
    </row>
    <row r="189">
      <c r="A189" t="n">
        <v>188</v>
      </c>
      <c r="B189" s="7" t="inlineStr">
        <is>
          <t>Violet Phase 1</t>
        </is>
      </c>
      <c r="C189" t="inlineStr">
        <is>
          <t>DAMAC Properties</t>
        </is>
      </c>
      <c r="D189" t="inlineStr">
        <is>
          <t>DAMAC Hills 2</t>
        </is>
      </c>
      <c r="E189" t="inlineStr">
        <is>
          <t>Townhouses</t>
        </is>
      </c>
      <c r="F189" s="7" t="inlineStr">
        <is>
          <t>Flower / Nature</t>
        </is>
      </c>
      <c r="G189" t="inlineStr">
        <is>
          <t>1.2M</t>
        </is>
      </c>
      <c r="H189" t="inlineStr">
        <is>
          <t>800</t>
        </is>
      </c>
      <c r="I189" t="inlineStr">
        <is>
          <t>10</t>
        </is>
      </c>
      <c r="J189" t="inlineStr">
        <is>
          <t>60/40</t>
        </is>
      </c>
      <c r="K189" t="inlineStr">
        <is>
          <t>2024</t>
        </is>
      </c>
      <c r="L189" t="inlineStr">
        <is>
          <t>7.0-7.5</t>
        </is>
      </c>
      <c r="M189" t="inlineStr">
        <is>
          <t>8-10</t>
        </is>
      </c>
      <c r="N189" t="inlineStr">
        <is>
          <t>15.0-17.5</t>
        </is>
      </c>
      <c r="O189" s="7" t="inlineStr">
        <is>
          <t>The Aquila School</t>
        </is>
      </c>
      <c r="P189" s="7" t="inlineStr">
        <is>
          <t>Saudi German Hospital</t>
        </is>
      </c>
      <c r="Q189" s="7" t="inlineStr">
        <is>
          <t>Dubai Outlet Mall</t>
        </is>
      </c>
      <c r="R189" s="7" t="inlineStr">
        <is>
          <t>Al Qudra / E77</t>
        </is>
      </c>
      <c r="S189" t="inlineStr">
        <is>
          <t>35</t>
        </is>
      </c>
      <c r="T189" t="inlineStr">
        <is>
          <t>40</t>
        </is>
      </c>
      <c r="U189" t="inlineStr">
        <is>
          <t>40</t>
        </is>
      </c>
      <c r="V189" t="inlineStr">
        <is>
          <t>35</t>
        </is>
      </c>
      <c r="W189" t="n">
        <v>2</v>
      </c>
      <c r="X189" s="12" t="n">
        <v>1200000</v>
      </c>
      <c r="Y189" s="12" t="n">
        <v>1200000</v>
      </c>
      <c r="Z189" s="9" t="n">
        <v>7</v>
      </c>
      <c r="AA189" s="9" t="n">
        <v>7.5</v>
      </c>
      <c r="AB189" s="9" t="n">
        <v>8</v>
      </c>
      <c r="AC189" s="9" t="n">
        <v>10</v>
      </c>
      <c r="AD189" s="9" t="n">
        <v>15</v>
      </c>
      <c r="AE189" s="9" t="n">
        <v>17.5</v>
      </c>
      <c r="AF189" t="n">
        <v>2024</v>
      </c>
      <c r="AH189" t="inlineStr">
        <is>
          <t>Townhouse</t>
        </is>
      </c>
      <c r="AI189" t="inlineStr">
        <is>
          <t>MainstreamSelective</t>
        </is>
      </c>
      <c r="AJ189" t="inlineStr">
        <is>
          <t>TopTier</t>
        </is>
      </c>
      <c r="AK189" t="inlineStr">
        <is>
          <t>Family-villa resilient</t>
        </is>
      </c>
      <c r="AL189" s="7" t="inlineStr">
        <is>
          <t>Villa/townhouse demand remains relatively firmer, though growth should be slower than the post-2020 surge.</t>
        </is>
      </c>
      <c r="AM189" s="9" t="n">
        <v>9</v>
      </c>
      <c r="AN189" s="9" t="n">
        <v>7.25</v>
      </c>
      <c r="AO189" s="10" t="n">
        <v>0.55</v>
      </c>
      <c r="AP189" s="13" t="n">
        <v>0</v>
      </c>
      <c r="AQ189" s="13" t="n">
        <v>0.015</v>
      </c>
      <c r="AR189" s="13" t="n">
        <v>0</v>
      </c>
      <c r="AS189" s="13" t="n">
        <v>0.025</v>
      </c>
      <c r="AT189" s="13" t="n">
        <v>0.005</v>
      </c>
      <c r="AU189" s="13" t="n">
        <v>0.0025</v>
      </c>
      <c r="AV189" s="13" t="n">
        <v>-0.005</v>
      </c>
      <c r="AW189" s="13">
        <f>IF(X189="","",(AM189/100*AO189)+AP189+AQ189+AR189)</f>
        <v/>
      </c>
      <c r="AX189" s="13">
        <f>IF(X189="","",AS189+AT189+AU189+AV189)</f>
        <v/>
      </c>
      <c r="AY189" s="12">
        <f>IF(AZ189="","",ROUND(AZ189*(1+Assumptions!$B$10),0))</f>
        <v/>
      </c>
      <c r="AZ189" s="12">
        <f>IF(X189="","",ROUND(X189*(1+AW189),0))</f>
        <v/>
      </c>
      <c r="BA189" s="12">
        <f>IF(AZ189="","",ROUND(AZ189*(1+Assumptions!$B$11),0))</f>
        <v/>
      </c>
      <c r="BB189" s="12">
        <f>IF(AZ189="","",ROUND(AZ189*(1+AX189+Assumptions!$B$10),0))</f>
        <v/>
      </c>
      <c r="BC189" s="12">
        <f>IF(AZ189="","",ROUND(AZ189*(1+AX189),0))</f>
        <v/>
      </c>
      <c r="BD189" s="12">
        <f>IF(AZ189="","",ROUND(AZ189*(1+AX189+Assumptions!$B$11),0))</f>
        <v/>
      </c>
      <c r="BE189" s="12">
        <f>IF(AZ189="","",ROUND(AZ189*(1+AX189)*(1+AX189),0))</f>
        <v/>
      </c>
      <c r="BF189" s="7" t="inlineStr">
        <is>
          <t>Rules-based enrichment using launch-price anchor, cap-app realization, and 2026 segment conditions.</t>
        </is>
      </c>
      <c r="BG189" t="inlineStr">
        <is>
          <t>2026-03-17</t>
        </is>
      </c>
      <c r="BH189" s="7" t="inlineStr">
        <is>
          <t>DLD / Digital Dubai / CBUAE / Savills / Knight Frank-Moody’s / Reuters</t>
        </is>
      </c>
    </row>
    <row r="190">
      <c r="A190" t="n">
        <v>189</v>
      </c>
      <c r="B190" s="7" t="inlineStr">
        <is>
          <t>Violet Phase 2</t>
        </is>
      </c>
      <c r="C190" t="inlineStr">
        <is>
          <t>DAMAC Properties</t>
        </is>
      </c>
      <c r="D190" t="inlineStr">
        <is>
          <t>DAMAC Hills 2</t>
        </is>
      </c>
      <c r="E190" t="inlineStr">
        <is>
          <t>Townhouses</t>
        </is>
      </c>
      <c r="F190" s="7" t="inlineStr">
        <is>
          <t>Flower / Nature</t>
        </is>
      </c>
      <c r="G190" t="inlineStr">
        <is>
          <t>1.3M</t>
        </is>
      </c>
      <c r="H190" t="inlineStr">
        <is>
          <t>850</t>
        </is>
      </c>
      <c r="I190" t="inlineStr">
        <is>
          <t>10</t>
        </is>
      </c>
      <c r="J190" t="inlineStr">
        <is>
          <t>60/40</t>
        </is>
      </c>
      <c r="K190" t="inlineStr">
        <is>
          <t>2024</t>
        </is>
      </c>
      <c r="L190" t="inlineStr">
        <is>
          <t>7.0-7.5</t>
        </is>
      </c>
      <c r="M190" t="inlineStr">
        <is>
          <t>8-10</t>
        </is>
      </c>
      <c r="N190" t="inlineStr">
        <is>
          <t>15.0-17.5</t>
        </is>
      </c>
      <c r="O190" s="7" t="inlineStr">
        <is>
          <t>The Aquila School</t>
        </is>
      </c>
      <c r="P190" s="7" t="inlineStr">
        <is>
          <t>Saudi German Hospital</t>
        </is>
      </c>
      <c r="Q190" s="7" t="inlineStr">
        <is>
          <t>Dubai Outlet Mall</t>
        </is>
      </c>
      <c r="R190" s="7" t="inlineStr">
        <is>
          <t>Al Qudra / E77</t>
        </is>
      </c>
      <c r="S190" t="inlineStr">
        <is>
          <t>35</t>
        </is>
      </c>
      <c r="T190" t="inlineStr">
        <is>
          <t>40</t>
        </is>
      </c>
      <c r="U190" t="inlineStr">
        <is>
          <t>40</t>
        </is>
      </c>
      <c r="V190" t="inlineStr">
        <is>
          <t>35</t>
        </is>
      </c>
      <c r="W190" t="n">
        <v>2</v>
      </c>
      <c r="X190" s="12" t="n">
        <v>1300000</v>
      </c>
      <c r="Y190" s="12" t="n">
        <v>1300000</v>
      </c>
      <c r="Z190" s="9" t="n">
        <v>7</v>
      </c>
      <c r="AA190" s="9" t="n">
        <v>7.5</v>
      </c>
      <c r="AB190" s="9" t="n">
        <v>8</v>
      </c>
      <c r="AC190" s="9" t="n">
        <v>10</v>
      </c>
      <c r="AD190" s="9" t="n">
        <v>15</v>
      </c>
      <c r="AE190" s="9" t="n">
        <v>17.5</v>
      </c>
      <c r="AF190" t="n">
        <v>2024</v>
      </c>
      <c r="AH190" t="inlineStr">
        <is>
          <t>Townhouse</t>
        </is>
      </c>
      <c r="AI190" t="inlineStr">
        <is>
          <t>MainstreamSelective</t>
        </is>
      </c>
      <c r="AJ190" t="inlineStr">
        <is>
          <t>TopTier</t>
        </is>
      </c>
      <c r="AK190" t="inlineStr">
        <is>
          <t>Family-villa resilient</t>
        </is>
      </c>
      <c r="AL190" s="7" t="inlineStr">
        <is>
          <t>Villa/townhouse demand remains relatively firmer, though growth should be slower than the post-2020 surge.</t>
        </is>
      </c>
      <c r="AM190" s="9" t="n">
        <v>9</v>
      </c>
      <c r="AN190" s="9" t="n">
        <v>7.25</v>
      </c>
      <c r="AO190" s="10" t="n">
        <v>0.55</v>
      </c>
      <c r="AP190" s="13" t="n">
        <v>0</v>
      </c>
      <c r="AQ190" s="13" t="n">
        <v>0.015</v>
      </c>
      <c r="AR190" s="13" t="n">
        <v>0</v>
      </c>
      <c r="AS190" s="13" t="n">
        <v>0.025</v>
      </c>
      <c r="AT190" s="13" t="n">
        <v>0.005</v>
      </c>
      <c r="AU190" s="13" t="n">
        <v>0.0025</v>
      </c>
      <c r="AV190" s="13" t="n">
        <v>-0.005</v>
      </c>
      <c r="AW190" s="13">
        <f>IF(X190="","",(AM190/100*AO190)+AP190+AQ190+AR190)</f>
        <v/>
      </c>
      <c r="AX190" s="13">
        <f>IF(X190="","",AS190+AT190+AU190+AV190)</f>
        <v/>
      </c>
      <c r="AY190" s="12">
        <f>IF(AZ190="","",ROUND(AZ190*(1+Assumptions!$B$10),0))</f>
        <v/>
      </c>
      <c r="AZ190" s="12">
        <f>IF(X190="","",ROUND(X190*(1+AW190),0))</f>
        <v/>
      </c>
      <c r="BA190" s="12">
        <f>IF(AZ190="","",ROUND(AZ190*(1+Assumptions!$B$11),0))</f>
        <v/>
      </c>
      <c r="BB190" s="12">
        <f>IF(AZ190="","",ROUND(AZ190*(1+AX190+Assumptions!$B$10),0))</f>
        <v/>
      </c>
      <c r="BC190" s="12">
        <f>IF(AZ190="","",ROUND(AZ190*(1+AX190),0))</f>
        <v/>
      </c>
      <c r="BD190" s="12">
        <f>IF(AZ190="","",ROUND(AZ190*(1+AX190+Assumptions!$B$11),0))</f>
        <v/>
      </c>
      <c r="BE190" s="12">
        <f>IF(AZ190="","",ROUND(AZ190*(1+AX190)*(1+AX190),0))</f>
        <v/>
      </c>
      <c r="BF190" s="7" t="inlineStr">
        <is>
          <t>Rules-based enrichment using launch-price anchor, cap-app realization, and 2026 segment conditions.</t>
        </is>
      </c>
      <c r="BG190" t="inlineStr">
        <is>
          <t>2026-03-17</t>
        </is>
      </c>
      <c r="BH190" s="7" t="inlineStr">
        <is>
          <t>DLD / Digital Dubai / CBUAE / Savills / Knight Frank-Moody’s / Reuters</t>
        </is>
      </c>
    </row>
    <row r="191">
      <c r="A191" t="n">
        <v>190</v>
      </c>
      <c r="B191" s="7" t="inlineStr">
        <is>
          <t>Violet Phase 3</t>
        </is>
      </c>
      <c r="C191" t="inlineStr">
        <is>
          <t>DAMAC Properties</t>
        </is>
      </c>
      <c r="D191" t="inlineStr">
        <is>
          <t>DAMAC Hills 2</t>
        </is>
      </c>
      <c r="E191" t="inlineStr">
        <is>
          <t>Townhouses</t>
        </is>
      </c>
      <c r="F191" s="7" t="inlineStr">
        <is>
          <t>Flower / Nature</t>
        </is>
      </c>
      <c r="G191" t="inlineStr">
        <is>
          <t>1.35M</t>
        </is>
      </c>
      <c r="H191" t="inlineStr">
        <is>
          <t>850</t>
        </is>
      </c>
      <c r="I191" t="inlineStr">
        <is>
          <t>10</t>
        </is>
      </c>
      <c r="J191" t="inlineStr">
        <is>
          <t>60/40</t>
        </is>
      </c>
      <c r="K191" t="inlineStr">
        <is>
          <t>2024</t>
        </is>
      </c>
      <c r="L191" t="inlineStr">
        <is>
          <t>7.0-7.5</t>
        </is>
      </c>
      <c r="M191" t="inlineStr">
        <is>
          <t>8-10</t>
        </is>
      </c>
      <c r="N191" t="inlineStr">
        <is>
          <t>15.0-17.5</t>
        </is>
      </c>
      <c r="O191" s="7" t="inlineStr">
        <is>
          <t>The Aquila School</t>
        </is>
      </c>
      <c r="P191" s="7" t="inlineStr">
        <is>
          <t>Saudi German Hospital</t>
        </is>
      </c>
      <c r="Q191" s="7" t="inlineStr">
        <is>
          <t>Dubai Outlet Mall</t>
        </is>
      </c>
      <c r="R191" s="7" t="inlineStr">
        <is>
          <t>Al Qudra / E77</t>
        </is>
      </c>
      <c r="S191" t="inlineStr">
        <is>
          <t>35</t>
        </is>
      </c>
      <c r="T191" t="inlineStr">
        <is>
          <t>40</t>
        </is>
      </c>
      <c r="U191" t="inlineStr">
        <is>
          <t>40</t>
        </is>
      </c>
      <c r="V191" t="inlineStr">
        <is>
          <t>35</t>
        </is>
      </c>
      <c r="W191" t="n">
        <v>2</v>
      </c>
      <c r="X191" s="12" t="n">
        <v>1350000</v>
      </c>
      <c r="Y191" s="12" t="n">
        <v>1350000</v>
      </c>
      <c r="Z191" s="9" t="n">
        <v>7</v>
      </c>
      <c r="AA191" s="9" t="n">
        <v>7.5</v>
      </c>
      <c r="AB191" s="9" t="n">
        <v>8</v>
      </c>
      <c r="AC191" s="9" t="n">
        <v>10</v>
      </c>
      <c r="AD191" s="9" t="n">
        <v>15</v>
      </c>
      <c r="AE191" s="9" t="n">
        <v>17.5</v>
      </c>
      <c r="AF191" t="n">
        <v>2024</v>
      </c>
      <c r="AH191" t="inlineStr">
        <is>
          <t>Townhouse</t>
        </is>
      </c>
      <c r="AI191" t="inlineStr">
        <is>
          <t>MainstreamSelective</t>
        </is>
      </c>
      <c r="AJ191" t="inlineStr">
        <is>
          <t>TopTier</t>
        </is>
      </c>
      <c r="AK191" t="inlineStr">
        <is>
          <t>Family-villa resilient</t>
        </is>
      </c>
      <c r="AL191" s="7" t="inlineStr">
        <is>
          <t>Villa/townhouse demand remains relatively firmer, though growth should be slower than the post-2020 surge.</t>
        </is>
      </c>
      <c r="AM191" s="9" t="n">
        <v>9</v>
      </c>
      <c r="AN191" s="9" t="n">
        <v>7.25</v>
      </c>
      <c r="AO191" s="10" t="n">
        <v>0.55</v>
      </c>
      <c r="AP191" s="13" t="n">
        <v>0</v>
      </c>
      <c r="AQ191" s="13" t="n">
        <v>0.015</v>
      </c>
      <c r="AR191" s="13" t="n">
        <v>0</v>
      </c>
      <c r="AS191" s="13" t="n">
        <v>0.025</v>
      </c>
      <c r="AT191" s="13" t="n">
        <v>0.005</v>
      </c>
      <c r="AU191" s="13" t="n">
        <v>0.0025</v>
      </c>
      <c r="AV191" s="13" t="n">
        <v>-0.005</v>
      </c>
      <c r="AW191" s="13">
        <f>IF(X191="","",(AM191/100*AO191)+AP191+AQ191+AR191)</f>
        <v/>
      </c>
      <c r="AX191" s="13">
        <f>IF(X191="","",AS191+AT191+AU191+AV191)</f>
        <v/>
      </c>
      <c r="AY191" s="12">
        <f>IF(AZ191="","",ROUND(AZ191*(1+Assumptions!$B$10),0))</f>
        <v/>
      </c>
      <c r="AZ191" s="12">
        <f>IF(X191="","",ROUND(X191*(1+AW191),0))</f>
        <v/>
      </c>
      <c r="BA191" s="12">
        <f>IF(AZ191="","",ROUND(AZ191*(1+Assumptions!$B$11),0))</f>
        <v/>
      </c>
      <c r="BB191" s="12">
        <f>IF(AZ191="","",ROUND(AZ191*(1+AX191+Assumptions!$B$10),0))</f>
        <v/>
      </c>
      <c r="BC191" s="12">
        <f>IF(AZ191="","",ROUND(AZ191*(1+AX191),0))</f>
        <v/>
      </c>
      <c r="BD191" s="12">
        <f>IF(AZ191="","",ROUND(AZ191*(1+AX191+Assumptions!$B$11),0))</f>
        <v/>
      </c>
      <c r="BE191" s="12">
        <f>IF(AZ191="","",ROUND(AZ191*(1+AX191)*(1+AX191),0))</f>
        <v/>
      </c>
      <c r="BF191" s="7" t="inlineStr">
        <is>
          <t>Rules-based enrichment using launch-price anchor, cap-app realization, and 2026 segment conditions.</t>
        </is>
      </c>
      <c r="BG191" t="inlineStr">
        <is>
          <t>2026-03-17</t>
        </is>
      </c>
      <c r="BH191" s="7" t="inlineStr">
        <is>
          <t>DLD / Digital Dubai / CBUAE / Savills / Knight Frank-Moody’s / Reuters</t>
        </is>
      </c>
    </row>
    <row r="192">
      <c r="A192" t="n">
        <v>191</v>
      </c>
      <c r="B192" s="7" t="inlineStr">
        <is>
          <t>Elo 1</t>
        </is>
      </c>
      <c r="C192" t="inlineStr">
        <is>
          <t>DAMAC Properties</t>
        </is>
      </c>
      <c r="D192" t="inlineStr">
        <is>
          <t>DAMAC Hills 2</t>
        </is>
      </c>
      <c r="E192" t="inlineStr">
        <is>
          <t>Apartments</t>
        </is>
      </c>
      <c r="F192" s="7" t="inlineStr">
        <is>
          <t>Budget / High-Rise</t>
        </is>
      </c>
      <c r="G192" t="inlineStr">
        <is>
          <t>600k</t>
        </is>
      </c>
      <c r="H192" t="inlineStr">
        <is>
          <t>900</t>
        </is>
      </c>
      <c r="I192" t="inlineStr">
        <is>
          <t>12</t>
        </is>
      </c>
      <c r="J192" t="inlineStr">
        <is>
          <t>70/30</t>
        </is>
      </c>
      <c r="K192" t="inlineStr">
        <is>
          <t>2024</t>
        </is>
      </c>
      <c r="L192" t="inlineStr">
        <is>
          <t>8.0-8.5</t>
        </is>
      </c>
      <c r="M192" t="inlineStr">
        <is>
          <t>6-9</t>
        </is>
      </c>
      <c r="N192" t="inlineStr">
        <is>
          <t>14.0-17.5</t>
        </is>
      </c>
      <c r="O192" s="7" t="inlineStr">
        <is>
          <t>The Aquila School</t>
        </is>
      </c>
      <c r="P192" s="7" t="inlineStr">
        <is>
          <t>Saudi German Hospital</t>
        </is>
      </c>
      <c r="Q192" s="7" t="inlineStr">
        <is>
          <t>Dubai Outlet Mall</t>
        </is>
      </c>
      <c r="R192" s="7" t="inlineStr">
        <is>
          <t>Al Qudra / E77</t>
        </is>
      </c>
      <c r="S192" t="inlineStr">
        <is>
          <t>35</t>
        </is>
      </c>
      <c r="T192" t="inlineStr">
        <is>
          <t>40</t>
        </is>
      </c>
      <c r="U192" t="inlineStr">
        <is>
          <t>40</t>
        </is>
      </c>
      <c r="V192" t="inlineStr">
        <is>
          <t>35</t>
        </is>
      </c>
      <c r="W192" t="n">
        <v>2</v>
      </c>
      <c r="X192" s="12" t="n">
        <v>600000</v>
      </c>
      <c r="Y192" s="12" t="n">
        <v>600000</v>
      </c>
      <c r="Z192" s="9" t="n">
        <v>8</v>
      </c>
      <c r="AA192" s="9" t="n">
        <v>8.5</v>
      </c>
      <c r="AB192" s="9" t="n">
        <v>6</v>
      </c>
      <c r="AC192" s="9" t="n">
        <v>9</v>
      </c>
      <c r="AD192" s="9" t="n">
        <v>14</v>
      </c>
      <c r="AE192" s="9" t="n">
        <v>17.5</v>
      </c>
      <c r="AF192" t="n">
        <v>2024</v>
      </c>
      <c r="AH192" t="inlineStr">
        <is>
          <t>Apartment</t>
        </is>
      </c>
      <c r="AI192" t="inlineStr">
        <is>
          <t>MainstreamSelective</t>
        </is>
      </c>
      <c r="AJ192" t="inlineStr">
        <is>
          <t>TopTier</t>
        </is>
      </c>
      <c r="AK192" t="inlineStr">
        <is>
          <t>Balanced / selective</t>
        </is>
      </c>
      <c r="AL192" s="7" t="inlineStr">
        <is>
          <t>Market remains active but increasingly differentiated by developer, micro-location, livability, and pricing discipline.</t>
        </is>
      </c>
      <c r="AM192" s="9" t="n">
        <v>7.5</v>
      </c>
      <c r="AN192" s="9" t="n">
        <v>8.25</v>
      </c>
      <c r="AO192" s="10" t="n">
        <v>0.55</v>
      </c>
      <c r="AP192" s="13" t="n">
        <v>0</v>
      </c>
      <c r="AQ192" s="13" t="n">
        <v>0</v>
      </c>
      <c r="AR192" s="13" t="n">
        <v>0</v>
      </c>
      <c r="AS192" s="13" t="n">
        <v>0.01</v>
      </c>
      <c r="AT192" s="13" t="n">
        <v>0.005</v>
      </c>
      <c r="AU192" s="13" t="n">
        <v>0.0025</v>
      </c>
      <c r="AV192" s="13" t="n">
        <v>-0.005</v>
      </c>
      <c r="AW192" s="13">
        <f>IF(X192="","",(AM192/100*AO192)+AP192+AQ192+AR192)</f>
        <v/>
      </c>
      <c r="AX192" s="13">
        <f>IF(X192="","",AS192+AT192+AU192+AV192)</f>
        <v/>
      </c>
      <c r="AY192" s="12">
        <f>IF(AZ192="","",ROUND(AZ192*(1+Assumptions!$B$10),0))</f>
        <v/>
      </c>
      <c r="AZ192" s="12">
        <f>IF(X192="","",ROUND(X192*(1+AW192),0))</f>
        <v/>
      </c>
      <c r="BA192" s="12">
        <f>IF(AZ192="","",ROUND(AZ192*(1+Assumptions!$B$11),0))</f>
        <v/>
      </c>
      <c r="BB192" s="12">
        <f>IF(AZ192="","",ROUND(AZ192*(1+AX192+Assumptions!$B$10),0))</f>
        <v/>
      </c>
      <c r="BC192" s="12">
        <f>IF(AZ192="","",ROUND(AZ192*(1+AX192),0))</f>
        <v/>
      </c>
      <c r="BD192" s="12">
        <f>IF(AZ192="","",ROUND(AZ192*(1+AX192+Assumptions!$B$11),0))</f>
        <v/>
      </c>
      <c r="BE192" s="12">
        <f>IF(AZ192="","",ROUND(AZ192*(1+AX192)*(1+AX192),0))</f>
        <v/>
      </c>
      <c r="BF192" s="7" t="inlineStr">
        <is>
          <t>Rules-based enrichment using launch-price anchor, cap-app realization, and 2026 segment conditions.</t>
        </is>
      </c>
      <c r="BG192" t="inlineStr">
        <is>
          <t>2026-03-17</t>
        </is>
      </c>
      <c r="BH192" s="7" t="inlineStr">
        <is>
          <t>DLD / Digital Dubai / CBUAE / Savills / Knight Frank-Moody’s / Reuters</t>
        </is>
      </c>
    </row>
    <row r="193">
      <c r="A193" t="n">
        <v>192</v>
      </c>
      <c r="B193" s="7" t="inlineStr">
        <is>
          <t>Elo 2</t>
        </is>
      </c>
      <c r="C193" t="inlineStr">
        <is>
          <t>DAMAC Properties</t>
        </is>
      </c>
      <c r="D193" t="inlineStr">
        <is>
          <t>DAMAC Hills 2</t>
        </is>
      </c>
      <c r="E193" t="inlineStr">
        <is>
          <t>Apartments</t>
        </is>
      </c>
      <c r="F193" s="7" t="inlineStr">
        <is>
          <t>Budget / High-Rise</t>
        </is>
      </c>
      <c r="G193" t="inlineStr">
        <is>
          <t>620k</t>
        </is>
      </c>
      <c r="H193" t="inlineStr">
        <is>
          <t>900</t>
        </is>
      </c>
      <c r="I193" t="inlineStr">
        <is>
          <t>12</t>
        </is>
      </c>
      <c r="J193" t="inlineStr">
        <is>
          <t>70/30</t>
        </is>
      </c>
      <c r="K193" t="inlineStr">
        <is>
          <t>2024</t>
        </is>
      </c>
      <c r="L193" t="inlineStr">
        <is>
          <t>8.0-8.5</t>
        </is>
      </c>
      <c r="M193" t="inlineStr">
        <is>
          <t>6-9</t>
        </is>
      </c>
      <c r="N193" t="inlineStr">
        <is>
          <t>14.0-17.5</t>
        </is>
      </c>
      <c r="O193" s="7" t="inlineStr">
        <is>
          <t>The Aquila School</t>
        </is>
      </c>
      <c r="P193" s="7" t="inlineStr">
        <is>
          <t>Saudi German Hospital</t>
        </is>
      </c>
      <c r="Q193" s="7" t="inlineStr">
        <is>
          <t>Dubai Outlet Mall</t>
        </is>
      </c>
      <c r="R193" s="7" t="inlineStr">
        <is>
          <t>Al Qudra / E77</t>
        </is>
      </c>
      <c r="S193" t="inlineStr">
        <is>
          <t>35</t>
        </is>
      </c>
      <c r="T193" t="inlineStr">
        <is>
          <t>40</t>
        </is>
      </c>
      <c r="U193" t="inlineStr">
        <is>
          <t>40</t>
        </is>
      </c>
      <c r="V193" t="inlineStr">
        <is>
          <t>35</t>
        </is>
      </c>
      <c r="W193" t="n">
        <v>2</v>
      </c>
      <c r="X193" s="12" t="n">
        <v>620000</v>
      </c>
      <c r="Y193" s="12" t="n">
        <v>620000</v>
      </c>
      <c r="Z193" s="9" t="n">
        <v>8</v>
      </c>
      <c r="AA193" s="9" t="n">
        <v>8.5</v>
      </c>
      <c r="AB193" s="9" t="n">
        <v>6</v>
      </c>
      <c r="AC193" s="9" t="n">
        <v>9</v>
      </c>
      <c r="AD193" s="9" t="n">
        <v>14</v>
      </c>
      <c r="AE193" s="9" t="n">
        <v>17.5</v>
      </c>
      <c r="AF193" t="n">
        <v>2024</v>
      </c>
      <c r="AH193" t="inlineStr">
        <is>
          <t>Apartment</t>
        </is>
      </c>
      <c r="AI193" t="inlineStr">
        <is>
          <t>MainstreamSelective</t>
        </is>
      </c>
      <c r="AJ193" t="inlineStr">
        <is>
          <t>TopTier</t>
        </is>
      </c>
      <c r="AK193" t="inlineStr">
        <is>
          <t>Balanced / selective</t>
        </is>
      </c>
      <c r="AL193" s="7" t="inlineStr">
        <is>
          <t>Market remains active but increasingly differentiated by developer, micro-location, livability, and pricing discipline.</t>
        </is>
      </c>
      <c r="AM193" s="9" t="n">
        <v>7.5</v>
      </c>
      <c r="AN193" s="9" t="n">
        <v>8.25</v>
      </c>
      <c r="AO193" s="10" t="n">
        <v>0.55</v>
      </c>
      <c r="AP193" s="13" t="n">
        <v>0</v>
      </c>
      <c r="AQ193" s="13" t="n">
        <v>0</v>
      </c>
      <c r="AR193" s="13" t="n">
        <v>0</v>
      </c>
      <c r="AS193" s="13" t="n">
        <v>0.01</v>
      </c>
      <c r="AT193" s="13" t="n">
        <v>0.005</v>
      </c>
      <c r="AU193" s="13" t="n">
        <v>0.0025</v>
      </c>
      <c r="AV193" s="13" t="n">
        <v>-0.005</v>
      </c>
      <c r="AW193" s="13">
        <f>IF(X193="","",(AM193/100*AO193)+AP193+AQ193+AR193)</f>
        <v/>
      </c>
      <c r="AX193" s="13">
        <f>IF(X193="","",AS193+AT193+AU193+AV193)</f>
        <v/>
      </c>
      <c r="AY193" s="12">
        <f>IF(AZ193="","",ROUND(AZ193*(1+Assumptions!$B$10),0))</f>
        <v/>
      </c>
      <c r="AZ193" s="12">
        <f>IF(X193="","",ROUND(X193*(1+AW193),0))</f>
        <v/>
      </c>
      <c r="BA193" s="12">
        <f>IF(AZ193="","",ROUND(AZ193*(1+Assumptions!$B$11),0))</f>
        <v/>
      </c>
      <c r="BB193" s="12">
        <f>IF(AZ193="","",ROUND(AZ193*(1+AX193+Assumptions!$B$10),0))</f>
        <v/>
      </c>
      <c r="BC193" s="12">
        <f>IF(AZ193="","",ROUND(AZ193*(1+AX193),0))</f>
        <v/>
      </c>
      <c r="BD193" s="12">
        <f>IF(AZ193="","",ROUND(AZ193*(1+AX193+Assumptions!$B$11),0))</f>
        <v/>
      </c>
      <c r="BE193" s="12">
        <f>IF(AZ193="","",ROUND(AZ193*(1+AX193)*(1+AX193),0))</f>
        <v/>
      </c>
      <c r="BF193" s="7" t="inlineStr">
        <is>
          <t>Rules-based enrichment using launch-price anchor, cap-app realization, and 2026 segment conditions.</t>
        </is>
      </c>
      <c r="BG193" t="inlineStr">
        <is>
          <t>2026-03-17</t>
        </is>
      </c>
      <c r="BH193" s="7" t="inlineStr">
        <is>
          <t>DLD / Digital Dubai / CBUAE / Savills / Knight Frank-Moody’s / Reuters</t>
        </is>
      </c>
    </row>
    <row r="194">
      <c r="A194" t="n">
        <v>193</v>
      </c>
      <c r="B194" s="7" t="inlineStr">
        <is>
          <t>Elo 3</t>
        </is>
      </c>
      <c r="C194" t="inlineStr">
        <is>
          <t>DAMAC Properties</t>
        </is>
      </c>
      <c r="D194" t="inlineStr">
        <is>
          <t>DAMAC Hills 2</t>
        </is>
      </c>
      <c r="E194" t="inlineStr">
        <is>
          <t>Apartments</t>
        </is>
      </c>
      <c r="F194" s="7" t="inlineStr">
        <is>
          <t>Budget / High-Rise</t>
        </is>
      </c>
      <c r="G194" t="inlineStr">
        <is>
          <t>650k</t>
        </is>
      </c>
      <c r="H194" t="inlineStr">
        <is>
          <t>900</t>
        </is>
      </c>
      <c r="I194" t="inlineStr">
        <is>
          <t>12</t>
        </is>
      </c>
      <c r="J194" t="inlineStr">
        <is>
          <t>70/30</t>
        </is>
      </c>
      <c r="K194" t="inlineStr">
        <is>
          <t>2024</t>
        </is>
      </c>
      <c r="L194" t="inlineStr">
        <is>
          <t>8.0-8.5</t>
        </is>
      </c>
      <c r="M194" t="inlineStr">
        <is>
          <t>6-9</t>
        </is>
      </c>
      <c r="N194" t="inlineStr">
        <is>
          <t>14.0-17.5</t>
        </is>
      </c>
      <c r="O194" s="7" t="inlineStr">
        <is>
          <t>The Aquila School</t>
        </is>
      </c>
      <c r="P194" s="7" t="inlineStr">
        <is>
          <t>Saudi German Hospital</t>
        </is>
      </c>
      <c r="Q194" s="7" t="inlineStr">
        <is>
          <t>Dubai Outlet Mall</t>
        </is>
      </c>
      <c r="R194" s="7" t="inlineStr">
        <is>
          <t>Al Qudra / E77</t>
        </is>
      </c>
      <c r="S194" t="inlineStr">
        <is>
          <t>35</t>
        </is>
      </c>
      <c r="T194" t="inlineStr">
        <is>
          <t>40</t>
        </is>
      </c>
      <c r="U194" t="inlineStr">
        <is>
          <t>40</t>
        </is>
      </c>
      <c r="V194" t="inlineStr">
        <is>
          <t>35</t>
        </is>
      </c>
      <c r="W194" t="n">
        <v>2</v>
      </c>
      <c r="X194" s="12" t="n">
        <v>650000</v>
      </c>
      <c r="Y194" s="12" t="n">
        <v>650000</v>
      </c>
      <c r="Z194" s="9" t="n">
        <v>8</v>
      </c>
      <c r="AA194" s="9" t="n">
        <v>8.5</v>
      </c>
      <c r="AB194" s="9" t="n">
        <v>6</v>
      </c>
      <c r="AC194" s="9" t="n">
        <v>9</v>
      </c>
      <c r="AD194" s="9" t="n">
        <v>14</v>
      </c>
      <c r="AE194" s="9" t="n">
        <v>17.5</v>
      </c>
      <c r="AF194" t="n">
        <v>2024</v>
      </c>
      <c r="AH194" t="inlineStr">
        <is>
          <t>Apartment</t>
        </is>
      </c>
      <c r="AI194" t="inlineStr">
        <is>
          <t>MainstreamSelective</t>
        </is>
      </c>
      <c r="AJ194" t="inlineStr">
        <is>
          <t>TopTier</t>
        </is>
      </c>
      <c r="AK194" t="inlineStr">
        <is>
          <t>Balanced / selective</t>
        </is>
      </c>
      <c r="AL194" s="7" t="inlineStr">
        <is>
          <t>Market remains active but increasingly differentiated by developer, micro-location, livability, and pricing discipline.</t>
        </is>
      </c>
      <c r="AM194" s="9" t="n">
        <v>7.5</v>
      </c>
      <c r="AN194" s="9" t="n">
        <v>8.25</v>
      </c>
      <c r="AO194" s="10" t="n">
        <v>0.55</v>
      </c>
      <c r="AP194" s="13" t="n">
        <v>0</v>
      </c>
      <c r="AQ194" s="13" t="n">
        <v>0</v>
      </c>
      <c r="AR194" s="13" t="n">
        <v>0</v>
      </c>
      <c r="AS194" s="13" t="n">
        <v>0.01</v>
      </c>
      <c r="AT194" s="13" t="n">
        <v>0.005</v>
      </c>
      <c r="AU194" s="13" t="n">
        <v>0.0025</v>
      </c>
      <c r="AV194" s="13" t="n">
        <v>-0.005</v>
      </c>
      <c r="AW194" s="13">
        <f>IF(X194="","",(AM194/100*AO194)+AP194+AQ194+AR194)</f>
        <v/>
      </c>
      <c r="AX194" s="13">
        <f>IF(X194="","",AS194+AT194+AU194+AV194)</f>
        <v/>
      </c>
      <c r="AY194" s="12">
        <f>IF(AZ194="","",ROUND(AZ194*(1+Assumptions!$B$10),0))</f>
        <v/>
      </c>
      <c r="AZ194" s="12">
        <f>IF(X194="","",ROUND(X194*(1+AW194),0))</f>
        <v/>
      </c>
      <c r="BA194" s="12">
        <f>IF(AZ194="","",ROUND(AZ194*(1+Assumptions!$B$11),0))</f>
        <v/>
      </c>
      <c r="BB194" s="12">
        <f>IF(AZ194="","",ROUND(AZ194*(1+AX194+Assumptions!$B$10),0))</f>
        <v/>
      </c>
      <c r="BC194" s="12">
        <f>IF(AZ194="","",ROUND(AZ194*(1+AX194),0))</f>
        <v/>
      </c>
      <c r="BD194" s="12">
        <f>IF(AZ194="","",ROUND(AZ194*(1+AX194+Assumptions!$B$11),0))</f>
        <v/>
      </c>
      <c r="BE194" s="12">
        <f>IF(AZ194="","",ROUND(AZ194*(1+AX194)*(1+AX194),0))</f>
        <v/>
      </c>
      <c r="BF194" s="7" t="inlineStr">
        <is>
          <t>Rules-based enrichment using launch-price anchor, cap-app realization, and 2026 segment conditions.</t>
        </is>
      </c>
      <c r="BG194" t="inlineStr">
        <is>
          <t>2026-03-17</t>
        </is>
      </c>
      <c r="BH194" s="7" t="inlineStr">
        <is>
          <t>DLD / Digital Dubai / CBUAE / Savills / Knight Frank-Moody’s / Reuters</t>
        </is>
      </c>
    </row>
    <row r="195">
      <c r="A195" t="n">
        <v>194</v>
      </c>
      <c r="B195" s="7" t="inlineStr">
        <is>
          <t>Park Greens</t>
        </is>
      </c>
      <c r="C195" t="inlineStr">
        <is>
          <t>DAMAC Properties</t>
        </is>
      </c>
      <c r="D195" t="inlineStr">
        <is>
          <t>DAMAC Hills 2</t>
        </is>
      </c>
      <c r="E195" t="inlineStr">
        <is>
          <t>Twin Villas</t>
        </is>
      </c>
      <c r="F195" s="7" t="inlineStr">
        <is>
          <t>Green / Park</t>
        </is>
      </c>
      <c r="G195" t="inlineStr">
        <is>
          <t>2.8M</t>
        </is>
      </c>
      <c r="H195" t="inlineStr">
        <is>
          <t>1100</t>
        </is>
      </c>
      <c r="I195" t="inlineStr">
        <is>
          <t>10</t>
        </is>
      </c>
      <c r="J195" t="inlineStr">
        <is>
          <t>70/30</t>
        </is>
      </c>
      <c r="K195" t="inlineStr">
        <is>
          <t>2023</t>
        </is>
      </c>
      <c r="L195" t="inlineStr">
        <is>
          <t>6.0-6.5</t>
        </is>
      </c>
      <c r="M195" t="inlineStr">
        <is>
          <t>8-10</t>
        </is>
      </c>
      <c r="N195" t="inlineStr">
        <is>
          <t>14.0-16.5</t>
        </is>
      </c>
      <c r="O195" s="7" t="inlineStr">
        <is>
          <t>The Aquila School</t>
        </is>
      </c>
      <c r="P195" s="7" t="inlineStr">
        <is>
          <t>Saudi German Hospital</t>
        </is>
      </c>
      <c r="Q195" s="7" t="inlineStr">
        <is>
          <t>Dubai Outlet Mall</t>
        </is>
      </c>
      <c r="R195" s="7" t="inlineStr">
        <is>
          <t>Al Qudra / E77</t>
        </is>
      </c>
      <c r="S195" t="inlineStr">
        <is>
          <t>35</t>
        </is>
      </c>
      <c r="T195" t="inlineStr">
        <is>
          <t>40</t>
        </is>
      </c>
      <c r="U195" t="inlineStr">
        <is>
          <t>40</t>
        </is>
      </c>
      <c r="V195" t="inlineStr">
        <is>
          <t>35</t>
        </is>
      </c>
      <c r="W195" t="n">
        <v>2</v>
      </c>
      <c r="X195" s="12" t="n">
        <v>2800000</v>
      </c>
      <c r="Y195" s="12" t="n">
        <v>2800000</v>
      </c>
      <c r="Z195" s="9" t="n">
        <v>6</v>
      </c>
      <c r="AA195" s="9" t="n">
        <v>6.5</v>
      </c>
      <c r="AB195" s="9" t="n">
        <v>8</v>
      </c>
      <c r="AC195" s="9" t="n">
        <v>10</v>
      </c>
      <c r="AD195" s="9" t="n">
        <v>14</v>
      </c>
      <c r="AE195" s="9" t="n">
        <v>16.5</v>
      </c>
      <c r="AF195" t="n">
        <v>2023</v>
      </c>
      <c r="AH195" t="inlineStr">
        <is>
          <t>Villa</t>
        </is>
      </c>
      <c r="AI195" t="inlineStr">
        <is>
          <t>MainstreamSelective</t>
        </is>
      </c>
      <c r="AJ195" t="inlineStr">
        <is>
          <t>TopTier</t>
        </is>
      </c>
      <c r="AK195" t="inlineStr">
        <is>
          <t>Family-villa resilient</t>
        </is>
      </c>
      <c r="AL195" s="7" t="inlineStr">
        <is>
          <t>Villa/townhouse demand remains relatively firmer, though growth should be slower than the post-2020 surge.</t>
        </is>
      </c>
      <c r="AM195" s="9" t="n">
        <v>9</v>
      </c>
      <c r="AN195" s="9" t="n">
        <v>6.25</v>
      </c>
      <c r="AO195" s="10" t="n">
        <v>0.55</v>
      </c>
      <c r="AP195" s="13" t="n">
        <v>0</v>
      </c>
      <c r="AQ195" s="13" t="n">
        <v>0.015</v>
      </c>
      <c r="AR195" s="13" t="n">
        <v>0</v>
      </c>
      <c r="AS195" s="13" t="n">
        <v>0.025</v>
      </c>
      <c r="AT195" s="13" t="n">
        <v>0.005</v>
      </c>
      <c r="AU195" s="13" t="n">
        <v>0.0025</v>
      </c>
      <c r="AV195" s="13" t="n">
        <v>-0.005</v>
      </c>
      <c r="AW195" s="13">
        <f>IF(X195="","",(AM195/100*AO195)+AP195+AQ195+AR195)</f>
        <v/>
      </c>
      <c r="AX195" s="13">
        <f>IF(X195="","",AS195+AT195+AU195+AV195)</f>
        <v/>
      </c>
      <c r="AY195" s="12">
        <f>IF(AZ195="","",ROUND(AZ195*(1+Assumptions!$B$10),0))</f>
        <v/>
      </c>
      <c r="AZ195" s="12">
        <f>IF(X195="","",ROUND(X195*(1+AW195),0))</f>
        <v/>
      </c>
      <c r="BA195" s="12">
        <f>IF(AZ195="","",ROUND(AZ195*(1+Assumptions!$B$11),0))</f>
        <v/>
      </c>
      <c r="BB195" s="12">
        <f>IF(AZ195="","",ROUND(AZ195*(1+AX195+Assumptions!$B$10),0))</f>
        <v/>
      </c>
      <c r="BC195" s="12">
        <f>IF(AZ195="","",ROUND(AZ195*(1+AX195),0))</f>
        <v/>
      </c>
      <c r="BD195" s="12">
        <f>IF(AZ195="","",ROUND(AZ195*(1+AX195+Assumptions!$B$11),0))</f>
        <v/>
      </c>
      <c r="BE195" s="12">
        <f>IF(AZ195="","",ROUND(AZ195*(1+AX195)*(1+AX195),0))</f>
        <v/>
      </c>
      <c r="BF195" s="7" t="inlineStr">
        <is>
          <t>Rules-based enrichment using launch-price anchor, cap-app realization, and 2026 segment conditions.</t>
        </is>
      </c>
      <c r="BG195" t="inlineStr">
        <is>
          <t>2026-03-17</t>
        </is>
      </c>
      <c r="BH195" s="7" t="inlineStr">
        <is>
          <t>DLD / Digital Dubai / CBUAE / Savills / Knight Frank-Moody’s / Reuters</t>
        </is>
      </c>
    </row>
    <row r="196">
      <c r="A196" t="n">
        <v>195</v>
      </c>
      <c r="B196" s="7" t="inlineStr">
        <is>
          <t>Verona</t>
        </is>
      </c>
      <c r="C196" t="inlineStr">
        <is>
          <t>DAMAC Properties</t>
        </is>
      </c>
      <c r="D196" t="inlineStr">
        <is>
          <t>DAMAC Hills 2</t>
        </is>
      </c>
      <c r="E196" t="inlineStr">
        <is>
          <t>Townhouses</t>
        </is>
      </c>
      <c r="F196" s="7" t="inlineStr">
        <is>
          <t>Classic</t>
        </is>
      </c>
      <c r="G196" t="inlineStr">
        <is>
          <t>1.8M</t>
        </is>
      </c>
      <c r="H196" t="inlineStr">
        <is>
          <t>900</t>
        </is>
      </c>
      <c r="I196" t="inlineStr">
        <is>
          <t>10</t>
        </is>
      </c>
      <c r="J196" t="inlineStr">
        <is>
          <t>70/30</t>
        </is>
      </c>
      <c r="K196" t="inlineStr">
        <is>
          <t>2023</t>
        </is>
      </c>
      <c r="L196" t="inlineStr">
        <is>
          <t>6.5-7.0</t>
        </is>
      </c>
      <c r="M196" t="inlineStr">
        <is>
          <t>6-8</t>
        </is>
      </c>
      <c r="N196" t="inlineStr">
        <is>
          <t>12.5-15.0</t>
        </is>
      </c>
      <c r="O196" s="7" t="inlineStr">
        <is>
          <t>The Aquila School</t>
        </is>
      </c>
      <c r="P196" s="7" t="inlineStr">
        <is>
          <t>Saudi German Hospital</t>
        </is>
      </c>
      <c r="Q196" s="7" t="inlineStr">
        <is>
          <t>Dubai Outlet Mall</t>
        </is>
      </c>
      <c r="R196" s="7" t="inlineStr">
        <is>
          <t>Al Qudra / E77</t>
        </is>
      </c>
      <c r="S196" t="inlineStr">
        <is>
          <t>35</t>
        </is>
      </c>
      <c r="T196" t="inlineStr">
        <is>
          <t>40</t>
        </is>
      </c>
      <c r="U196" t="inlineStr">
        <is>
          <t>40</t>
        </is>
      </c>
      <c r="V196" t="inlineStr">
        <is>
          <t>35</t>
        </is>
      </c>
      <c r="W196" t="n">
        <v>2</v>
      </c>
      <c r="X196" s="12" t="n">
        <v>1800000</v>
      </c>
      <c r="Y196" s="12" t="n">
        <v>1800000</v>
      </c>
      <c r="Z196" s="9" t="n">
        <v>6.5</v>
      </c>
      <c r="AA196" s="9" t="n">
        <v>7</v>
      </c>
      <c r="AB196" s="9" t="n">
        <v>6</v>
      </c>
      <c r="AC196" s="9" t="n">
        <v>8</v>
      </c>
      <c r="AD196" s="9" t="n">
        <v>12.5</v>
      </c>
      <c r="AE196" s="9" t="n">
        <v>15</v>
      </c>
      <c r="AF196" t="n">
        <v>2023</v>
      </c>
      <c r="AH196" t="inlineStr">
        <is>
          <t>Townhouse</t>
        </is>
      </c>
      <c r="AI196" t="inlineStr">
        <is>
          <t>MainstreamSelective</t>
        </is>
      </c>
      <c r="AJ196" t="inlineStr">
        <is>
          <t>TopTier</t>
        </is>
      </c>
      <c r="AK196" t="inlineStr">
        <is>
          <t>Family-villa resilient</t>
        </is>
      </c>
      <c r="AL196" s="7" t="inlineStr">
        <is>
          <t>Villa/townhouse demand remains relatively firmer, though growth should be slower than the post-2020 surge.</t>
        </is>
      </c>
      <c r="AM196" s="9" t="n">
        <v>7</v>
      </c>
      <c r="AN196" s="9" t="n">
        <v>6.75</v>
      </c>
      <c r="AO196" s="10" t="n">
        <v>0.55</v>
      </c>
      <c r="AP196" s="13" t="n">
        <v>0</v>
      </c>
      <c r="AQ196" s="13" t="n">
        <v>0.015</v>
      </c>
      <c r="AR196" s="13" t="n">
        <v>0</v>
      </c>
      <c r="AS196" s="13" t="n">
        <v>0.025</v>
      </c>
      <c r="AT196" s="13" t="n">
        <v>0.005</v>
      </c>
      <c r="AU196" s="13" t="n">
        <v>0.0025</v>
      </c>
      <c r="AV196" s="13" t="n">
        <v>-0.005</v>
      </c>
      <c r="AW196" s="13">
        <f>IF(X196="","",(AM196/100*AO196)+AP196+AQ196+AR196)</f>
        <v/>
      </c>
      <c r="AX196" s="13">
        <f>IF(X196="","",AS196+AT196+AU196+AV196)</f>
        <v/>
      </c>
      <c r="AY196" s="12">
        <f>IF(AZ196="","",ROUND(AZ196*(1+Assumptions!$B$10),0))</f>
        <v/>
      </c>
      <c r="AZ196" s="12">
        <f>IF(X196="","",ROUND(X196*(1+AW196),0))</f>
        <v/>
      </c>
      <c r="BA196" s="12">
        <f>IF(AZ196="","",ROUND(AZ196*(1+Assumptions!$B$11),0))</f>
        <v/>
      </c>
      <c r="BB196" s="12">
        <f>IF(AZ196="","",ROUND(AZ196*(1+AX196+Assumptions!$B$10),0))</f>
        <v/>
      </c>
      <c r="BC196" s="12">
        <f>IF(AZ196="","",ROUND(AZ196*(1+AX196),0))</f>
        <v/>
      </c>
      <c r="BD196" s="12">
        <f>IF(AZ196="","",ROUND(AZ196*(1+AX196+Assumptions!$B$11),0))</f>
        <v/>
      </c>
      <c r="BE196" s="12">
        <f>IF(AZ196="","",ROUND(AZ196*(1+AX196)*(1+AX196),0))</f>
        <v/>
      </c>
      <c r="BF196" s="7" t="inlineStr">
        <is>
          <t>Rules-based enrichment using launch-price anchor, cap-app realization, and 2026 segment conditions.</t>
        </is>
      </c>
      <c r="BG196" t="inlineStr">
        <is>
          <t>2026-03-17</t>
        </is>
      </c>
      <c r="BH196" s="7" t="inlineStr">
        <is>
          <t>DLD / Digital Dubai / CBUAE / Savills / Knight Frank-Moody’s / Reuters</t>
        </is>
      </c>
    </row>
    <row r="197">
      <c r="A197" t="n">
        <v>196</v>
      </c>
      <c r="B197" s="7" t="inlineStr">
        <is>
          <t>Natura</t>
        </is>
      </c>
      <c r="C197" t="inlineStr">
        <is>
          <t>DAMAC Properties</t>
        </is>
      </c>
      <c r="D197" t="inlineStr">
        <is>
          <t>DAMAC Hills 2</t>
        </is>
      </c>
      <c r="E197" t="inlineStr">
        <is>
          <t>Townhouses</t>
        </is>
      </c>
      <c r="F197" s="7" t="inlineStr">
        <is>
          <t>Nature</t>
        </is>
      </c>
      <c r="G197" t="inlineStr">
        <is>
          <t>1.9M</t>
        </is>
      </c>
      <c r="H197" t="inlineStr">
        <is>
          <t>950</t>
        </is>
      </c>
      <c r="I197" t="inlineStr">
        <is>
          <t>10</t>
        </is>
      </c>
      <c r="J197" t="inlineStr">
        <is>
          <t>70/30</t>
        </is>
      </c>
      <c r="K197" t="inlineStr">
        <is>
          <t>2024</t>
        </is>
      </c>
      <c r="L197" t="inlineStr">
        <is>
          <t>6.5-7.0</t>
        </is>
      </c>
      <c r="M197" t="inlineStr">
        <is>
          <t>8-10</t>
        </is>
      </c>
      <c r="N197" t="inlineStr">
        <is>
          <t>14.5-17.0</t>
        </is>
      </c>
      <c r="O197" s="7" t="inlineStr">
        <is>
          <t>The Aquila School</t>
        </is>
      </c>
      <c r="P197" s="7" t="inlineStr">
        <is>
          <t>Saudi German Hospital</t>
        </is>
      </c>
      <c r="Q197" s="7" t="inlineStr">
        <is>
          <t>Dubai Outlet Mall</t>
        </is>
      </c>
      <c r="R197" s="7" t="inlineStr">
        <is>
          <t>Al Qudra / E77</t>
        </is>
      </c>
      <c r="S197" t="inlineStr">
        <is>
          <t>35</t>
        </is>
      </c>
      <c r="T197" t="inlineStr">
        <is>
          <t>40</t>
        </is>
      </c>
      <c r="U197" t="inlineStr">
        <is>
          <t>40</t>
        </is>
      </c>
      <c r="V197" t="inlineStr">
        <is>
          <t>35</t>
        </is>
      </c>
      <c r="W197" t="n">
        <v>2</v>
      </c>
      <c r="X197" s="12" t="n">
        <v>1900000</v>
      </c>
      <c r="Y197" s="12" t="n">
        <v>1900000</v>
      </c>
      <c r="Z197" s="9" t="n">
        <v>6.5</v>
      </c>
      <c r="AA197" s="9" t="n">
        <v>7</v>
      </c>
      <c r="AB197" s="9" t="n">
        <v>8</v>
      </c>
      <c r="AC197" s="9" t="n">
        <v>10</v>
      </c>
      <c r="AD197" s="9" t="n">
        <v>14.5</v>
      </c>
      <c r="AE197" s="9" t="n">
        <v>17</v>
      </c>
      <c r="AF197" t="n">
        <v>2024</v>
      </c>
      <c r="AH197" t="inlineStr">
        <is>
          <t>Townhouse</t>
        </is>
      </c>
      <c r="AI197" t="inlineStr">
        <is>
          <t>MainstreamSelective</t>
        </is>
      </c>
      <c r="AJ197" t="inlineStr">
        <is>
          <t>TopTier</t>
        </is>
      </c>
      <c r="AK197" t="inlineStr">
        <is>
          <t>Family-villa resilient</t>
        </is>
      </c>
      <c r="AL197" s="7" t="inlineStr">
        <is>
          <t>Villa/townhouse demand remains relatively firmer, though growth should be slower than the post-2020 surge.</t>
        </is>
      </c>
      <c r="AM197" s="9" t="n">
        <v>9</v>
      </c>
      <c r="AN197" s="9" t="n">
        <v>6.75</v>
      </c>
      <c r="AO197" s="10" t="n">
        <v>0.55</v>
      </c>
      <c r="AP197" s="13" t="n">
        <v>0</v>
      </c>
      <c r="AQ197" s="13" t="n">
        <v>0.015</v>
      </c>
      <c r="AR197" s="13" t="n">
        <v>0</v>
      </c>
      <c r="AS197" s="13" t="n">
        <v>0.025</v>
      </c>
      <c r="AT197" s="13" t="n">
        <v>0.005</v>
      </c>
      <c r="AU197" s="13" t="n">
        <v>0.0025</v>
      </c>
      <c r="AV197" s="13" t="n">
        <v>-0.005</v>
      </c>
      <c r="AW197" s="13">
        <f>IF(X197="","",(AM197/100*AO197)+AP197+AQ197+AR197)</f>
        <v/>
      </c>
      <c r="AX197" s="13">
        <f>IF(X197="","",AS197+AT197+AU197+AV197)</f>
        <v/>
      </c>
      <c r="AY197" s="12">
        <f>IF(AZ197="","",ROUND(AZ197*(1+Assumptions!$B$10),0))</f>
        <v/>
      </c>
      <c r="AZ197" s="12">
        <f>IF(X197="","",ROUND(X197*(1+AW197),0))</f>
        <v/>
      </c>
      <c r="BA197" s="12">
        <f>IF(AZ197="","",ROUND(AZ197*(1+Assumptions!$B$11),0))</f>
        <v/>
      </c>
      <c r="BB197" s="12">
        <f>IF(AZ197="","",ROUND(AZ197*(1+AX197+Assumptions!$B$10),0))</f>
        <v/>
      </c>
      <c r="BC197" s="12">
        <f>IF(AZ197="","",ROUND(AZ197*(1+AX197),0))</f>
        <v/>
      </c>
      <c r="BD197" s="12">
        <f>IF(AZ197="","",ROUND(AZ197*(1+AX197+Assumptions!$B$11),0))</f>
        <v/>
      </c>
      <c r="BE197" s="12">
        <f>IF(AZ197="","",ROUND(AZ197*(1+AX197)*(1+AX197),0))</f>
        <v/>
      </c>
      <c r="BF197" s="7" t="inlineStr">
        <is>
          <t>Rules-based enrichment using launch-price anchor, cap-app realization, and 2026 segment conditions.</t>
        </is>
      </c>
      <c r="BG197" t="inlineStr">
        <is>
          <t>2026-03-17</t>
        </is>
      </c>
      <c r="BH197" s="7" t="inlineStr">
        <is>
          <t>DLD / Digital Dubai / CBUAE / Savills / Knight Frank-Moody’s / Reuters</t>
        </is>
      </c>
    </row>
    <row r="198">
      <c r="A198" t="n">
        <v>197</v>
      </c>
      <c r="B198" s="7" t="inlineStr">
        <is>
          <t>DAMAC Riverside</t>
        </is>
      </c>
      <c r="C198" t="inlineStr">
        <is>
          <t>DAMAC Properties</t>
        </is>
      </c>
      <c r="D198" t="inlineStr">
        <is>
          <t>Dubai Investment Park</t>
        </is>
      </c>
      <c r="E198" t="inlineStr">
        <is>
          <t>Townhouses &amp; Villas</t>
        </is>
      </c>
      <c r="F198" s="7" t="inlineStr">
        <is>
          <t>Water / Serene</t>
        </is>
      </c>
      <c r="I198" t="inlineStr">
        <is>
          <t>TBA</t>
        </is>
      </c>
      <c r="J198" t="inlineStr">
        <is>
          <t>70/30</t>
        </is>
      </c>
      <c r="K198" t="inlineStr">
        <is>
          <t>2024</t>
        </is>
      </c>
      <c r="L198" t="inlineStr">
        <is>
          <t>6.0-6.5</t>
        </is>
      </c>
      <c r="M198" t="inlineStr">
        <is>
          <t>10-15</t>
        </is>
      </c>
      <c r="N198" t="inlineStr">
        <is>
          <t>16.0-21.5</t>
        </is>
      </c>
      <c r="O198" s="7" t="inlineStr">
        <is>
          <t>Greenfield Intl</t>
        </is>
      </c>
      <c r="P198" s="7" t="inlineStr">
        <is>
          <t>NMC Royal DIP</t>
        </is>
      </c>
      <c r="Q198" s="7" t="inlineStr">
        <is>
          <t>Damac Mall</t>
        </is>
      </c>
      <c r="R198" s="7" t="inlineStr">
        <is>
          <t>Yalayis St / E611</t>
        </is>
      </c>
      <c r="S198" t="inlineStr">
        <is>
          <t>25</t>
        </is>
      </c>
      <c r="T198" t="inlineStr">
        <is>
          <t>20</t>
        </is>
      </c>
      <c r="U198" t="inlineStr">
        <is>
          <t>35</t>
        </is>
      </c>
      <c r="V198" t="inlineStr">
        <is>
          <t>15</t>
        </is>
      </c>
      <c r="W198" t="n">
        <v>2</v>
      </c>
      <c r="X198" s="12" t="n"/>
      <c r="Y198" s="12" t="n"/>
      <c r="Z198" s="9" t="n">
        <v>6</v>
      </c>
      <c r="AA198" s="9" t="n">
        <v>6.5</v>
      </c>
      <c r="AB198" s="9" t="n">
        <v>10</v>
      </c>
      <c r="AC198" s="9" t="n">
        <v>15</v>
      </c>
      <c r="AD198" s="9" t="n">
        <v>16</v>
      </c>
      <c r="AE198" s="9" t="n">
        <v>21.5</v>
      </c>
      <c r="AF198" t="n">
        <v>2024</v>
      </c>
      <c r="AH198" t="inlineStr">
        <is>
          <t>Villa/Townhouse</t>
        </is>
      </c>
      <c r="AI198" t="inlineStr">
        <is>
          <t>MainstreamSelective</t>
        </is>
      </c>
      <c r="AJ198" t="inlineStr">
        <is>
          <t>TopTier</t>
        </is>
      </c>
      <c r="AK198" t="inlineStr">
        <is>
          <t>Family-villa resilient</t>
        </is>
      </c>
      <c r="AL198" s="7" t="inlineStr">
        <is>
          <t>Villa/townhouse demand remains relatively firmer, though growth should be slower than the post-2020 surge.</t>
        </is>
      </c>
      <c r="AM198" s="9" t="n">
        <v>12.5</v>
      </c>
      <c r="AN198" s="9" t="n">
        <v>6.25</v>
      </c>
      <c r="AO198" s="10" t="n">
        <v>0.55</v>
      </c>
      <c r="AP198" s="13" t="n">
        <v>0</v>
      </c>
      <c r="AQ198" s="13" t="n">
        <v>0.015</v>
      </c>
      <c r="AR198" s="13" t="n">
        <v>0</v>
      </c>
      <c r="AS198" s="13" t="n">
        <v>0.025</v>
      </c>
      <c r="AT198" s="13" t="n">
        <v>0.005</v>
      </c>
      <c r="AU198" s="13" t="n">
        <v>0.0025</v>
      </c>
      <c r="AV198" s="13" t="n">
        <v>-0.005</v>
      </c>
      <c r="AW198" s="13">
        <f>IF(X198="","",(AM198/100*AO198)+AP198+AQ198+AR198)</f>
        <v/>
      </c>
      <c r="AX198" s="13">
        <f>IF(X198="","",AS198+AT198+AU198+AV198)</f>
        <v/>
      </c>
      <c r="AY198" s="12">
        <f>IF(AZ198="","",ROUND(AZ198*(1+Assumptions!$B$10),0))</f>
        <v/>
      </c>
      <c r="AZ198" s="12">
        <f>IF(X198="","",ROUND(X198*(1+AW198),0))</f>
        <v/>
      </c>
      <c r="BA198" s="12">
        <f>IF(AZ198="","",ROUND(AZ198*(1+Assumptions!$B$11),0))</f>
        <v/>
      </c>
      <c r="BB198" s="12">
        <f>IF(AZ198="","",ROUND(AZ198*(1+AX198+Assumptions!$B$10),0))</f>
        <v/>
      </c>
      <c r="BC198" s="12">
        <f>IF(AZ198="","",ROUND(AZ198*(1+AX198),0))</f>
        <v/>
      </c>
      <c r="BD198" s="12">
        <f>IF(AZ198="","",ROUND(AZ198*(1+AX198+Assumptions!$B$11),0))</f>
        <v/>
      </c>
      <c r="BE198" s="12">
        <f>IF(AZ198="","",ROUND(AZ198*(1+AX198)*(1+AX198),0))</f>
        <v/>
      </c>
      <c r="BF198" s="7" t="inlineStr">
        <is>
          <t>Rules-based enrichment using launch-price anchor, cap-app realization, and 2026 segment conditions.</t>
        </is>
      </c>
      <c r="BG198" t="inlineStr">
        <is>
          <t>2026-03-17</t>
        </is>
      </c>
      <c r="BH198" s="7" t="inlineStr">
        <is>
          <t>DLD / Digital Dubai / CBUAE / Savills / Knight Frank-Moody’s / Reuters</t>
        </is>
      </c>
    </row>
    <row r="199">
      <c r="A199" t="n">
        <v>198</v>
      </c>
      <c r="B199" s="7" t="inlineStr">
        <is>
          <t>Water Vein</t>
        </is>
      </c>
      <c r="C199" t="inlineStr">
        <is>
          <t>DAMAC Properties</t>
        </is>
      </c>
      <c r="D199" t="inlineStr">
        <is>
          <t>DAMAC Riverside</t>
        </is>
      </c>
      <c r="E199" t="inlineStr">
        <is>
          <t>Townhouses</t>
        </is>
      </c>
      <c r="F199" s="7" t="inlineStr">
        <is>
          <t>Waterfront</t>
        </is>
      </c>
      <c r="G199" t="inlineStr">
        <is>
          <t>2.5M</t>
        </is>
      </c>
      <c r="H199" t="inlineStr">
        <is>
          <t>1200</t>
        </is>
      </c>
      <c r="I199" t="inlineStr">
        <is>
          <t>TBA</t>
        </is>
      </c>
      <c r="J199" t="inlineStr">
        <is>
          <t>70/30</t>
        </is>
      </c>
      <c r="K199" t="inlineStr">
        <is>
          <t>2024</t>
        </is>
      </c>
      <c r="L199" t="inlineStr">
        <is>
          <t>6.0-6.5</t>
        </is>
      </c>
      <c r="M199" t="inlineStr">
        <is>
          <t>10-15</t>
        </is>
      </c>
      <c r="N199" t="inlineStr">
        <is>
          <t>16.0-21.5</t>
        </is>
      </c>
      <c r="O199" s="7" t="inlineStr">
        <is>
          <t>Greenfield Intl</t>
        </is>
      </c>
      <c r="P199" s="7" t="inlineStr">
        <is>
          <t>NMC Royal DIP</t>
        </is>
      </c>
      <c r="Q199" s="7" t="inlineStr">
        <is>
          <t>Damac Mall</t>
        </is>
      </c>
      <c r="R199" s="7" t="inlineStr">
        <is>
          <t>Yalayis St / E611</t>
        </is>
      </c>
      <c r="S199" t="inlineStr">
        <is>
          <t>25</t>
        </is>
      </c>
      <c r="T199" t="inlineStr">
        <is>
          <t>20</t>
        </is>
      </c>
      <c r="U199" t="inlineStr">
        <is>
          <t>35</t>
        </is>
      </c>
      <c r="V199" t="inlineStr">
        <is>
          <t>15</t>
        </is>
      </c>
      <c r="W199" t="n">
        <v>2</v>
      </c>
      <c r="X199" s="12" t="n">
        <v>2500000</v>
      </c>
      <c r="Y199" s="12" t="n">
        <v>2500000</v>
      </c>
      <c r="Z199" s="9" t="n">
        <v>6</v>
      </c>
      <c r="AA199" s="9" t="n">
        <v>6.5</v>
      </c>
      <c r="AB199" s="9" t="n">
        <v>10</v>
      </c>
      <c r="AC199" s="9" t="n">
        <v>15</v>
      </c>
      <c r="AD199" s="9" t="n">
        <v>16</v>
      </c>
      <c r="AE199" s="9" t="n">
        <v>21.5</v>
      </c>
      <c r="AF199" t="n">
        <v>2024</v>
      </c>
      <c r="AH199" t="inlineStr">
        <is>
          <t>Townhouse</t>
        </is>
      </c>
      <c r="AI199" t="inlineStr">
        <is>
          <t>MainstreamSelective</t>
        </is>
      </c>
      <c r="AJ199" t="inlineStr">
        <is>
          <t>TopTier</t>
        </is>
      </c>
      <c r="AK199" t="inlineStr">
        <is>
          <t>Family-villa resilient</t>
        </is>
      </c>
      <c r="AL199" s="7" t="inlineStr">
        <is>
          <t>Villa/townhouse demand remains relatively firmer, though growth should be slower than the post-2020 surge.</t>
        </is>
      </c>
      <c r="AM199" s="9" t="n">
        <v>12.5</v>
      </c>
      <c r="AN199" s="9" t="n">
        <v>6.25</v>
      </c>
      <c r="AO199" s="10" t="n">
        <v>0.55</v>
      </c>
      <c r="AP199" s="13" t="n">
        <v>0</v>
      </c>
      <c r="AQ199" s="13" t="n">
        <v>0.015</v>
      </c>
      <c r="AR199" s="13" t="n">
        <v>0</v>
      </c>
      <c r="AS199" s="13" t="n">
        <v>0.025</v>
      </c>
      <c r="AT199" s="13" t="n">
        <v>0.005</v>
      </c>
      <c r="AU199" s="13" t="n">
        <v>0.0025</v>
      </c>
      <c r="AV199" s="13" t="n">
        <v>-0.005</v>
      </c>
      <c r="AW199" s="13">
        <f>IF(X199="","",(AM199/100*AO199)+AP199+AQ199+AR199)</f>
        <v/>
      </c>
      <c r="AX199" s="13">
        <f>IF(X199="","",AS199+AT199+AU199+AV199)</f>
        <v/>
      </c>
      <c r="AY199" s="12">
        <f>IF(AZ199="","",ROUND(AZ199*(1+Assumptions!$B$10),0))</f>
        <v/>
      </c>
      <c r="AZ199" s="12">
        <f>IF(X199="","",ROUND(X199*(1+AW199),0))</f>
        <v/>
      </c>
      <c r="BA199" s="12">
        <f>IF(AZ199="","",ROUND(AZ199*(1+Assumptions!$B$11),0))</f>
        <v/>
      </c>
      <c r="BB199" s="12">
        <f>IF(AZ199="","",ROUND(AZ199*(1+AX199+Assumptions!$B$10),0))</f>
        <v/>
      </c>
      <c r="BC199" s="12">
        <f>IF(AZ199="","",ROUND(AZ199*(1+AX199),0))</f>
        <v/>
      </c>
      <c r="BD199" s="12">
        <f>IF(AZ199="","",ROUND(AZ199*(1+AX199+Assumptions!$B$11),0))</f>
        <v/>
      </c>
      <c r="BE199" s="12">
        <f>IF(AZ199="","",ROUND(AZ199*(1+AX199)*(1+AX199),0))</f>
        <v/>
      </c>
      <c r="BF199" s="7" t="inlineStr">
        <is>
          <t>Rules-based enrichment using launch-price anchor, cap-app realization, and 2026 segment conditions.</t>
        </is>
      </c>
      <c r="BG199" t="inlineStr">
        <is>
          <t>2026-03-17</t>
        </is>
      </c>
      <c r="BH199" s="7" t="inlineStr">
        <is>
          <t>DLD / Digital Dubai / CBUAE / Savills / Knight Frank-Moody’s / Reuters</t>
        </is>
      </c>
    </row>
    <row r="200">
      <c r="A200" t="n">
        <v>199</v>
      </c>
      <c r="B200" s="7" t="inlineStr">
        <is>
          <t>Green Vein</t>
        </is>
      </c>
      <c r="C200" t="inlineStr">
        <is>
          <t>DAMAC Properties</t>
        </is>
      </c>
      <c r="D200" t="inlineStr">
        <is>
          <t>DAMAC Riverside</t>
        </is>
      </c>
      <c r="E200" t="inlineStr">
        <is>
          <t>Townhouses</t>
        </is>
      </c>
      <c r="F200" s="7" t="inlineStr">
        <is>
          <t>Green / Nature</t>
        </is>
      </c>
      <c r="G200" t="inlineStr">
        <is>
          <t>2.4M</t>
        </is>
      </c>
      <c r="H200" t="inlineStr">
        <is>
          <t>1150</t>
        </is>
      </c>
      <c r="I200" t="inlineStr">
        <is>
          <t>TBA</t>
        </is>
      </c>
      <c r="J200" t="inlineStr">
        <is>
          <t>70/30</t>
        </is>
      </c>
      <c r="K200" t="inlineStr">
        <is>
          <t>2024</t>
        </is>
      </c>
      <c r="L200" t="inlineStr">
        <is>
          <t>6.0-6.5</t>
        </is>
      </c>
      <c r="M200" t="inlineStr">
        <is>
          <t>10-15</t>
        </is>
      </c>
      <c r="N200" t="inlineStr">
        <is>
          <t>16.0-21.5</t>
        </is>
      </c>
      <c r="O200" s="7" t="inlineStr">
        <is>
          <t>Greenfield Intl</t>
        </is>
      </c>
      <c r="P200" s="7" t="inlineStr">
        <is>
          <t>NMC Royal DIP</t>
        </is>
      </c>
      <c r="Q200" s="7" t="inlineStr">
        <is>
          <t>Damac Mall</t>
        </is>
      </c>
      <c r="R200" s="7" t="inlineStr">
        <is>
          <t>Yalayis St / E611</t>
        </is>
      </c>
      <c r="S200" t="inlineStr">
        <is>
          <t>25</t>
        </is>
      </c>
      <c r="T200" t="inlineStr">
        <is>
          <t>20</t>
        </is>
      </c>
      <c r="U200" t="inlineStr">
        <is>
          <t>35</t>
        </is>
      </c>
      <c r="V200" t="inlineStr">
        <is>
          <t>15</t>
        </is>
      </c>
      <c r="W200" t="n">
        <v>2</v>
      </c>
      <c r="X200" s="12" t="n">
        <v>2400000</v>
      </c>
      <c r="Y200" s="12" t="n">
        <v>2400000</v>
      </c>
      <c r="Z200" s="9" t="n">
        <v>6</v>
      </c>
      <c r="AA200" s="9" t="n">
        <v>6.5</v>
      </c>
      <c r="AB200" s="9" t="n">
        <v>10</v>
      </c>
      <c r="AC200" s="9" t="n">
        <v>15</v>
      </c>
      <c r="AD200" s="9" t="n">
        <v>16</v>
      </c>
      <c r="AE200" s="9" t="n">
        <v>21.5</v>
      </c>
      <c r="AF200" t="n">
        <v>2024</v>
      </c>
      <c r="AH200" t="inlineStr">
        <is>
          <t>Townhouse</t>
        </is>
      </c>
      <c r="AI200" t="inlineStr">
        <is>
          <t>MainstreamSelective</t>
        </is>
      </c>
      <c r="AJ200" t="inlineStr">
        <is>
          <t>TopTier</t>
        </is>
      </c>
      <c r="AK200" t="inlineStr">
        <is>
          <t>Family-villa resilient</t>
        </is>
      </c>
      <c r="AL200" s="7" t="inlineStr">
        <is>
          <t>Villa/townhouse demand remains relatively firmer, though growth should be slower than the post-2020 surge.</t>
        </is>
      </c>
      <c r="AM200" s="9" t="n">
        <v>12.5</v>
      </c>
      <c r="AN200" s="9" t="n">
        <v>6.25</v>
      </c>
      <c r="AO200" s="10" t="n">
        <v>0.55</v>
      </c>
      <c r="AP200" s="13" t="n">
        <v>0</v>
      </c>
      <c r="AQ200" s="13" t="n">
        <v>0.015</v>
      </c>
      <c r="AR200" s="13" t="n">
        <v>0</v>
      </c>
      <c r="AS200" s="13" t="n">
        <v>0.025</v>
      </c>
      <c r="AT200" s="13" t="n">
        <v>0.005</v>
      </c>
      <c r="AU200" s="13" t="n">
        <v>0.0025</v>
      </c>
      <c r="AV200" s="13" t="n">
        <v>-0.005</v>
      </c>
      <c r="AW200" s="13">
        <f>IF(X200="","",(AM200/100*AO200)+AP200+AQ200+AR200)</f>
        <v/>
      </c>
      <c r="AX200" s="13">
        <f>IF(X200="","",AS200+AT200+AU200+AV200)</f>
        <v/>
      </c>
      <c r="AY200" s="12">
        <f>IF(AZ200="","",ROUND(AZ200*(1+Assumptions!$B$10),0))</f>
        <v/>
      </c>
      <c r="AZ200" s="12">
        <f>IF(X200="","",ROUND(X200*(1+AW200),0))</f>
        <v/>
      </c>
      <c r="BA200" s="12">
        <f>IF(AZ200="","",ROUND(AZ200*(1+Assumptions!$B$11),0))</f>
        <v/>
      </c>
      <c r="BB200" s="12">
        <f>IF(AZ200="","",ROUND(AZ200*(1+AX200+Assumptions!$B$10),0))</f>
        <v/>
      </c>
      <c r="BC200" s="12">
        <f>IF(AZ200="","",ROUND(AZ200*(1+AX200),0))</f>
        <v/>
      </c>
      <c r="BD200" s="12">
        <f>IF(AZ200="","",ROUND(AZ200*(1+AX200+Assumptions!$B$11),0))</f>
        <v/>
      </c>
      <c r="BE200" s="12">
        <f>IF(AZ200="","",ROUND(AZ200*(1+AX200)*(1+AX200),0))</f>
        <v/>
      </c>
      <c r="BF200" s="7" t="inlineStr">
        <is>
          <t>Rules-based enrichment using launch-price anchor, cap-app realization, and 2026 segment conditions.</t>
        </is>
      </c>
      <c r="BG200" t="inlineStr">
        <is>
          <t>2026-03-17</t>
        </is>
      </c>
      <c r="BH200" s="7" t="inlineStr">
        <is>
          <t>DLD / Digital Dubai / CBUAE / Savills / Knight Frank-Moody’s / Reuters</t>
        </is>
      </c>
    </row>
    <row r="201">
      <c r="A201" t="n">
        <v>200</v>
      </c>
      <c r="B201" s="7" t="inlineStr">
        <is>
          <t>Safa One</t>
        </is>
      </c>
      <c r="C201" t="inlineStr">
        <is>
          <t>DAMAC Properties</t>
        </is>
      </c>
      <c r="D201" t="inlineStr">
        <is>
          <t>Safa Park</t>
        </is>
      </c>
      <c r="E201" t="inlineStr">
        <is>
          <t>Branded Apts (De Grisogono)</t>
        </is>
      </c>
      <c r="F201" s="7" t="inlineStr">
        <is>
          <t>Luxury / Park</t>
        </is>
      </c>
      <c r="G201" t="inlineStr">
        <is>
          <t>4.5M</t>
        </is>
      </c>
      <c r="H201" t="inlineStr">
        <is>
          <t>3000</t>
        </is>
      </c>
      <c r="I201" t="inlineStr">
        <is>
          <t>25+</t>
        </is>
      </c>
      <c r="J201" t="inlineStr">
        <is>
          <t>75/25</t>
        </is>
      </c>
      <c r="K201" t="inlineStr">
        <is>
          <t>2022</t>
        </is>
      </c>
      <c r="L201" t="inlineStr">
        <is>
          <t>5.0-5.5</t>
        </is>
      </c>
      <c r="M201" t="inlineStr">
        <is>
          <t>8-10</t>
        </is>
      </c>
      <c r="N201" t="inlineStr">
        <is>
          <t>13.0-15.5</t>
        </is>
      </c>
      <c r="O201" s="7" t="inlineStr">
        <is>
          <t>JESS Jumeirah</t>
        </is>
      </c>
      <c r="P201" s="7" t="inlineStr">
        <is>
          <t>Medcare Hospital</t>
        </is>
      </c>
      <c r="Q201" s="7" t="inlineStr">
        <is>
          <t>Dubai Mall</t>
        </is>
      </c>
      <c r="R201" s="7" t="inlineStr">
        <is>
          <t>Sheikh Zayed E11</t>
        </is>
      </c>
      <c r="S201" t="inlineStr">
        <is>
          <t>5</t>
        </is>
      </c>
      <c r="T201" t="inlineStr">
        <is>
          <t>15</t>
        </is>
      </c>
      <c r="U201" t="inlineStr">
        <is>
          <t>15</t>
        </is>
      </c>
      <c r="V201" t="inlineStr">
        <is>
          <t>35</t>
        </is>
      </c>
      <c r="W201" t="n">
        <v>2</v>
      </c>
      <c r="X201" s="12" t="n">
        <v>4500000</v>
      </c>
      <c r="Y201" s="12" t="n">
        <v>4500000</v>
      </c>
      <c r="Z201" s="9" t="n">
        <v>5</v>
      </c>
      <c r="AA201" s="9" t="n">
        <v>5.5</v>
      </c>
      <c r="AB201" s="9" t="n">
        <v>8</v>
      </c>
      <c r="AC201" s="9" t="n">
        <v>10</v>
      </c>
      <c r="AD201" s="9" t="n">
        <v>13</v>
      </c>
      <c r="AE201" s="9" t="n">
        <v>15.5</v>
      </c>
      <c r="AF201" t="n">
        <v>2022</v>
      </c>
      <c r="AH201" t="inlineStr">
        <is>
          <t>Apartment</t>
        </is>
      </c>
      <c r="AI201" t="inlineStr">
        <is>
          <t>MainstreamSelective</t>
        </is>
      </c>
      <c r="AJ201" t="inlineStr">
        <is>
          <t>TopTier</t>
        </is>
      </c>
      <c r="AK201" t="inlineStr">
        <is>
          <t>Balanced / selective</t>
        </is>
      </c>
      <c r="AL201" s="7" t="inlineStr">
        <is>
          <t>Market remains active but increasingly differentiated by developer, micro-location, livability, and pricing discipline.</t>
        </is>
      </c>
      <c r="AM201" s="9" t="n">
        <v>9</v>
      </c>
      <c r="AN201" s="9" t="n">
        <v>5.25</v>
      </c>
      <c r="AO201" s="10" t="n">
        <v>0.55</v>
      </c>
      <c r="AP201" s="13" t="n">
        <v>0</v>
      </c>
      <c r="AQ201" s="13" t="n">
        <v>0</v>
      </c>
      <c r="AR201" s="13" t="n">
        <v>0</v>
      </c>
      <c r="AS201" s="13" t="n">
        <v>0.01</v>
      </c>
      <c r="AT201" s="13" t="n">
        <v>0.005</v>
      </c>
      <c r="AU201" s="13" t="n">
        <v>0</v>
      </c>
      <c r="AV201" s="13" t="n">
        <v>-0.005</v>
      </c>
      <c r="AW201" s="13">
        <f>IF(X201="","",(AM201/100*AO201)+AP201+AQ201+AR201)</f>
        <v/>
      </c>
      <c r="AX201" s="13">
        <f>IF(X201="","",AS201+AT201+AU201+AV201)</f>
        <v/>
      </c>
      <c r="AY201" s="12">
        <f>IF(AZ201="","",ROUND(AZ201*(1+Assumptions!$B$10),0))</f>
        <v/>
      </c>
      <c r="AZ201" s="12">
        <f>IF(X201="","",ROUND(X201*(1+AW201),0))</f>
        <v/>
      </c>
      <c r="BA201" s="12">
        <f>IF(AZ201="","",ROUND(AZ201*(1+Assumptions!$B$11),0))</f>
        <v/>
      </c>
      <c r="BB201" s="12">
        <f>IF(AZ201="","",ROUND(AZ201*(1+AX201+Assumptions!$B$10),0))</f>
        <v/>
      </c>
      <c r="BC201" s="12">
        <f>IF(AZ201="","",ROUND(AZ201*(1+AX201),0))</f>
        <v/>
      </c>
      <c r="BD201" s="12">
        <f>IF(AZ201="","",ROUND(AZ201*(1+AX201+Assumptions!$B$11),0))</f>
        <v/>
      </c>
      <c r="BE201" s="12">
        <f>IF(AZ201="","",ROUND(AZ201*(1+AX201)*(1+AX201),0))</f>
        <v/>
      </c>
      <c r="BF201" s="7" t="inlineStr">
        <is>
          <t>Rules-based enrichment using launch-price anchor, cap-app realization, and 2026 segment conditions.</t>
        </is>
      </c>
      <c r="BG201" t="inlineStr">
        <is>
          <t>2026-03-17</t>
        </is>
      </c>
      <c r="BH201" s="7" t="inlineStr">
        <is>
          <t>DLD / Digital Dubai / CBUAE / Savills / Knight Frank-Moody’s / Reuters</t>
        </is>
      </c>
    </row>
    <row r="202">
      <c r="A202" t="n">
        <v>201</v>
      </c>
      <c r="B202" s="7" t="inlineStr">
        <is>
          <t>Safa Two</t>
        </is>
      </c>
      <c r="C202" t="inlineStr">
        <is>
          <t>DAMAC Properties</t>
        </is>
      </c>
      <c r="D202" t="inlineStr">
        <is>
          <t>Safa Park</t>
        </is>
      </c>
      <c r="E202" t="inlineStr">
        <is>
          <t>Branded Apts (De Grisogono)</t>
        </is>
      </c>
      <c r="F202" s="7" t="inlineStr">
        <is>
          <t>Luxury / Park</t>
        </is>
      </c>
      <c r="G202" t="inlineStr">
        <is>
          <t>3.8M</t>
        </is>
      </c>
      <c r="H202" t="inlineStr">
        <is>
          <t>2800</t>
        </is>
      </c>
      <c r="I202" t="inlineStr">
        <is>
          <t>25+</t>
        </is>
      </c>
      <c r="J202" t="inlineStr">
        <is>
          <t>75/25</t>
        </is>
      </c>
      <c r="K202" t="inlineStr">
        <is>
          <t>2022</t>
        </is>
      </c>
      <c r="L202" t="inlineStr">
        <is>
          <t>5.0-5.5</t>
        </is>
      </c>
      <c r="M202" t="inlineStr">
        <is>
          <t>8-10</t>
        </is>
      </c>
      <c r="N202" t="inlineStr">
        <is>
          <t>13.0-15.5</t>
        </is>
      </c>
      <c r="O202" s="7" t="inlineStr">
        <is>
          <t>JESS Jumeirah</t>
        </is>
      </c>
      <c r="P202" s="7" t="inlineStr">
        <is>
          <t>Medcare Hospital</t>
        </is>
      </c>
      <c r="Q202" s="7" t="inlineStr">
        <is>
          <t>Dubai Mall</t>
        </is>
      </c>
      <c r="R202" s="7" t="inlineStr">
        <is>
          <t>Sheikh Zayed E11</t>
        </is>
      </c>
      <c r="S202" t="inlineStr">
        <is>
          <t>5</t>
        </is>
      </c>
      <c r="T202" t="inlineStr">
        <is>
          <t>15</t>
        </is>
      </c>
      <c r="U202" t="inlineStr">
        <is>
          <t>15</t>
        </is>
      </c>
      <c r="V202" t="inlineStr">
        <is>
          <t>35</t>
        </is>
      </c>
      <c r="W202" t="n">
        <v>2</v>
      </c>
      <c r="X202" s="12" t="n">
        <v>3800000</v>
      </c>
      <c r="Y202" s="12" t="n">
        <v>3800000</v>
      </c>
      <c r="Z202" s="9" t="n">
        <v>5</v>
      </c>
      <c r="AA202" s="9" t="n">
        <v>5.5</v>
      </c>
      <c r="AB202" s="9" t="n">
        <v>8</v>
      </c>
      <c r="AC202" s="9" t="n">
        <v>10</v>
      </c>
      <c r="AD202" s="9" t="n">
        <v>13</v>
      </c>
      <c r="AE202" s="9" t="n">
        <v>15.5</v>
      </c>
      <c r="AF202" t="n">
        <v>2022</v>
      </c>
      <c r="AH202" t="inlineStr">
        <is>
          <t>Apartment</t>
        </is>
      </c>
      <c r="AI202" t="inlineStr">
        <is>
          <t>MainstreamSelective</t>
        </is>
      </c>
      <c r="AJ202" t="inlineStr">
        <is>
          <t>TopTier</t>
        </is>
      </c>
      <c r="AK202" t="inlineStr">
        <is>
          <t>Balanced / selective</t>
        </is>
      </c>
      <c r="AL202" s="7" t="inlineStr">
        <is>
          <t>Market remains active but increasingly differentiated by developer, micro-location, livability, and pricing discipline.</t>
        </is>
      </c>
      <c r="AM202" s="9" t="n">
        <v>9</v>
      </c>
      <c r="AN202" s="9" t="n">
        <v>5.25</v>
      </c>
      <c r="AO202" s="10" t="n">
        <v>0.55</v>
      </c>
      <c r="AP202" s="13" t="n">
        <v>0</v>
      </c>
      <c r="AQ202" s="13" t="n">
        <v>0</v>
      </c>
      <c r="AR202" s="13" t="n">
        <v>0</v>
      </c>
      <c r="AS202" s="13" t="n">
        <v>0.01</v>
      </c>
      <c r="AT202" s="13" t="n">
        <v>0.005</v>
      </c>
      <c r="AU202" s="13" t="n">
        <v>0</v>
      </c>
      <c r="AV202" s="13" t="n">
        <v>-0.005</v>
      </c>
      <c r="AW202" s="13">
        <f>IF(X202="","",(AM202/100*AO202)+AP202+AQ202+AR202)</f>
        <v/>
      </c>
      <c r="AX202" s="13">
        <f>IF(X202="","",AS202+AT202+AU202+AV202)</f>
        <v/>
      </c>
      <c r="AY202" s="12">
        <f>IF(AZ202="","",ROUND(AZ202*(1+Assumptions!$B$10),0))</f>
        <v/>
      </c>
      <c r="AZ202" s="12">
        <f>IF(X202="","",ROUND(X202*(1+AW202),0))</f>
        <v/>
      </c>
      <c r="BA202" s="12">
        <f>IF(AZ202="","",ROUND(AZ202*(1+Assumptions!$B$11),0))</f>
        <v/>
      </c>
      <c r="BB202" s="12">
        <f>IF(AZ202="","",ROUND(AZ202*(1+AX202+Assumptions!$B$10),0))</f>
        <v/>
      </c>
      <c r="BC202" s="12">
        <f>IF(AZ202="","",ROUND(AZ202*(1+AX202),0))</f>
        <v/>
      </c>
      <c r="BD202" s="12">
        <f>IF(AZ202="","",ROUND(AZ202*(1+AX202+Assumptions!$B$11),0))</f>
        <v/>
      </c>
      <c r="BE202" s="12">
        <f>IF(AZ202="","",ROUND(AZ202*(1+AX202)*(1+AX202),0))</f>
        <v/>
      </c>
      <c r="BF202" s="7" t="inlineStr">
        <is>
          <t>Rules-based enrichment using launch-price anchor, cap-app realization, and 2026 segment conditions.</t>
        </is>
      </c>
      <c r="BG202" t="inlineStr">
        <is>
          <t>2026-03-17</t>
        </is>
      </c>
      <c r="BH202" s="7" t="inlineStr">
        <is>
          <t>DLD / Digital Dubai / CBUAE / Savills / Knight Frank-Moody’s / Reuters</t>
        </is>
      </c>
    </row>
    <row r="203">
      <c r="A203" t="n">
        <v>202</v>
      </c>
      <c r="B203" s="7" t="inlineStr">
        <is>
          <t>Cavalli Tower</t>
        </is>
      </c>
      <c r="C203" t="inlineStr">
        <is>
          <t>DAMAC Properties</t>
        </is>
      </c>
      <c r="D203" t="inlineStr">
        <is>
          <t>Dubai Marina</t>
        </is>
      </c>
      <c r="E203" t="inlineStr">
        <is>
          <t>Branded Apts (Cavalli)</t>
        </is>
      </c>
      <c r="F203" s="7" t="inlineStr">
        <is>
          <t>Ultra-Luxury</t>
        </is>
      </c>
      <c r="G203" t="inlineStr">
        <is>
          <t>18M+</t>
        </is>
      </c>
      <c r="H203" t="inlineStr">
        <is>
          <t>4500</t>
        </is>
      </c>
      <c r="I203" t="inlineStr">
        <is>
          <t>35+</t>
        </is>
      </c>
      <c r="J203" t="inlineStr">
        <is>
          <t>80/20</t>
        </is>
      </c>
      <c r="K203" t="inlineStr">
        <is>
          <t>2021</t>
        </is>
      </c>
      <c r="L203" t="inlineStr">
        <is>
          <t>4.5-5.0</t>
        </is>
      </c>
      <c r="M203" t="inlineStr">
        <is>
          <t>8-12</t>
        </is>
      </c>
      <c r="N203" t="inlineStr">
        <is>
          <t>12.5-17.0</t>
        </is>
      </c>
      <c r="O203" s="7" t="inlineStr">
        <is>
          <t>American Univ. Dubai</t>
        </is>
      </c>
      <c r="P203" s="7" t="inlineStr">
        <is>
          <t>Saudi German Hospital</t>
        </is>
      </c>
      <c r="Q203" s="7" t="inlineStr">
        <is>
          <t>Dubai Marina Mall</t>
        </is>
      </c>
      <c r="R203" s="7" t="inlineStr">
        <is>
          <t>Sheikh Zayed E11</t>
        </is>
      </c>
      <c r="S203" t="inlineStr">
        <is>
          <t>20</t>
        </is>
      </c>
      <c r="T203" t="inlineStr">
        <is>
          <t>5</t>
        </is>
      </c>
      <c r="U203" t="inlineStr">
        <is>
          <t>25</t>
        </is>
      </c>
      <c r="V203" t="inlineStr">
        <is>
          <t>30</t>
        </is>
      </c>
      <c r="W203" t="n">
        <v>2</v>
      </c>
      <c r="X203" s="12" t="n">
        <v>18000000</v>
      </c>
      <c r="Y203" s="12" t="n">
        <v>18000000</v>
      </c>
      <c r="Z203" s="9" t="n">
        <v>4.5</v>
      </c>
      <c r="AA203" s="9" t="n">
        <v>5</v>
      </c>
      <c r="AB203" s="9" t="n">
        <v>8</v>
      </c>
      <c r="AC203" s="9" t="n">
        <v>12</v>
      </c>
      <c r="AD203" s="9" t="n">
        <v>12.5</v>
      </c>
      <c r="AE203" s="9" t="n">
        <v>17</v>
      </c>
      <c r="AF203" t="n">
        <v>2021</v>
      </c>
      <c r="AH203" t="inlineStr">
        <is>
          <t>Apartment</t>
        </is>
      </c>
      <c r="AI203" t="inlineStr">
        <is>
          <t>Prime</t>
        </is>
      </c>
      <c r="AJ203" t="inlineStr">
        <is>
          <t>TopTier</t>
        </is>
      </c>
      <c r="AK203" t="inlineStr">
        <is>
          <t>Prime resilient / selective</t>
        </is>
      </c>
      <c r="AL203" s="7" t="inlineStr">
        <is>
          <t>Better support from quality, branding, and scarcer prime stock; still entry-price sensitive.</t>
        </is>
      </c>
      <c r="AM203" s="9" t="n">
        <v>10</v>
      </c>
      <c r="AN203" s="9" t="n">
        <v>4.75</v>
      </c>
      <c r="AO203" s="10" t="n">
        <v>0.55</v>
      </c>
      <c r="AP203" s="13" t="n">
        <v>0.02</v>
      </c>
      <c r="AQ203" s="13" t="n">
        <v>0</v>
      </c>
      <c r="AR203" s="13" t="n">
        <v>0</v>
      </c>
      <c r="AS203" s="13" t="n">
        <v>0.03</v>
      </c>
      <c r="AT203" s="13" t="n">
        <v>0.005</v>
      </c>
      <c r="AU203" s="13" t="n">
        <v>0</v>
      </c>
      <c r="AV203" s="13" t="n">
        <v>-0.005</v>
      </c>
      <c r="AW203" s="13">
        <f>IF(X203="","",(AM203/100*AO203)+AP203+AQ203+AR203)</f>
        <v/>
      </c>
      <c r="AX203" s="13">
        <f>IF(X203="","",AS203+AT203+AU203+AV203)</f>
        <v/>
      </c>
      <c r="AY203" s="12">
        <f>IF(AZ203="","",ROUND(AZ203*(1+Assumptions!$B$10),0))</f>
        <v/>
      </c>
      <c r="AZ203" s="12">
        <f>IF(X203="","",ROUND(X203*(1+AW203),0))</f>
        <v/>
      </c>
      <c r="BA203" s="12">
        <f>IF(AZ203="","",ROUND(AZ203*(1+Assumptions!$B$11),0))</f>
        <v/>
      </c>
      <c r="BB203" s="12">
        <f>IF(AZ203="","",ROUND(AZ203*(1+AX203+Assumptions!$B$10),0))</f>
        <v/>
      </c>
      <c r="BC203" s="12">
        <f>IF(AZ203="","",ROUND(AZ203*(1+AX203),0))</f>
        <v/>
      </c>
      <c r="BD203" s="12">
        <f>IF(AZ203="","",ROUND(AZ203*(1+AX203+Assumptions!$B$11),0))</f>
        <v/>
      </c>
      <c r="BE203" s="12">
        <f>IF(AZ203="","",ROUND(AZ203*(1+AX203)*(1+AX203),0))</f>
        <v/>
      </c>
      <c r="BF203" s="7" t="inlineStr">
        <is>
          <t>Rules-based enrichment using launch-price anchor, cap-app realization, and 2026 segment conditions.</t>
        </is>
      </c>
      <c r="BG203" t="inlineStr">
        <is>
          <t>2026-03-17</t>
        </is>
      </c>
      <c r="BH203" s="7" t="inlineStr">
        <is>
          <t>DLD / Digital Dubai / CBUAE / Savills / Knight Frank-Moody’s / Reuters</t>
        </is>
      </c>
    </row>
    <row r="204">
      <c r="A204" t="n">
        <v>203</v>
      </c>
      <c r="B204" s="7" t="inlineStr">
        <is>
          <t>DAMAC Bay 1</t>
        </is>
      </c>
      <c r="C204" t="inlineStr">
        <is>
          <t>DAMAC Properties</t>
        </is>
      </c>
      <c r="D204" t="inlineStr">
        <is>
          <t>Dubai Harbour</t>
        </is>
      </c>
      <c r="E204" t="inlineStr">
        <is>
          <t>Branded Apts</t>
        </is>
      </c>
      <c r="F204" s="7" t="inlineStr">
        <is>
          <t>Beachfront</t>
        </is>
      </c>
      <c r="G204" t="inlineStr">
        <is>
          <t>4.5M</t>
        </is>
      </c>
      <c r="H204" t="inlineStr">
        <is>
          <t>3500</t>
        </is>
      </c>
      <c r="I204" t="inlineStr">
        <is>
          <t>30+</t>
        </is>
      </c>
      <c r="J204" t="inlineStr">
        <is>
          <t>80/20</t>
        </is>
      </c>
      <c r="K204" t="inlineStr">
        <is>
          <t>2023</t>
        </is>
      </c>
      <c r="L204" t="inlineStr">
        <is>
          <t>5.0-5.5</t>
        </is>
      </c>
      <c r="M204" t="inlineStr">
        <is>
          <t>10-15</t>
        </is>
      </c>
      <c r="N204" t="inlineStr">
        <is>
          <t>15.0-20.5</t>
        </is>
      </c>
      <c r="O204" s="7" t="inlineStr">
        <is>
          <t>American Univ. Dubai</t>
        </is>
      </c>
      <c r="P204" s="7" t="inlineStr">
        <is>
          <t>Saudi German Hospital</t>
        </is>
      </c>
      <c r="Q204" s="7" t="inlineStr">
        <is>
          <t>Dubai Marina Mall</t>
        </is>
      </c>
      <c r="R204" s="7" t="inlineStr">
        <is>
          <t>Sheikh Zayed E11</t>
        </is>
      </c>
      <c r="S204" t="inlineStr">
        <is>
          <t>20</t>
        </is>
      </c>
      <c r="T204" t="inlineStr">
        <is>
          <t>5</t>
        </is>
      </c>
      <c r="U204" t="inlineStr">
        <is>
          <t>25</t>
        </is>
      </c>
      <c r="V204" t="inlineStr">
        <is>
          <t>30</t>
        </is>
      </c>
      <c r="W204" t="n">
        <v>2</v>
      </c>
      <c r="X204" s="12" t="n">
        <v>4500000</v>
      </c>
      <c r="Y204" s="12" t="n">
        <v>4500000</v>
      </c>
      <c r="Z204" s="9" t="n">
        <v>5</v>
      </c>
      <c r="AA204" s="9" t="n">
        <v>5.5</v>
      </c>
      <c r="AB204" s="9" t="n">
        <v>10</v>
      </c>
      <c r="AC204" s="9" t="n">
        <v>15</v>
      </c>
      <c r="AD204" s="9" t="n">
        <v>15</v>
      </c>
      <c r="AE204" s="9" t="n">
        <v>20.5</v>
      </c>
      <c r="AF204" t="n">
        <v>2023</v>
      </c>
      <c r="AH204" t="inlineStr">
        <is>
          <t>Apartment</t>
        </is>
      </c>
      <c r="AI204" t="inlineStr">
        <is>
          <t>MainstreamSelective</t>
        </is>
      </c>
      <c r="AJ204" t="inlineStr">
        <is>
          <t>TopTier</t>
        </is>
      </c>
      <c r="AK204" t="inlineStr">
        <is>
          <t>Balanced / selective</t>
        </is>
      </c>
      <c r="AL204" s="7" t="inlineStr">
        <is>
          <t>Market remains active but increasingly differentiated by developer, micro-location, livability, and pricing discipline.</t>
        </is>
      </c>
      <c r="AM204" s="9" t="n">
        <v>12.5</v>
      </c>
      <c r="AN204" s="9" t="n">
        <v>5.25</v>
      </c>
      <c r="AO204" s="10" t="n">
        <v>0.55</v>
      </c>
      <c r="AP204" s="13" t="n">
        <v>0</v>
      </c>
      <c r="AQ204" s="13" t="n">
        <v>0</v>
      </c>
      <c r="AR204" s="13" t="n">
        <v>0</v>
      </c>
      <c r="AS204" s="13" t="n">
        <v>0.01</v>
      </c>
      <c r="AT204" s="13" t="n">
        <v>0.005</v>
      </c>
      <c r="AU204" s="13" t="n">
        <v>0</v>
      </c>
      <c r="AV204" s="13" t="n">
        <v>-0.005</v>
      </c>
      <c r="AW204" s="13">
        <f>IF(X204="","",(AM204/100*AO204)+AP204+AQ204+AR204)</f>
        <v/>
      </c>
      <c r="AX204" s="13">
        <f>IF(X204="","",AS204+AT204+AU204+AV204)</f>
        <v/>
      </c>
      <c r="AY204" s="12">
        <f>IF(AZ204="","",ROUND(AZ204*(1+Assumptions!$B$10),0))</f>
        <v/>
      </c>
      <c r="AZ204" s="12">
        <f>IF(X204="","",ROUND(X204*(1+AW204),0))</f>
        <v/>
      </c>
      <c r="BA204" s="12">
        <f>IF(AZ204="","",ROUND(AZ204*(1+Assumptions!$B$11),0))</f>
        <v/>
      </c>
      <c r="BB204" s="12">
        <f>IF(AZ204="","",ROUND(AZ204*(1+AX204+Assumptions!$B$10),0))</f>
        <v/>
      </c>
      <c r="BC204" s="12">
        <f>IF(AZ204="","",ROUND(AZ204*(1+AX204),0))</f>
        <v/>
      </c>
      <c r="BD204" s="12">
        <f>IF(AZ204="","",ROUND(AZ204*(1+AX204+Assumptions!$B$11),0))</f>
        <v/>
      </c>
      <c r="BE204" s="12">
        <f>IF(AZ204="","",ROUND(AZ204*(1+AX204)*(1+AX204),0))</f>
        <v/>
      </c>
      <c r="BF204" s="7" t="inlineStr">
        <is>
          <t>Rules-based enrichment using launch-price anchor, cap-app realization, and 2026 segment conditions.</t>
        </is>
      </c>
      <c r="BG204" t="inlineStr">
        <is>
          <t>2026-03-17</t>
        </is>
      </c>
      <c r="BH204" s="7" t="inlineStr">
        <is>
          <t>DLD / Digital Dubai / CBUAE / Savills / Knight Frank-Moody’s / Reuters</t>
        </is>
      </c>
    </row>
    <row r="205">
      <c r="A205" t="n">
        <v>204</v>
      </c>
      <c r="B205" s="7" t="inlineStr">
        <is>
          <t>DAMAC Bay 2</t>
        </is>
      </c>
      <c r="C205" t="inlineStr">
        <is>
          <t>DAMAC Properties</t>
        </is>
      </c>
      <c r="D205" t="inlineStr">
        <is>
          <t>Dubai Harbour</t>
        </is>
      </c>
      <c r="E205" t="inlineStr">
        <is>
          <t>Branded Apts</t>
        </is>
      </c>
      <c r="F205" s="7" t="inlineStr">
        <is>
          <t>Beachfront</t>
        </is>
      </c>
      <c r="G205" t="inlineStr">
        <is>
          <t>5.0M</t>
        </is>
      </c>
      <c r="H205" t="inlineStr">
        <is>
          <t>3600</t>
        </is>
      </c>
      <c r="I205" t="inlineStr">
        <is>
          <t>30+</t>
        </is>
      </c>
      <c r="J205" t="inlineStr">
        <is>
          <t>80/20</t>
        </is>
      </c>
      <c r="K205" t="inlineStr">
        <is>
          <t>2023</t>
        </is>
      </c>
      <c r="L205" t="inlineStr">
        <is>
          <t>5.0-5.5</t>
        </is>
      </c>
      <c r="M205" t="inlineStr">
        <is>
          <t>10-15</t>
        </is>
      </c>
      <c r="N205" t="inlineStr">
        <is>
          <t>15.0-20.5</t>
        </is>
      </c>
      <c r="O205" s="7" t="inlineStr">
        <is>
          <t>American Univ. Dubai</t>
        </is>
      </c>
      <c r="P205" s="7" t="inlineStr">
        <is>
          <t>Saudi German Hospital</t>
        </is>
      </c>
      <c r="Q205" s="7" t="inlineStr">
        <is>
          <t>Dubai Marina Mall</t>
        </is>
      </c>
      <c r="R205" s="7" t="inlineStr">
        <is>
          <t>Sheikh Zayed E11</t>
        </is>
      </c>
      <c r="S205" t="inlineStr">
        <is>
          <t>20</t>
        </is>
      </c>
      <c r="T205" t="inlineStr">
        <is>
          <t>5</t>
        </is>
      </c>
      <c r="U205" t="inlineStr">
        <is>
          <t>25</t>
        </is>
      </c>
      <c r="V205" t="inlineStr">
        <is>
          <t>30</t>
        </is>
      </c>
      <c r="W205" t="n">
        <v>2</v>
      </c>
      <c r="X205" s="12" t="n">
        <v>5000000</v>
      </c>
      <c r="Y205" s="12" t="n">
        <v>5000000</v>
      </c>
      <c r="Z205" s="9" t="n">
        <v>5</v>
      </c>
      <c r="AA205" s="9" t="n">
        <v>5.5</v>
      </c>
      <c r="AB205" s="9" t="n">
        <v>10</v>
      </c>
      <c r="AC205" s="9" t="n">
        <v>15</v>
      </c>
      <c r="AD205" s="9" t="n">
        <v>15</v>
      </c>
      <c r="AE205" s="9" t="n">
        <v>20.5</v>
      </c>
      <c r="AF205" t="n">
        <v>2023</v>
      </c>
      <c r="AH205" t="inlineStr">
        <is>
          <t>Apartment</t>
        </is>
      </c>
      <c r="AI205" t="inlineStr">
        <is>
          <t>MainstreamSelective</t>
        </is>
      </c>
      <c r="AJ205" t="inlineStr">
        <is>
          <t>TopTier</t>
        </is>
      </c>
      <c r="AK205" t="inlineStr">
        <is>
          <t>Balanced / selective</t>
        </is>
      </c>
      <c r="AL205" s="7" t="inlineStr">
        <is>
          <t>Market remains active but increasingly differentiated by developer, micro-location, livability, and pricing discipline.</t>
        </is>
      </c>
      <c r="AM205" s="9" t="n">
        <v>12.5</v>
      </c>
      <c r="AN205" s="9" t="n">
        <v>5.25</v>
      </c>
      <c r="AO205" s="10" t="n">
        <v>0.55</v>
      </c>
      <c r="AP205" s="13" t="n">
        <v>0</v>
      </c>
      <c r="AQ205" s="13" t="n">
        <v>0</v>
      </c>
      <c r="AR205" s="13" t="n">
        <v>0</v>
      </c>
      <c r="AS205" s="13" t="n">
        <v>0.01</v>
      </c>
      <c r="AT205" s="13" t="n">
        <v>0.005</v>
      </c>
      <c r="AU205" s="13" t="n">
        <v>0</v>
      </c>
      <c r="AV205" s="13" t="n">
        <v>-0.005</v>
      </c>
      <c r="AW205" s="13">
        <f>IF(X205="","",(AM205/100*AO205)+AP205+AQ205+AR205)</f>
        <v/>
      </c>
      <c r="AX205" s="13">
        <f>IF(X205="","",AS205+AT205+AU205+AV205)</f>
        <v/>
      </c>
      <c r="AY205" s="12">
        <f>IF(AZ205="","",ROUND(AZ205*(1+Assumptions!$B$10),0))</f>
        <v/>
      </c>
      <c r="AZ205" s="12">
        <f>IF(X205="","",ROUND(X205*(1+AW205),0))</f>
        <v/>
      </c>
      <c r="BA205" s="12">
        <f>IF(AZ205="","",ROUND(AZ205*(1+Assumptions!$B$11),0))</f>
        <v/>
      </c>
      <c r="BB205" s="12">
        <f>IF(AZ205="","",ROUND(AZ205*(1+AX205+Assumptions!$B$10),0))</f>
        <v/>
      </c>
      <c r="BC205" s="12">
        <f>IF(AZ205="","",ROUND(AZ205*(1+AX205),0))</f>
        <v/>
      </c>
      <c r="BD205" s="12">
        <f>IF(AZ205="","",ROUND(AZ205*(1+AX205+Assumptions!$B$11),0))</f>
        <v/>
      </c>
      <c r="BE205" s="12">
        <f>IF(AZ205="","",ROUND(AZ205*(1+AX205)*(1+AX205),0))</f>
        <v/>
      </c>
      <c r="BF205" s="7" t="inlineStr">
        <is>
          <t>Rules-based enrichment using launch-price anchor, cap-app realization, and 2026 segment conditions.</t>
        </is>
      </c>
      <c r="BG205" t="inlineStr">
        <is>
          <t>2026-03-17</t>
        </is>
      </c>
      <c r="BH205" s="7" t="inlineStr">
        <is>
          <t>DLD / Digital Dubai / CBUAE / Savills / Knight Frank-Moody’s / Reuters</t>
        </is>
      </c>
    </row>
    <row r="206">
      <c r="A206" t="n">
        <v>205</v>
      </c>
      <c r="B206" s="7" t="inlineStr">
        <is>
          <t>Canal Crown</t>
        </is>
      </c>
      <c r="C206" t="inlineStr">
        <is>
          <t>DAMAC Properties</t>
        </is>
      </c>
      <c r="D206" t="inlineStr">
        <is>
          <t>Business Bay</t>
        </is>
      </c>
      <c r="E206" t="inlineStr">
        <is>
          <t>Branded Apts</t>
        </is>
      </c>
      <c r="F206" s="7" t="inlineStr">
        <is>
          <t>Canal View</t>
        </is>
      </c>
      <c r="G206" t="inlineStr">
        <is>
          <t>2.8M</t>
        </is>
      </c>
      <c r="H206" t="inlineStr">
        <is>
          <t>2500</t>
        </is>
      </c>
      <c r="I206" t="inlineStr">
        <is>
          <t>25</t>
        </is>
      </c>
      <c r="J206" t="inlineStr">
        <is>
          <t>80/20</t>
        </is>
      </c>
      <c r="K206" t="inlineStr">
        <is>
          <t>2023</t>
        </is>
      </c>
      <c r="L206" t="inlineStr">
        <is>
          <t>5.5-6.0</t>
        </is>
      </c>
      <c r="M206" t="inlineStr">
        <is>
          <t>8-10</t>
        </is>
      </c>
      <c r="N206" t="inlineStr">
        <is>
          <t>13.5-16.0</t>
        </is>
      </c>
      <c r="O206" s="7" t="inlineStr">
        <is>
          <t>Hartland Intl</t>
        </is>
      </c>
      <c r="P206" s="7" t="inlineStr">
        <is>
          <t>Emirates Hospital BB</t>
        </is>
      </c>
      <c r="Q206" s="7" t="inlineStr">
        <is>
          <t>Dubai Mall</t>
        </is>
      </c>
      <c r="R206" s="7" t="inlineStr">
        <is>
          <t>Al Khail E44</t>
        </is>
      </c>
      <c r="S206" t="inlineStr">
        <is>
          <t>5</t>
        </is>
      </c>
      <c r="T206" t="inlineStr">
        <is>
          <t>20</t>
        </is>
      </c>
      <c r="U206" t="inlineStr">
        <is>
          <t>15</t>
        </is>
      </c>
      <c r="V206" t="inlineStr">
        <is>
          <t>35</t>
        </is>
      </c>
      <c r="W206" t="n">
        <v>2</v>
      </c>
      <c r="X206" s="12" t="n">
        <v>2800000</v>
      </c>
      <c r="Y206" s="12" t="n">
        <v>2800000</v>
      </c>
      <c r="Z206" s="9" t="n">
        <v>5.5</v>
      </c>
      <c r="AA206" s="9" t="n">
        <v>6</v>
      </c>
      <c r="AB206" s="9" t="n">
        <v>8</v>
      </c>
      <c r="AC206" s="9" t="n">
        <v>10</v>
      </c>
      <c r="AD206" s="9" t="n">
        <v>13.5</v>
      </c>
      <c r="AE206" s="9" t="n">
        <v>16</v>
      </c>
      <c r="AF206" t="n">
        <v>2023</v>
      </c>
      <c r="AH206" t="inlineStr">
        <is>
          <t>Apartment</t>
        </is>
      </c>
      <c r="AI206" t="inlineStr">
        <is>
          <t>Prime</t>
        </is>
      </c>
      <c r="AJ206" t="inlineStr">
        <is>
          <t>TopTier</t>
        </is>
      </c>
      <c r="AK206" t="inlineStr">
        <is>
          <t>Prime resilient / selective</t>
        </is>
      </c>
      <c r="AL206" s="7" t="inlineStr">
        <is>
          <t>Better support from quality, branding, and scarcer prime stock; still entry-price sensitive.</t>
        </is>
      </c>
      <c r="AM206" s="9" t="n">
        <v>9</v>
      </c>
      <c r="AN206" s="9" t="n">
        <v>5.75</v>
      </c>
      <c r="AO206" s="10" t="n">
        <v>0.55</v>
      </c>
      <c r="AP206" s="13" t="n">
        <v>0.02</v>
      </c>
      <c r="AQ206" s="13" t="n">
        <v>0</v>
      </c>
      <c r="AR206" s="13" t="n">
        <v>0</v>
      </c>
      <c r="AS206" s="13" t="n">
        <v>0.03</v>
      </c>
      <c r="AT206" s="13" t="n">
        <v>0.005</v>
      </c>
      <c r="AU206" s="13" t="n">
        <v>0</v>
      </c>
      <c r="AV206" s="13" t="n">
        <v>-0.005</v>
      </c>
      <c r="AW206" s="13">
        <f>IF(X206="","",(AM206/100*AO206)+AP206+AQ206+AR206)</f>
        <v/>
      </c>
      <c r="AX206" s="13">
        <f>IF(X206="","",AS206+AT206+AU206+AV206)</f>
        <v/>
      </c>
      <c r="AY206" s="12">
        <f>IF(AZ206="","",ROUND(AZ206*(1+Assumptions!$B$10),0))</f>
        <v/>
      </c>
      <c r="AZ206" s="12">
        <f>IF(X206="","",ROUND(X206*(1+AW206),0))</f>
        <v/>
      </c>
      <c r="BA206" s="12">
        <f>IF(AZ206="","",ROUND(AZ206*(1+Assumptions!$B$11),0))</f>
        <v/>
      </c>
      <c r="BB206" s="12">
        <f>IF(AZ206="","",ROUND(AZ206*(1+AX206+Assumptions!$B$10),0))</f>
        <v/>
      </c>
      <c r="BC206" s="12">
        <f>IF(AZ206="","",ROUND(AZ206*(1+AX206),0))</f>
        <v/>
      </c>
      <c r="BD206" s="12">
        <f>IF(AZ206="","",ROUND(AZ206*(1+AX206+Assumptions!$B$11),0))</f>
        <v/>
      </c>
      <c r="BE206" s="12">
        <f>IF(AZ206="","",ROUND(AZ206*(1+AX206)*(1+AX206),0))</f>
        <v/>
      </c>
      <c r="BF206" s="7" t="inlineStr">
        <is>
          <t>Rules-based enrichment using launch-price anchor, cap-app realization, and 2026 segment conditions.</t>
        </is>
      </c>
      <c r="BG206" t="inlineStr">
        <is>
          <t>2026-03-17</t>
        </is>
      </c>
      <c r="BH206" s="7" t="inlineStr">
        <is>
          <t>DLD / Digital Dubai / CBUAE / Savills / Knight Frank-Moody’s / Reuters</t>
        </is>
      </c>
    </row>
    <row r="207">
      <c r="A207" t="n">
        <v>206</v>
      </c>
      <c r="B207" s="7" t="inlineStr">
        <is>
          <t>Volta</t>
        </is>
      </c>
      <c r="C207" t="inlineStr">
        <is>
          <t>DAMAC Properties</t>
        </is>
      </c>
      <c r="D207" t="inlineStr">
        <is>
          <t>Sheikh Zayed Road</t>
        </is>
      </c>
      <c r="E207" t="inlineStr">
        <is>
          <t>Apartments</t>
        </is>
      </c>
      <c r="F207" s="7" t="inlineStr">
        <is>
          <t>Fitness / High-Rise</t>
        </is>
      </c>
      <c r="G207" t="inlineStr">
        <is>
          <t>2.5M</t>
        </is>
      </c>
      <c r="H207" t="inlineStr">
        <is>
          <t>2400</t>
        </is>
      </c>
      <c r="I207" t="inlineStr">
        <is>
          <t>25</t>
        </is>
      </c>
      <c r="J207" t="inlineStr">
        <is>
          <t>80/20</t>
        </is>
      </c>
      <c r="K207" t="inlineStr">
        <is>
          <t>2023</t>
        </is>
      </c>
      <c r="L207" t="inlineStr">
        <is>
          <t>5.5-6.0</t>
        </is>
      </c>
      <c r="M207" t="inlineStr">
        <is>
          <t>7-9</t>
        </is>
      </c>
      <c r="N207" t="inlineStr">
        <is>
          <t>12.5-15.0</t>
        </is>
      </c>
      <c r="O207" s="7" t="inlineStr">
        <is>
          <t>Hartland Intl</t>
        </is>
      </c>
      <c r="P207" s="7" t="inlineStr">
        <is>
          <t>Mediclinic Dubai Mall</t>
        </is>
      </c>
      <c r="Q207" s="7" t="inlineStr">
        <is>
          <t>Dubai Mall</t>
        </is>
      </c>
      <c r="R207" s="7" t="inlineStr">
        <is>
          <t>Sheikh Zayed E11</t>
        </is>
      </c>
      <c r="S207" t="inlineStr">
        <is>
          <t>5</t>
        </is>
      </c>
      <c r="T207" t="inlineStr">
        <is>
          <t>20</t>
        </is>
      </c>
      <c r="U207" t="inlineStr">
        <is>
          <t>15</t>
        </is>
      </c>
      <c r="V207" t="inlineStr">
        <is>
          <t>35</t>
        </is>
      </c>
      <c r="W207" t="n">
        <v>2</v>
      </c>
      <c r="X207" s="12" t="n">
        <v>2500000</v>
      </c>
      <c r="Y207" s="12" t="n">
        <v>2500000</v>
      </c>
      <c r="Z207" s="9" t="n">
        <v>5.5</v>
      </c>
      <c r="AA207" s="9" t="n">
        <v>6</v>
      </c>
      <c r="AB207" s="9" t="n">
        <v>7</v>
      </c>
      <c r="AC207" s="9" t="n">
        <v>9</v>
      </c>
      <c r="AD207" s="9" t="n">
        <v>12.5</v>
      </c>
      <c r="AE207" s="9" t="n">
        <v>15</v>
      </c>
      <c r="AF207" t="n">
        <v>2023</v>
      </c>
      <c r="AH207" t="inlineStr">
        <is>
          <t>Apartment</t>
        </is>
      </c>
      <c r="AI207" t="inlineStr">
        <is>
          <t>MainstreamSelective</t>
        </is>
      </c>
      <c r="AJ207" t="inlineStr">
        <is>
          <t>TopTier</t>
        </is>
      </c>
      <c r="AK207" t="inlineStr">
        <is>
          <t>Balanced / selective</t>
        </is>
      </c>
      <c r="AL207" s="7" t="inlineStr">
        <is>
          <t>Market remains active but increasingly differentiated by developer, micro-location, livability, and pricing discipline.</t>
        </is>
      </c>
      <c r="AM207" s="9" t="n">
        <v>8</v>
      </c>
      <c r="AN207" s="9" t="n">
        <v>5.75</v>
      </c>
      <c r="AO207" s="10" t="n">
        <v>0.55</v>
      </c>
      <c r="AP207" s="13" t="n">
        <v>0</v>
      </c>
      <c r="AQ207" s="13" t="n">
        <v>0</v>
      </c>
      <c r="AR207" s="13" t="n">
        <v>0</v>
      </c>
      <c r="AS207" s="13" t="n">
        <v>0.01</v>
      </c>
      <c r="AT207" s="13" t="n">
        <v>0.005</v>
      </c>
      <c r="AU207" s="13" t="n">
        <v>0</v>
      </c>
      <c r="AV207" s="13" t="n">
        <v>-0.005</v>
      </c>
      <c r="AW207" s="13">
        <f>IF(X207="","",(AM207/100*AO207)+AP207+AQ207+AR207)</f>
        <v/>
      </c>
      <c r="AX207" s="13">
        <f>IF(X207="","",AS207+AT207+AU207+AV207)</f>
        <v/>
      </c>
      <c r="AY207" s="12">
        <f>IF(AZ207="","",ROUND(AZ207*(1+Assumptions!$B$10),0))</f>
        <v/>
      </c>
      <c r="AZ207" s="12">
        <f>IF(X207="","",ROUND(X207*(1+AW207),0))</f>
        <v/>
      </c>
      <c r="BA207" s="12">
        <f>IF(AZ207="","",ROUND(AZ207*(1+Assumptions!$B$11),0))</f>
        <v/>
      </c>
      <c r="BB207" s="12">
        <f>IF(AZ207="","",ROUND(AZ207*(1+AX207+Assumptions!$B$10),0))</f>
        <v/>
      </c>
      <c r="BC207" s="12">
        <f>IF(AZ207="","",ROUND(AZ207*(1+AX207),0))</f>
        <v/>
      </c>
      <c r="BD207" s="12">
        <f>IF(AZ207="","",ROUND(AZ207*(1+AX207+Assumptions!$B$11),0))</f>
        <v/>
      </c>
      <c r="BE207" s="12">
        <f>IF(AZ207="","",ROUND(AZ207*(1+AX207)*(1+AX207),0))</f>
        <v/>
      </c>
      <c r="BF207" s="7" t="inlineStr">
        <is>
          <t>Rules-based enrichment using launch-price anchor, cap-app realization, and 2026 segment conditions.</t>
        </is>
      </c>
      <c r="BG207" t="inlineStr">
        <is>
          <t>2026-03-17</t>
        </is>
      </c>
      <c r="BH207" s="7" t="inlineStr">
        <is>
          <t>DLD / Digital Dubai / CBUAE / Savills / Knight Frank-Moody’s / Reuters</t>
        </is>
      </c>
    </row>
    <row r="208">
      <c r="A208" t="n">
        <v>207</v>
      </c>
      <c r="B208" s="7" t="inlineStr">
        <is>
          <t>Chic Tower</t>
        </is>
      </c>
      <c r="C208" t="inlineStr">
        <is>
          <t>DAMAC Properties</t>
        </is>
      </c>
      <c r="D208" t="inlineStr">
        <is>
          <t>Business Bay</t>
        </is>
      </c>
      <c r="E208" t="inlineStr">
        <is>
          <t>Branded Apts</t>
        </is>
      </c>
      <c r="F208" s="7" t="inlineStr">
        <is>
          <t>Design / Canal</t>
        </is>
      </c>
      <c r="G208" t="inlineStr">
        <is>
          <t>3.0M</t>
        </is>
      </c>
      <c r="H208" t="inlineStr">
        <is>
          <t>2600</t>
        </is>
      </c>
      <c r="I208" t="inlineStr">
        <is>
          <t>25</t>
        </is>
      </c>
      <c r="J208" t="inlineStr">
        <is>
          <t>80/20</t>
        </is>
      </c>
      <c r="K208" t="inlineStr">
        <is>
          <t>2022</t>
        </is>
      </c>
      <c r="L208" t="inlineStr">
        <is>
          <t>5.5-6.0</t>
        </is>
      </c>
      <c r="M208" t="inlineStr">
        <is>
          <t>7-9</t>
        </is>
      </c>
      <c r="N208" t="inlineStr">
        <is>
          <t>12.5-15.0</t>
        </is>
      </c>
      <c r="O208" s="7" t="inlineStr">
        <is>
          <t>Hartland Intl</t>
        </is>
      </c>
      <c r="P208" s="7" t="inlineStr">
        <is>
          <t>Emirates Hospital BB</t>
        </is>
      </c>
      <c r="Q208" s="7" t="inlineStr">
        <is>
          <t>Dubai Mall</t>
        </is>
      </c>
      <c r="R208" s="7" t="inlineStr">
        <is>
          <t>Al Khail E44</t>
        </is>
      </c>
      <c r="S208" t="inlineStr">
        <is>
          <t>5</t>
        </is>
      </c>
      <c r="T208" t="inlineStr">
        <is>
          <t>20</t>
        </is>
      </c>
      <c r="U208" t="inlineStr">
        <is>
          <t>15</t>
        </is>
      </c>
      <c r="V208" t="inlineStr">
        <is>
          <t>35</t>
        </is>
      </c>
      <c r="W208" t="n">
        <v>2</v>
      </c>
      <c r="X208" s="12" t="n">
        <v>3000000</v>
      </c>
      <c r="Y208" s="12" t="n">
        <v>3000000</v>
      </c>
      <c r="Z208" s="9" t="n">
        <v>5.5</v>
      </c>
      <c r="AA208" s="9" t="n">
        <v>6</v>
      </c>
      <c r="AB208" s="9" t="n">
        <v>7</v>
      </c>
      <c r="AC208" s="9" t="n">
        <v>9</v>
      </c>
      <c r="AD208" s="9" t="n">
        <v>12.5</v>
      </c>
      <c r="AE208" s="9" t="n">
        <v>15</v>
      </c>
      <c r="AF208" t="n">
        <v>2022</v>
      </c>
      <c r="AH208" t="inlineStr">
        <is>
          <t>Apartment</t>
        </is>
      </c>
      <c r="AI208" t="inlineStr">
        <is>
          <t>Prime</t>
        </is>
      </c>
      <c r="AJ208" t="inlineStr">
        <is>
          <t>TopTier</t>
        </is>
      </c>
      <c r="AK208" t="inlineStr">
        <is>
          <t>Prime resilient / selective</t>
        </is>
      </c>
      <c r="AL208" s="7" t="inlineStr">
        <is>
          <t>Better support from quality, branding, and scarcer prime stock; still entry-price sensitive.</t>
        </is>
      </c>
      <c r="AM208" s="9" t="n">
        <v>8</v>
      </c>
      <c r="AN208" s="9" t="n">
        <v>5.75</v>
      </c>
      <c r="AO208" s="10" t="n">
        <v>0.55</v>
      </c>
      <c r="AP208" s="13" t="n">
        <v>0.02</v>
      </c>
      <c r="AQ208" s="13" t="n">
        <v>0</v>
      </c>
      <c r="AR208" s="13" t="n">
        <v>0</v>
      </c>
      <c r="AS208" s="13" t="n">
        <v>0.03</v>
      </c>
      <c r="AT208" s="13" t="n">
        <v>0.005</v>
      </c>
      <c r="AU208" s="13" t="n">
        <v>0</v>
      </c>
      <c r="AV208" s="13" t="n">
        <v>-0.005</v>
      </c>
      <c r="AW208" s="13">
        <f>IF(X208="","",(AM208/100*AO208)+AP208+AQ208+AR208)</f>
        <v/>
      </c>
      <c r="AX208" s="13">
        <f>IF(X208="","",AS208+AT208+AU208+AV208)</f>
        <v/>
      </c>
      <c r="AY208" s="12">
        <f>IF(AZ208="","",ROUND(AZ208*(1+Assumptions!$B$10),0))</f>
        <v/>
      </c>
      <c r="AZ208" s="12">
        <f>IF(X208="","",ROUND(X208*(1+AW208),0))</f>
        <v/>
      </c>
      <c r="BA208" s="12">
        <f>IF(AZ208="","",ROUND(AZ208*(1+Assumptions!$B$11),0))</f>
        <v/>
      </c>
      <c r="BB208" s="12">
        <f>IF(AZ208="","",ROUND(AZ208*(1+AX208+Assumptions!$B$10),0))</f>
        <v/>
      </c>
      <c r="BC208" s="12">
        <f>IF(AZ208="","",ROUND(AZ208*(1+AX208),0))</f>
        <v/>
      </c>
      <c r="BD208" s="12">
        <f>IF(AZ208="","",ROUND(AZ208*(1+AX208+Assumptions!$B$11),0))</f>
        <v/>
      </c>
      <c r="BE208" s="12">
        <f>IF(AZ208="","",ROUND(AZ208*(1+AX208)*(1+AX208),0))</f>
        <v/>
      </c>
      <c r="BF208" s="7" t="inlineStr">
        <is>
          <t>Rules-based enrichment using launch-price anchor, cap-app realization, and 2026 segment conditions.</t>
        </is>
      </c>
      <c r="BG208" t="inlineStr">
        <is>
          <t>2026-03-17</t>
        </is>
      </c>
      <c r="BH208" s="7" t="inlineStr">
        <is>
          <t>DLD / Digital Dubai / CBUAE / Savills / Knight Frank-Moody’s / Reuters</t>
        </is>
      </c>
    </row>
    <row r="209">
      <c r="A209" t="n">
        <v>208</v>
      </c>
      <c r="B209" s="7" t="inlineStr">
        <is>
          <t>Elegance Tower</t>
        </is>
      </c>
      <c r="C209" t="inlineStr">
        <is>
          <t>DAMAC Properties</t>
        </is>
      </c>
      <c r="D209" t="inlineStr">
        <is>
          <t>Downtown Dubai</t>
        </is>
      </c>
      <c r="E209" t="inlineStr">
        <is>
          <t>Branded Apts</t>
        </is>
      </c>
      <c r="F209" s="7" t="inlineStr">
        <is>
          <t>Luxury / City</t>
        </is>
      </c>
      <c r="G209" t="inlineStr">
        <is>
          <t>2.8M</t>
        </is>
      </c>
      <c r="H209" t="inlineStr">
        <is>
          <t>2800</t>
        </is>
      </c>
      <c r="I209" t="inlineStr">
        <is>
          <t>28</t>
        </is>
      </c>
      <c r="J209" t="inlineStr">
        <is>
          <t>80/20</t>
        </is>
      </c>
      <c r="K209" t="inlineStr">
        <is>
          <t>2022</t>
        </is>
      </c>
      <c r="L209" t="inlineStr">
        <is>
          <t>5.5-6.0</t>
        </is>
      </c>
      <c r="M209" t="inlineStr">
        <is>
          <t>7-9</t>
        </is>
      </c>
      <c r="N209" t="inlineStr">
        <is>
          <t>12.5-15.0</t>
        </is>
      </c>
      <c r="O209" s="7" t="inlineStr">
        <is>
          <t>Hartland Intl</t>
        </is>
      </c>
      <c r="P209" s="7" t="inlineStr">
        <is>
          <t>Mediclinic Dubai Mall</t>
        </is>
      </c>
      <c r="Q209" s="7" t="inlineStr">
        <is>
          <t>Dubai Mall</t>
        </is>
      </c>
      <c r="R209" s="7" t="inlineStr">
        <is>
          <t>Financial Ctr Rd</t>
        </is>
      </c>
      <c r="S209" t="inlineStr">
        <is>
          <t>5</t>
        </is>
      </c>
      <c r="T209" t="inlineStr">
        <is>
          <t>20</t>
        </is>
      </c>
      <c r="U209" t="inlineStr">
        <is>
          <t>15</t>
        </is>
      </c>
      <c r="V209" t="inlineStr">
        <is>
          <t>35</t>
        </is>
      </c>
      <c r="W209" t="n">
        <v>2</v>
      </c>
      <c r="X209" s="12" t="n">
        <v>2800000</v>
      </c>
      <c r="Y209" s="12" t="n">
        <v>2800000</v>
      </c>
      <c r="Z209" s="9" t="n">
        <v>5.5</v>
      </c>
      <c r="AA209" s="9" t="n">
        <v>6</v>
      </c>
      <c r="AB209" s="9" t="n">
        <v>7</v>
      </c>
      <c r="AC209" s="9" t="n">
        <v>9</v>
      </c>
      <c r="AD209" s="9" t="n">
        <v>12.5</v>
      </c>
      <c r="AE209" s="9" t="n">
        <v>15</v>
      </c>
      <c r="AF209" t="n">
        <v>2022</v>
      </c>
      <c r="AH209" t="inlineStr">
        <is>
          <t>Apartment</t>
        </is>
      </c>
      <c r="AI209" t="inlineStr">
        <is>
          <t>Prime</t>
        </is>
      </c>
      <c r="AJ209" t="inlineStr">
        <is>
          <t>TopTier</t>
        </is>
      </c>
      <c r="AK209" t="inlineStr">
        <is>
          <t>Prime resilient / selective</t>
        </is>
      </c>
      <c r="AL209" s="7" t="inlineStr">
        <is>
          <t>Better support from quality, branding, and scarcer prime stock; still entry-price sensitive.</t>
        </is>
      </c>
      <c r="AM209" s="9" t="n">
        <v>8</v>
      </c>
      <c r="AN209" s="9" t="n">
        <v>5.75</v>
      </c>
      <c r="AO209" s="10" t="n">
        <v>0.55</v>
      </c>
      <c r="AP209" s="13" t="n">
        <v>0.02</v>
      </c>
      <c r="AQ209" s="13" t="n">
        <v>0</v>
      </c>
      <c r="AR209" s="13" t="n">
        <v>0</v>
      </c>
      <c r="AS209" s="13" t="n">
        <v>0.03</v>
      </c>
      <c r="AT209" s="13" t="n">
        <v>0.005</v>
      </c>
      <c r="AU209" s="13" t="n">
        <v>0</v>
      </c>
      <c r="AV209" s="13" t="n">
        <v>-0.005</v>
      </c>
      <c r="AW209" s="13">
        <f>IF(X209="","",(AM209/100*AO209)+AP209+AQ209+AR209)</f>
        <v/>
      </c>
      <c r="AX209" s="13">
        <f>IF(X209="","",AS209+AT209+AU209+AV209)</f>
        <v/>
      </c>
      <c r="AY209" s="12">
        <f>IF(AZ209="","",ROUND(AZ209*(1+Assumptions!$B$10),0))</f>
        <v/>
      </c>
      <c r="AZ209" s="12">
        <f>IF(X209="","",ROUND(X209*(1+AW209),0))</f>
        <v/>
      </c>
      <c r="BA209" s="12">
        <f>IF(AZ209="","",ROUND(AZ209*(1+Assumptions!$B$11),0))</f>
        <v/>
      </c>
      <c r="BB209" s="12">
        <f>IF(AZ209="","",ROUND(AZ209*(1+AX209+Assumptions!$B$10),0))</f>
        <v/>
      </c>
      <c r="BC209" s="12">
        <f>IF(AZ209="","",ROUND(AZ209*(1+AX209),0))</f>
        <v/>
      </c>
      <c r="BD209" s="12">
        <f>IF(AZ209="","",ROUND(AZ209*(1+AX209+Assumptions!$B$11),0))</f>
        <v/>
      </c>
      <c r="BE209" s="12">
        <f>IF(AZ209="","",ROUND(AZ209*(1+AX209)*(1+AX209),0))</f>
        <v/>
      </c>
      <c r="BF209" s="7" t="inlineStr">
        <is>
          <t>Rules-based enrichment using launch-price anchor, cap-app realization, and 2026 segment conditions.</t>
        </is>
      </c>
      <c r="BG209" t="inlineStr">
        <is>
          <t>2026-03-17</t>
        </is>
      </c>
      <c r="BH209" s="7" t="inlineStr">
        <is>
          <t>DLD / Digital Dubai / CBUAE / Savills / Knight Frank-Moody’s / Reuters</t>
        </is>
      </c>
    </row>
    <row r="210">
      <c r="A210" t="n">
        <v>209</v>
      </c>
      <c r="B210" s="7" t="inlineStr">
        <is>
          <t>Coral Reef</t>
        </is>
      </c>
      <c r="C210" t="inlineStr">
        <is>
          <t>DAMAC Properties</t>
        </is>
      </c>
      <c r="D210" t="inlineStr">
        <is>
          <t>Dubai Maritime City</t>
        </is>
      </c>
      <c r="E210" t="inlineStr">
        <is>
          <t>Apartments</t>
        </is>
      </c>
      <c r="F210" s="7" t="inlineStr">
        <is>
          <t>Art / Sea View</t>
        </is>
      </c>
      <c r="G210" t="inlineStr">
        <is>
          <t>1.8M</t>
        </is>
      </c>
      <c r="H210" t="inlineStr">
        <is>
          <t>2200</t>
        </is>
      </c>
      <c r="I210" t="inlineStr">
        <is>
          <t>25</t>
        </is>
      </c>
      <c r="J210" t="inlineStr">
        <is>
          <t>70/30</t>
        </is>
      </c>
      <c r="K210" t="inlineStr">
        <is>
          <t>2023</t>
        </is>
      </c>
      <c r="L210" t="inlineStr">
        <is>
          <t>6.0-6.5</t>
        </is>
      </c>
      <c r="M210" t="inlineStr">
        <is>
          <t>8-12</t>
        </is>
      </c>
      <c r="N210" t="inlineStr">
        <is>
          <t>14.0-18.5</t>
        </is>
      </c>
      <c r="O210" s="7" t="inlineStr">
        <is>
          <t>New Academy School</t>
        </is>
      </c>
      <c r="P210" s="7" t="inlineStr">
        <is>
          <t>Aster Hospital Mankhool</t>
        </is>
      </c>
      <c r="Q210" s="7" t="inlineStr">
        <is>
          <t>Dubai Mall</t>
        </is>
      </c>
      <c r="R210" s="7" t="inlineStr">
        <is>
          <t>Al Khaleej / E11</t>
        </is>
      </c>
      <c r="S210" t="inlineStr">
        <is>
          <t>15</t>
        </is>
      </c>
      <c r="T210" t="inlineStr">
        <is>
          <t>25</t>
        </is>
      </c>
      <c r="U210" t="inlineStr">
        <is>
          <t>15</t>
        </is>
      </c>
      <c r="V210" t="inlineStr">
        <is>
          <t>45</t>
        </is>
      </c>
      <c r="W210" t="n">
        <v>2</v>
      </c>
      <c r="X210" s="12" t="n">
        <v>1800000</v>
      </c>
      <c r="Y210" s="12" t="n">
        <v>1800000</v>
      </c>
      <c r="Z210" s="9" t="n">
        <v>6</v>
      </c>
      <c r="AA210" s="9" t="n">
        <v>6.5</v>
      </c>
      <c r="AB210" s="9" t="n">
        <v>8</v>
      </c>
      <c r="AC210" s="9" t="n">
        <v>12</v>
      </c>
      <c r="AD210" s="9" t="n">
        <v>14</v>
      </c>
      <c r="AE210" s="9" t="n">
        <v>18.5</v>
      </c>
      <c r="AF210" t="n">
        <v>2023</v>
      </c>
      <c r="AH210" t="inlineStr">
        <is>
          <t>Apartment</t>
        </is>
      </c>
      <c r="AI210" t="inlineStr">
        <is>
          <t>MainstreamSelective</t>
        </is>
      </c>
      <c r="AJ210" t="inlineStr">
        <is>
          <t>TopTier</t>
        </is>
      </c>
      <c r="AK210" t="inlineStr">
        <is>
          <t>Balanced / selective</t>
        </is>
      </c>
      <c r="AL210" s="7" t="inlineStr">
        <is>
          <t>Market remains active but increasingly differentiated by developer, micro-location, livability, and pricing discipline.</t>
        </is>
      </c>
      <c r="AM210" s="9" t="n">
        <v>10</v>
      </c>
      <c r="AN210" s="9" t="n">
        <v>6.25</v>
      </c>
      <c r="AO210" s="10" t="n">
        <v>0.55</v>
      </c>
      <c r="AP210" s="13" t="n">
        <v>0</v>
      </c>
      <c r="AQ210" s="13" t="n">
        <v>0</v>
      </c>
      <c r="AR210" s="13" t="n">
        <v>0</v>
      </c>
      <c r="AS210" s="13" t="n">
        <v>0.01</v>
      </c>
      <c r="AT210" s="13" t="n">
        <v>0.005</v>
      </c>
      <c r="AU210" s="13" t="n">
        <v>0.0025</v>
      </c>
      <c r="AV210" s="13" t="n">
        <v>-0.005</v>
      </c>
      <c r="AW210" s="13">
        <f>IF(X210="","",(AM210/100*AO210)+AP210+AQ210+AR210)</f>
        <v/>
      </c>
      <c r="AX210" s="13">
        <f>IF(X210="","",AS210+AT210+AU210+AV210)</f>
        <v/>
      </c>
      <c r="AY210" s="12">
        <f>IF(AZ210="","",ROUND(AZ210*(1+Assumptions!$B$10),0))</f>
        <v/>
      </c>
      <c r="AZ210" s="12">
        <f>IF(X210="","",ROUND(X210*(1+AW210),0))</f>
        <v/>
      </c>
      <c r="BA210" s="12">
        <f>IF(AZ210="","",ROUND(AZ210*(1+Assumptions!$B$11),0))</f>
        <v/>
      </c>
      <c r="BB210" s="12">
        <f>IF(AZ210="","",ROUND(AZ210*(1+AX210+Assumptions!$B$10),0))</f>
        <v/>
      </c>
      <c r="BC210" s="12">
        <f>IF(AZ210="","",ROUND(AZ210*(1+AX210),0))</f>
        <v/>
      </c>
      <c r="BD210" s="12">
        <f>IF(AZ210="","",ROUND(AZ210*(1+AX210+Assumptions!$B$11),0))</f>
        <v/>
      </c>
      <c r="BE210" s="12">
        <f>IF(AZ210="","",ROUND(AZ210*(1+AX210)*(1+AX210),0))</f>
        <v/>
      </c>
      <c r="BF210" s="7" t="inlineStr">
        <is>
          <t>Rules-based enrichment using launch-price anchor, cap-app realization, and 2026 segment conditions.</t>
        </is>
      </c>
      <c r="BG210" t="inlineStr">
        <is>
          <t>2026-03-17</t>
        </is>
      </c>
      <c r="BH210" s="7" t="inlineStr">
        <is>
          <t>DLD / Digital Dubai / CBUAE / Savills / Knight Frank-Moody’s / Reuters</t>
        </is>
      </c>
    </row>
    <row r="211">
      <c r="A211" t="n">
        <v>210</v>
      </c>
      <c r="B211" s="7" t="inlineStr">
        <is>
          <t>Sapphire</t>
        </is>
      </c>
      <c r="C211" t="inlineStr">
        <is>
          <t>DAMAC Properties</t>
        </is>
      </c>
      <c r="D211" t="inlineStr">
        <is>
          <t>Sheikh Zayed Road</t>
        </is>
      </c>
      <c r="E211" t="inlineStr">
        <is>
          <t>Apartments</t>
        </is>
      </c>
      <c r="F211" s="7" t="inlineStr">
        <is>
          <t>Luxury / City</t>
        </is>
      </c>
      <c r="G211" t="inlineStr">
        <is>
          <t>2.2M</t>
        </is>
      </c>
      <c r="H211" t="inlineStr">
        <is>
          <t>2300</t>
        </is>
      </c>
      <c r="I211" t="inlineStr">
        <is>
          <t>25</t>
        </is>
      </c>
      <c r="J211" t="inlineStr">
        <is>
          <t>70/30</t>
        </is>
      </c>
      <c r="K211" t="inlineStr">
        <is>
          <t>2024</t>
        </is>
      </c>
      <c r="L211" t="inlineStr">
        <is>
          <t>5.5-6.0</t>
        </is>
      </c>
      <c r="M211" t="inlineStr">
        <is>
          <t>7-9</t>
        </is>
      </c>
      <c r="N211" t="inlineStr">
        <is>
          <t>12.5-15.0</t>
        </is>
      </c>
      <c r="O211" s="7" t="inlineStr">
        <is>
          <t>JESS Jumeirah</t>
        </is>
      </c>
      <c r="P211" s="7" t="inlineStr">
        <is>
          <t>Medcare Hospital</t>
        </is>
      </c>
      <c r="Q211" s="7" t="inlineStr">
        <is>
          <t>Dubai Mall</t>
        </is>
      </c>
      <c r="R211" s="7" t="inlineStr">
        <is>
          <t>Sheikh Zayed E11</t>
        </is>
      </c>
      <c r="S211" t="inlineStr">
        <is>
          <t>5</t>
        </is>
      </c>
      <c r="T211" t="inlineStr">
        <is>
          <t>15</t>
        </is>
      </c>
      <c r="U211" t="inlineStr">
        <is>
          <t>15</t>
        </is>
      </c>
      <c r="V211" t="inlineStr">
        <is>
          <t>35</t>
        </is>
      </c>
      <c r="W211" t="n">
        <v>2</v>
      </c>
      <c r="X211" s="12" t="n">
        <v>2200000</v>
      </c>
      <c r="Y211" s="12" t="n">
        <v>2200000</v>
      </c>
      <c r="Z211" s="9" t="n">
        <v>5.5</v>
      </c>
      <c r="AA211" s="9" t="n">
        <v>6</v>
      </c>
      <c r="AB211" s="9" t="n">
        <v>7</v>
      </c>
      <c r="AC211" s="9" t="n">
        <v>9</v>
      </c>
      <c r="AD211" s="9" t="n">
        <v>12.5</v>
      </c>
      <c r="AE211" s="9" t="n">
        <v>15</v>
      </c>
      <c r="AF211" t="n">
        <v>2024</v>
      </c>
      <c r="AH211" t="inlineStr">
        <is>
          <t>Apartment</t>
        </is>
      </c>
      <c r="AI211" t="inlineStr">
        <is>
          <t>MainstreamSelective</t>
        </is>
      </c>
      <c r="AJ211" t="inlineStr">
        <is>
          <t>TopTier</t>
        </is>
      </c>
      <c r="AK211" t="inlineStr">
        <is>
          <t>Balanced / selective</t>
        </is>
      </c>
      <c r="AL211" s="7" t="inlineStr">
        <is>
          <t>Market remains active but increasingly differentiated by developer, micro-location, livability, and pricing discipline.</t>
        </is>
      </c>
      <c r="AM211" s="9" t="n">
        <v>8</v>
      </c>
      <c r="AN211" s="9" t="n">
        <v>5.75</v>
      </c>
      <c r="AO211" s="10" t="n">
        <v>0.55</v>
      </c>
      <c r="AP211" s="13" t="n">
        <v>0</v>
      </c>
      <c r="AQ211" s="13" t="n">
        <v>0</v>
      </c>
      <c r="AR211" s="13" t="n">
        <v>0</v>
      </c>
      <c r="AS211" s="13" t="n">
        <v>0.01</v>
      </c>
      <c r="AT211" s="13" t="n">
        <v>0.005</v>
      </c>
      <c r="AU211" s="13" t="n">
        <v>0</v>
      </c>
      <c r="AV211" s="13" t="n">
        <v>-0.005</v>
      </c>
      <c r="AW211" s="13">
        <f>IF(X211="","",(AM211/100*AO211)+AP211+AQ211+AR211)</f>
        <v/>
      </c>
      <c r="AX211" s="13">
        <f>IF(X211="","",AS211+AT211+AU211+AV211)</f>
        <v/>
      </c>
      <c r="AY211" s="12">
        <f>IF(AZ211="","",ROUND(AZ211*(1+Assumptions!$B$10),0))</f>
        <v/>
      </c>
      <c r="AZ211" s="12">
        <f>IF(X211="","",ROUND(X211*(1+AW211),0))</f>
        <v/>
      </c>
      <c r="BA211" s="12">
        <f>IF(AZ211="","",ROUND(AZ211*(1+Assumptions!$B$11),0))</f>
        <v/>
      </c>
      <c r="BB211" s="12">
        <f>IF(AZ211="","",ROUND(AZ211*(1+AX211+Assumptions!$B$10),0))</f>
        <v/>
      </c>
      <c r="BC211" s="12">
        <f>IF(AZ211="","",ROUND(AZ211*(1+AX211),0))</f>
        <v/>
      </c>
      <c r="BD211" s="12">
        <f>IF(AZ211="","",ROUND(AZ211*(1+AX211+Assumptions!$B$11),0))</f>
        <v/>
      </c>
      <c r="BE211" s="12">
        <f>IF(AZ211="","",ROUND(AZ211*(1+AX211)*(1+AX211),0))</f>
        <v/>
      </c>
      <c r="BF211" s="7" t="inlineStr">
        <is>
          <t>Rules-based enrichment using launch-price anchor, cap-app realization, and 2026 segment conditions.</t>
        </is>
      </c>
      <c r="BG211" t="inlineStr">
        <is>
          <t>2026-03-17</t>
        </is>
      </c>
      <c r="BH211" s="7" t="inlineStr">
        <is>
          <t>DLD / Digital Dubai / CBUAE / Savills / Knight Frank-Moody’s / Reuters</t>
        </is>
      </c>
    </row>
    <row r="212">
      <c r="A212" t="n">
        <v>211</v>
      </c>
      <c r="B212" s="7" t="inlineStr">
        <is>
          <t>Sobha Solis</t>
        </is>
      </c>
      <c r="C212" t="inlineStr">
        <is>
          <t>Sobha Realty</t>
        </is>
      </c>
      <c r="D212" t="inlineStr">
        <is>
          <t>Motor City</t>
        </is>
      </c>
      <c r="E212" t="inlineStr">
        <is>
          <t>Apartments</t>
        </is>
      </c>
      <c r="F212" s="7" t="inlineStr">
        <is>
          <t>Sport / Community</t>
        </is>
      </c>
      <c r="G212" t="inlineStr">
        <is>
          <t>1.0M</t>
        </is>
      </c>
      <c r="H212" t="inlineStr">
        <is>
          <t>1500</t>
        </is>
      </c>
      <c r="I212" t="inlineStr">
        <is>
          <t>15</t>
        </is>
      </c>
      <c r="J212" t="inlineStr">
        <is>
          <t>60/40</t>
        </is>
      </c>
      <c r="K212" t="inlineStr">
        <is>
          <t>Feb 2025</t>
        </is>
      </c>
      <c r="L212" t="inlineStr">
        <is>
          <t>7.0-7.5</t>
        </is>
      </c>
      <c r="M212" t="inlineStr">
        <is>
          <t>10-12</t>
        </is>
      </c>
      <c r="N212" t="inlineStr">
        <is>
          <t>17.0-19.5</t>
        </is>
      </c>
      <c r="O212" s="7" t="inlineStr">
        <is>
          <t>GEMS Metropole</t>
        </is>
      </c>
      <c r="P212" s="7" t="inlineStr">
        <is>
          <t>Mediclinic Parkview</t>
        </is>
      </c>
      <c r="Q212" s="7" t="inlineStr">
        <is>
          <t>First Avenue Mall</t>
        </is>
      </c>
      <c r="R212" s="7" t="inlineStr">
        <is>
          <t>Hessa St / E311</t>
        </is>
      </c>
      <c r="S212" t="inlineStr">
        <is>
          <t>20</t>
        </is>
      </c>
      <c r="T212" t="inlineStr">
        <is>
          <t>15</t>
        </is>
      </c>
      <c r="U212" t="inlineStr">
        <is>
          <t>25</t>
        </is>
      </c>
      <c r="V212" t="inlineStr">
        <is>
          <t>25</t>
        </is>
      </c>
      <c r="W212" t="n">
        <v>2</v>
      </c>
      <c r="X212" s="12" t="n">
        <v>1000000</v>
      </c>
      <c r="Y212" s="12" t="n">
        <v>1000000</v>
      </c>
      <c r="Z212" s="9" t="n">
        <v>7</v>
      </c>
      <c r="AA212" s="9" t="n">
        <v>7.5</v>
      </c>
      <c r="AB212" s="9" t="n">
        <v>10</v>
      </c>
      <c r="AC212" s="9" t="n">
        <v>12</v>
      </c>
      <c r="AD212" s="9" t="n">
        <v>17</v>
      </c>
      <c r="AE212" s="9" t="n">
        <v>19.5</v>
      </c>
      <c r="AF212" t="n">
        <v>2025</v>
      </c>
      <c r="AH212" t="inlineStr">
        <is>
          <t>Apartment</t>
        </is>
      </c>
      <c r="AI212" t="inlineStr">
        <is>
          <t>MainstreamSelective</t>
        </is>
      </c>
      <c r="AJ212" t="inlineStr">
        <is>
          <t>TopTier</t>
        </is>
      </c>
      <c r="AK212" t="inlineStr">
        <is>
          <t>Balanced / selective</t>
        </is>
      </c>
      <c r="AL212" s="7" t="inlineStr">
        <is>
          <t>Market remains active but increasingly differentiated by developer, micro-location, livability, and pricing discipline.</t>
        </is>
      </c>
      <c r="AM212" s="9" t="n">
        <v>11</v>
      </c>
      <c r="AN212" s="9" t="n">
        <v>7.25</v>
      </c>
      <c r="AO212" s="10" t="n">
        <v>0.25</v>
      </c>
      <c r="AP212" s="13" t="n">
        <v>0</v>
      </c>
      <c r="AQ212" s="13" t="n">
        <v>0</v>
      </c>
      <c r="AR212" s="13" t="n">
        <v>0</v>
      </c>
      <c r="AS212" s="13" t="n">
        <v>0.01</v>
      </c>
      <c r="AT212" s="13" t="n">
        <v>0.005</v>
      </c>
      <c r="AU212" s="13" t="n">
        <v>0.0025</v>
      </c>
      <c r="AV212" s="13" t="n">
        <v>-0.005</v>
      </c>
      <c r="AW212" s="13">
        <f>IF(X212="","",(AM212/100*AO212)+AP212+AQ212+AR212)</f>
        <v/>
      </c>
      <c r="AX212" s="13">
        <f>IF(X212="","",AS212+AT212+AU212+AV212)</f>
        <v/>
      </c>
      <c r="AY212" s="12">
        <f>IF(AZ212="","",ROUND(AZ212*(1+Assumptions!$B$10),0))</f>
        <v/>
      </c>
      <c r="AZ212" s="12">
        <f>IF(X212="","",ROUND(X212*(1+AW212),0))</f>
        <v/>
      </c>
      <c r="BA212" s="12">
        <f>IF(AZ212="","",ROUND(AZ212*(1+Assumptions!$B$11),0))</f>
        <v/>
      </c>
      <c r="BB212" s="12">
        <f>IF(AZ212="","",ROUND(AZ212*(1+AX212+Assumptions!$B$10),0))</f>
        <v/>
      </c>
      <c r="BC212" s="12">
        <f>IF(AZ212="","",ROUND(AZ212*(1+AX212),0))</f>
        <v/>
      </c>
      <c r="BD212" s="12">
        <f>IF(AZ212="","",ROUND(AZ212*(1+AX212+Assumptions!$B$11),0))</f>
        <v/>
      </c>
      <c r="BE212" s="12">
        <f>IF(AZ212="","",ROUND(AZ212*(1+AX212)*(1+AX212),0))</f>
        <v/>
      </c>
      <c r="BF212" s="7" t="inlineStr">
        <is>
          <t>Rules-based enrichment using launch-price anchor, cap-app realization, and 2026 segment conditions.</t>
        </is>
      </c>
      <c r="BG212" t="inlineStr">
        <is>
          <t>2026-03-17</t>
        </is>
      </c>
      <c r="BH212" s="7" t="inlineStr">
        <is>
          <t>DLD / Digital Dubai / CBUAE / Savills / Knight Frank-Moody’s / Reuters</t>
        </is>
      </c>
    </row>
    <row r="213">
      <c r="A213" t="n">
        <v>212</v>
      </c>
      <c r="B213" s="7" t="inlineStr">
        <is>
          <t>Sobha Hartland II</t>
        </is>
      </c>
      <c r="C213" t="inlineStr">
        <is>
          <t>Sobha Realty</t>
        </is>
      </c>
      <c r="D213" t="inlineStr">
        <is>
          <t>MBR City (Ras Al Khor)</t>
        </is>
      </c>
      <c r="E213" t="inlineStr">
        <is>
          <t>Mixed</t>
        </is>
      </c>
      <c r="F213" s="7" t="inlineStr">
        <is>
          <t>Lagoon / Green</t>
        </is>
      </c>
      <c r="I213" t="inlineStr">
        <is>
          <t>18-20</t>
        </is>
      </c>
      <c r="J213" t="inlineStr">
        <is>
          <t>Varies</t>
        </is>
      </c>
      <c r="K213" t="inlineStr">
        <is>
          <t>Ongoing</t>
        </is>
      </c>
      <c r="L213" t="inlineStr">
        <is>
          <t>6.0-6.5</t>
        </is>
      </c>
      <c r="M213" t="inlineStr">
        <is>
          <t>9-12</t>
        </is>
      </c>
      <c r="N213" t="inlineStr">
        <is>
          <t>15.0-18.5</t>
        </is>
      </c>
      <c r="O213" s="7" t="inlineStr">
        <is>
          <t>Hartland Intl</t>
        </is>
      </c>
      <c r="P213" s="7" t="inlineStr">
        <is>
          <t>American Hospital</t>
        </is>
      </c>
      <c r="Q213" s="7" t="inlineStr">
        <is>
          <t>Dubai Mall</t>
        </is>
      </c>
      <c r="R213" s="7" t="inlineStr">
        <is>
          <t>Ras Al Khor / E44</t>
        </is>
      </c>
      <c r="S213" t="inlineStr">
        <is>
          <t>12</t>
        </is>
      </c>
      <c r="T213" t="inlineStr">
        <is>
          <t>25</t>
        </is>
      </c>
      <c r="U213" t="inlineStr">
        <is>
          <t>15</t>
        </is>
      </c>
      <c r="V213" t="inlineStr">
        <is>
          <t>40</t>
        </is>
      </c>
      <c r="W213" t="n">
        <v>2</v>
      </c>
      <c r="X213" s="12" t="n"/>
      <c r="Y213" s="12" t="n"/>
      <c r="Z213" s="9" t="n">
        <v>6</v>
      </c>
      <c r="AA213" s="9" t="n">
        <v>6.5</v>
      </c>
      <c r="AB213" s="9" t="n">
        <v>9</v>
      </c>
      <c r="AC213" s="9" t="n">
        <v>12</v>
      </c>
      <c r="AD213" s="9" t="n">
        <v>15</v>
      </c>
      <c r="AE213" s="9" t="n">
        <v>18.5</v>
      </c>
      <c r="AH213" t="inlineStr">
        <is>
          <t>Mixed/Other</t>
        </is>
      </c>
      <c r="AI213" t="inlineStr">
        <is>
          <t>MainstreamSelective</t>
        </is>
      </c>
      <c r="AJ213" t="inlineStr">
        <is>
          <t>TopTier</t>
        </is>
      </c>
      <c r="AK213" t="inlineStr">
        <is>
          <t>Balanced / selective</t>
        </is>
      </c>
      <c r="AL213" s="7" t="inlineStr">
        <is>
          <t>Market remains active but increasingly differentiated by developer, micro-location, livability, and pricing discipline.</t>
        </is>
      </c>
      <c r="AM213" s="9" t="n">
        <v>10.5</v>
      </c>
      <c r="AN213" s="9" t="n">
        <v>6.25</v>
      </c>
      <c r="AO213" s="10" t="n">
        <v>0.25</v>
      </c>
      <c r="AP213" s="13" t="n">
        <v>0</v>
      </c>
      <c r="AQ213" s="13" t="n">
        <v>0</v>
      </c>
      <c r="AR213" s="13" t="n">
        <v>0</v>
      </c>
      <c r="AS213" s="13" t="n">
        <v>0.01</v>
      </c>
      <c r="AT213" s="13" t="n">
        <v>0.005</v>
      </c>
      <c r="AU213" s="13" t="n">
        <v>0.0025</v>
      </c>
      <c r="AV213" s="13" t="n">
        <v>-0.005</v>
      </c>
      <c r="AW213" s="13">
        <f>IF(X213="","",(AM213/100*AO213)+AP213+AQ213+AR213)</f>
        <v/>
      </c>
      <c r="AX213" s="13">
        <f>IF(X213="","",AS213+AT213+AU213+AV213)</f>
        <v/>
      </c>
      <c r="AY213" s="12">
        <f>IF(AZ213="","",ROUND(AZ213*(1+Assumptions!$B$10),0))</f>
        <v/>
      </c>
      <c r="AZ213" s="12">
        <f>IF(X213="","",ROUND(X213*(1+AW213),0))</f>
        <v/>
      </c>
      <c r="BA213" s="12">
        <f>IF(AZ213="","",ROUND(AZ213*(1+Assumptions!$B$11),0))</f>
        <v/>
      </c>
      <c r="BB213" s="12">
        <f>IF(AZ213="","",ROUND(AZ213*(1+AX213+Assumptions!$B$10),0))</f>
        <v/>
      </c>
      <c r="BC213" s="12">
        <f>IF(AZ213="","",ROUND(AZ213*(1+AX213),0))</f>
        <v/>
      </c>
      <c r="BD213" s="12">
        <f>IF(AZ213="","",ROUND(AZ213*(1+AX213+Assumptions!$B$11),0))</f>
        <v/>
      </c>
      <c r="BE213" s="12">
        <f>IF(AZ213="","",ROUND(AZ213*(1+AX213)*(1+AX213),0))</f>
        <v/>
      </c>
      <c r="BF213" s="7" t="inlineStr">
        <is>
          <t>Rules-based enrichment using launch-price anchor, cap-app realization, and 2026 segment conditions.</t>
        </is>
      </c>
      <c r="BG213" t="inlineStr">
        <is>
          <t>2026-03-17</t>
        </is>
      </c>
      <c r="BH213" s="7" t="inlineStr">
        <is>
          <t>DLD / Digital Dubai / CBUAE / Savills / Knight Frank-Moody’s / Reuters</t>
        </is>
      </c>
    </row>
    <row r="214">
      <c r="A214" t="n">
        <v>213</v>
      </c>
      <c r="B214" s="7" t="inlineStr">
        <is>
          <t>Skyscape Avenue</t>
        </is>
      </c>
      <c r="C214" t="inlineStr">
        <is>
          <t>Sobha Realty</t>
        </is>
      </c>
      <c r="D214" t="inlineStr">
        <is>
          <t>Sobha Hartland II</t>
        </is>
      </c>
      <c r="E214" t="inlineStr">
        <is>
          <t>Apartments</t>
        </is>
      </c>
      <c r="F214" s="7" t="inlineStr">
        <is>
          <t>Lagoon / View</t>
        </is>
      </c>
      <c r="G214" t="inlineStr">
        <is>
          <t>1.6M</t>
        </is>
      </c>
      <c r="H214" t="inlineStr">
        <is>
          <t>2100</t>
        </is>
      </c>
      <c r="I214" t="inlineStr">
        <is>
          <t>20</t>
        </is>
      </c>
      <c r="J214" t="inlineStr">
        <is>
          <t>60/40</t>
        </is>
      </c>
      <c r="K214" t="inlineStr">
        <is>
          <t>2024</t>
        </is>
      </c>
      <c r="L214" t="inlineStr">
        <is>
          <t>6.0-6.5</t>
        </is>
      </c>
      <c r="M214" t="inlineStr">
        <is>
          <t>9-12</t>
        </is>
      </c>
      <c r="N214" t="inlineStr">
        <is>
          <t>15.0-18.5</t>
        </is>
      </c>
      <c r="O214" s="7" t="inlineStr">
        <is>
          <t>Hartland Intl</t>
        </is>
      </c>
      <c r="P214" s="7" t="inlineStr">
        <is>
          <t>American Hospital</t>
        </is>
      </c>
      <c r="Q214" s="7" t="inlineStr">
        <is>
          <t>Dubai Mall</t>
        </is>
      </c>
      <c r="R214" s="7" t="inlineStr">
        <is>
          <t>Ras Al Khor / E44</t>
        </is>
      </c>
      <c r="S214" t="inlineStr">
        <is>
          <t>12</t>
        </is>
      </c>
      <c r="T214" t="inlineStr">
        <is>
          <t>25</t>
        </is>
      </c>
      <c r="U214" t="inlineStr">
        <is>
          <t>15</t>
        </is>
      </c>
      <c r="V214" t="inlineStr">
        <is>
          <t>40</t>
        </is>
      </c>
      <c r="W214" t="n">
        <v>2</v>
      </c>
      <c r="X214" s="12" t="n">
        <v>1600000</v>
      </c>
      <c r="Y214" s="12" t="n">
        <v>1600000</v>
      </c>
      <c r="Z214" s="9" t="n">
        <v>6</v>
      </c>
      <c r="AA214" s="9" t="n">
        <v>6.5</v>
      </c>
      <c r="AB214" s="9" t="n">
        <v>9</v>
      </c>
      <c r="AC214" s="9" t="n">
        <v>12</v>
      </c>
      <c r="AD214" s="9" t="n">
        <v>15</v>
      </c>
      <c r="AE214" s="9" t="n">
        <v>18.5</v>
      </c>
      <c r="AF214" t="n">
        <v>2024</v>
      </c>
      <c r="AH214" t="inlineStr">
        <is>
          <t>Apartment</t>
        </is>
      </c>
      <c r="AI214" t="inlineStr">
        <is>
          <t>MainstreamSelective</t>
        </is>
      </c>
      <c r="AJ214" t="inlineStr">
        <is>
          <t>TopTier</t>
        </is>
      </c>
      <c r="AK214" t="inlineStr">
        <is>
          <t>Balanced / selective</t>
        </is>
      </c>
      <c r="AL214" s="7" t="inlineStr">
        <is>
          <t>Market remains active but increasingly differentiated by developer, micro-location, livability, and pricing discipline.</t>
        </is>
      </c>
      <c r="AM214" s="9" t="n">
        <v>10.5</v>
      </c>
      <c r="AN214" s="9" t="n">
        <v>6.25</v>
      </c>
      <c r="AO214" s="10" t="n">
        <v>0.55</v>
      </c>
      <c r="AP214" s="13" t="n">
        <v>0</v>
      </c>
      <c r="AQ214" s="13" t="n">
        <v>0</v>
      </c>
      <c r="AR214" s="13" t="n">
        <v>0</v>
      </c>
      <c r="AS214" s="13" t="n">
        <v>0.01</v>
      </c>
      <c r="AT214" s="13" t="n">
        <v>0.005</v>
      </c>
      <c r="AU214" s="13" t="n">
        <v>0.0025</v>
      </c>
      <c r="AV214" s="13" t="n">
        <v>-0.005</v>
      </c>
      <c r="AW214" s="13">
        <f>IF(X214="","",(AM214/100*AO214)+AP214+AQ214+AR214)</f>
        <v/>
      </c>
      <c r="AX214" s="13">
        <f>IF(X214="","",AS214+AT214+AU214+AV214)</f>
        <v/>
      </c>
      <c r="AY214" s="12">
        <f>IF(AZ214="","",ROUND(AZ214*(1+Assumptions!$B$10),0))</f>
        <v/>
      </c>
      <c r="AZ214" s="12">
        <f>IF(X214="","",ROUND(X214*(1+AW214),0))</f>
        <v/>
      </c>
      <c r="BA214" s="12">
        <f>IF(AZ214="","",ROUND(AZ214*(1+Assumptions!$B$11),0))</f>
        <v/>
      </c>
      <c r="BB214" s="12">
        <f>IF(AZ214="","",ROUND(AZ214*(1+AX214+Assumptions!$B$10),0))</f>
        <v/>
      </c>
      <c r="BC214" s="12">
        <f>IF(AZ214="","",ROUND(AZ214*(1+AX214),0))</f>
        <v/>
      </c>
      <c r="BD214" s="12">
        <f>IF(AZ214="","",ROUND(AZ214*(1+AX214+Assumptions!$B$11),0))</f>
        <v/>
      </c>
      <c r="BE214" s="12">
        <f>IF(AZ214="","",ROUND(AZ214*(1+AX214)*(1+AX214),0))</f>
        <v/>
      </c>
      <c r="BF214" s="7" t="inlineStr">
        <is>
          <t>Rules-based enrichment using launch-price anchor, cap-app realization, and 2026 segment conditions.</t>
        </is>
      </c>
      <c r="BG214" t="inlineStr">
        <is>
          <t>2026-03-17</t>
        </is>
      </c>
      <c r="BH214" s="7" t="inlineStr">
        <is>
          <t>DLD / Digital Dubai / CBUAE / Savills / Knight Frank-Moody’s / Reuters</t>
        </is>
      </c>
    </row>
    <row r="215">
      <c r="A215" t="n">
        <v>214</v>
      </c>
      <c r="B215" s="7" t="inlineStr">
        <is>
          <t>Skyscape Aura</t>
        </is>
      </c>
      <c r="C215" t="inlineStr">
        <is>
          <t>Sobha Realty</t>
        </is>
      </c>
      <c r="D215" t="inlineStr">
        <is>
          <t>Sobha Hartland II</t>
        </is>
      </c>
      <c r="E215" t="inlineStr">
        <is>
          <t>Apartments</t>
        </is>
      </c>
      <c r="F215" s="7" t="inlineStr">
        <is>
          <t>Lagoon / View</t>
        </is>
      </c>
      <c r="G215" t="inlineStr">
        <is>
          <t>1.7M</t>
        </is>
      </c>
      <c r="H215" t="inlineStr">
        <is>
          <t>2150</t>
        </is>
      </c>
      <c r="I215" t="inlineStr">
        <is>
          <t>20</t>
        </is>
      </c>
      <c r="J215" t="inlineStr">
        <is>
          <t>60/40</t>
        </is>
      </c>
      <c r="K215" t="inlineStr">
        <is>
          <t>2024</t>
        </is>
      </c>
      <c r="L215" t="inlineStr">
        <is>
          <t>6.0-6.5</t>
        </is>
      </c>
      <c r="M215" t="inlineStr">
        <is>
          <t>9-12</t>
        </is>
      </c>
      <c r="N215" t="inlineStr">
        <is>
          <t>15.0-18.5</t>
        </is>
      </c>
      <c r="O215" s="7" t="inlineStr">
        <is>
          <t>Hartland Intl</t>
        </is>
      </c>
      <c r="P215" s="7" t="inlineStr">
        <is>
          <t>American Hospital</t>
        </is>
      </c>
      <c r="Q215" s="7" t="inlineStr">
        <is>
          <t>Dubai Mall</t>
        </is>
      </c>
      <c r="R215" s="7" t="inlineStr">
        <is>
          <t>Ras Al Khor / E44</t>
        </is>
      </c>
      <c r="S215" t="inlineStr">
        <is>
          <t>12</t>
        </is>
      </c>
      <c r="T215" t="inlineStr">
        <is>
          <t>25</t>
        </is>
      </c>
      <c r="U215" t="inlineStr">
        <is>
          <t>15</t>
        </is>
      </c>
      <c r="V215" t="inlineStr">
        <is>
          <t>40</t>
        </is>
      </c>
      <c r="W215" t="n">
        <v>2</v>
      </c>
      <c r="X215" s="12" t="n">
        <v>1700000</v>
      </c>
      <c r="Y215" s="12" t="n">
        <v>1700000</v>
      </c>
      <c r="Z215" s="9" t="n">
        <v>6</v>
      </c>
      <c r="AA215" s="9" t="n">
        <v>6.5</v>
      </c>
      <c r="AB215" s="9" t="n">
        <v>9</v>
      </c>
      <c r="AC215" s="9" t="n">
        <v>12</v>
      </c>
      <c r="AD215" s="9" t="n">
        <v>15</v>
      </c>
      <c r="AE215" s="9" t="n">
        <v>18.5</v>
      </c>
      <c r="AF215" t="n">
        <v>2024</v>
      </c>
      <c r="AH215" t="inlineStr">
        <is>
          <t>Apartment</t>
        </is>
      </c>
      <c r="AI215" t="inlineStr">
        <is>
          <t>MainstreamSelective</t>
        </is>
      </c>
      <c r="AJ215" t="inlineStr">
        <is>
          <t>TopTier</t>
        </is>
      </c>
      <c r="AK215" t="inlineStr">
        <is>
          <t>Balanced / selective</t>
        </is>
      </c>
      <c r="AL215" s="7" t="inlineStr">
        <is>
          <t>Market remains active but increasingly differentiated by developer, micro-location, livability, and pricing discipline.</t>
        </is>
      </c>
      <c r="AM215" s="9" t="n">
        <v>10.5</v>
      </c>
      <c r="AN215" s="9" t="n">
        <v>6.25</v>
      </c>
      <c r="AO215" s="10" t="n">
        <v>0.55</v>
      </c>
      <c r="AP215" s="13" t="n">
        <v>0</v>
      </c>
      <c r="AQ215" s="13" t="n">
        <v>0</v>
      </c>
      <c r="AR215" s="13" t="n">
        <v>0</v>
      </c>
      <c r="AS215" s="13" t="n">
        <v>0.01</v>
      </c>
      <c r="AT215" s="13" t="n">
        <v>0.005</v>
      </c>
      <c r="AU215" s="13" t="n">
        <v>0.0025</v>
      </c>
      <c r="AV215" s="13" t="n">
        <v>-0.005</v>
      </c>
      <c r="AW215" s="13">
        <f>IF(X215="","",(AM215/100*AO215)+AP215+AQ215+AR215)</f>
        <v/>
      </c>
      <c r="AX215" s="13">
        <f>IF(X215="","",AS215+AT215+AU215+AV215)</f>
        <v/>
      </c>
      <c r="AY215" s="12">
        <f>IF(AZ215="","",ROUND(AZ215*(1+Assumptions!$B$10),0))</f>
        <v/>
      </c>
      <c r="AZ215" s="12">
        <f>IF(X215="","",ROUND(X215*(1+AW215),0))</f>
        <v/>
      </c>
      <c r="BA215" s="12">
        <f>IF(AZ215="","",ROUND(AZ215*(1+Assumptions!$B$11),0))</f>
        <v/>
      </c>
      <c r="BB215" s="12">
        <f>IF(AZ215="","",ROUND(AZ215*(1+AX215+Assumptions!$B$10),0))</f>
        <v/>
      </c>
      <c r="BC215" s="12">
        <f>IF(AZ215="","",ROUND(AZ215*(1+AX215),0))</f>
        <v/>
      </c>
      <c r="BD215" s="12">
        <f>IF(AZ215="","",ROUND(AZ215*(1+AX215+Assumptions!$B$11),0))</f>
        <v/>
      </c>
      <c r="BE215" s="12">
        <f>IF(AZ215="","",ROUND(AZ215*(1+AX215)*(1+AX215),0))</f>
        <v/>
      </c>
      <c r="BF215" s="7" t="inlineStr">
        <is>
          <t>Rules-based enrichment using launch-price anchor, cap-app realization, and 2026 segment conditions.</t>
        </is>
      </c>
      <c r="BG215" t="inlineStr">
        <is>
          <t>2026-03-17</t>
        </is>
      </c>
      <c r="BH215" s="7" t="inlineStr">
        <is>
          <t>DLD / Digital Dubai / CBUAE / Savills / Knight Frank-Moody’s / Reuters</t>
        </is>
      </c>
    </row>
    <row r="216">
      <c r="A216" t="n">
        <v>215</v>
      </c>
      <c r="B216" s="7" t="inlineStr">
        <is>
          <t>320 Riverside Crescent</t>
        </is>
      </c>
      <c r="C216" t="inlineStr">
        <is>
          <t>Sobha Realty</t>
        </is>
      </c>
      <c r="D216" t="inlineStr">
        <is>
          <t>Sobha Hartland II</t>
        </is>
      </c>
      <c r="E216" t="inlineStr">
        <is>
          <t>Apartments</t>
        </is>
      </c>
      <c r="F216" s="7" t="inlineStr">
        <is>
          <t>Waterfront</t>
        </is>
      </c>
      <c r="G216" t="inlineStr">
        <is>
          <t>1.45M</t>
        </is>
      </c>
      <c r="H216" t="inlineStr">
        <is>
          <t>1900</t>
        </is>
      </c>
      <c r="I216" t="inlineStr">
        <is>
          <t>20</t>
        </is>
      </c>
      <c r="J216" t="inlineStr">
        <is>
          <t>60/40</t>
        </is>
      </c>
      <c r="K216" t="inlineStr">
        <is>
          <t>2023</t>
        </is>
      </c>
      <c r="L216" t="inlineStr">
        <is>
          <t>6.5-7.0</t>
        </is>
      </c>
      <c r="M216" t="inlineStr">
        <is>
          <t>8-10</t>
        </is>
      </c>
      <c r="N216" t="inlineStr">
        <is>
          <t>14.5-17.0</t>
        </is>
      </c>
      <c r="O216" s="7" t="inlineStr">
        <is>
          <t>Hartland Intl</t>
        </is>
      </c>
      <c r="P216" s="7" t="inlineStr">
        <is>
          <t>American Hospital</t>
        </is>
      </c>
      <c r="Q216" s="7" t="inlineStr">
        <is>
          <t>Dubai Mall</t>
        </is>
      </c>
      <c r="R216" s="7" t="inlineStr">
        <is>
          <t>Ras Al Khor / E44</t>
        </is>
      </c>
      <c r="S216" t="inlineStr">
        <is>
          <t>12</t>
        </is>
      </c>
      <c r="T216" t="inlineStr">
        <is>
          <t>25</t>
        </is>
      </c>
      <c r="U216" t="inlineStr">
        <is>
          <t>15</t>
        </is>
      </c>
      <c r="V216" t="inlineStr">
        <is>
          <t>40</t>
        </is>
      </c>
      <c r="W216" t="n">
        <v>2</v>
      </c>
      <c r="X216" s="12" t="n">
        <v>1450000</v>
      </c>
      <c r="Y216" s="12" t="n">
        <v>1450000</v>
      </c>
      <c r="Z216" s="9" t="n">
        <v>6.5</v>
      </c>
      <c r="AA216" s="9" t="n">
        <v>7</v>
      </c>
      <c r="AB216" s="9" t="n">
        <v>8</v>
      </c>
      <c r="AC216" s="9" t="n">
        <v>10</v>
      </c>
      <c r="AD216" s="9" t="n">
        <v>14.5</v>
      </c>
      <c r="AE216" s="9" t="n">
        <v>17</v>
      </c>
      <c r="AF216" t="n">
        <v>2023</v>
      </c>
      <c r="AH216" t="inlineStr">
        <is>
          <t>Apartment</t>
        </is>
      </c>
      <c r="AI216" t="inlineStr">
        <is>
          <t>MainstreamSelective</t>
        </is>
      </c>
      <c r="AJ216" t="inlineStr">
        <is>
          <t>TopTier</t>
        </is>
      </c>
      <c r="AK216" t="inlineStr">
        <is>
          <t>Balanced / selective</t>
        </is>
      </c>
      <c r="AL216" s="7" t="inlineStr">
        <is>
          <t>Market remains active but increasingly differentiated by developer, micro-location, livability, and pricing discipline.</t>
        </is>
      </c>
      <c r="AM216" s="9" t="n">
        <v>9</v>
      </c>
      <c r="AN216" s="9" t="n">
        <v>6.75</v>
      </c>
      <c r="AO216" s="10" t="n">
        <v>0.55</v>
      </c>
      <c r="AP216" s="13" t="n">
        <v>0</v>
      </c>
      <c r="AQ216" s="13" t="n">
        <v>0</v>
      </c>
      <c r="AR216" s="13" t="n">
        <v>0</v>
      </c>
      <c r="AS216" s="13" t="n">
        <v>0.01</v>
      </c>
      <c r="AT216" s="13" t="n">
        <v>0.005</v>
      </c>
      <c r="AU216" s="13" t="n">
        <v>0.0025</v>
      </c>
      <c r="AV216" s="13" t="n">
        <v>-0.005</v>
      </c>
      <c r="AW216" s="13">
        <f>IF(X216="","",(AM216/100*AO216)+AP216+AQ216+AR216)</f>
        <v/>
      </c>
      <c r="AX216" s="13">
        <f>IF(X216="","",AS216+AT216+AU216+AV216)</f>
        <v/>
      </c>
      <c r="AY216" s="12">
        <f>IF(AZ216="","",ROUND(AZ216*(1+Assumptions!$B$10),0))</f>
        <v/>
      </c>
      <c r="AZ216" s="12">
        <f>IF(X216="","",ROUND(X216*(1+AW216),0))</f>
        <v/>
      </c>
      <c r="BA216" s="12">
        <f>IF(AZ216="","",ROUND(AZ216*(1+Assumptions!$B$11),0))</f>
        <v/>
      </c>
      <c r="BB216" s="12">
        <f>IF(AZ216="","",ROUND(AZ216*(1+AX216+Assumptions!$B$10),0))</f>
        <v/>
      </c>
      <c r="BC216" s="12">
        <f>IF(AZ216="","",ROUND(AZ216*(1+AX216),0))</f>
        <v/>
      </c>
      <c r="BD216" s="12">
        <f>IF(AZ216="","",ROUND(AZ216*(1+AX216+Assumptions!$B$11),0))</f>
        <v/>
      </c>
      <c r="BE216" s="12">
        <f>IF(AZ216="","",ROUND(AZ216*(1+AX216)*(1+AX216),0))</f>
        <v/>
      </c>
      <c r="BF216" s="7" t="inlineStr">
        <is>
          <t>Rules-based enrichment using launch-price anchor, cap-app realization, and 2026 segment conditions.</t>
        </is>
      </c>
      <c r="BG216" t="inlineStr">
        <is>
          <t>2026-03-17</t>
        </is>
      </c>
      <c r="BH216" s="7" t="inlineStr">
        <is>
          <t>DLD / Digital Dubai / CBUAE / Savills / Knight Frank-Moody’s / Reuters</t>
        </is>
      </c>
    </row>
    <row r="217">
      <c r="A217" t="n">
        <v>216</v>
      </c>
      <c r="B217" s="7" t="inlineStr">
        <is>
          <t>350 Riverside Crescent</t>
        </is>
      </c>
      <c r="C217" t="inlineStr">
        <is>
          <t>Sobha Realty</t>
        </is>
      </c>
      <c r="D217" t="inlineStr">
        <is>
          <t>Sobha Hartland II</t>
        </is>
      </c>
      <c r="E217" t="inlineStr">
        <is>
          <t>Apartments</t>
        </is>
      </c>
      <c r="F217" s="7" t="inlineStr">
        <is>
          <t>Waterfront</t>
        </is>
      </c>
      <c r="G217" t="inlineStr">
        <is>
          <t>1.5M</t>
        </is>
      </c>
      <c r="H217" t="inlineStr">
        <is>
          <t>1950</t>
        </is>
      </c>
      <c r="I217" t="inlineStr">
        <is>
          <t>20</t>
        </is>
      </c>
      <c r="J217" t="inlineStr">
        <is>
          <t>60/40</t>
        </is>
      </c>
      <c r="K217" t="inlineStr">
        <is>
          <t>2023</t>
        </is>
      </c>
      <c r="L217" t="inlineStr">
        <is>
          <t>6.5-7.0</t>
        </is>
      </c>
      <c r="M217" t="inlineStr">
        <is>
          <t>8-10</t>
        </is>
      </c>
      <c r="N217" t="inlineStr">
        <is>
          <t>14.5-17.0</t>
        </is>
      </c>
      <c r="O217" s="7" t="inlineStr">
        <is>
          <t>Hartland Intl</t>
        </is>
      </c>
      <c r="P217" s="7" t="inlineStr">
        <is>
          <t>American Hospital</t>
        </is>
      </c>
      <c r="Q217" s="7" t="inlineStr">
        <is>
          <t>Dubai Mall</t>
        </is>
      </c>
      <c r="R217" s="7" t="inlineStr">
        <is>
          <t>Ras Al Khor / E44</t>
        </is>
      </c>
      <c r="S217" t="inlineStr">
        <is>
          <t>12</t>
        </is>
      </c>
      <c r="T217" t="inlineStr">
        <is>
          <t>25</t>
        </is>
      </c>
      <c r="U217" t="inlineStr">
        <is>
          <t>15</t>
        </is>
      </c>
      <c r="V217" t="inlineStr">
        <is>
          <t>40</t>
        </is>
      </c>
      <c r="W217" t="n">
        <v>2</v>
      </c>
      <c r="X217" s="12" t="n">
        <v>1500000</v>
      </c>
      <c r="Y217" s="12" t="n">
        <v>1500000</v>
      </c>
      <c r="Z217" s="9" t="n">
        <v>6.5</v>
      </c>
      <c r="AA217" s="9" t="n">
        <v>7</v>
      </c>
      <c r="AB217" s="9" t="n">
        <v>8</v>
      </c>
      <c r="AC217" s="9" t="n">
        <v>10</v>
      </c>
      <c r="AD217" s="9" t="n">
        <v>14.5</v>
      </c>
      <c r="AE217" s="9" t="n">
        <v>17</v>
      </c>
      <c r="AF217" t="n">
        <v>2023</v>
      </c>
      <c r="AH217" t="inlineStr">
        <is>
          <t>Apartment</t>
        </is>
      </c>
      <c r="AI217" t="inlineStr">
        <is>
          <t>MainstreamSelective</t>
        </is>
      </c>
      <c r="AJ217" t="inlineStr">
        <is>
          <t>TopTier</t>
        </is>
      </c>
      <c r="AK217" t="inlineStr">
        <is>
          <t>Balanced / selective</t>
        </is>
      </c>
      <c r="AL217" s="7" t="inlineStr">
        <is>
          <t>Market remains active but increasingly differentiated by developer, micro-location, livability, and pricing discipline.</t>
        </is>
      </c>
      <c r="AM217" s="9" t="n">
        <v>9</v>
      </c>
      <c r="AN217" s="9" t="n">
        <v>6.75</v>
      </c>
      <c r="AO217" s="10" t="n">
        <v>0.55</v>
      </c>
      <c r="AP217" s="13" t="n">
        <v>0</v>
      </c>
      <c r="AQ217" s="13" t="n">
        <v>0</v>
      </c>
      <c r="AR217" s="13" t="n">
        <v>0</v>
      </c>
      <c r="AS217" s="13" t="n">
        <v>0.01</v>
      </c>
      <c r="AT217" s="13" t="n">
        <v>0.005</v>
      </c>
      <c r="AU217" s="13" t="n">
        <v>0.0025</v>
      </c>
      <c r="AV217" s="13" t="n">
        <v>-0.005</v>
      </c>
      <c r="AW217" s="13">
        <f>IF(X217="","",(AM217/100*AO217)+AP217+AQ217+AR217)</f>
        <v/>
      </c>
      <c r="AX217" s="13">
        <f>IF(X217="","",AS217+AT217+AU217+AV217)</f>
        <v/>
      </c>
      <c r="AY217" s="12">
        <f>IF(AZ217="","",ROUND(AZ217*(1+Assumptions!$B$10),0))</f>
        <v/>
      </c>
      <c r="AZ217" s="12">
        <f>IF(X217="","",ROUND(X217*(1+AW217),0))</f>
        <v/>
      </c>
      <c r="BA217" s="12">
        <f>IF(AZ217="","",ROUND(AZ217*(1+Assumptions!$B$11),0))</f>
        <v/>
      </c>
      <c r="BB217" s="12">
        <f>IF(AZ217="","",ROUND(AZ217*(1+AX217+Assumptions!$B$10),0))</f>
        <v/>
      </c>
      <c r="BC217" s="12">
        <f>IF(AZ217="","",ROUND(AZ217*(1+AX217),0))</f>
        <v/>
      </c>
      <c r="BD217" s="12">
        <f>IF(AZ217="","",ROUND(AZ217*(1+AX217+Assumptions!$B$11),0))</f>
        <v/>
      </c>
      <c r="BE217" s="12">
        <f>IF(AZ217="","",ROUND(AZ217*(1+AX217)*(1+AX217),0))</f>
        <v/>
      </c>
      <c r="BF217" s="7" t="inlineStr">
        <is>
          <t>Rules-based enrichment using launch-price anchor, cap-app realization, and 2026 segment conditions.</t>
        </is>
      </c>
      <c r="BG217" t="inlineStr">
        <is>
          <t>2026-03-17</t>
        </is>
      </c>
      <c r="BH217" s="7" t="inlineStr">
        <is>
          <t>DLD / Digital Dubai / CBUAE / Savills / Knight Frank-Moody’s / Reuters</t>
        </is>
      </c>
    </row>
    <row r="218">
      <c r="A218" t="n">
        <v>217</v>
      </c>
      <c r="B218" s="7" t="inlineStr">
        <is>
          <t>310 Riverside Crescent</t>
        </is>
      </c>
      <c r="C218" t="inlineStr">
        <is>
          <t>Sobha Realty</t>
        </is>
      </c>
      <c r="D218" t="inlineStr">
        <is>
          <t>Sobha Hartland II</t>
        </is>
      </c>
      <c r="E218" t="inlineStr">
        <is>
          <t>Apartments</t>
        </is>
      </c>
      <c r="F218" s="7" t="inlineStr">
        <is>
          <t>Waterfront</t>
        </is>
      </c>
      <c r="G218" t="inlineStr">
        <is>
          <t>1.55M</t>
        </is>
      </c>
      <c r="H218" t="inlineStr">
        <is>
          <t>2000</t>
        </is>
      </c>
      <c r="I218" t="inlineStr">
        <is>
          <t>20</t>
        </is>
      </c>
      <c r="J218" t="inlineStr">
        <is>
          <t>60/40</t>
        </is>
      </c>
      <c r="K218" t="inlineStr">
        <is>
          <t>2024</t>
        </is>
      </c>
      <c r="L218" t="inlineStr">
        <is>
          <t>6.0-6.5</t>
        </is>
      </c>
      <c r="M218" t="inlineStr">
        <is>
          <t>8-10</t>
        </is>
      </c>
      <c r="N218" t="inlineStr">
        <is>
          <t>14.0-16.5</t>
        </is>
      </c>
      <c r="O218" s="7" t="inlineStr">
        <is>
          <t>Hartland Intl</t>
        </is>
      </c>
      <c r="P218" s="7" t="inlineStr">
        <is>
          <t>American Hospital</t>
        </is>
      </c>
      <c r="Q218" s="7" t="inlineStr">
        <is>
          <t>Dubai Mall</t>
        </is>
      </c>
      <c r="R218" s="7" t="inlineStr">
        <is>
          <t>Ras Al Khor / E44</t>
        </is>
      </c>
      <c r="S218" t="inlineStr">
        <is>
          <t>12</t>
        </is>
      </c>
      <c r="T218" t="inlineStr">
        <is>
          <t>25</t>
        </is>
      </c>
      <c r="U218" t="inlineStr">
        <is>
          <t>15</t>
        </is>
      </c>
      <c r="V218" t="inlineStr">
        <is>
          <t>40</t>
        </is>
      </c>
      <c r="W218" t="n">
        <v>2</v>
      </c>
      <c r="X218" s="12" t="n">
        <v>1550000</v>
      </c>
      <c r="Y218" s="12" t="n">
        <v>1550000</v>
      </c>
      <c r="Z218" s="9" t="n">
        <v>6</v>
      </c>
      <c r="AA218" s="9" t="n">
        <v>6.5</v>
      </c>
      <c r="AB218" s="9" t="n">
        <v>8</v>
      </c>
      <c r="AC218" s="9" t="n">
        <v>10</v>
      </c>
      <c r="AD218" s="9" t="n">
        <v>14</v>
      </c>
      <c r="AE218" s="9" t="n">
        <v>16.5</v>
      </c>
      <c r="AF218" t="n">
        <v>2024</v>
      </c>
      <c r="AH218" t="inlineStr">
        <is>
          <t>Apartment</t>
        </is>
      </c>
      <c r="AI218" t="inlineStr">
        <is>
          <t>MainstreamSelective</t>
        </is>
      </c>
      <c r="AJ218" t="inlineStr">
        <is>
          <t>TopTier</t>
        </is>
      </c>
      <c r="AK218" t="inlineStr">
        <is>
          <t>Balanced / selective</t>
        </is>
      </c>
      <c r="AL218" s="7" t="inlineStr">
        <is>
          <t>Market remains active but increasingly differentiated by developer, micro-location, livability, and pricing discipline.</t>
        </is>
      </c>
      <c r="AM218" s="9" t="n">
        <v>9</v>
      </c>
      <c r="AN218" s="9" t="n">
        <v>6.25</v>
      </c>
      <c r="AO218" s="10" t="n">
        <v>0.55</v>
      </c>
      <c r="AP218" s="13" t="n">
        <v>0</v>
      </c>
      <c r="AQ218" s="13" t="n">
        <v>0</v>
      </c>
      <c r="AR218" s="13" t="n">
        <v>0</v>
      </c>
      <c r="AS218" s="13" t="n">
        <v>0.01</v>
      </c>
      <c r="AT218" s="13" t="n">
        <v>0.005</v>
      </c>
      <c r="AU218" s="13" t="n">
        <v>0.0025</v>
      </c>
      <c r="AV218" s="13" t="n">
        <v>-0.005</v>
      </c>
      <c r="AW218" s="13">
        <f>IF(X218="","",(AM218/100*AO218)+AP218+AQ218+AR218)</f>
        <v/>
      </c>
      <c r="AX218" s="13">
        <f>IF(X218="","",AS218+AT218+AU218+AV218)</f>
        <v/>
      </c>
      <c r="AY218" s="12">
        <f>IF(AZ218="","",ROUND(AZ218*(1+Assumptions!$B$10),0))</f>
        <v/>
      </c>
      <c r="AZ218" s="12">
        <f>IF(X218="","",ROUND(X218*(1+AW218),0))</f>
        <v/>
      </c>
      <c r="BA218" s="12">
        <f>IF(AZ218="","",ROUND(AZ218*(1+Assumptions!$B$11),0))</f>
        <v/>
      </c>
      <c r="BB218" s="12">
        <f>IF(AZ218="","",ROUND(AZ218*(1+AX218+Assumptions!$B$10),0))</f>
        <v/>
      </c>
      <c r="BC218" s="12">
        <f>IF(AZ218="","",ROUND(AZ218*(1+AX218),0))</f>
        <v/>
      </c>
      <c r="BD218" s="12">
        <f>IF(AZ218="","",ROUND(AZ218*(1+AX218+Assumptions!$B$11),0))</f>
        <v/>
      </c>
      <c r="BE218" s="12">
        <f>IF(AZ218="","",ROUND(AZ218*(1+AX218)*(1+AX218),0))</f>
        <v/>
      </c>
      <c r="BF218" s="7" t="inlineStr">
        <is>
          <t>Rules-based enrichment using launch-price anchor, cap-app realization, and 2026 segment conditions.</t>
        </is>
      </c>
      <c r="BG218" t="inlineStr">
        <is>
          <t>2026-03-17</t>
        </is>
      </c>
      <c r="BH218" s="7" t="inlineStr">
        <is>
          <t>DLD / Digital Dubai / CBUAE / Savills / Knight Frank-Moody’s / Reuters</t>
        </is>
      </c>
    </row>
    <row r="219">
      <c r="A219" t="n">
        <v>218</v>
      </c>
      <c r="B219" s="7" t="inlineStr">
        <is>
          <t>340 Riverside Crescent</t>
        </is>
      </c>
      <c r="C219" t="inlineStr">
        <is>
          <t>Sobha Realty</t>
        </is>
      </c>
      <c r="D219" t="inlineStr">
        <is>
          <t>Sobha Hartland II</t>
        </is>
      </c>
      <c r="E219" t="inlineStr">
        <is>
          <t>Apartments</t>
        </is>
      </c>
      <c r="F219" s="7" t="inlineStr">
        <is>
          <t>Waterfront</t>
        </is>
      </c>
      <c r="G219" t="inlineStr">
        <is>
          <t>1.5M</t>
        </is>
      </c>
      <c r="H219" t="inlineStr">
        <is>
          <t>1950</t>
        </is>
      </c>
      <c r="I219" t="inlineStr">
        <is>
          <t>20</t>
        </is>
      </c>
      <c r="J219" t="inlineStr">
        <is>
          <t>60/40</t>
        </is>
      </c>
      <c r="K219" t="inlineStr">
        <is>
          <t>2024</t>
        </is>
      </c>
      <c r="L219" t="inlineStr">
        <is>
          <t>6.5-7.0</t>
        </is>
      </c>
      <c r="M219" t="inlineStr">
        <is>
          <t>8-10</t>
        </is>
      </c>
      <c r="N219" t="inlineStr">
        <is>
          <t>14.5-17.0</t>
        </is>
      </c>
      <c r="O219" s="7" t="inlineStr">
        <is>
          <t>Hartland Intl</t>
        </is>
      </c>
      <c r="P219" s="7" t="inlineStr">
        <is>
          <t>American Hospital</t>
        </is>
      </c>
      <c r="Q219" s="7" t="inlineStr">
        <is>
          <t>Dubai Mall</t>
        </is>
      </c>
      <c r="R219" s="7" t="inlineStr">
        <is>
          <t>Ras Al Khor / E44</t>
        </is>
      </c>
      <c r="S219" t="inlineStr">
        <is>
          <t>12</t>
        </is>
      </c>
      <c r="T219" t="inlineStr">
        <is>
          <t>25</t>
        </is>
      </c>
      <c r="U219" t="inlineStr">
        <is>
          <t>15</t>
        </is>
      </c>
      <c r="V219" t="inlineStr">
        <is>
          <t>40</t>
        </is>
      </c>
      <c r="W219" t="n">
        <v>2</v>
      </c>
      <c r="X219" s="12" t="n">
        <v>1500000</v>
      </c>
      <c r="Y219" s="12" t="n">
        <v>1500000</v>
      </c>
      <c r="Z219" s="9" t="n">
        <v>6.5</v>
      </c>
      <c r="AA219" s="9" t="n">
        <v>7</v>
      </c>
      <c r="AB219" s="9" t="n">
        <v>8</v>
      </c>
      <c r="AC219" s="9" t="n">
        <v>10</v>
      </c>
      <c r="AD219" s="9" t="n">
        <v>14.5</v>
      </c>
      <c r="AE219" s="9" t="n">
        <v>17</v>
      </c>
      <c r="AF219" t="n">
        <v>2024</v>
      </c>
      <c r="AH219" t="inlineStr">
        <is>
          <t>Apartment</t>
        </is>
      </c>
      <c r="AI219" t="inlineStr">
        <is>
          <t>MainstreamSelective</t>
        </is>
      </c>
      <c r="AJ219" t="inlineStr">
        <is>
          <t>TopTier</t>
        </is>
      </c>
      <c r="AK219" t="inlineStr">
        <is>
          <t>Balanced / selective</t>
        </is>
      </c>
      <c r="AL219" s="7" t="inlineStr">
        <is>
          <t>Market remains active but increasingly differentiated by developer, micro-location, livability, and pricing discipline.</t>
        </is>
      </c>
      <c r="AM219" s="9" t="n">
        <v>9</v>
      </c>
      <c r="AN219" s="9" t="n">
        <v>6.75</v>
      </c>
      <c r="AO219" s="10" t="n">
        <v>0.55</v>
      </c>
      <c r="AP219" s="13" t="n">
        <v>0</v>
      </c>
      <c r="AQ219" s="13" t="n">
        <v>0</v>
      </c>
      <c r="AR219" s="13" t="n">
        <v>0</v>
      </c>
      <c r="AS219" s="13" t="n">
        <v>0.01</v>
      </c>
      <c r="AT219" s="13" t="n">
        <v>0.005</v>
      </c>
      <c r="AU219" s="13" t="n">
        <v>0.0025</v>
      </c>
      <c r="AV219" s="13" t="n">
        <v>-0.005</v>
      </c>
      <c r="AW219" s="13">
        <f>IF(X219="","",(AM219/100*AO219)+AP219+AQ219+AR219)</f>
        <v/>
      </c>
      <c r="AX219" s="13">
        <f>IF(X219="","",AS219+AT219+AU219+AV219)</f>
        <v/>
      </c>
      <c r="AY219" s="12">
        <f>IF(AZ219="","",ROUND(AZ219*(1+Assumptions!$B$10),0))</f>
        <v/>
      </c>
      <c r="AZ219" s="12">
        <f>IF(X219="","",ROUND(X219*(1+AW219),0))</f>
        <v/>
      </c>
      <c r="BA219" s="12">
        <f>IF(AZ219="","",ROUND(AZ219*(1+Assumptions!$B$11),0))</f>
        <v/>
      </c>
      <c r="BB219" s="12">
        <f>IF(AZ219="","",ROUND(AZ219*(1+AX219+Assumptions!$B$10),0))</f>
        <v/>
      </c>
      <c r="BC219" s="12">
        <f>IF(AZ219="","",ROUND(AZ219*(1+AX219),0))</f>
        <v/>
      </c>
      <c r="BD219" s="12">
        <f>IF(AZ219="","",ROUND(AZ219*(1+AX219+Assumptions!$B$11),0))</f>
        <v/>
      </c>
      <c r="BE219" s="12">
        <f>IF(AZ219="","",ROUND(AZ219*(1+AX219)*(1+AX219),0))</f>
        <v/>
      </c>
      <c r="BF219" s="7" t="inlineStr">
        <is>
          <t>Rules-based enrichment using launch-price anchor, cap-app realization, and 2026 segment conditions.</t>
        </is>
      </c>
      <c r="BG219" t="inlineStr">
        <is>
          <t>2026-03-17</t>
        </is>
      </c>
      <c r="BH219" s="7" t="inlineStr">
        <is>
          <t>DLD / Digital Dubai / CBUAE / Savills / Knight Frank-Moody’s / Reuters</t>
        </is>
      </c>
    </row>
    <row r="220">
      <c r="A220" t="n">
        <v>219</v>
      </c>
      <c r="B220" s="7" t="inlineStr">
        <is>
          <t>Sobha Estates</t>
        </is>
      </c>
      <c r="C220" t="inlineStr">
        <is>
          <t>Sobha Realty</t>
        </is>
      </c>
      <c r="D220" t="inlineStr">
        <is>
          <t>Sobha Hartland II</t>
        </is>
      </c>
      <c r="E220" t="inlineStr">
        <is>
          <t>Villas (5+ Beds)</t>
        </is>
      </c>
      <c r="F220" s="7" t="inlineStr">
        <is>
          <t>Gated / Forest</t>
        </is>
      </c>
      <c r="G220" t="inlineStr">
        <is>
          <t>22.8M</t>
        </is>
      </c>
      <c r="H220" t="inlineStr">
        <is>
          <t>2500</t>
        </is>
      </c>
      <c r="I220" t="inlineStr">
        <is>
          <t>18</t>
        </is>
      </c>
      <c r="J220" t="inlineStr">
        <is>
          <t>60/40</t>
        </is>
      </c>
      <c r="K220" t="inlineStr">
        <is>
          <t>2023</t>
        </is>
      </c>
      <c r="L220" t="inlineStr">
        <is>
          <t>4.5-5.0</t>
        </is>
      </c>
      <c r="M220" t="inlineStr">
        <is>
          <t>8-10</t>
        </is>
      </c>
      <c r="N220" t="inlineStr">
        <is>
          <t>12.5-15.0</t>
        </is>
      </c>
      <c r="O220" s="7" t="inlineStr">
        <is>
          <t>Hartland Intl</t>
        </is>
      </c>
      <c r="P220" s="7" t="inlineStr">
        <is>
          <t>American Hospital</t>
        </is>
      </c>
      <c r="Q220" s="7" t="inlineStr">
        <is>
          <t>Dubai Mall</t>
        </is>
      </c>
      <c r="R220" s="7" t="inlineStr">
        <is>
          <t>Ras Al Khor / E44</t>
        </is>
      </c>
      <c r="S220" t="inlineStr">
        <is>
          <t>12</t>
        </is>
      </c>
      <c r="T220" t="inlineStr">
        <is>
          <t>25</t>
        </is>
      </c>
      <c r="U220" t="inlineStr">
        <is>
          <t>15</t>
        </is>
      </c>
      <c r="V220" t="inlineStr">
        <is>
          <t>40</t>
        </is>
      </c>
      <c r="W220" t="n">
        <v>2</v>
      </c>
      <c r="X220" s="12" t="n">
        <v>22800000</v>
      </c>
      <c r="Y220" s="12" t="n">
        <v>22800000</v>
      </c>
      <c r="Z220" s="9" t="n">
        <v>4.5</v>
      </c>
      <c r="AA220" s="9" t="n">
        <v>5</v>
      </c>
      <c r="AB220" s="9" t="n">
        <v>8</v>
      </c>
      <c r="AC220" s="9" t="n">
        <v>10</v>
      </c>
      <c r="AD220" s="9" t="n">
        <v>12.5</v>
      </c>
      <c r="AE220" s="9" t="n">
        <v>15</v>
      </c>
      <c r="AF220" t="n">
        <v>2023</v>
      </c>
      <c r="AH220" t="inlineStr">
        <is>
          <t>Villa</t>
        </is>
      </c>
      <c r="AI220" t="inlineStr">
        <is>
          <t>MainstreamSelective</t>
        </is>
      </c>
      <c r="AJ220" t="inlineStr">
        <is>
          <t>TopTier</t>
        </is>
      </c>
      <c r="AK220" t="inlineStr">
        <is>
          <t>Family-villa resilient</t>
        </is>
      </c>
      <c r="AL220" s="7" t="inlineStr">
        <is>
          <t>Villa/townhouse demand remains relatively firmer, though growth should be slower than the post-2020 surge.</t>
        </is>
      </c>
      <c r="AM220" s="9" t="n">
        <v>9</v>
      </c>
      <c r="AN220" s="9" t="n">
        <v>4.75</v>
      </c>
      <c r="AO220" s="10" t="n">
        <v>0.55</v>
      </c>
      <c r="AP220" s="13" t="n">
        <v>0</v>
      </c>
      <c r="AQ220" s="13" t="n">
        <v>0.015</v>
      </c>
      <c r="AR220" s="13" t="n">
        <v>0</v>
      </c>
      <c r="AS220" s="13" t="n">
        <v>0.025</v>
      </c>
      <c r="AT220" s="13" t="n">
        <v>0.005</v>
      </c>
      <c r="AU220" s="13" t="n">
        <v>0</v>
      </c>
      <c r="AV220" s="13" t="n">
        <v>-0.005</v>
      </c>
      <c r="AW220" s="13">
        <f>IF(X220="","",(AM220/100*AO220)+AP220+AQ220+AR220)</f>
        <v/>
      </c>
      <c r="AX220" s="13">
        <f>IF(X220="","",AS220+AT220+AU220+AV220)</f>
        <v/>
      </c>
      <c r="AY220" s="12">
        <f>IF(AZ220="","",ROUND(AZ220*(1+Assumptions!$B$10),0))</f>
        <v/>
      </c>
      <c r="AZ220" s="12">
        <f>IF(X220="","",ROUND(X220*(1+AW220),0))</f>
        <v/>
      </c>
      <c r="BA220" s="12">
        <f>IF(AZ220="","",ROUND(AZ220*(1+Assumptions!$B$11),0))</f>
        <v/>
      </c>
      <c r="BB220" s="12">
        <f>IF(AZ220="","",ROUND(AZ220*(1+AX220+Assumptions!$B$10),0))</f>
        <v/>
      </c>
      <c r="BC220" s="12">
        <f>IF(AZ220="","",ROUND(AZ220*(1+AX220),0))</f>
        <v/>
      </c>
      <c r="BD220" s="12">
        <f>IF(AZ220="","",ROUND(AZ220*(1+AX220+Assumptions!$B$11),0))</f>
        <v/>
      </c>
      <c r="BE220" s="12">
        <f>IF(AZ220="","",ROUND(AZ220*(1+AX220)*(1+AX220),0))</f>
        <v/>
      </c>
      <c r="BF220" s="7" t="inlineStr">
        <is>
          <t>Rules-based enrichment using launch-price anchor, cap-app realization, and 2026 segment conditions.</t>
        </is>
      </c>
      <c r="BG220" t="inlineStr">
        <is>
          <t>2026-03-17</t>
        </is>
      </c>
      <c r="BH220" s="7" t="inlineStr">
        <is>
          <t>DLD / Digital Dubai / CBUAE / Savills / Knight Frank-Moody’s / Reuters</t>
        </is>
      </c>
    </row>
    <row r="221">
      <c r="A221" t="n">
        <v>220</v>
      </c>
      <c r="B221" s="7" t="inlineStr">
        <is>
          <t>Sobha Hartland I</t>
        </is>
      </c>
      <c r="C221" t="inlineStr">
        <is>
          <t>Sobha Realty</t>
        </is>
      </c>
      <c r="D221" t="inlineStr">
        <is>
          <t>MBR City</t>
        </is>
      </c>
      <c r="E221" t="inlineStr">
        <is>
          <t>Mixed</t>
        </is>
      </c>
      <c r="F221" s="7" t="inlineStr">
        <is>
          <t>City / Green</t>
        </is>
      </c>
      <c r="I221" t="inlineStr">
        <is>
          <t>18</t>
        </is>
      </c>
      <c r="J221" t="inlineStr">
        <is>
          <t>Varies</t>
        </is>
      </c>
      <c r="K221" t="inlineStr">
        <is>
          <t>Ongoing</t>
        </is>
      </c>
      <c r="L221" t="inlineStr">
        <is>
          <t>5.5-6.5</t>
        </is>
      </c>
      <c r="M221" t="inlineStr">
        <is>
          <t>5-8</t>
        </is>
      </c>
      <c r="N221" t="inlineStr">
        <is>
          <t>10.5-14.5</t>
        </is>
      </c>
      <c r="O221" s="7" t="inlineStr">
        <is>
          <t>Hartland Intl</t>
        </is>
      </c>
      <c r="P221" s="7" t="inlineStr">
        <is>
          <t>American Hospital</t>
        </is>
      </c>
      <c r="Q221" s="7" t="inlineStr">
        <is>
          <t>Dubai Mall</t>
        </is>
      </c>
      <c r="R221" s="7" t="inlineStr">
        <is>
          <t>Ras Al Khor / E44</t>
        </is>
      </c>
      <c r="S221" t="inlineStr">
        <is>
          <t>10</t>
        </is>
      </c>
      <c r="T221" t="inlineStr">
        <is>
          <t>25</t>
        </is>
      </c>
      <c r="U221" t="inlineStr">
        <is>
          <t>15</t>
        </is>
      </c>
      <c r="V221" t="inlineStr">
        <is>
          <t>40</t>
        </is>
      </c>
      <c r="W221" t="n">
        <v>2</v>
      </c>
      <c r="X221" s="12" t="n"/>
      <c r="Y221" s="12" t="n"/>
      <c r="Z221" s="9" t="n">
        <v>5.5</v>
      </c>
      <c r="AA221" s="9" t="n">
        <v>6.5</v>
      </c>
      <c r="AB221" s="9" t="n">
        <v>5</v>
      </c>
      <c r="AC221" s="9" t="n">
        <v>8</v>
      </c>
      <c r="AD221" s="9" t="n">
        <v>10.5</v>
      </c>
      <c r="AE221" s="9" t="n">
        <v>14.5</v>
      </c>
      <c r="AH221" t="inlineStr">
        <is>
          <t>Mixed/Other</t>
        </is>
      </c>
      <c r="AI221" t="inlineStr">
        <is>
          <t>MainstreamSelective</t>
        </is>
      </c>
      <c r="AJ221" t="inlineStr">
        <is>
          <t>TopTier</t>
        </is>
      </c>
      <c r="AK221" t="inlineStr">
        <is>
          <t>Balanced / selective</t>
        </is>
      </c>
      <c r="AL221" s="7" t="inlineStr">
        <is>
          <t>Market remains active but increasingly differentiated by developer, micro-location, livability, and pricing discipline.</t>
        </is>
      </c>
      <c r="AM221" s="9" t="n">
        <v>6.5</v>
      </c>
      <c r="AN221" s="9" t="n">
        <v>6</v>
      </c>
      <c r="AO221" s="10" t="n">
        <v>0.25</v>
      </c>
      <c r="AP221" s="13" t="n">
        <v>0</v>
      </c>
      <c r="AQ221" s="13" t="n">
        <v>0</v>
      </c>
      <c r="AR221" s="13" t="n">
        <v>0</v>
      </c>
      <c r="AS221" s="13" t="n">
        <v>0.01</v>
      </c>
      <c r="AT221" s="13" t="n">
        <v>0.005</v>
      </c>
      <c r="AU221" s="13" t="n">
        <v>0</v>
      </c>
      <c r="AV221" s="13" t="n">
        <v>-0.005</v>
      </c>
      <c r="AW221" s="13">
        <f>IF(X221="","",(AM221/100*AO221)+AP221+AQ221+AR221)</f>
        <v/>
      </c>
      <c r="AX221" s="13">
        <f>IF(X221="","",AS221+AT221+AU221+AV221)</f>
        <v/>
      </c>
      <c r="AY221" s="12">
        <f>IF(AZ221="","",ROUND(AZ221*(1+Assumptions!$B$10),0))</f>
        <v/>
      </c>
      <c r="AZ221" s="12">
        <f>IF(X221="","",ROUND(X221*(1+AW221),0))</f>
        <v/>
      </c>
      <c r="BA221" s="12">
        <f>IF(AZ221="","",ROUND(AZ221*(1+Assumptions!$B$11),0))</f>
        <v/>
      </c>
      <c r="BB221" s="12">
        <f>IF(AZ221="","",ROUND(AZ221*(1+AX221+Assumptions!$B$10),0))</f>
        <v/>
      </c>
      <c r="BC221" s="12">
        <f>IF(AZ221="","",ROUND(AZ221*(1+AX221),0))</f>
        <v/>
      </c>
      <c r="BD221" s="12">
        <f>IF(AZ221="","",ROUND(AZ221*(1+AX221+Assumptions!$B$11),0))</f>
        <v/>
      </c>
      <c r="BE221" s="12">
        <f>IF(AZ221="","",ROUND(AZ221*(1+AX221)*(1+AX221),0))</f>
        <v/>
      </c>
      <c r="BF221" s="7" t="inlineStr">
        <is>
          <t>Rules-based enrichment using launch-price anchor, cap-app realization, and 2026 segment conditions.</t>
        </is>
      </c>
      <c r="BG221" t="inlineStr">
        <is>
          <t>2026-03-17</t>
        </is>
      </c>
      <c r="BH221" s="7" t="inlineStr">
        <is>
          <t>DLD / Digital Dubai / CBUAE / Savills / Knight Frank-Moody’s / Reuters</t>
        </is>
      </c>
    </row>
    <row r="222">
      <c r="A222" t="n">
        <v>221</v>
      </c>
      <c r="B222" s="7" t="inlineStr">
        <is>
          <t>Creek Vistas Heights</t>
        </is>
      </c>
      <c r="C222" t="inlineStr">
        <is>
          <t>Sobha Realty</t>
        </is>
      </c>
      <c r="D222" t="inlineStr">
        <is>
          <t>Sobha Hartland I</t>
        </is>
      </c>
      <c r="E222" t="inlineStr">
        <is>
          <t>Apartments</t>
        </is>
      </c>
      <c r="F222" s="7" t="inlineStr">
        <is>
          <t>High-Rise / View</t>
        </is>
      </c>
      <c r="G222" t="inlineStr">
        <is>
          <t>1.6M</t>
        </is>
      </c>
      <c r="H222" t="inlineStr">
        <is>
          <t>1800</t>
        </is>
      </c>
      <c r="I222" t="inlineStr">
        <is>
          <t>20</t>
        </is>
      </c>
      <c r="J222" t="inlineStr">
        <is>
          <t>60/40</t>
        </is>
      </c>
      <c r="K222" t="inlineStr">
        <is>
          <t>2022</t>
        </is>
      </c>
      <c r="L222" t="inlineStr">
        <is>
          <t>6.0-6.5</t>
        </is>
      </c>
      <c r="M222" t="inlineStr">
        <is>
          <t>6-8</t>
        </is>
      </c>
      <c r="N222" t="inlineStr">
        <is>
          <t>12.0-14.5</t>
        </is>
      </c>
      <c r="O222" s="7" t="inlineStr">
        <is>
          <t>Hartland Intl</t>
        </is>
      </c>
      <c r="P222" s="7" t="inlineStr">
        <is>
          <t>American Hospital</t>
        </is>
      </c>
      <c r="Q222" s="7" t="inlineStr">
        <is>
          <t>Dubai Mall</t>
        </is>
      </c>
      <c r="R222" s="7" t="inlineStr">
        <is>
          <t>Ras Al Khor / E44</t>
        </is>
      </c>
      <c r="S222" t="inlineStr">
        <is>
          <t>10</t>
        </is>
      </c>
      <c r="T222" t="inlineStr">
        <is>
          <t>25</t>
        </is>
      </c>
      <c r="U222" t="inlineStr">
        <is>
          <t>15</t>
        </is>
      </c>
      <c r="V222" t="inlineStr">
        <is>
          <t>40</t>
        </is>
      </c>
      <c r="W222" t="n">
        <v>2</v>
      </c>
      <c r="X222" s="12" t="n">
        <v>1600000</v>
      </c>
      <c r="Y222" s="12" t="n">
        <v>1600000</v>
      </c>
      <c r="Z222" s="9" t="n">
        <v>6</v>
      </c>
      <c r="AA222" s="9" t="n">
        <v>6.5</v>
      </c>
      <c r="AB222" s="9" t="n">
        <v>6</v>
      </c>
      <c r="AC222" s="9" t="n">
        <v>8</v>
      </c>
      <c r="AD222" s="9" t="n">
        <v>12</v>
      </c>
      <c r="AE222" s="9" t="n">
        <v>14.5</v>
      </c>
      <c r="AF222" t="n">
        <v>2022</v>
      </c>
      <c r="AH222" t="inlineStr">
        <is>
          <t>Apartment</t>
        </is>
      </c>
      <c r="AI222" t="inlineStr">
        <is>
          <t>MainstreamSelective</t>
        </is>
      </c>
      <c r="AJ222" t="inlineStr">
        <is>
          <t>TopTier</t>
        </is>
      </c>
      <c r="AK222" t="inlineStr">
        <is>
          <t>Balanced / selective</t>
        </is>
      </c>
      <c r="AL222" s="7" t="inlineStr">
        <is>
          <t>Market remains active but increasingly differentiated by developer, micro-location, livability, and pricing discipline.</t>
        </is>
      </c>
      <c r="AM222" s="9" t="n">
        <v>7</v>
      </c>
      <c r="AN222" s="9" t="n">
        <v>6.25</v>
      </c>
      <c r="AO222" s="10" t="n">
        <v>0.55</v>
      </c>
      <c r="AP222" s="13" t="n">
        <v>0</v>
      </c>
      <c r="AQ222" s="13" t="n">
        <v>0</v>
      </c>
      <c r="AR222" s="13" t="n">
        <v>0</v>
      </c>
      <c r="AS222" s="13" t="n">
        <v>0.01</v>
      </c>
      <c r="AT222" s="13" t="n">
        <v>0.005</v>
      </c>
      <c r="AU222" s="13" t="n">
        <v>0.0025</v>
      </c>
      <c r="AV222" s="13" t="n">
        <v>-0.005</v>
      </c>
      <c r="AW222" s="13">
        <f>IF(X222="","",(AM222/100*AO222)+AP222+AQ222+AR222)</f>
        <v/>
      </c>
      <c r="AX222" s="13">
        <f>IF(X222="","",AS222+AT222+AU222+AV222)</f>
        <v/>
      </c>
      <c r="AY222" s="12">
        <f>IF(AZ222="","",ROUND(AZ222*(1+Assumptions!$B$10),0))</f>
        <v/>
      </c>
      <c r="AZ222" s="12">
        <f>IF(X222="","",ROUND(X222*(1+AW222),0))</f>
        <v/>
      </c>
      <c r="BA222" s="12">
        <f>IF(AZ222="","",ROUND(AZ222*(1+Assumptions!$B$11),0))</f>
        <v/>
      </c>
      <c r="BB222" s="12">
        <f>IF(AZ222="","",ROUND(AZ222*(1+AX222+Assumptions!$B$10),0))</f>
        <v/>
      </c>
      <c r="BC222" s="12">
        <f>IF(AZ222="","",ROUND(AZ222*(1+AX222),0))</f>
        <v/>
      </c>
      <c r="BD222" s="12">
        <f>IF(AZ222="","",ROUND(AZ222*(1+AX222+Assumptions!$B$11),0))</f>
        <v/>
      </c>
      <c r="BE222" s="12">
        <f>IF(AZ222="","",ROUND(AZ222*(1+AX222)*(1+AX222),0))</f>
        <v/>
      </c>
      <c r="BF222" s="7" t="inlineStr">
        <is>
          <t>Rules-based enrichment using launch-price anchor, cap-app realization, and 2026 segment conditions.</t>
        </is>
      </c>
      <c r="BG222" t="inlineStr">
        <is>
          <t>2026-03-17</t>
        </is>
      </c>
      <c r="BH222" s="7" t="inlineStr">
        <is>
          <t>DLD / Digital Dubai / CBUAE / Savills / Knight Frank-Moody’s / Reuters</t>
        </is>
      </c>
    </row>
    <row r="223">
      <c r="A223" t="n">
        <v>222</v>
      </c>
      <c r="B223" s="7" t="inlineStr">
        <is>
          <t>Creek Vistas Reserve</t>
        </is>
      </c>
      <c r="C223" t="inlineStr">
        <is>
          <t>Sobha Realty</t>
        </is>
      </c>
      <c r="D223" t="inlineStr">
        <is>
          <t>Sobha Hartland I</t>
        </is>
      </c>
      <c r="E223" t="inlineStr">
        <is>
          <t>Apartments</t>
        </is>
      </c>
      <c r="F223" s="7" t="inlineStr">
        <is>
          <t>High-Rise / View</t>
        </is>
      </c>
      <c r="G223" t="inlineStr">
        <is>
          <t>Resale</t>
        </is>
      </c>
      <c r="H223" t="inlineStr">
        <is>
          <t>1700</t>
        </is>
      </c>
      <c r="I223" t="inlineStr">
        <is>
          <t>20</t>
        </is>
      </c>
      <c r="J223" t="inlineStr">
        <is>
          <t>Completed</t>
        </is>
      </c>
      <c r="K223" t="inlineStr">
        <is>
          <t>2021</t>
        </is>
      </c>
      <c r="L223" t="inlineStr">
        <is>
          <t>6.5-7.0</t>
        </is>
      </c>
      <c r="M223" t="inlineStr">
        <is>
          <t>5-7</t>
        </is>
      </c>
      <c r="N223" t="inlineStr">
        <is>
          <t>11.5-14.0</t>
        </is>
      </c>
      <c r="O223" s="7" t="inlineStr">
        <is>
          <t>Hartland Intl</t>
        </is>
      </c>
      <c r="P223" s="7" t="inlineStr">
        <is>
          <t>American Hospital</t>
        </is>
      </c>
      <c r="Q223" s="7" t="inlineStr">
        <is>
          <t>Dubai Mall</t>
        </is>
      </c>
      <c r="R223" s="7" t="inlineStr">
        <is>
          <t>Ras Al Khor / E44</t>
        </is>
      </c>
      <c r="S223" t="inlineStr">
        <is>
          <t>10</t>
        </is>
      </c>
      <c r="T223" t="inlineStr">
        <is>
          <t>25</t>
        </is>
      </c>
      <c r="U223" t="inlineStr">
        <is>
          <t>15</t>
        </is>
      </c>
      <c r="V223" t="inlineStr">
        <is>
          <t>40</t>
        </is>
      </c>
      <c r="W223" t="n">
        <v>2</v>
      </c>
      <c r="X223" s="12" t="n"/>
      <c r="Y223" s="12" t="n"/>
      <c r="Z223" s="9" t="n">
        <v>6.5</v>
      </c>
      <c r="AA223" s="9" t="n">
        <v>7</v>
      </c>
      <c r="AB223" s="9" t="n">
        <v>5</v>
      </c>
      <c r="AC223" s="9" t="n">
        <v>7</v>
      </c>
      <c r="AD223" s="9" t="n">
        <v>11.5</v>
      </c>
      <c r="AE223" s="9" t="n">
        <v>14</v>
      </c>
      <c r="AF223" t="n">
        <v>2021</v>
      </c>
      <c r="AH223" t="inlineStr">
        <is>
          <t>Apartment</t>
        </is>
      </c>
      <c r="AI223" t="inlineStr">
        <is>
          <t>MainstreamSelective</t>
        </is>
      </c>
      <c r="AJ223" t="inlineStr">
        <is>
          <t>TopTier</t>
        </is>
      </c>
      <c r="AK223" t="inlineStr">
        <is>
          <t>Balanced / selective</t>
        </is>
      </c>
      <c r="AL223" s="7" t="inlineStr">
        <is>
          <t>Market remains active but increasingly differentiated by developer, micro-location, livability, and pricing discipline.</t>
        </is>
      </c>
      <c r="AM223" s="9" t="n">
        <v>6</v>
      </c>
      <c r="AN223" s="9" t="n">
        <v>6.75</v>
      </c>
      <c r="AO223" s="10" t="n">
        <v>0.55</v>
      </c>
      <c r="AP223" s="13" t="n">
        <v>0</v>
      </c>
      <c r="AQ223" s="13" t="n">
        <v>0</v>
      </c>
      <c r="AR223" s="13" t="n">
        <v>0</v>
      </c>
      <c r="AS223" s="13" t="n">
        <v>0.01</v>
      </c>
      <c r="AT223" s="13" t="n">
        <v>0.005</v>
      </c>
      <c r="AU223" s="13" t="n">
        <v>0.0025</v>
      </c>
      <c r="AV223" s="13" t="n">
        <v>-0.005</v>
      </c>
      <c r="AW223" s="13">
        <f>IF(X223="","",(AM223/100*AO223)+AP223+AQ223+AR223)</f>
        <v/>
      </c>
      <c r="AX223" s="13">
        <f>IF(X223="","",AS223+AT223+AU223+AV223)</f>
        <v/>
      </c>
      <c r="AY223" s="12">
        <f>IF(AZ223="","",ROUND(AZ223*(1+Assumptions!$B$10),0))</f>
        <v/>
      </c>
      <c r="AZ223" s="12">
        <f>IF(X223="","",ROUND(X223*(1+AW223),0))</f>
        <v/>
      </c>
      <c r="BA223" s="12">
        <f>IF(AZ223="","",ROUND(AZ223*(1+Assumptions!$B$11),0))</f>
        <v/>
      </c>
      <c r="BB223" s="12">
        <f>IF(AZ223="","",ROUND(AZ223*(1+AX223+Assumptions!$B$10),0))</f>
        <v/>
      </c>
      <c r="BC223" s="12">
        <f>IF(AZ223="","",ROUND(AZ223*(1+AX223),0))</f>
        <v/>
      </c>
      <c r="BD223" s="12">
        <f>IF(AZ223="","",ROUND(AZ223*(1+AX223+Assumptions!$B$11),0))</f>
        <v/>
      </c>
      <c r="BE223" s="12">
        <f>IF(AZ223="","",ROUND(AZ223*(1+AX223)*(1+AX223),0))</f>
        <v/>
      </c>
      <c r="BF223" s="7" t="inlineStr">
        <is>
          <t>Rules-based enrichment using launch-price anchor, cap-app realization, and 2026 segment conditions.</t>
        </is>
      </c>
      <c r="BG223" t="inlineStr">
        <is>
          <t>2026-03-17</t>
        </is>
      </c>
      <c r="BH223" s="7" t="inlineStr">
        <is>
          <t>DLD / Digital Dubai / CBUAE / Savills / Knight Frank-Moody’s / Reuters</t>
        </is>
      </c>
    </row>
    <row r="224">
      <c r="A224" t="n">
        <v>223</v>
      </c>
      <c r="B224" s="7" t="inlineStr">
        <is>
          <t>Creek Vistas Grande</t>
        </is>
      </c>
      <c r="C224" t="inlineStr">
        <is>
          <t>Sobha Realty</t>
        </is>
      </c>
      <c r="D224" t="inlineStr">
        <is>
          <t>Sobha Hartland I</t>
        </is>
      </c>
      <c r="E224" t="inlineStr">
        <is>
          <t>Apartments</t>
        </is>
      </c>
      <c r="F224" s="7" t="inlineStr">
        <is>
          <t>High-Rise / View</t>
        </is>
      </c>
      <c r="G224" t="inlineStr">
        <is>
          <t>Resale</t>
        </is>
      </c>
      <c r="H224" t="inlineStr">
        <is>
          <t>1800</t>
        </is>
      </c>
      <c r="I224" t="inlineStr">
        <is>
          <t>20</t>
        </is>
      </c>
      <c r="J224" t="inlineStr">
        <is>
          <t>Completed</t>
        </is>
      </c>
      <c r="K224" t="inlineStr">
        <is>
          <t>2022</t>
        </is>
      </c>
      <c r="L224" t="inlineStr">
        <is>
          <t>6.5-7.0</t>
        </is>
      </c>
      <c r="M224" t="inlineStr">
        <is>
          <t>5-7</t>
        </is>
      </c>
      <c r="N224" t="inlineStr">
        <is>
          <t>11.5-14.0</t>
        </is>
      </c>
      <c r="O224" s="7" t="inlineStr">
        <is>
          <t>Hartland Intl</t>
        </is>
      </c>
      <c r="P224" s="7" t="inlineStr">
        <is>
          <t>American Hospital</t>
        </is>
      </c>
      <c r="Q224" s="7" t="inlineStr">
        <is>
          <t>Dubai Mall</t>
        </is>
      </c>
      <c r="R224" s="7" t="inlineStr">
        <is>
          <t>Ras Al Khor / E44</t>
        </is>
      </c>
      <c r="S224" t="inlineStr">
        <is>
          <t>10</t>
        </is>
      </c>
      <c r="T224" t="inlineStr">
        <is>
          <t>25</t>
        </is>
      </c>
      <c r="U224" t="inlineStr">
        <is>
          <t>15</t>
        </is>
      </c>
      <c r="V224" t="inlineStr">
        <is>
          <t>40</t>
        </is>
      </c>
      <c r="W224" t="n">
        <v>2</v>
      </c>
      <c r="X224" s="12" t="n"/>
      <c r="Y224" s="12" t="n"/>
      <c r="Z224" s="9" t="n">
        <v>6.5</v>
      </c>
      <c r="AA224" s="9" t="n">
        <v>7</v>
      </c>
      <c r="AB224" s="9" t="n">
        <v>5</v>
      </c>
      <c r="AC224" s="9" t="n">
        <v>7</v>
      </c>
      <c r="AD224" s="9" t="n">
        <v>11.5</v>
      </c>
      <c r="AE224" s="9" t="n">
        <v>14</v>
      </c>
      <c r="AF224" t="n">
        <v>2022</v>
      </c>
      <c r="AH224" t="inlineStr">
        <is>
          <t>Apartment</t>
        </is>
      </c>
      <c r="AI224" t="inlineStr">
        <is>
          <t>MainstreamSelective</t>
        </is>
      </c>
      <c r="AJ224" t="inlineStr">
        <is>
          <t>TopTier</t>
        </is>
      </c>
      <c r="AK224" t="inlineStr">
        <is>
          <t>Balanced / selective</t>
        </is>
      </c>
      <c r="AL224" s="7" t="inlineStr">
        <is>
          <t>Market remains active but increasingly differentiated by developer, micro-location, livability, and pricing discipline.</t>
        </is>
      </c>
      <c r="AM224" s="9" t="n">
        <v>6</v>
      </c>
      <c r="AN224" s="9" t="n">
        <v>6.75</v>
      </c>
      <c r="AO224" s="10" t="n">
        <v>0.55</v>
      </c>
      <c r="AP224" s="13" t="n">
        <v>0</v>
      </c>
      <c r="AQ224" s="13" t="n">
        <v>0</v>
      </c>
      <c r="AR224" s="13" t="n">
        <v>0</v>
      </c>
      <c r="AS224" s="13" t="n">
        <v>0.01</v>
      </c>
      <c r="AT224" s="13" t="n">
        <v>0.005</v>
      </c>
      <c r="AU224" s="13" t="n">
        <v>0.0025</v>
      </c>
      <c r="AV224" s="13" t="n">
        <v>-0.005</v>
      </c>
      <c r="AW224" s="13">
        <f>IF(X224="","",(AM224/100*AO224)+AP224+AQ224+AR224)</f>
        <v/>
      </c>
      <c r="AX224" s="13">
        <f>IF(X224="","",AS224+AT224+AU224+AV224)</f>
        <v/>
      </c>
      <c r="AY224" s="12">
        <f>IF(AZ224="","",ROUND(AZ224*(1+Assumptions!$B$10),0))</f>
        <v/>
      </c>
      <c r="AZ224" s="12">
        <f>IF(X224="","",ROUND(X224*(1+AW224),0))</f>
        <v/>
      </c>
      <c r="BA224" s="12">
        <f>IF(AZ224="","",ROUND(AZ224*(1+Assumptions!$B$11),0))</f>
        <v/>
      </c>
      <c r="BB224" s="12">
        <f>IF(AZ224="","",ROUND(AZ224*(1+AX224+Assumptions!$B$10),0))</f>
        <v/>
      </c>
      <c r="BC224" s="12">
        <f>IF(AZ224="","",ROUND(AZ224*(1+AX224),0))</f>
        <v/>
      </c>
      <c r="BD224" s="12">
        <f>IF(AZ224="","",ROUND(AZ224*(1+AX224+Assumptions!$B$11),0))</f>
        <v/>
      </c>
      <c r="BE224" s="12">
        <f>IF(AZ224="","",ROUND(AZ224*(1+AX224)*(1+AX224),0))</f>
        <v/>
      </c>
      <c r="BF224" s="7" t="inlineStr">
        <is>
          <t>Rules-based enrichment using launch-price anchor, cap-app realization, and 2026 segment conditions.</t>
        </is>
      </c>
      <c r="BG224" t="inlineStr">
        <is>
          <t>2026-03-17</t>
        </is>
      </c>
      <c r="BH224" s="7" t="inlineStr">
        <is>
          <t>DLD / Digital Dubai / CBUAE / Savills / Knight Frank-Moody’s / Reuters</t>
        </is>
      </c>
    </row>
    <row r="225">
      <c r="A225" t="n">
        <v>224</v>
      </c>
      <c r="B225" s="7" t="inlineStr">
        <is>
          <t>Hartland Greens</t>
        </is>
      </c>
      <c r="C225" t="inlineStr">
        <is>
          <t>Sobha Realty</t>
        </is>
      </c>
      <c r="D225" t="inlineStr">
        <is>
          <t>Sobha Hartland I</t>
        </is>
      </c>
      <c r="E225" t="inlineStr">
        <is>
          <t>Apartments</t>
        </is>
      </c>
      <c r="F225" s="7" t="inlineStr">
        <is>
          <t>Low-Rise / Park</t>
        </is>
      </c>
      <c r="G225" t="inlineStr">
        <is>
          <t>Resale</t>
        </is>
      </c>
      <c r="H225" t="inlineStr">
        <is>
          <t>1600</t>
        </is>
      </c>
      <c r="I225" t="inlineStr">
        <is>
          <t>18</t>
        </is>
      </c>
      <c r="J225" t="inlineStr">
        <is>
          <t>Completed</t>
        </is>
      </c>
      <c r="K225" t="inlineStr">
        <is>
          <t>2018</t>
        </is>
      </c>
      <c r="L225" t="inlineStr">
        <is>
          <t>6.0-6.5</t>
        </is>
      </c>
      <c r="M225" t="inlineStr">
        <is>
          <t>5-7</t>
        </is>
      </c>
      <c r="N225" t="inlineStr">
        <is>
          <t>11.0-13.5</t>
        </is>
      </c>
      <c r="O225" s="7" t="inlineStr">
        <is>
          <t>Hartland Intl</t>
        </is>
      </c>
      <c r="P225" s="7" t="inlineStr">
        <is>
          <t>American Hospital</t>
        </is>
      </c>
      <c r="Q225" s="7" t="inlineStr">
        <is>
          <t>Dubai Mall</t>
        </is>
      </c>
      <c r="R225" s="7" t="inlineStr">
        <is>
          <t>Ras Al Khor / E44</t>
        </is>
      </c>
      <c r="S225" t="inlineStr">
        <is>
          <t>10</t>
        </is>
      </c>
      <c r="T225" t="inlineStr">
        <is>
          <t>25</t>
        </is>
      </c>
      <c r="U225" t="inlineStr">
        <is>
          <t>15</t>
        </is>
      </c>
      <c r="V225" t="inlineStr">
        <is>
          <t>40</t>
        </is>
      </c>
      <c r="W225" t="n">
        <v>2</v>
      </c>
      <c r="X225" s="12" t="n"/>
      <c r="Y225" s="12" t="n"/>
      <c r="Z225" s="9" t="n">
        <v>6</v>
      </c>
      <c r="AA225" s="9" t="n">
        <v>6.5</v>
      </c>
      <c r="AB225" s="9" t="n">
        <v>5</v>
      </c>
      <c r="AC225" s="9" t="n">
        <v>7</v>
      </c>
      <c r="AD225" s="9" t="n">
        <v>11</v>
      </c>
      <c r="AE225" s="9" t="n">
        <v>13.5</v>
      </c>
      <c r="AF225" t="n">
        <v>2018</v>
      </c>
      <c r="AH225" t="inlineStr">
        <is>
          <t>Apartment</t>
        </is>
      </c>
      <c r="AI225" t="inlineStr">
        <is>
          <t>MainstreamSelective</t>
        </is>
      </c>
      <c r="AJ225" t="inlineStr">
        <is>
          <t>TopTier</t>
        </is>
      </c>
      <c r="AK225" t="inlineStr">
        <is>
          <t>Balanced / selective</t>
        </is>
      </c>
      <c r="AL225" s="7" t="inlineStr">
        <is>
          <t>Market remains active but increasingly differentiated by developer, micro-location, livability, and pricing discipline.</t>
        </is>
      </c>
      <c r="AM225" s="9" t="n">
        <v>6</v>
      </c>
      <c r="AN225" s="9" t="n">
        <v>6.25</v>
      </c>
      <c r="AO225" s="10" t="n">
        <v>0.55</v>
      </c>
      <c r="AP225" s="13" t="n">
        <v>0</v>
      </c>
      <c r="AQ225" s="13" t="n">
        <v>0</v>
      </c>
      <c r="AR225" s="13" t="n">
        <v>0</v>
      </c>
      <c r="AS225" s="13" t="n">
        <v>0.01</v>
      </c>
      <c r="AT225" s="13" t="n">
        <v>0.005</v>
      </c>
      <c r="AU225" s="13" t="n">
        <v>0.0025</v>
      </c>
      <c r="AV225" s="13" t="n">
        <v>-0.005</v>
      </c>
      <c r="AW225" s="13">
        <f>IF(X225="","",(AM225/100*AO225)+AP225+AQ225+AR225)</f>
        <v/>
      </c>
      <c r="AX225" s="13">
        <f>IF(X225="","",AS225+AT225+AU225+AV225)</f>
        <v/>
      </c>
      <c r="AY225" s="12">
        <f>IF(AZ225="","",ROUND(AZ225*(1+Assumptions!$B$10),0))</f>
        <v/>
      </c>
      <c r="AZ225" s="12">
        <f>IF(X225="","",ROUND(X225*(1+AW225),0))</f>
        <v/>
      </c>
      <c r="BA225" s="12">
        <f>IF(AZ225="","",ROUND(AZ225*(1+Assumptions!$B$11),0))</f>
        <v/>
      </c>
      <c r="BB225" s="12">
        <f>IF(AZ225="","",ROUND(AZ225*(1+AX225+Assumptions!$B$10),0))</f>
        <v/>
      </c>
      <c r="BC225" s="12">
        <f>IF(AZ225="","",ROUND(AZ225*(1+AX225),0))</f>
        <v/>
      </c>
      <c r="BD225" s="12">
        <f>IF(AZ225="","",ROUND(AZ225*(1+AX225+Assumptions!$B$11),0))</f>
        <v/>
      </c>
      <c r="BE225" s="12">
        <f>IF(AZ225="","",ROUND(AZ225*(1+AX225)*(1+AX225),0))</f>
        <v/>
      </c>
      <c r="BF225" s="7" t="inlineStr">
        <is>
          <t>Rules-based enrichment using launch-price anchor, cap-app realization, and 2026 segment conditions.</t>
        </is>
      </c>
      <c r="BG225" t="inlineStr">
        <is>
          <t>2026-03-17</t>
        </is>
      </c>
      <c r="BH225" s="7" t="inlineStr">
        <is>
          <t>DLD / Digital Dubai / CBUAE / Savills / Knight Frank-Moody’s / Reuters</t>
        </is>
      </c>
    </row>
    <row r="226">
      <c r="A226" t="n">
        <v>225</v>
      </c>
      <c r="B226" s="7" t="inlineStr">
        <is>
          <t>One Park Avenue</t>
        </is>
      </c>
      <c r="C226" t="inlineStr">
        <is>
          <t>Sobha Realty</t>
        </is>
      </c>
      <c r="D226" t="inlineStr">
        <is>
          <t>Sobha Hartland I</t>
        </is>
      </c>
      <c r="E226" t="inlineStr">
        <is>
          <t>Apartments</t>
        </is>
      </c>
      <c r="F226" s="7" t="inlineStr">
        <is>
          <t>High-Rise / View</t>
        </is>
      </c>
      <c r="G226" t="inlineStr">
        <is>
          <t>Resale</t>
        </is>
      </c>
      <c r="H226" t="inlineStr">
        <is>
          <t>1900</t>
        </is>
      </c>
      <c r="I226" t="inlineStr">
        <is>
          <t>20</t>
        </is>
      </c>
      <c r="J226" t="inlineStr">
        <is>
          <t>Completed</t>
        </is>
      </c>
      <c r="K226" t="inlineStr">
        <is>
          <t>2021</t>
        </is>
      </c>
      <c r="L226" t="inlineStr">
        <is>
          <t>6.0-6.5</t>
        </is>
      </c>
      <c r="M226" t="inlineStr">
        <is>
          <t>5-7</t>
        </is>
      </c>
      <c r="N226" t="inlineStr">
        <is>
          <t>11.0-13.5</t>
        </is>
      </c>
      <c r="O226" s="7" t="inlineStr">
        <is>
          <t>Hartland Intl</t>
        </is>
      </c>
      <c r="P226" s="7" t="inlineStr">
        <is>
          <t>American Hospital</t>
        </is>
      </c>
      <c r="Q226" s="7" t="inlineStr">
        <is>
          <t>Dubai Mall</t>
        </is>
      </c>
      <c r="R226" s="7" t="inlineStr">
        <is>
          <t>Ras Al Khor / E44</t>
        </is>
      </c>
      <c r="S226" t="inlineStr">
        <is>
          <t>10</t>
        </is>
      </c>
      <c r="T226" t="inlineStr">
        <is>
          <t>25</t>
        </is>
      </c>
      <c r="U226" t="inlineStr">
        <is>
          <t>15</t>
        </is>
      </c>
      <c r="V226" t="inlineStr">
        <is>
          <t>40</t>
        </is>
      </c>
      <c r="W226" t="n">
        <v>2</v>
      </c>
      <c r="X226" s="12" t="n"/>
      <c r="Y226" s="12" t="n"/>
      <c r="Z226" s="9" t="n">
        <v>6</v>
      </c>
      <c r="AA226" s="9" t="n">
        <v>6.5</v>
      </c>
      <c r="AB226" s="9" t="n">
        <v>5</v>
      </c>
      <c r="AC226" s="9" t="n">
        <v>7</v>
      </c>
      <c r="AD226" s="9" t="n">
        <v>11</v>
      </c>
      <c r="AE226" s="9" t="n">
        <v>13.5</v>
      </c>
      <c r="AF226" t="n">
        <v>2021</v>
      </c>
      <c r="AH226" t="inlineStr">
        <is>
          <t>Apartment</t>
        </is>
      </c>
      <c r="AI226" t="inlineStr">
        <is>
          <t>MainstreamSelective</t>
        </is>
      </c>
      <c r="AJ226" t="inlineStr">
        <is>
          <t>TopTier</t>
        </is>
      </c>
      <c r="AK226" t="inlineStr">
        <is>
          <t>Balanced / selective</t>
        </is>
      </c>
      <c r="AL226" s="7" t="inlineStr">
        <is>
          <t>Market remains active but increasingly differentiated by developer, micro-location, livability, and pricing discipline.</t>
        </is>
      </c>
      <c r="AM226" s="9" t="n">
        <v>6</v>
      </c>
      <c r="AN226" s="9" t="n">
        <v>6.25</v>
      </c>
      <c r="AO226" s="10" t="n">
        <v>0.55</v>
      </c>
      <c r="AP226" s="13" t="n">
        <v>0</v>
      </c>
      <c r="AQ226" s="13" t="n">
        <v>0</v>
      </c>
      <c r="AR226" s="13" t="n">
        <v>0</v>
      </c>
      <c r="AS226" s="13" t="n">
        <v>0.01</v>
      </c>
      <c r="AT226" s="13" t="n">
        <v>0.005</v>
      </c>
      <c r="AU226" s="13" t="n">
        <v>0.0025</v>
      </c>
      <c r="AV226" s="13" t="n">
        <v>-0.005</v>
      </c>
      <c r="AW226" s="13">
        <f>IF(X226="","",(AM226/100*AO226)+AP226+AQ226+AR226)</f>
        <v/>
      </c>
      <c r="AX226" s="13">
        <f>IF(X226="","",AS226+AT226+AU226+AV226)</f>
        <v/>
      </c>
      <c r="AY226" s="12">
        <f>IF(AZ226="","",ROUND(AZ226*(1+Assumptions!$B$10),0))</f>
        <v/>
      </c>
      <c r="AZ226" s="12">
        <f>IF(X226="","",ROUND(X226*(1+AW226),0))</f>
        <v/>
      </c>
      <c r="BA226" s="12">
        <f>IF(AZ226="","",ROUND(AZ226*(1+Assumptions!$B$11),0))</f>
        <v/>
      </c>
      <c r="BB226" s="12">
        <f>IF(AZ226="","",ROUND(AZ226*(1+AX226+Assumptions!$B$10),0))</f>
        <v/>
      </c>
      <c r="BC226" s="12">
        <f>IF(AZ226="","",ROUND(AZ226*(1+AX226),0))</f>
        <v/>
      </c>
      <c r="BD226" s="12">
        <f>IF(AZ226="","",ROUND(AZ226*(1+AX226+Assumptions!$B$11),0))</f>
        <v/>
      </c>
      <c r="BE226" s="12">
        <f>IF(AZ226="","",ROUND(AZ226*(1+AX226)*(1+AX226),0))</f>
        <v/>
      </c>
      <c r="BF226" s="7" t="inlineStr">
        <is>
          <t>Rules-based enrichment using launch-price anchor, cap-app realization, and 2026 segment conditions.</t>
        </is>
      </c>
      <c r="BG226" t="inlineStr">
        <is>
          <t>2026-03-17</t>
        </is>
      </c>
      <c r="BH226" s="7" t="inlineStr">
        <is>
          <t>DLD / Digital Dubai / CBUAE / Savills / Knight Frank-Moody’s / Reuters</t>
        </is>
      </c>
    </row>
    <row r="227">
      <c r="A227" t="n">
        <v>226</v>
      </c>
      <c r="B227" s="7" t="inlineStr">
        <is>
          <t>Waves</t>
        </is>
      </c>
      <c r="C227" t="inlineStr">
        <is>
          <t>Sobha Realty</t>
        </is>
      </c>
      <c r="D227" t="inlineStr">
        <is>
          <t>Sobha Hartland I</t>
        </is>
      </c>
      <c r="E227" t="inlineStr">
        <is>
          <t>Apartments</t>
        </is>
      </c>
      <c r="F227" s="7" t="inlineStr">
        <is>
          <t>Waterfront</t>
        </is>
      </c>
      <c r="G227" t="inlineStr">
        <is>
          <t>Resale</t>
        </is>
      </c>
      <c r="H227" t="inlineStr">
        <is>
          <t>1800</t>
        </is>
      </c>
      <c r="I227" t="inlineStr">
        <is>
          <t>20</t>
        </is>
      </c>
      <c r="J227" t="inlineStr">
        <is>
          <t>Completed</t>
        </is>
      </c>
      <c r="K227" t="inlineStr">
        <is>
          <t>2022</t>
        </is>
      </c>
      <c r="L227" t="inlineStr">
        <is>
          <t>6.0-6.5</t>
        </is>
      </c>
      <c r="M227" t="inlineStr">
        <is>
          <t>6-8</t>
        </is>
      </c>
      <c r="N227" t="inlineStr">
        <is>
          <t>12.0-14.5</t>
        </is>
      </c>
      <c r="O227" s="7" t="inlineStr">
        <is>
          <t>Hartland Intl</t>
        </is>
      </c>
      <c r="P227" s="7" t="inlineStr">
        <is>
          <t>American Hospital</t>
        </is>
      </c>
      <c r="Q227" s="7" t="inlineStr">
        <is>
          <t>Dubai Mall</t>
        </is>
      </c>
      <c r="R227" s="7" t="inlineStr">
        <is>
          <t>Ras Al Khor / E44</t>
        </is>
      </c>
      <c r="S227" t="inlineStr">
        <is>
          <t>10</t>
        </is>
      </c>
      <c r="T227" t="inlineStr">
        <is>
          <t>25</t>
        </is>
      </c>
      <c r="U227" t="inlineStr">
        <is>
          <t>15</t>
        </is>
      </c>
      <c r="V227" t="inlineStr">
        <is>
          <t>40</t>
        </is>
      </c>
      <c r="W227" t="n">
        <v>2</v>
      </c>
      <c r="X227" s="12" t="n"/>
      <c r="Y227" s="12" t="n"/>
      <c r="Z227" s="9" t="n">
        <v>6</v>
      </c>
      <c r="AA227" s="9" t="n">
        <v>6.5</v>
      </c>
      <c r="AB227" s="9" t="n">
        <v>6</v>
      </c>
      <c r="AC227" s="9" t="n">
        <v>8</v>
      </c>
      <c r="AD227" s="9" t="n">
        <v>12</v>
      </c>
      <c r="AE227" s="9" t="n">
        <v>14.5</v>
      </c>
      <c r="AF227" t="n">
        <v>2022</v>
      </c>
      <c r="AH227" t="inlineStr">
        <is>
          <t>Apartment</t>
        </is>
      </c>
      <c r="AI227" t="inlineStr">
        <is>
          <t>MainstreamSelective</t>
        </is>
      </c>
      <c r="AJ227" t="inlineStr">
        <is>
          <t>TopTier</t>
        </is>
      </c>
      <c r="AK227" t="inlineStr">
        <is>
          <t>Balanced / selective</t>
        </is>
      </c>
      <c r="AL227" s="7" t="inlineStr">
        <is>
          <t>Market remains active but increasingly differentiated by developer, micro-location, livability, and pricing discipline.</t>
        </is>
      </c>
      <c r="AM227" s="9" t="n">
        <v>7</v>
      </c>
      <c r="AN227" s="9" t="n">
        <v>6.25</v>
      </c>
      <c r="AO227" s="10" t="n">
        <v>0.55</v>
      </c>
      <c r="AP227" s="13" t="n">
        <v>0</v>
      </c>
      <c r="AQ227" s="13" t="n">
        <v>0</v>
      </c>
      <c r="AR227" s="13" t="n">
        <v>0</v>
      </c>
      <c r="AS227" s="13" t="n">
        <v>0.01</v>
      </c>
      <c r="AT227" s="13" t="n">
        <v>0.005</v>
      </c>
      <c r="AU227" s="13" t="n">
        <v>0.0025</v>
      </c>
      <c r="AV227" s="13" t="n">
        <v>-0.005</v>
      </c>
      <c r="AW227" s="13">
        <f>IF(X227="","",(AM227/100*AO227)+AP227+AQ227+AR227)</f>
        <v/>
      </c>
      <c r="AX227" s="13">
        <f>IF(X227="","",AS227+AT227+AU227+AV227)</f>
        <v/>
      </c>
      <c r="AY227" s="12">
        <f>IF(AZ227="","",ROUND(AZ227*(1+Assumptions!$B$10),0))</f>
        <v/>
      </c>
      <c r="AZ227" s="12">
        <f>IF(X227="","",ROUND(X227*(1+AW227),0))</f>
        <v/>
      </c>
      <c r="BA227" s="12">
        <f>IF(AZ227="","",ROUND(AZ227*(1+Assumptions!$B$11),0))</f>
        <v/>
      </c>
      <c r="BB227" s="12">
        <f>IF(AZ227="","",ROUND(AZ227*(1+AX227+Assumptions!$B$10),0))</f>
        <v/>
      </c>
      <c r="BC227" s="12">
        <f>IF(AZ227="","",ROUND(AZ227*(1+AX227),0))</f>
        <v/>
      </c>
      <c r="BD227" s="12">
        <f>IF(AZ227="","",ROUND(AZ227*(1+AX227+Assumptions!$B$11),0))</f>
        <v/>
      </c>
      <c r="BE227" s="12">
        <f>IF(AZ227="","",ROUND(AZ227*(1+AX227)*(1+AX227),0))</f>
        <v/>
      </c>
      <c r="BF227" s="7" t="inlineStr">
        <is>
          <t>Rules-based enrichment using launch-price anchor, cap-app realization, and 2026 segment conditions.</t>
        </is>
      </c>
      <c r="BG227" t="inlineStr">
        <is>
          <t>2026-03-17</t>
        </is>
      </c>
      <c r="BH227" s="7" t="inlineStr">
        <is>
          <t>DLD / Digital Dubai / CBUAE / Savills / Knight Frank-Moody’s / Reuters</t>
        </is>
      </c>
    </row>
    <row r="228">
      <c r="A228" t="n">
        <v>227</v>
      </c>
      <c r="B228" s="7" t="inlineStr">
        <is>
          <t>Waves Grande</t>
        </is>
      </c>
      <c r="C228" t="inlineStr">
        <is>
          <t>Sobha Realty</t>
        </is>
      </c>
      <c r="D228" t="inlineStr">
        <is>
          <t>Sobha Hartland I</t>
        </is>
      </c>
      <c r="E228" t="inlineStr">
        <is>
          <t>Apartments</t>
        </is>
      </c>
      <c r="F228" s="7" t="inlineStr">
        <is>
          <t>Waterfront</t>
        </is>
      </c>
      <c r="G228" t="inlineStr">
        <is>
          <t>Resale</t>
        </is>
      </c>
      <c r="H228" t="inlineStr">
        <is>
          <t>1900</t>
        </is>
      </c>
      <c r="I228" t="inlineStr">
        <is>
          <t>20</t>
        </is>
      </c>
      <c r="J228" t="inlineStr">
        <is>
          <t>Completed</t>
        </is>
      </c>
      <c r="K228" t="inlineStr">
        <is>
          <t>2023</t>
        </is>
      </c>
      <c r="L228" t="inlineStr">
        <is>
          <t>6.0-6.5</t>
        </is>
      </c>
      <c r="M228" t="inlineStr">
        <is>
          <t>6-8</t>
        </is>
      </c>
      <c r="N228" t="inlineStr">
        <is>
          <t>12.0-14.5</t>
        </is>
      </c>
      <c r="O228" s="7" t="inlineStr">
        <is>
          <t>Hartland Intl</t>
        </is>
      </c>
      <c r="P228" s="7" t="inlineStr">
        <is>
          <t>American Hospital</t>
        </is>
      </c>
      <c r="Q228" s="7" t="inlineStr">
        <is>
          <t>Dubai Mall</t>
        </is>
      </c>
      <c r="R228" s="7" t="inlineStr">
        <is>
          <t>Ras Al Khor / E44</t>
        </is>
      </c>
      <c r="S228" t="inlineStr">
        <is>
          <t>10</t>
        </is>
      </c>
      <c r="T228" t="inlineStr">
        <is>
          <t>25</t>
        </is>
      </c>
      <c r="U228" t="inlineStr">
        <is>
          <t>15</t>
        </is>
      </c>
      <c r="V228" t="inlineStr">
        <is>
          <t>40</t>
        </is>
      </c>
      <c r="W228" t="n">
        <v>2</v>
      </c>
      <c r="X228" s="12" t="n"/>
      <c r="Y228" s="12" t="n"/>
      <c r="Z228" s="9" t="n">
        <v>6</v>
      </c>
      <c r="AA228" s="9" t="n">
        <v>6.5</v>
      </c>
      <c r="AB228" s="9" t="n">
        <v>6</v>
      </c>
      <c r="AC228" s="9" t="n">
        <v>8</v>
      </c>
      <c r="AD228" s="9" t="n">
        <v>12</v>
      </c>
      <c r="AE228" s="9" t="n">
        <v>14.5</v>
      </c>
      <c r="AF228" t="n">
        <v>2023</v>
      </c>
      <c r="AH228" t="inlineStr">
        <is>
          <t>Apartment</t>
        </is>
      </c>
      <c r="AI228" t="inlineStr">
        <is>
          <t>MainstreamSelective</t>
        </is>
      </c>
      <c r="AJ228" t="inlineStr">
        <is>
          <t>TopTier</t>
        </is>
      </c>
      <c r="AK228" t="inlineStr">
        <is>
          <t>Balanced / selective</t>
        </is>
      </c>
      <c r="AL228" s="7" t="inlineStr">
        <is>
          <t>Market remains active but increasingly differentiated by developer, micro-location, livability, and pricing discipline.</t>
        </is>
      </c>
      <c r="AM228" s="9" t="n">
        <v>7</v>
      </c>
      <c r="AN228" s="9" t="n">
        <v>6.25</v>
      </c>
      <c r="AO228" s="10" t="n">
        <v>0.55</v>
      </c>
      <c r="AP228" s="13" t="n">
        <v>0</v>
      </c>
      <c r="AQ228" s="13" t="n">
        <v>0</v>
      </c>
      <c r="AR228" s="13" t="n">
        <v>0</v>
      </c>
      <c r="AS228" s="13" t="n">
        <v>0.01</v>
      </c>
      <c r="AT228" s="13" t="n">
        <v>0.005</v>
      </c>
      <c r="AU228" s="13" t="n">
        <v>0.0025</v>
      </c>
      <c r="AV228" s="13" t="n">
        <v>-0.005</v>
      </c>
      <c r="AW228" s="13">
        <f>IF(X228="","",(AM228/100*AO228)+AP228+AQ228+AR228)</f>
        <v/>
      </c>
      <c r="AX228" s="13">
        <f>IF(X228="","",AS228+AT228+AU228+AV228)</f>
        <v/>
      </c>
      <c r="AY228" s="12">
        <f>IF(AZ228="","",ROUND(AZ228*(1+Assumptions!$B$10),0))</f>
        <v/>
      </c>
      <c r="AZ228" s="12">
        <f>IF(X228="","",ROUND(X228*(1+AW228),0))</f>
        <v/>
      </c>
      <c r="BA228" s="12">
        <f>IF(AZ228="","",ROUND(AZ228*(1+Assumptions!$B$11),0))</f>
        <v/>
      </c>
      <c r="BB228" s="12">
        <f>IF(AZ228="","",ROUND(AZ228*(1+AX228+Assumptions!$B$10),0))</f>
        <v/>
      </c>
      <c r="BC228" s="12">
        <f>IF(AZ228="","",ROUND(AZ228*(1+AX228),0))</f>
        <v/>
      </c>
      <c r="BD228" s="12">
        <f>IF(AZ228="","",ROUND(AZ228*(1+AX228+Assumptions!$B$11),0))</f>
        <v/>
      </c>
      <c r="BE228" s="12">
        <f>IF(AZ228="","",ROUND(AZ228*(1+AX228)*(1+AX228),0))</f>
        <v/>
      </c>
      <c r="BF228" s="7" t="inlineStr">
        <is>
          <t>Rules-based enrichment using launch-price anchor, cap-app realization, and 2026 segment conditions.</t>
        </is>
      </c>
      <c r="BG228" t="inlineStr">
        <is>
          <t>2026-03-17</t>
        </is>
      </c>
      <c r="BH228" s="7" t="inlineStr">
        <is>
          <t>DLD / Digital Dubai / CBUAE / Savills / Knight Frank-Moody’s / Reuters</t>
        </is>
      </c>
    </row>
    <row r="229">
      <c r="A229" t="n">
        <v>228</v>
      </c>
      <c r="B229" s="7" t="inlineStr">
        <is>
          <t>Forest Villas</t>
        </is>
      </c>
      <c r="C229" t="inlineStr">
        <is>
          <t>Sobha Realty</t>
        </is>
      </c>
      <c r="D229" t="inlineStr">
        <is>
          <t>Sobha Hartland I</t>
        </is>
      </c>
      <c r="E229" t="inlineStr">
        <is>
          <t>Villas</t>
        </is>
      </c>
      <c r="F229" s="7" t="inlineStr">
        <is>
          <t>Luxury / Green</t>
        </is>
      </c>
      <c r="G229" t="inlineStr">
        <is>
          <t>Resale (15M+)</t>
        </is>
      </c>
      <c r="H229" t="inlineStr">
        <is>
          <t>2200</t>
        </is>
      </c>
      <c r="I229" t="inlineStr">
        <is>
          <t>15</t>
        </is>
      </c>
      <c r="J229" t="inlineStr">
        <is>
          <t>Completed</t>
        </is>
      </c>
      <c r="K229" t="inlineStr">
        <is>
          <t>2020</t>
        </is>
      </c>
      <c r="L229" t="inlineStr">
        <is>
          <t>4.5-5.0</t>
        </is>
      </c>
      <c r="M229" t="inlineStr">
        <is>
          <t>6-8</t>
        </is>
      </c>
      <c r="N229" t="inlineStr">
        <is>
          <t>10.5-13.0</t>
        </is>
      </c>
      <c r="O229" s="7" t="inlineStr">
        <is>
          <t>Hartland Intl</t>
        </is>
      </c>
      <c r="P229" s="7" t="inlineStr">
        <is>
          <t>American Hospital</t>
        </is>
      </c>
      <c r="Q229" s="7" t="inlineStr">
        <is>
          <t>Dubai Mall</t>
        </is>
      </c>
      <c r="R229" s="7" t="inlineStr">
        <is>
          <t>Ras Al Khor / E44</t>
        </is>
      </c>
      <c r="S229" t="inlineStr">
        <is>
          <t>10</t>
        </is>
      </c>
      <c r="T229" t="inlineStr">
        <is>
          <t>25</t>
        </is>
      </c>
      <c r="U229" t="inlineStr">
        <is>
          <t>15</t>
        </is>
      </c>
      <c r="V229" t="inlineStr">
        <is>
          <t>40</t>
        </is>
      </c>
      <c r="W229" t="n">
        <v>2</v>
      </c>
      <c r="X229" s="12" t="n">
        <v>15000000</v>
      </c>
      <c r="Y229" s="12" t="n">
        <v>15000000</v>
      </c>
      <c r="Z229" s="9" t="n">
        <v>4.5</v>
      </c>
      <c r="AA229" s="9" t="n">
        <v>5</v>
      </c>
      <c r="AB229" s="9" t="n">
        <v>6</v>
      </c>
      <c r="AC229" s="9" t="n">
        <v>8</v>
      </c>
      <c r="AD229" s="9" t="n">
        <v>10.5</v>
      </c>
      <c r="AE229" s="9" t="n">
        <v>13</v>
      </c>
      <c r="AF229" t="n">
        <v>2020</v>
      </c>
      <c r="AH229" t="inlineStr">
        <is>
          <t>Villa</t>
        </is>
      </c>
      <c r="AI229" t="inlineStr">
        <is>
          <t>MainstreamSelective</t>
        </is>
      </c>
      <c r="AJ229" t="inlineStr">
        <is>
          <t>TopTier</t>
        </is>
      </c>
      <c r="AK229" t="inlineStr">
        <is>
          <t>Family-villa resilient</t>
        </is>
      </c>
      <c r="AL229" s="7" t="inlineStr">
        <is>
          <t>Villa/townhouse demand remains relatively firmer, though growth should be slower than the post-2020 surge.</t>
        </is>
      </c>
      <c r="AM229" s="9" t="n">
        <v>7</v>
      </c>
      <c r="AN229" s="9" t="n">
        <v>4.75</v>
      </c>
      <c r="AO229" s="10" t="n">
        <v>0.55</v>
      </c>
      <c r="AP229" s="13" t="n">
        <v>0</v>
      </c>
      <c r="AQ229" s="13" t="n">
        <v>0.015</v>
      </c>
      <c r="AR229" s="13" t="n">
        <v>0</v>
      </c>
      <c r="AS229" s="13" t="n">
        <v>0.025</v>
      </c>
      <c r="AT229" s="13" t="n">
        <v>0.005</v>
      </c>
      <c r="AU229" s="13" t="n">
        <v>0</v>
      </c>
      <c r="AV229" s="13" t="n">
        <v>-0.005</v>
      </c>
      <c r="AW229" s="13">
        <f>IF(X229="","",(AM229/100*AO229)+AP229+AQ229+AR229)</f>
        <v/>
      </c>
      <c r="AX229" s="13">
        <f>IF(X229="","",AS229+AT229+AU229+AV229)</f>
        <v/>
      </c>
      <c r="AY229" s="12">
        <f>IF(AZ229="","",ROUND(AZ229*(1+Assumptions!$B$10),0))</f>
        <v/>
      </c>
      <c r="AZ229" s="12">
        <f>IF(X229="","",ROUND(X229*(1+AW229),0))</f>
        <v/>
      </c>
      <c r="BA229" s="12">
        <f>IF(AZ229="","",ROUND(AZ229*(1+Assumptions!$B$11),0))</f>
        <v/>
      </c>
      <c r="BB229" s="12">
        <f>IF(AZ229="","",ROUND(AZ229*(1+AX229+Assumptions!$B$10),0))</f>
        <v/>
      </c>
      <c r="BC229" s="12">
        <f>IF(AZ229="","",ROUND(AZ229*(1+AX229),0))</f>
        <v/>
      </c>
      <c r="BD229" s="12">
        <f>IF(AZ229="","",ROUND(AZ229*(1+AX229+Assumptions!$B$11),0))</f>
        <v/>
      </c>
      <c r="BE229" s="12">
        <f>IF(AZ229="","",ROUND(AZ229*(1+AX229)*(1+AX229),0))</f>
        <v/>
      </c>
      <c r="BF229" s="7" t="inlineStr">
        <is>
          <t>Rules-based enrichment using launch-price anchor, cap-app realization, and 2026 segment conditions.</t>
        </is>
      </c>
      <c r="BG229" t="inlineStr">
        <is>
          <t>2026-03-17</t>
        </is>
      </c>
      <c r="BH229" s="7" t="inlineStr">
        <is>
          <t>DLD / Digital Dubai / CBUAE / Savills / Knight Frank-Moody’s / Reuters</t>
        </is>
      </c>
    </row>
    <row r="230">
      <c r="A230" t="n">
        <v>229</v>
      </c>
      <c r="B230" s="7" t="inlineStr">
        <is>
          <t>Sobha Elwood</t>
        </is>
      </c>
      <c r="C230" t="inlineStr">
        <is>
          <t>Sobha Realty</t>
        </is>
      </c>
      <c r="D230" t="inlineStr">
        <is>
          <t>Dubailand</t>
        </is>
      </c>
      <c r="E230" t="inlineStr">
        <is>
          <t>Villas</t>
        </is>
      </c>
      <c r="F230" s="7" t="inlineStr">
        <is>
          <t>Green / Nature</t>
        </is>
      </c>
      <c r="G230" t="inlineStr">
        <is>
          <t>4.5M</t>
        </is>
      </c>
      <c r="H230" t="inlineStr">
        <is>
          <t>1400</t>
        </is>
      </c>
      <c r="I230" t="inlineStr">
        <is>
          <t>15</t>
        </is>
      </c>
      <c r="J230" t="inlineStr">
        <is>
          <t>60/40</t>
        </is>
      </c>
      <c r="K230" t="inlineStr">
        <is>
          <t>2024</t>
        </is>
      </c>
      <c r="L230" t="inlineStr">
        <is>
          <t>6.0-6.5</t>
        </is>
      </c>
      <c r="M230" t="inlineStr">
        <is>
          <t>10-12</t>
        </is>
      </c>
      <c r="N230" t="inlineStr">
        <is>
          <t>16.0-18.5</t>
        </is>
      </c>
      <c r="O230" s="7" t="inlineStr">
        <is>
          <t>GEMS Winchester</t>
        </is>
      </c>
      <c r="P230" s="7" t="inlineStr">
        <is>
          <t>Fakeeh University Hosp</t>
        </is>
      </c>
      <c r="Q230" s="7" t="inlineStr">
        <is>
          <t>Dubai Outlet Mall</t>
        </is>
      </c>
      <c r="R230" s="7" t="inlineStr">
        <is>
          <t>E611 / Al Ain Rd</t>
        </is>
      </c>
      <c r="S230" t="inlineStr">
        <is>
          <t>20</t>
        </is>
      </c>
      <c r="T230" t="inlineStr">
        <is>
          <t>25</t>
        </is>
      </c>
      <c r="U230" t="inlineStr">
        <is>
          <t>25</t>
        </is>
      </c>
      <c r="V230" t="inlineStr">
        <is>
          <t>30</t>
        </is>
      </c>
      <c r="W230" t="n">
        <v>2</v>
      </c>
      <c r="X230" s="12" t="n">
        <v>4500000</v>
      </c>
      <c r="Y230" s="12" t="n">
        <v>4500000</v>
      </c>
      <c r="Z230" s="9" t="n">
        <v>6</v>
      </c>
      <c r="AA230" s="9" t="n">
        <v>6.5</v>
      </c>
      <c r="AB230" s="9" t="n">
        <v>10</v>
      </c>
      <c r="AC230" s="9" t="n">
        <v>12</v>
      </c>
      <c r="AD230" s="9" t="n">
        <v>16</v>
      </c>
      <c r="AE230" s="9" t="n">
        <v>18.5</v>
      </c>
      <c r="AF230" t="n">
        <v>2024</v>
      </c>
      <c r="AH230" t="inlineStr">
        <is>
          <t>Villa</t>
        </is>
      </c>
      <c r="AI230" t="inlineStr">
        <is>
          <t>MainstreamSelective</t>
        </is>
      </c>
      <c r="AJ230" t="inlineStr">
        <is>
          <t>TopTier</t>
        </is>
      </c>
      <c r="AK230" t="inlineStr">
        <is>
          <t>Family-villa resilient</t>
        </is>
      </c>
      <c r="AL230" s="7" t="inlineStr">
        <is>
          <t>Villa/townhouse demand remains relatively firmer, though growth should be slower than the post-2020 surge.</t>
        </is>
      </c>
      <c r="AM230" s="9" t="n">
        <v>11</v>
      </c>
      <c r="AN230" s="9" t="n">
        <v>6.25</v>
      </c>
      <c r="AO230" s="10" t="n">
        <v>0.55</v>
      </c>
      <c r="AP230" s="13" t="n">
        <v>0</v>
      </c>
      <c r="AQ230" s="13" t="n">
        <v>0.015</v>
      </c>
      <c r="AR230" s="13" t="n">
        <v>0</v>
      </c>
      <c r="AS230" s="13" t="n">
        <v>0.025</v>
      </c>
      <c r="AT230" s="13" t="n">
        <v>0.005</v>
      </c>
      <c r="AU230" s="13" t="n">
        <v>0.0025</v>
      </c>
      <c r="AV230" s="13" t="n">
        <v>-0.005</v>
      </c>
      <c r="AW230" s="13">
        <f>IF(X230="","",(AM230/100*AO230)+AP230+AQ230+AR230)</f>
        <v/>
      </c>
      <c r="AX230" s="13">
        <f>IF(X230="","",AS230+AT230+AU230+AV230)</f>
        <v/>
      </c>
      <c r="AY230" s="12">
        <f>IF(AZ230="","",ROUND(AZ230*(1+Assumptions!$B$10),0))</f>
        <v/>
      </c>
      <c r="AZ230" s="12">
        <f>IF(X230="","",ROUND(X230*(1+AW230),0))</f>
        <v/>
      </c>
      <c r="BA230" s="12">
        <f>IF(AZ230="","",ROUND(AZ230*(1+Assumptions!$B$11),0))</f>
        <v/>
      </c>
      <c r="BB230" s="12">
        <f>IF(AZ230="","",ROUND(AZ230*(1+AX230+Assumptions!$B$10),0))</f>
        <v/>
      </c>
      <c r="BC230" s="12">
        <f>IF(AZ230="","",ROUND(AZ230*(1+AX230),0))</f>
        <v/>
      </c>
      <c r="BD230" s="12">
        <f>IF(AZ230="","",ROUND(AZ230*(1+AX230+Assumptions!$B$11),0))</f>
        <v/>
      </c>
      <c r="BE230" s="12">
        <f>IF(AZ230="","",ROUND(AZ230*(1+AX230)*(1+AX230),0))</f>
        <v/>
      </c>
      <c r="BF230" s="7" t="inlineStr">
        <is>
          <t>Rules-based enrichment using launch-price anchor, cap-app realization, and 2026 segment conditions.</t>
        </is>
      </c>
      <c r="BG230" t="inlineStr">
        <is>
          <t>2026-03-17</t>
        </is>
      </c>
      <c r="BH230" s="7" t="inlineStr">
        <is>
          <t>DLD / Digital Dubai / CBUAE / Savills / Knight Frank-Moody’s / Reuters</t>
        </is>
      </c>
    </row>
    <row r="231">
      <c r="A231" t="n">
        <v>230</v>
      </c>
      <c r="B231" s="7" t="inlineStr">
        <is>
          <t>Sobha Reserve</t>
        </is>
      </c>
      <c r="C231" t="inlineStr">
        <is>
          <t>Sobha Realty</t>
        </is>
      </c>
      <c r="D231" t="inlineStr">
        <is>
          <t>Wadi Al Safa 2</t>
        </is>
      </c>
      <c r="E231" t="inlineStr">
        <is>
          <t>Villas</t>
        </is>
      </c>
      <c r="F231" s="7" t="inlineStr">
        <is>
          <t>Forest / Gated</t>
        </is>
      </c>
      <c r="G231" t="inlineStr">
        <is>
          <t>7.5M</t>
        </is>
      </c>
      <c r="H231" t="inlineStr">
        <is>
          <t>1600</t>
        </is>
      </c>
      <c r="I231" t="inlineStr">
        <is>
          <t>15</t>
        </is>
      </c>
      <c r="J231" t="inlineStr">
        <is>
          <t>60/40</t>
        </is>
      </c>
      <c r="K231" t="inlineStr">
        <is>
          <t>2023</t>
        </is>
      </c>
      <c r="L231" t="inlineStr">
        <is>
          <t>5.0-5.5</t>
        </is>
      </c>
      <c r="M231" t="inlineStr">
        <is>
          <t>10-12</t>
        </is>
      </c>
      <c r="N231" t="inlineStr">
        <is>
          <t>15.0-17.5</t>
        </is>
      </c>
      <c r="O231" s="7" t="inlineStr">
        <is>
          <t>GEMS Winchester</t>
        </is>
      </c>
      <c r="P231" s="7" t="inlineStr">
        <is>
          <t>Fakeeh University Hosp</t>
        </is>
      </c>
      <c r="Q231" s="7" t="inlineStr">
        <is>
          <t>Dubai Outlet Mall</t>
        </is>
      </c>
      <c r="R231" s="7" t="inlineStr">
        <is>
          <t>E611 / Al Ain Rd</t>
        </is>
      </c>
      <c r="S231" t="inlineStr">
        <is>
          <t>20</t>
        </is>
      </c>
      <c r="T231" t="inlineStr">
        <is>
          <t>25</t>
        </is>
      </c>
      <c r="U231" t="inlineStr">
        <is>
          <t>25</t>
        </is>
      </c>
      <c r="V231" t="inlineStr">
        <is>
          <t>30</t>
        </is>
      </c>
      <c r="W231" t="n">
        <v>2</v>
      </c>
      <c r="X231" s="12" t="n">
        <v>7500000</v>
      </c>
      <c r="Y231" s="12" t="n">
        <v>7500000</v>
      </c>
      <c r="Z231" s="9" t="n">
        <v>5</v>
      </c>
      <c r="AA231" s="9" t="n">
        <v>5.5</v>
      </c>
      <c r="AB231" s="9" t="n">
        <v>10</v>
      </c>
      <c r="AC231" s="9" t="n">
        <v>12</v>
      </c>
      <c r="AD231" s="9" t="n">
        <v>15</v>
      </c>
      <c r="AE231" s="9" t="n">
        <v>17.5</v>
      </c>
      <c r="AF231" t="n">
        <v>2023</v>
      </c>
      <c r="AH231" t="inlineStr">
        <is>
          <t>Villa</t>
        </is>
      </c>
      <c r="AI231" t="inlineStr">
        <is>
          <t>MainstreamSelective</t>
        </is>
      </c>
      <c r="AJ231" t="inlineStr">
        <is>
          <t>TopTier</t>
        </is>
      </c>
      <c r="AK231" t="inlineStr">
        <is>
          <t>Family-villa resilient</t>
        </is>
      </c>
      <c r="AL231" s="7" t="inlineStr">
        <is>
          <t>Villa/townhouse demand remains relatively firmer, though growth should be slower than the post-2020 surge.</t>
        </is>
      </c>
      <c r="AM231" s="9" t="n">
        <v>11</v>
      </c>
      <c r="AN231" s="9" t="n">
        <v>5.25</v>
      </c>
      <c r="AO231" s="10" t="n">
        <v>0.55</v>
      </c>
      <c r="AP231" s="13" t="n">
        <v>0</v>
      </c>
      <c r="AQ231" s="13" t="n">
        <v>0.015</v>
      </c>
      <c r="AR231" s="13" t="n">
        <v>0</v>
      </c>
      <c r="AS231" s="13" t="n">
        <v>0.025</v>
      </c>
      <c r="AT231" s="13" t="n">
        <v>0.005</v>
      </c>
      <c r="AU231" s="13" t="n">
        <v>0</v>
      </c>
      <c r="AV231" s="13" t="n">
        <v>-0.005</v>
      </c>
      <c r="AW231" s="13">
        <f>IF(X231="","",(AM231/100*AO231)+AP231+AQ231+AR231)</f>
        <v/>
      </c>
      <c r="AX231" s="13">
        <f>IF(X231="","",AS231+AT231+AU231+AV231)</f>
        <v/>
      </c>
      <c r="AY231" s="12">
        <f>IF(AZ231="","",ROUND(AZ231*(1+Assumptions!$B$10),0))</f>
        <v/>
      </c>
      <c r="AZ231" s="12">
        <f>IF(X231="","",ROUND(X231*(1+AW231),0))</f>
        <v/>
      </c>
      <c r="BA231" s="12">
        <f>IF(AZ231="","",ROUND(AZ231*(1+Assumptions!$B$11),0))</f>
        <v/>
      </c>
      <c r="BB231" s="12">
        <f>IF(AZ231="","",ROUND(AZ231*(1+AX231+Assumptions!$B$10),0))</f>
        <v/>
      </c>
      <c r="BC231" s="12">
        <f>IF(AZ231="","",ROUND(AZ231*(1+AX231),0))</f>
        <v/>
      </c>
      <c r="BD231" s="12">
        <f>IF(AZ231="","",ROUND(AZ231*(1+AX231+Assumptions!$B$11),0))</f>
        <v/>
      </c>
      <c r="BE231" s="12">
        <f>IF(AZ231="","",ROUND(AZ231*(1+AX231)*(1+AX231),0))</f>
        <v/>
      </c>
      <c r="BF231" s="7" t="inlineStr">
        <is>
          <t>Rules-based enrichment using launch-price anchor, cap-app realization, and 2026 segment conditions.</t>
        </is>
      </c>
      <c r="BG231" t="inlineStr">
        <is>
          <t>2026-03-17</t>
        </is>
      </c>
      <c r="BH231" s="7" t="inlineStr">
        <is>
          <t>DLD / Digital Dubai / CBUAE / Savills / Knight Frank-Moody’s / Reuters</t>
        </is>
      </c>
    </row>
    <row r="232">
      <c r="A232" t="n">
        <v>231</v>
      </c>
      <c r="B232" s="7" t="inlineStr">
        <is>
          <t>Sobha Seahaven</t>
        </is>
      </c>
      <c r="C232" t="inlineStr">
        <is>
          <t>Sobha Realty</t>
        </is>
      </c>
      <c r="D232" t="inlineStr">
        <is>
          <t>Dubai Harbour</t>
        </is>
      </c>
      <c r="E232" t="inlineStr">
        <is>
          <t>Apartments</t>
        </is>
      </c>
      <c r="F232" s="7" t="inlineStr">
        <is>
          <t>Marina / Sea View</t>
        </is>
      </c>
      <c r="G232" t="inlineStr">
        <is>
          <t>3.8M</t>
        </is>
      </c>
      <c r="H232" t="inlineStr">
        <is>
          <t>3500</t>
        </is>
      </c>
      <c r="I232" t="inlineStr">
        <is>
          <t>30</t>
        </is>
      </c>
      <c r="J232" t="inlineStr">
        <is>
          <t>60/40</t>
        </is>
      </c>
      <c r="K232" t="inlineStr">
        <is>
          <t>2023</t>
        </is>
      </c>
      <c r="L232" t="inlineStr">
        <is>
          <t>5.0-5.5</t>
        </is>
      </c>
      <c r="M232" t="inlineStr">
        <is>
          <t>10-15</t>
        </is>
      </c>
      <c r="N232" t="inlineStr">
        <is>
          <t>15.0-20.5</t>
        </is>
      </c>
      <c r="O232" s="7" t="inlineStr">
        <is>
          <t>American Univ. Dubai</t>
        </is>
      </c>
      <c r="P232" s="7" t="inlineStr">
        <is>
          <t>Saudi German Hospital</t>
        </is>
      </c>
      <c r="Q232" s="7" t="inlineStr">
        <is>
          <t>Dubai Marina Mall</t>
        </is>
      </c>
      <c r="R232" s="7" t="inlineStr">
        <is>
          <t>Sheikh Zayed E11</t>
        </is>
      </c>
      <c r="S232" t="inlineStr">
        <is>
          <t>20</t>
        </is>
      </c>
      <c r="T232" t="inlineStr">
        <is>
          <t>5</t>
        </is>
      </c>
      <c r="U232" t="inlineStr">
        <is>
          <t>25</t>
        </is>
      </c>
      <c r="V232" t="inlineStr">
        <is>
          <t>30</t>
        </is>
      </c>
      <c r="W232" t="n">
        <v>2</v>
      </c>
      <c r="X232" s="12" t="n">
        <v>3800000</v>
      </c>
      <c r="Y232" s="12" t="n">
        <v>3800000</v>
      </c>
      <c r="Z232" s="9" t="n">
        <v>5</v>
      </c>
      <c r="AA232" s="9" t="n">
        <v>5.5</v>
      </c>
      <c r="AB232" s="9" t="n">
        <v>10</v>
      </c>
      <c r="AC232" s="9" t="n">
        <v>15</v>
      </c>
      <c r="AD232" s="9" t="n">
        <v>15</v>
      </c>
      <c r="AE232" s="9" t="n">
        <v>20.5</v>
      </c>
      <c r="AF232" t="n">
        <v>2023</v>
      </c>
      <c r="AH232" t="inlineStr">
        <is>
          <t>Apartment</t>
        </is>
      </c>
      <c r="AI232" t="inlineStr">
        <is>
          <t>MainstreamSelective</t>
        </is>
      </c>
      <c r="AJ232" t="inlineStr">
        <is>
          <t>TopTier</t>
        </is>
      </c>
      <c r="AK232" t="inlineStr">
        <is>
          <t>Balanced / selective</t>
        </is>
      </c>
      <c r="AL232" s="7" t="inlineStr">
        <is>
          <t>Market remains active but increasingly differentiated by developer, micro-location, livability, and pricing discipline.</t>
        </is>
      </c>
      <c r="AM232" s="9" t="n">
        <v>12.5</v>
      </c>
      <c r="AN232" s="9" t="n">
        <v>5.25</v>
      </c>
      <c r="AO232" s="10" t="n">
        <v>0.55</v>
      </c>
      <c r="AP232" s="13" t="n">
        <v>0</v>
      </c>
      <c r="AQ232" s="13" t="n">
        <v>0</v>
      </c>
      <c r="AR232" s="13" t="n">
        <v>0</v>
      </c>
      <c r="AS232" s="13" t="n">
        <v>0.01</v>
      </c>
      <c r="AT232" s="13" t="n">
        <v>0.005</v>
      </c>
      <c r="AU232" s="13" t="n">
        <v>0</v>
      </c>
      <c r="AV232" s="13" t="n">
        <v>-0.005</v>
      </c>
      <c r="AW232" s="13">
        <f>IF(X232="","",(AM232/100*AO232)+AP232+AQ232+AR232)</f>
        <v/>
      </c>
      <c r="AX232" s="13">
        <f>IF(X232="","",AS232+AT232+AU232+AV232)</f>
        <v/>
      </c>
      <c r="AY232" s="12">
        <f>IF(AZ232="","",ROUND(AZ232*(1+Assumptions!$B$10),0))</f>
        <v/>
      </c>
      <c r="AZ232" s="12">
        <f>IF(X232="","",ROUND(X232*(1+AW232),0))</f>
        <v/>
      </c>
      <c r="BA232" s="12">
        <f>IF(AZ232="","",ROUND(AZ232*(1+Assumptions!$B$11),0))</f>
        <v/>
      </c>
      <c r="BB232" s="12">
        <f>IF(AZ232="","",ROUND(AZ232*(1+AX232+Assumptions!$B$10),0))</f>
        <v/>
      </c>
      <c r="BC232" s="12">
        <f>IF(AZ232="","",ROUND(AZ232*(1+AX232),0))</f>
        <v/>
      </c>
      <c r="BD232" s="12">
        <f>IF(AZ232="","",ROUND(AZ232*(1+AX232+Assumptions!$B$11),0))</f>
        <v/>
      </c>
      <c r="BE232" s="12">
        <f>IF(AZ232="","",ROUND(AZ232*(1+AX232)*(1+AX232),0))</f>
        <v/>
      </c>
      <c r="BF232" s="7" t="inlineStr">
        <is>
          <t>Rules-based enrichment using launch-price anchor, cap-app realization, and 2026 segment conditions.</t>
        </is>
      </c>
      <c r="BG232" t="inlineStr">
        <is>
          <t>2026-03-17</t>
        </is>
      </c>
      <c r="BH232" s="7" t="inlineStr">
        <is>
          <t>DLD / Digital Dubai / CBUAE / Savills / Knight Frank-Moody’s / Reuters</t>
        </is>
      </c>
    </row>
    <row r="233">
      <c r="A233" t="n">
        <v>232</v>
      </c>
      <c r="B233" s="7" t="inlineStr">
        <is>
          <t>Sky Edition (Seahaven)</t>
        </is>
      </c>
      <c r="C233" t="inlineStr">
        <is>
          <t>Sobha Realty</t>
        </is>
      </c>
      <c r="D233" t="inlineStr">
        <is>
          <t>Dubai Harbour</t>
        </is>
      </c>
      <c r="E233" t="inlineStr">
        <is>
          <t>Luxury Apts</t>
        </is>
      </c>
      <c r="F233" s="7" t="inlineStr">
        <is>
          <t>High Floor / Sea</t>
        </is>
      </c>
      <c r="G233" t="inlineStr">
        <is>
          <t>5.5M</t>
        </is>
      </c>
      <c r="H233" t="inlineStr">
        <is>
          <t>4000</t>
        </is>
      </c>
      <c r="I233" t="inlineStr">
        <is>
          <t>30</t>
        </is>
      </c>
      <c r="J233" t="inlineStr">
        <is>
          <t>60/40</t>
        </is>
      </c>
      <c r="K233" t="inlineStr">
        <is>
          <t>2023</t>
        </is>
      </c>
      <c r="L233" t="inlineStr">
        <is>
          <t>4.5-5.0</t>
        </is>
      </c>
      <c r="M233" t="inlineStr">
        <is>
          <t>10-15</t>
        </is>
      </c>
      <c r="N233" t="inlineStr">
        <is>
          <t>14.5-20.0</t>
        </is>
      </c>
      <c r="O233" s="7" t="inlineStr">
        <is>
          <t>American Univ. Dubai</t>
        </is>
      </c>
      <c r="P233" s="7" t="inlineStr">
        <is>
          <t>Saudi German Hospital</t>
        </is>
      </c>
      <c r="Q233" s="7" t="inlineStr">
        <is>
          <t>Dubai Marina Mall</t>
        </is>
      </c>
      <c r="R233" s="7" t="inlineStr">
        <is>
          <t>Sheikh Zayed E11</t>
        </is>
      </c>
      <c r="S233" t="inlineStr">
        <is>
          <t>20</t>
        </is>
      </c>
      <c r="T233" t="inlineStr">
        <is>
          <t>5</t>
        </is>
      </c>
      <c r="U233" t="inlineStr">
        <is>
          <t>25</t>
        </is>
      </c>
      <c r="V233" t="inlineStr">
        <is>
          <t>30</t>
        </is>
      </c>
      <c r="W233" t="n">
        <v>2</v>
      </c>
      <c r="X233" s="12" t="n">
        <v>5500000</v>
      </c>
      <c r="Y233" s="12" t="n">
        <v>5500000</v>
      </c>
      <c r="Z233" s="9" t="n">
        <v>4.5</v>
      </c>
      <c r="AA233" s="9" t="n">
        <v>5</v>
      </c>
      <c r="AB233" s="9" t="n">
        <v>10</v>
      </c>
      <c r="AC233" s="9" t="n">
        <v>15</v>
      </c>
      <c r="AD233" s="9" t="n">
        <v>14.5</v>
      </c>
      <c r="AE233" s="9" t="n">
        <v>20</v>
      </c>
      <c r="AF233" t="n">
        <v>2023</v>
      </c>
      <c r="AH233" t="inlineStr">
        <is>
          <t>Apartment</t>
        </is>
      </c>
      <c r="AI233" t="inlineStr">
        <is>
          <t>MainstreamSelective</t>
        </is>
      </c>
      <c r="AJ233" t="inlineStr">
        <is>
          <t>TopTier</t>
        </is>
      </c>
      <c r="AK233" t="inlineStr">
        <is>
          <t>Balanced / selective</t>
        </is>
      </c>
      <c r="AL233" s="7" t="inlineStr">
        <is>
          <t>Market remains active but increasingly differentiated by developer, micro-location, livability, and pricing discipline.</t>
        </is>
      </c>
      <c r="AM233" s="9" t="n">
        <v>12.5</v>
      </c>
      <c r="AN233" s="9" t="n">
        <v>4.75</v>
      </c>
      <c r="AO233" s="10" t="n">
        <v>0.55</v>
      </c>
      <c r="AP233" s="13" t="n">
        <v>0</v>
      </c>
      <c r="AQ233" s="13" t="n">
        <v>0</v>
      </c>
      <c r="AR233" s="13" t="n">
        <v>0</v>
      </c>
      <c r="AS233" s="13" t="n">
        <v>0.01</v>
      </c>
      <c r="AT233" s="13" t="n">
        <v>0.005</v>
      </c>
      <c r="AU233" s="13" t="n">
        <v>0</v>
      </c>
      <c r="AV233" s="13" t="n">
        <v>-0.005</v>
      </c>
      <c r="AW233" s="13">
        <f>IF(X233="","",(AM233/100*AO233)+AP233+AQ233+AR233)</f>
        <v/>
      </c>
      <c r="AX233" s="13">
        <f>IF(X233="","",AS233+AT233+AU233+AV233)</f>
        <v/>
      </c>
      <c r="AY233" s="12">
        <f>IF(AZ233="","",ROUND(AZ233*(1+Assumptions!$B$10),0))</f>
        <v/>
      </c>
      <c r="AZ233" s="12">
        <f>IF(X233="","",ROUND(X233*(1+AW233),0))</f>
        <v/>
      </c>
      <c r="BA233" s="12">
        <f>IF(AZ233="","",ROUND(AZ233*(1+Assumptions!$B$11),0))</f>
        <v/>
      </c>
      <c r="BB233" s="12">
        <f>IF(AZ233="","",ROUND(AZ233*(1+AX233+Assumptions!$B$10),0))</f>
        <v/>
      </c>
      <c r="BC233" s="12">
        <f>IF(AZ233="","",ROUND(AZ233*(1+AX233),0))</f>
        <v/>
      </c>
      <c r="BD233" s="12">
        <f>IF(AZ233="","",ROUND(AZ233*(1+AX233+Assumptions!$B$11),0))</f>
        <v/>
      </c>
      <c r="BE233" s="12">
        <f>IF(AZ233="","",ROUND(AZ233*(1+AX233)*(1+AX233),0))</f>
        <v/>
      </c>
      <c r="BF233" s="7" t="inlineStr">
        <is>
          <t>Rules-based enrichment using launch-price anchor, cap-app realization, and 2026 segment conditions.</t>
        </is>
      </c>
      <c r="BG233" t="inlineStr">
        <is>
          <t>2026-03-17</t>
        </is>
      </c>
      <c r="BH233" s="7" t="inlineStr">
        <is>
          <t>DLD / Digital Dubai / CBUAE / Savills / Knight Frank-Moody’s / Reuters</t>
        </is>
      </c>
    </row>
    <row r="234">
      <c r="A234" t="n">
        <v>233</v>
      </c>
      <c r="B234" s="7" t="inlineStr">
        <is>
          <t>Verde by Sobha</t>
        </is>
      </c>
      <c r="C234" t="inlineStr">
        <is>
          <t>Sobha Realty</t>
        </is>
      </c>
      <c r="D234" t="inlineStr">
        <is>
          <t>JLT</t>
        </is>
      </c>
      <c r="E234" t="inlineStr">
        <is>
          <t>Apartments</t>
        </is>
      </c>
      <c r="F234" s="7" t="inlineStr">
        <is>
          <t>Golf View / City</t>
        </is>
      </c>
      <c r="G234" t="inlineStr">
        <is>
          <t>2.0M</t>
        </is>
      </c>
      <c r="H234" t="inlineStr">
        <is>
          <t>2200</t>
        </is>
      </c>
      <c r="I234" t="inlineStr">
        <is>
          <t>22</t>
        </is>
      </c>
      <c r="J234" t="inlineStr">
        <is>
          <t>60/40</t>
        </is>
      </c>
      <c r="K234" t="inlineStr">
        <is>
          <t>2023</t>
        </is>
      </c>
      <c r="L234" t="inlineStr">
        <is>
          <t>6.0-6.5</t>
        </is>
      </c>
      <c r="M234" t="inlineStr">
        <is>
          <t>8-10</t>
        </is>
      </c>
      <c r="N234" t="inlineStr">
        <is>
          <t>14.0-16.5</t>
        </is>
      </c>
      <c r="O234" s="7" t="inlineStr">
        <is>
          <t>Emirates Intl School</t>
        </is>
      </c>
      <c r="P234" s="7" t="inlineStr">
        <is>
          <t>Saudi German Hospital</t>
        </is>
      </c>
      <c r="Q234" s="7" t="inlineStr">
        <is>
          <t>Dubai Marina Mall</t>
        </is>
      </c>
      <c r="R234" s="7" t="inlineStr">
        <is>
          <t>Sheikh Zayed E11</t>
        </is>
      </c>
      <c r="S234" t="inlineStr">
        <is>
          <t>20</t>
        </is>
      </c>
      <c r="T234" t="inlineStr">
        <is>
          <t>5</t>
        </is>
      </c>
      <c r="U234" t="inlineStr">
        <is>
          <t>25</t>
        </is>
      </c>
      <c r="V234" t="inlineStr">
        <is>
          <t>30</t>
        </is>
      </c>
      <c r="W234" t="n">
        <v>2</v>
      </c>
      <c r="X234" s="12" t="n">
        <v>2000000</v>
      </c>
      <c r="Y234" s="12" t="n">
        <v>2000000</v>
      </c>
      <c r="Z234" s="9" t="n">
        <v>6</v>
      </c>
      <c r="AA234" s="9" t="n">
        <v>6.5</v>
      </c>
      <c r="AB234" s="9" t="n">
        <v>8</v>
      </c>
      <c r="AC234" s="9" t="n">
        <v>10</v>
      </c>
      <c r="AD234" s="9" t="n">
        <v>14</v>
      </c>
      <c r="AE234" s="9" t="n">
        <v>16.5</v>
      </c>
      <c r="AF234" t="n">
        <v>2023</v>
      </c>
      <c r="AH234" t="inlineStr">
        <is>
          <t>Apartment</t>
        </is>
      </c>
      <c r="AI234" t="inlineStr">
        <is>
          <t>MainstreamSelective</t>
        </is>
      </c>
      <c r="AJ234" t="inlineStr">
        <is>
          <t>TopTier</t>
        </is>
      </c>
      <c r="AK234" t="inlineStr">
        <is>
          <t>Balanced / selective</t>
        </is>
      </c>
      <c r="AL234" s="7" t="inlineStr">
        <is>
          <t>Market remains active but increasingly differentiated by developer, micro-location, livability, and pricing discipline.</t>
        </is>
      </c>
      <c r="AM234" s="9" t="n">
        <v>9</v>
      </c>
      <c r="AN234" s="9" t="n">
        <v>6.25</v>
      </c>
      <c r="AO234" s="10" t="n">
        <v>0.55</v>
      </c>
      <c r="AP234" s="13" t="n">
        <v>0</v>
      </c>
      <c r="AQ234" s="13" t="n">
        <v>0</v>
      </c>
      <c r="AR234" s="13" t="n">
        <v>0</v>
      </c>
      <c r="AS234" s="13" t="n">
        <v>0.01</v>
      </c>
      <c r="AT234" s="13" t="n">
        <v>0.005</v>
      </c>
      <c r="AU234" s="13" t="n">
        <v>0.0025</v>
      </c>
      <c r="AV234" s="13" t="n">
        <v>-0.005</v>
      </c>
      <c r="AW234" s="13">
        <f>IF(X234="","",(AM234/100*AO234)+AP234+AQ234+AR234)</f>
        <v/>
      </c>
      <c r="AX234" s="13">
        <f>IF(X234="","",AS234+AT234+AU234+AV234)</f>
        <v/>
      </c>
      <c r="AY234" s="12">
        <f>IF(AZ234="","",ROUND(AZ234*(1+Assumptions!$B$10),0))</f>
        <v/>
      </c>
      <c r="AZ234" s="12">
        <f>IF(X234="","",ROUND(X234*(1+AW234),0))</f>
        <v/>
      </c>
      <c r="BA234" s="12">
        <f>IF(AZ234="","",ROUND(AZ234*(1+Assumptions!$B$11),0))</f>
        <v/>
      </c>
      <c r="BB234" s="12">
        <f>IF(AZ234="","",ROUND(AZ234*(1+AX234+Assumptions!$B$10),0))</f>
        <v/>
      </c>
      <c r="BC234" s="12">
        <f>IF(AZ234="","",ROUND(AZ234*(1+AX234),0))</f>
        <v/>
      </c>
      <c r="BD234" s="12">
        <f>IF(AZ234="","",ROUND(AZ234*(1+AX234+Assumptions!$B$11),0))</f>
        <v/>
      </c>
      <c r="BE234" s="12">
        <f>IF(AZ234="","",ROUND(AZ234*(1+AX234)*(1+AX234),0))</f>
        <v/>
      </c>
      <c r="BF234" s="7" t="inlineStr">
        <is>
          <t>Rules-based enrichment using launch-price anchor, cap-app realization, and 2026 segment conditions.</t>
        </is>
      </c>
      <c r="BG234" t="inlineStr">
        <is>
          <t>2026-03-17</t>
        </is>
      </c>
      <c r="BH234" s="7" t="inlineStr">
        <is>
          <t>DLD / Digital Dubai / CBUAE / Savills / Knight Frank-Moody’s / Reuters</t>
        </is>
      </c>
    </row>
    <row r="235">
      <c r="A235" t="n">
        <v>234</v>
      </c>
      <c r="B235" s="7" t="inlineStr">
        <is>
          <t>Sobha Orbis</t>
        </is>
      </c>
      <c r="C235" t="inlineStr">
        <is>
          <t>Sobha Realty</t>
        </is>
      </c>
      <c r="D235" t="inlineStr">
        <is>
          <t>Motor City</t>
        </is>
      </c>
      <c r="E235" t="inlineStr">
        <is>
          <t>Apartments</t>
        </is>
      </c>
      <c r="F235" s="7" t="inlineStr">
        <is>
          <t>High-Rise / City</t>
        </is>
      </c>
      <c r="G235" t="inlineStr">
        <is>
          <t>985k</t>
        </is>
      </c>
      <c r="H235" t="inlineStr">
        <is>
          <t>1400</t>
        </is>
      </c>
      <c r="I235" t="inlineStr">
        <is>
          <t>15</t>
        </is>
      </c>
      <c r="J235" t="inlineStr">
        <is>
          <t>60/40</t>
        </is>
      </c>
      <c r="K235" t="inlineStr">
        <is>
          <t>2024</t>
        </is>
      </c>
      <c r="L235" t="inlineStr">
        <is>
          <t>7.0-7.5</t>
        </is>
      </c>
      <c r="M235" t="inlineStr">
        <is>
          <t>8-10</t>
        </is>
      </c>
      <c r="N235" t="inlineStr">
        <is>
          <t>15.0-17.5</t>
        </is>
      </c>
      <c r="O235" s="7" t="inlineStr">
        <is>
          <t>GEMS Metropole</t>
        </is>
      </c>
      <c r="P235" s="7" t="inlineStr">
        <is>
          <t>Mediclinic Parkview</t>
        </is>
      </c>
      <c r="Q235" s="7" t="inlineStr">
        <is>
          <t>First Avenue Mall</t>
        </is>
      </c>
      <c r="R235" s="7" t="inlineStr">
        <is>
          <t>Hessa St / E311</t>
        </is>
      </c>
      <c r="S235" t="inlineStr">
        <is>
          <t>20</t>
        </is>
      </c>
      <c r="T235" t="inlineStr">
        <is>
          <t>15</t>
        </is>
      </c>
      <c r="U235" t="inlineStr">
        <is>
          <t>25</t>
        </is>
      </c>
      <c r="V235" t="inlineStr">
        <is>
          <t>25</t>
        </is>
      </c>
      <c r="W235" t="n">
        <v>2</v>
      </c>
      <c r="X235" s="12" t="n">
        <v>985000</v>
      </c>
      <c r="Y235" s="12" t="n">
        <v>985000</v>
      </c>
      <c r="Z235" s="9" t="n">
        <v>7</v>
      </c>
      <c r="AA235" s="9" t="n">
        <v>7.5</v>
      </c>
      <c r="AB235" s="9" t="n">
        <v>8</v>
      </c>
      <c r="AC235" s="9" t="n">
        <v>10</v>
      </c>
      <c r="AD235" s="9" t="n">
        <v>15</v>
      </c>
      <c r="AE235" s="9" t="n">
        <v>17.5</v>
      </c>
      <c r="AF235" t="n">
        <v>2024</v>
      </c>
      <c r="AH235" t="inlineStr">
        <is>
          <t>Apartment</t>
        </is>
      </c>
      <c r="AI235" t="inlineStr">
        <is>
          <t>MainstreamSelective</t>
        </is>
      </c>
      <c r="AJ235" t="inlineStr">
        <is>
          <t>TopTier</t>
        </is>
      </c>
      <c r="AK235" t="inlineStr">
        <is>
          <t>Balanced / selective</t>
        </is>
      </c>
      <c r="AL235" s="7" t="inlineStr">
        <is>
          <t>Market remains active but increasingly differentiated by developer, micro-location, livability, and pricing discipline.</t>
        </is>
      </c>
      <c r="AM235" s="9" t="n">
        <v>9</v>
      </c>
      <c r="AN235" s="9" t="n">
        <v>7.25</v>
      </c>
      <c r="AO235" s="10" t="n">
        <v>0.55</v>
      </c>
      <c r="AP235" s="13" t="n">
        <v>0</v>
      </c>
      <c r="AQ235" s="13" t="n">
        <v>0</v>
      </c>
      <c r="AR235" s="13" t="n">
        <v>0</v>
      </c>
      <c r="AS235" s="13" t="n">
        <v>0.01</v>
      </c>
      <c r="AT235" s="13" t="n">
        <v>0.005</v>
      </c>
      <c r="AU235" s="13" t="n">
        <v>0.0025</v>
      </c>
      <c r="AV235" s="13" t="n">
        <v>-0.005</v>
      </c>
      <c r="AW235" s="13">
        <f>IF(X235="","",(AM235/100*AO235)+AP235+AQ235+AR235)</f>
        <v/>
      </c>
      <c r="AX235" s="13">
        <f>IF(X235="","",AS235+AT235+AU235+AV235)</f>
        <v/>
      </c>
      <c r="AY235" s="12">
        <f>IF(AZ235="","",ROUND(AZ235*(1+Assumptions!$B$10),0))</f>
        <v/>
      </c>
      <c r="AZ235" s="12">
        <f>IF(X235="","",ROUND(X235*(1+AW235),0))</f>
        <v/>
      </c>
      <c r="BA235" s="12">
        <f>IF(AZ235="","",ROUND(AZ235*(1+Assumptions!$B$11),0))</f>
        <v/>
      </c>
      <c r="BB235" s="12">
        <f>IF(AZ235="","",ROUND(AZ235*(1+AX235+Assumptions!$B$10),0))</f>
        <v/>
      </c>
      <c r="BC235" s="12">
        <f>IF(AZ235="","",ROUND(AZ235*(1+AX235),0))</f>
        <v/>
      </c>
      <c r="BD235" s="12">
        <f>IF(AZ235="","",ROUND(AZ235*(1+AX235+Assumptions!$B$11),0))</f>
        <v/>
      </c>
      <c r="BE235" s="12">
        <f>IF(AZ235="","",ROUND(AZ235*(1+AX235)*(1+AX235),0))</f>
        <v/>
      </c>
      <c r="BF235" s="7" t="inlineStr">
        <is>
          <t>Rules-based enrichment using launch-price anchor, cap-app realization, and 2026 segment conditions.</t>
        </is>
      </c>
      <c r="BG235" t="inlineStr">
        <is>
          <t>2026-03-17</t>
        </is>
      </c>
      <c r="BH235" s="7" t="inlineStr">
        <is>
          <t>DLD / Digital Dubai / CBUAE / Savills / Knight Frank-Moody’s / Reuters</t>
        </is>
      </c>
    </row>
    <row r="236">
      <c r="A236" t="n">
        <v>235</v>
      </c>
      <c r="B236" s="7" t="inlineStr">
        <is>
          <t>Ghaf Woods (Master Community)</t>
        </is>
      </c>
      <c r="C236" t="inlineStr">
        <is>
          <t>Majid Al Futtaim</t>
        </is>
      </c>
      <c r="D236" t="inlineStr">
        <is>
          <t>Dubailand (Near Global Vill)</t>
        </is>
      </c>
      <c r="E236" t="inlineStr">
        <is>
          <t>Apartments</t>
        </is>
      </c>
      <c r="F236" s="7" t="inlineStr">
        <is>
          <t>Forest / Eco</t>
        </is>
      </c>
      <c r="G236" t="inlineStr">
        <is>
          <t>1.5M</t>
        </is>
      </c>
      <c r="H236" t="inlineStr">
        <is>
          <t>1600</t>
        </is>
      </c>
      <c r="I236" t="inlineStr">
        <is>
          <t>18</t>
        </is>
      </c>
      <c r="J236" t="inlineStr">
        <is>
          <t>60/40</t>
        </is>
      </c>
      <c r="K236" t="inlineStr">
        <is>
          <t>2024</t>
        </is>
      </c>
      <c r="L236" t="inlineStr">
        <is>
          <t>6.0-6.5</t>
        </is>
      </c>
      <c r="M236" t="inlineStr">
        <is>
          <t>10-12</t>
        </is>
      </c>
      <c r="N236" t="inlineStr">
        <is>
          <t>16.0-18.5</t>
        </is>
      </c>
      <c r="O236" s="7" t="inlineStr">
        <is>
          <t>GEMS Winchester</t>
        </is>
      </c>
      <c r="P236" s="7" t="inlineStr">
        <is>
          <t>Fakeeh University Hosp</t>
        </is>
      </c>
      <c r="Q236" s="7" t="inlineStr">
        <is>
          <t>Global Village</t>
        </is>
      </c>
      <c r="R236" s="7" t="inlineStr">
        <is>
          <t>E611 / Sheikh Zayed Bin Hamdan</t>
        </is>
      </c>
      <c r="S236" t="inlineStr">
        <is>
          <t>20</t>
        </is>
      </c>
      <c r="T236" t="inlineStr">
        <is>
          <t>25</t>
        </is>
      </c>
      <c r="U236" t="inlineStr">
        <is>
          <t>25</t>
        </is>
      </c>
      <c r="V236" t="inlineStr">
        <is>
          <t>30</t>
        </is>
      </c>
      <c r="W236" t="n">
        <v>2</v>
      </c>
      <c r="X236" s="12" t="n">
        <v>1500000</v>
      </c>
      <c r="Y236" s="12" t="n">
        <v>1500000</v>
      </c>
      <c r="Z236" s="9" t="n">
        <v>6</v>
      </c>
      <c r="AA236" s="9" t="n">
        <v>6.5</v>
      </c>
      <c r="AB236" s="9" t="n">
        <v>10</v>
      </c>
      <c r="AC236" s="9" t="n">
        <v>12</v>
      </c>
      <c r="AD236" s="9" t="n">
        <v>16</v>
      </c>
      <c r="AE236" s="9" t="n">
        <v>18.5</v>
      </c>
      <c r="AF236" t="n">
        <v>2024</v>
      </c>
      <c r="AH236" t="inlineStr">
        <is>
          <t>Apartment</t>
        </is>
      </c>
      <c r="AI236" t="inlineStr">
        <is>
          <t>MainstreamSelective</t>
        </is>
      </c>
      <c r="AJ236" t="inlineStr">
        <is>
          <t>Established</t>
        </is>
      </c>
      <c r="AK236" t="inlineStr">
        <is>
          <t>Balanced / selective</t>
        </is>
      </c>
      <c r="AL236" s="7" t="inlineStr">
        <is>
          <t>Market remains active but increasingly differentiated by developer, micro-location, livability, and pricing discipline.</t>
        </is>
      </c>
      <c r="AM236" s="9" t="n">
        <v>11</v>
      </c>
      <c r="AN236" s="9" t="n">
        <v>6.25</v>
      </c>
      <c r="AO236" s="10" t="n">
        <v>0.55</v>
      </c>
      <c r="AP236" s="13" t="n">
        <v>0</v>
      </c>
      <c r="AQ236" s="13" t="n">
        <v>0</v>
      </c>
      <c r="AR236" s="13" t="n">
        <v>0</v>
      </c>
      <c r="AS236" s="13" t="n">
        <v>0.01</v>
      </c>
      <c r="AT236" s="13" t="n">
        <v>0</v>
      </c>
      <c r="AU236" s="13" t="n">
        <v>0.0025</v>
      </c>
      <c r="AV236" s="13" t="n">
        <v>-0.005</v>
      </c>
      <c r="AW236" s="13">
        <f>IF(X236="","",(AM236/100*AO236)+AP236+AQ236+AR236)</f>
        <v/>
      </c>
      <c r="AX236" s="13">
        <f>IF(X236="","",AS236+AT236+AU236+AV236)</f>
        <v/>
      </c>
      <c r="AY236" s="12">
        <f>IF(AZ236="","",ROUND(AZ236*(1+Assumptions!$B$10),0))</f>
        <v/>
      </c>
      <c r="AZ236" s="12">
        <f>IF(X236="","",ROUND(X236*(1+AW236),0))</f>
        <v/>
      </c>
      <c r="BA236" s="12">
        <f>IF(AZ236="","",ROUND(AZ236*(1+Assumptions!$B$11),0))</f>
        <v/>
      </c>
      <c r="BB236" s="12">
        <f>IF(AZ236="","",ROUND(AZ236*(1+AX236+Assumptions!$B$10),0))</f>
        <v/>
      </c>
      <c r="BC236" s="12">
        <f>IF(AZ236="","",ROUND(AZ236*(1+AX236),0))</f>
        <v/>
      </c>
      <c r="BD236" s="12">
        <f>IF(AZ236="","",ROUND(AZ236*(1+AX236+Assumptions!$B$11),0))</f>
        <v/>
      </c>
      <c r="BE236" s="12">
        <f>IF(AZ236="","",ROUND(AZ236*(1+AX236)*(1+AX236),0))</f>
        <v/>
      </c>
      <c r="BF236" s="7" t="inlineStr">
        <is>
          <t>Rules-based enrichment using launch-price anchor, cap-app realization, and 2026 segment conditions.</t>
        </is>
      </c>
      <c r="BG236" t="inlineStr">
        <is>
          <t>2026-03-17</t>
        </is>
      </c>
      <c r="BH236" s="7" t="inlineStr">
        <is>
          <t>DLD / Digital Dubai / CBUAE / Savills / Knight Frank-Moody’s / Reuters</t>
        </is>
      </c>
    </row>
    <row r="237">
      <c r="A237" t="n">
        <v>236</v>
      </c>
      <c r="B237" s="7" t="inlineStr">
        <is>
          <t>Plagette</t>
        </is>
      </c>
      <c r="C237" t="inlineStr">
        <is>
          <t>Majid Al Futtaim</t>
        </is>
      </c>
      <c r="D237" t="inlineStr">
        <is>
          <t>Tilal Al Ghaf</t>
        </is>
      </c>
      <c r="E237" t="inlineStr">
        <is>
          <t>Villas</t>
        </is>
      </c>
      <c r="F237" s="7" t="inlineStr">
        <is>
          <t>Lagoon / Luxury</t>
        </is>
      </c>
      <c r="G237" t="inlineStr">
        <is>
          <t>8.0M</t>
        </is>
      </c>
      <c r="H237" t="inlineStr">
        <is>
          <t>2000</t>
        </is>
      </c>
      <c r="I237" t="inlineStr">
        <is>
          <t>20</t>
        </is>
      </c>
      <c r="J237" t="inlineStr">
        <is>
          <t>50/50</t>
        </is>
      </c>
      <c r="K237" t="inlineStr">
        <is>
          <t>2023</t>
        </is>
      </c>
      <c r="L237" t="inlineStr">
        <is>
          <t>5.0-5.5</t>
        </is>
      </c>
      <c r="M237" t="inlineStr">
        <is>
          <t>10-12</t>
        </is>
      </c>
      <c r="N237" t="inlineStr">
        <is>
          <t>15.0-17.5</t>
        </is>
      </c>
      <c r="O237" s="7" t="inlineStr">
        <is>
          <t>Royal Grammar</t>
        </is>
      </c>
      <c r="P237" s="7" t="inlineStr">
        <is>
          <t>Mediclinic Parkview</t>
        </is>
      </c>
      <c r="Q237" s="7" t="inlineStr">
        <is>
          <t>First Avenue Mall</t>
        </is>
      </c>
      <c r="R237" s="7" t="inlineStr">
        <is>
          <t>Hessa St / E611</t>
        </is>
      </c>
      <c r="S237" t="inlineStr">
        <is>
          <t>20</t>
        </is>
      </c>
      <c r="T237" t="inlineStr">
        <is>
          <t>20</t>
        </is>
      </c>
      <c r="U237" t="inlineStr">
        <is>
          <t>25</t>
        </is>
      </c>
      <c r="V237" t="inlineStr">
        <is>
          <t>25</t>
        </is>
      </c>
      <c r="W237" t="n">
        <v>2</v>
      </c>
      <c r="X237" s="12" t="n">
        <v>8000000</v>
      </c>
      <c r="Y237" s="12" t="n">
        <v>8000000</v>
      </c>
      <c r="Z237" s="9" t="n">
        <v>5</v>
      </c>
      <c r="AA237" s="9" t="n">
        <v>5.5</v>
      </c>
      <c r="AB237" s="9" t="n">
        <v>10</v>
      </c>
      <c r="AC237" s="9" t="n">
        <v>12</v>
      </c>
      <c r="AD237" s="9" t="n">
        <v>15</v>
      </c>
      <c r="AE237" s="9" t="n">
        <v>17.5</v>
      </c>
      <c r="AF237" t="n">
        <v>2023</v>
      </c>
      <c r="AH237" t="inlineStr">
        <is>
          <t>Villa</t>
        </is>
      </c>
      <c r="AI237" t="inlineStr">
        <is>
          <t>FamilyVilla</t>
        </is>
      </c>
      <c r="AJ237" t="inlineStr">
        <is>
          <t>Established</t>
        </is>
      </c>
      <c r="AK237" t="inlineStr">
        <is>
          <t>Family-villa resilient</t>
        </is>
      </c>
      <c r="AL237" s="7" t="inlineStr">
        <is>
          <t>Villa/townhouse demand remains relatively firmer, though growth should be slower than the post-2020 surge.</t>
        </is>
      </c>
      <c r="AM237" s="9" t="n">
        <v>11</v>
      </c>
      <c r="AN237" s="9" t="n">
        <v>5.25</v>
      </c>
      <c r="AO237" s="10" t="n">
        <v>0.55</v>
      </c>
      <c r="AP237" s="13" t="n">
        <v>0</v>
      </c>
      <c r="AQ237" s="13" t="n">
        <v>0.015</v>
      </c>
      <c r="AR237" s="13" t="n">
        <v>0</v>
      </c>
      <c r="AS237" s="13" t="n">
        <v>0.025</v>
      </c>
      <c r="AT237" s="13" t="n">
        <v>0</v>
      </c>
      <c r="AU237" s="13" t="n">
        <v>0</v>
      </c>
      <c r="AV237" s="13" t="n">
        <v>-0.005</v>
      </c>
      <c r="AW237" s="13">
        <f>IF(X237="","",(AM237/100*AO237)+AP237+AQ237+AR237)</f>
        <v/>
      </c>
      <c r="AX237" s="13">
        <f>IF(X237="","",AS237+AT237+AU237+AV237)</f>
        <v/>
      </c>
      <c r="AY237" s="12">
        <f>IF(AZ237="","",ROUND(AZ237*(1+Assumptions!$B$10),0))</f>
        <v/>
      </c>
      <c r="AZ237" s="12">
        <f>IF(X237="","",ROUND(X237*(1+AW237),0))</f>
        <v/>
      </c>
      <c r="BA237" s="12">
        <f>IF(AZ237="","",ROUND(AZ237*(1+Assumptions!$B$11),0))</f>
        <v/>
      </c>
      <c r="BB237" s="12">
        <f>IF(AZ237="","",ROUND(AZ237*(1+AX237+Assumptions!$B$10),0))</f>
        <v/>
      </c>
      <c r="BC237" s="12">
        <f>IF(AZ237="","",ROUND(AZ237*(1+AX237),0))</f>
        <v/>
      </c>
      <c r="BD237" s="12">
        <f>IF(AZ237="","",ROUND(AZ237*(1+AX237+Assumptions!$B$11),0))</f>
        <v/>
      </c>
      <c r="BE237" s="12">
        <f>IF(AZ237="","",ROUND(AZ237*(1+AX237)*(1+AX237),0))</f>
        <v/>
      </c>
      <c r="BF237" s="7" t="inlineStr">
        <is>
          <t>Rules-based enrichment using launch-price anchor, cap-app realization, and 2026 segment conditions.</t>
        </is>
      </c>
      <c r="BG237" t="inlineStr">
        <is>
          <t>2026-03-17</t>
        </is>
      </c>
      <c r="BH237" s="7" t="inlineStr">
        <is>
          <t>DLD / Digital Dubai / CBUAE / Savills / Knight Frank-Moody’s / Reuters</t>
        </is>
      </c>
    </row>
    <row r="238">
      <c r="A238" t="n">
        <v>237</v>
      </c>
      <c r="B238" s="7" t="inlineStr">
        <is>
          <t>Sierra</t>
        </is>
      </c>
      <c r="C238" t="inlineStr">
        <is>
          <t>Majid Al Futtaim</t>
        </is>
      </c>
      <c r="D238" t="inlineStr">
        <is>
          <t>Ghaf Woods</t>
        </is>
      </c>
      <c r="E238" t="inlineStr">
        <is>
          <t>Apartments</t>
        </is>
      </c>
      <c r="F238" s="7" t="inlineStr">
        <is>
          <t>Forest</t>
        </is>
      </c>
      <c r="G238" t="inlineStr">
        <is>
          <t>1.6M</t>
        </is>
      </c>
      <c r="H238" t="inlineStr">
        <is>
          <t>1650</t>
        </is>
      </c>
      <c r="I238" t="inlineStr">
        <is>
          <t>18</t>
        </is>
      </c>
      <c r="J238" t="inlineStr">
        <is>
          <t>60/40</t>
        </is>
      </c>
      <c r="K238" t="inlineStr">
        <is>
          <t>2024</t>
        </is>
      </c>
      <c r="L238" t="inlineStr">
        <is>
          <t>6.0-6.5</t>
        </is>
      </c>
      <c r="M238" t="inlineStr">
        <is>
          <t>10-12</t>
        </is>
      </c>
      <c r="N238" t="inlineStr">
        <is>
          <t>16.0-18.5</t>
        </is>
      </c>
      <c r="O238" s="7" t="inlineStr">
        <is>
          <t>GEMS Winchester</t>
        </is>
      </c>
      <c r="P238" s="7" t="inlineStr">
        <is>
          <t>Fakeeh University Hosp</t>
        </is>
      </c>
      <c r="Q238" s="7" t="inlineStr">
        <is>
          <t>Global Village</t>
        </is>
      </c>
      <c r="R238" s="7" t="inlineStr">
        <is>
          <t>E611 / Sheikh Zayed Bin Hamdan</t>
        </is>
      </c>
      <c r="S238" t="inlineStr">
        <is>
          <t>20</t>
        </is>
      </c>
      <c r="T238" t="inlineStr">
        <is>
          <t>25</t>
        </is>
      </c>
      <c r="U238" t="inlineStr">
        <is>
          <t>25</t>
        </is>
      </c>
      <c r="V238" t="inlineStr">
        <is>
          <t>30</t>
        </is>
      </c>
      <c r="W238" t="n">
        <v>2</v>
      </c>
      <c r="X238" s="12" t="n">
        <v>1600000</v>
      </c>
      <c r="Y238" s="12" t="n">
        <v>1600000</v>
      </c>
      <c r="Z238" s="9" t="n">
        <v>6</v>
      </c>
      <c r="AA238" s="9" t="n">
        <v>6.5</v>
      </c>
      <c r="AB238" s="9" t="n">
        <v>10</v>
      </c>
      <c r="AC238" s="9" t="n">
        <v>12</v>
      </c>
      <c r="AD238" s="9" t="n">
        <v>16</v>
      </c>
      <c r="AE238" s="9" t="n">
        <v>18.5</v>
      </c>
      <c r="AF238" t="n">
        <v>2024</v>
      </c>
      <c r="AH238" t="inlineStr">
        <is>
          <t>Apartment</t>
        </is>
      </c>
      <c r="AI238" t="inlineStr">
        <is>
          <t>MainstreamSelective</t>
        </is>
      </c>
      <c r="AJ238" t="inlineStr">
        <is>
          <t>Established</t>
        </is>
      </c>
      <c r="AK238" t="inlineStr">
        <is>
          <t>Balanced / selective</t>
        </is>
      </c>
      <c r="AL238" s="7" t="inlineStr">
        <is>
          <t>Market remains active but increasingly differentiated by developer, micro-location, livability, and pricing discipline.</t>
        </is>
      </c>
      <c r="AM238" s="9" t="n">
        <v>11</v>
      </c>
      <c r="AN238" s="9" t="n">
        <v>6.25</v>
      </c>
      <c r="AO238" s="10" t="n">
        <v>0.55</v>
      </c>
      <c r="AP238" s="13" t="n">
        <v>0</v>
      </c>
      <c r="AQ238" s="13" t="n">
        <v>0</v>
      </c>
      <c r="AR238" s="13" t="n">
        <v>0</v>
      </c>
      <c r="AS238" s="13" t="n">
        <v>0.01</v>
      </c>
      <c r="AT238" s="13" t="n">
        <v>0</v>
      </c>
      <c r="AU238" s="13" t="n">
        <v>0.0025</v>
      </c>
      <c r="AV238" s="13" t="n">
        <v>-0.005</v>
      </c>
      <c r="AW238" s="13">
        <f>IF(X238="","",(AM238/100*AO238)+AP238+AQ238+AR238)</f>
        <v/>
      </c>
      <c r="AX238" s="13">
        <f>IF(X238="","",AS238+AT238+AU238+AV238)</f>
        <v/>
      </c>
      <c r="AY238" s="12">
        <f>IF(AZ238="","",ROUND(AZ238*(1+Assumptions!$B$10),0))</f>
        <v/>
      </c>
      <c r="AZ238" s="12">
        <f>IF(X238="","",ROUND(X238*(1+AW238),0))</f>
        <v/>
      </c>
      <c r="BA238" s="12">
        <f>IF(AZ238="","",ROUND(AZ238*(1+Assumptions!$B$11),0))</f>
        <v/>
      </c>
      <c r="BB238" s="12">
        <f>IF(AZ238="","",ROUND(AZ238*(1+AX238+Assumptions!$B$10),0))</f>
        <v/>
      </c>
      <c r="BC238" s="12">
        <f>IF(AZ238="","",ROUND(AZ238*(1+AX238),0))</f>
        <v/>
      </c>
      <c r="BD238" s="12">
        <f>IF(AZ238="","",ROUND(AZ238*(1+AX238+Assumptions!$B$11),0))</f>
        <v/>
      </c>
      <c r="BE238" s="12">
        <f>IF(AZ238="","",ROUND(AZ238*(1+AX238)*(1+AX238),0))</f>
        <v/>
      </c>
      <c r="BF238" s="7" t="inlineStr">
        <is>
          <t>Rules-based enrichment using launch-price anchor, cap-app realization, and 2026 segment conditions.</t>
        </is>
      </c>
      <c r="BG238" t="inlineStr">
        <is>
          <t>2026-03-17</t>
        </is>
      </c>
      <c r="BH238" s="7" t="inlineStr">
        <is>
          <t>DLD / Digital Dubai / CBUAE / Savills / Knight Frank-Moody’s / Reuters</t>
        </is>
      </c>
    </row>
    <row r="239">
      <c r="A239" t="n">
        <v>238</v>
      </c>
      <c r="B239" s="7" t="inlineStr">
        <is>
          <t>Tilal Al Ghaf (Master Community)</t>
        </is>
      </c>
      <c r="C239" t="inlineStr">
        <is>
          <t>Majid Al Futtaim</t>
        </is>
      </c>
      <c r="D239" t="inlineStr">
        <is>
          <t>Hessa Street</t>
        </is>
      </c>
      <c r="E239" t="inlineStr">
        <is>
          <t>Mixed</t>
        </is>
      </c>
      <c r="F239" s="7" t="inlineStr">
        <is>
          <t>Lagoon / Resort</t>
        </is>
      </c>
      <c r="I239" t="inlineStr">
        <is>
          <t>15-18</t>
        </is>
      </c>
      <c r="J239" t="inlineStr">
        <is>
          <t>Varies</t>
        </is>
      </c>
      <c r="K239" t="inlineStr">
        <is>
          <t>Ongoing</t>
        </is>
      </c>
      <c r="L239" t="inlineStr">
        <is>
          <t>6.0-7.0</t>
        </is>
      </c>
      <c r="M239" t="inlineStr">
        <is>
          <t>8-12</t>
        </is>
      </c>
      <c r="N239" t="inlineStr">
        <is>
          <t>14.0-19.0</t>
        </is>
      </c>
      <c r="O239" s="7" t="inlineStr">
        <is>
          <t>Royal Grammar</t>
        </is>
      </c>
      <c r="P239" s="7" t="inlineStr">
        <is>
          <t>Mediclinic Parkview</t>
        </is>
      </c>
      <c r="Q239" s="7" t="inlineStr">
        <is>
          <t>First Avenue Mall</t>
        </is>
      </c>
      <c r="R239" s="7" t="inlineStr">
        <is>
          <t>Hessa St / E611</t>
        </is>
      </c>
      <c r="S239" t="inlineStr">
        <is>
          <t>20</t>
        </is>
      </c>
      <c r="T239" t="inlineStr">
        <is>
          <t>20</t>
        </is>
      </c>
      <c r="U239" t="inlineStr">
        <is>
          <t>25</t>
        </is>
      </c>
      <c r="V239" t="inlineStr">
        <is>
          <t>25</t>
        </is>
      </c>
      <c r="W239" t="n">
        <v>2</v>
      </c>
      <c r="X239" s="12" t="n"/>
      <c r="Y239" s="12" t="n"/>
      <c r="Z239" s="9" t="n">
        <v>6</v>
      </c>
      <c r="AA239" s="9" t="n">
        <v>7</v>
      </c>
      <c r="AB239" s="9" t="n">
        <v>8</v>
      </c>
      <c r="AC239" s="9" t="n">
        <v>12</v>
      </c>
      <c r="AD239" s="9" t="n">
        <v>14</v>
      </c>
      <c r="AE239" s="9" t="n">
        <v>19</v>
      </c>
      <c r="AH239" t="inlineStr">
        <is>
          <t>Mixed/Other</t>
        </is>
      </c>
      <c r="AI239" t="inlineStr">
        <is>
          <t>MainstreamSelective</t>
        </is>
      </c>
      <c r="AJ239" t="inlineStr">
        <is>
          <t>Established</t>
        </is>
      </c>
      <c r="AK239" t="inlineStr">
        <is>
          <t>Balanced / selective</t>
        </is>
      </c>
      <c r="AL239" s="7" t="inlineStr">
        <is>
          <t>Market remains active but increasingly differentiated by developer, micro-location, livability, and pricing discipline.</t>
        </is>
      </c>
      <c r="AM239" s="9" t="n">
        <v>10</v>
      </c>
      <c r="AN239" s="9" t="n">
        <v>6.5</v>
      </c>
      <c r="AO239" s="10" t="n">
        <v>0.25</v>
      </c>
      <c r="AP239" s="13" t="n">
        <v>0</v>
      </c>
      <c r="AQ239" s="13" t="n">
        <v>0</v>
      </c>
      <c r="AR239" s="13" t="n">
        <v>0</v>
      </c>
      <c r="AS239" s="13" t="n">
        <v>0.01</v>
      </c>
      <c r="AT239" s="13" t="n">
        <v>0</v>
      </c>
      <c r="AU239" s="13" t="n">
        <v>0.0025</v>
      </c>
      <c r="AV239" s="13" t="n">
        <v>-0.005</v>
      </c>
      <c r="AW239" s="13">
        <f>IF(X239="","",(AM239/100*AO239)+AP239+AQ239+AR239)</f>
        <v/>
      </c>
      <c r="AX239" s="13">
        <f>IF(X239="","",AS239+AT239+AU239+AV239)</f>
        <v/>
      </c>
      <c r="AY239" s="12">
        <f>IF(AZ239="","",ROUND(AZ239*(1+Assumptions!$B$10),0))</f>
        <v/>
      </c>
      <c r="AZ239" s="12">
        <f>IF(X239="","",ROUND(X239*(1+AW239),0))</f>
        <v/>
      </c>
      <c r="BA239" s="12">
        <f>IF(AZ239="","",ROUND(AZ239*(1+Assumptions!$B$11),0))</f>
        <v/>
      </c>
      <c r="BB239" s="12">
        <f>IF(AZ239="","",ROUND(AZ239*(1+AX239+Assumptions!$B$10),0))</f>
        <v/>
      </c>
      <c r="BC239" s="12">
        <f>IF(AZ239="","",ROUND(AZ239*(1+AX239),0))</f>
        <v/>
      </c>
      <c r="BD239" s="12">
        <f>IF(AZ239="","",ROUND(AZ239*(1+AX239+Assumptions!$B$11),0))</f>
        <v/>
      </c>
      <c r="BE239" s="12">
        <f>IF(AZ239="","",ROUND(AZ239*(1+AX239)*(1+AX239),0))</f>
        <v/>
      </c>
      <c r="BF239" s="7" t="inlineStr">
        <is>
          <t>Rules-based enrichment using launch-price anchor, cap-app realization, and 2026 segment conditions.</t>
        </is>
      </c>
      <c r="BG239" t="inlineStr">
        <is>
          <t>2026-03-17</t>
        </is>
      </c>
      <c r="BH239" s="7" t="inlineStr">
        <is>
          <t>DLD / Digital Dubai / CBUAE / Savills / Knight Frank-Moody’s / Reuters</t>
        </is>
      </c>
    </row>
    <row r="240">
      <c r="A240" t="n">
        <v>239</v>
      </c>
      <c r="B240" s="7" t="inlineStr">
        <is>
          <t>Serenity Mansions</t>
        </is>
      </c>
      <c r="C240" t="inlineStr">
        <is>
          <t>Majid Al Futtaim</t>
        </is>
      </c>
      <c r="D240" t="inlineStr">
        <is>
          <t>Tilal Al Ghaf</t>
        </is>
      </c>
      <c r="E240" t="inlineStr">
        <is>
          <t>Mansions</t>
        </is>
      </c>
      <c r="F240" s="7" t="inlineStr">
        <is>
          <t>Ultra-Luxury</t>
        </is>
      </c>
      <c r="G240" t="inlineStr">
        <is>
          <t>25M+</t>
        </is>
      </c>
      <c r="H240" t="inlineStr">
        <is>
          <t>3000</t>
        </is>
      </c>
      <c r="I240" t="inlineStr">
        <is>
          <t>TBA</t>
        </is>
      </c>
      <c r="J240" t="inlineStr">
        <is>
          <t>50/50</t>
        </is>
      </c>
      <c r="K240" t="inlineStr">
        <is>
          <t>2023</t>
        </is>
      </c>
      <c r="L240" t="inlineStr">
        <is>
          <t>4.0-4.5</t>
        </is>
      </c>
      <c r="M240" t="inlineStr">
        <is>
          <t>10-15</t>
        </is>
      </c>
      <c r="N240" t="inlineStr">
        <is>
          <t>14.0-19.5</t>
        </is>
      </c>
      <c r="O240" s="7" t="inlineStr">
        <is>
          <t>Royal Grammar</t>
        </is>
      </c>
      <c r="P240" s="7" t="inlineStr">
        <is>
          <t>Mediclinic Parkview</t>
        </is>
      </c>
      <c r="Q240" s="7" t="inlineStr">
        <is>
          <t>First Avenue Mall</t>
        </is>
      </c>
      <c r="R240" s="7" t="inlineStr">
        <is>
          <t>Hessa St / E611</t>
        </is>
      </c>
      <c r="S240" t="inlineStr">
        <is>
          <t>20</t>
        </is>
      </c>
      <c r="T240" t="inlineStr">
        <is>
          <t>20</t>
        </is>
      </c>
      <c r="U240" t="inlineStr">
        <is>
          <t>25</t>
        </is>
      </c>
      <c r="V240" t="inlineStr">
        <is>
          <t>25</t>
        </is>
      </c>
      <c r="W240" t="n">
        <v>2</v>
      </c>
      <c r="X240" s="12" t="n">
        <v>25000000</v>
      </c>
      <c r="Y240" s="12" t="n">
        <v>25000000</v>
      </c>
      <c r="Z240" s="9" t="n">
        <v>4</v>
      </c>
      <c r="AA240" s="9" t="n">
        <v>4.5</v>
      </c>
      <c r="AB240" s="9" t="n">
        <v>10</v>
      </c>
      <c r="AC240" s="9" t="n">
        <v>15</v>
      </c>
      <c r="AD240" s="9" t="n">
        <v>14</v>
      </c>
      <c r="AE240" s="9" t="n">
        <v>19.5</v>
      </c>
      <c r="AF240" t="n">
        <v>2023</v>
      </c>
      <c r="AH240" t="inlineStr">
        <is>
          <t>Mixed/Other</t>
        </is>
      </c>
      <c r="AI240" t="inlineStr">
        <is>
          <t>MainstreamSelective</t>
        </is>
      </c>
      <c r="AJ240" t="inlineStr">
        <is>
          <t>Established</t>
        </is>
      </c>
      <c r="AK240" t="inlineStr">
        <is>
          <t>Balanced / selective</t>
        </is>
      </c>
      <c r="AL240" s="7" t="inlineStr">
        <is>
          <t>Market remains active but increasingly differentiated by developer, micro-location, livability, and pricing discipline.</t>
        </is>
      </c>
      <c r="AM240" s="9" t="n">
        <v>12.5</v>
      </c>
      <c r="AN240" s="9" t="n">
        <v>4.25</v>
      </c>
      <c r="AO240" s="10" t="n">
        <v>0.55</v>
      </c>
      <c r="AP240" s="13" t="n">
        <v>0</v>
      </c>
      <c r="AQ240" s="13" t="n">
        <v>0</v>
      </c>
      <c r="AR240" s="13" t="n">
        <v>0</v>
      </c>
      <c r="AS240" s="13" t="n">
        <v>0.01</v>
      </c>
      <c r="AT240" s="13" t="n">
        <v>0</v>
      </c>
      <c r="AU240" s="13" t="n">
        <v>0</v>
      </c>
      <c r="AV240" s="13" t="n">
        <v>-0.005</v>
      </c>
      <c r="AW240" s="13">
        <f>IF(X240="","",(AM240/100*AO240)+AP240+AQ240+AR240)</f>
        <v/>
      </c>
      <c r="AX240" s="13">
        <f>IF(X240="","",AS240+AT240+AU240+AV240)</f>
        <v/>
      </c>
      <c r="AY240" s="12">
        <f>IF(AZ240="","",ROUND(AZ240*(1+Assumptions!$B$10),0))</f>
        <v/>
      </c>
      <c r="AZ240" s="12">
        <f>IF(X240="","",ROUND(X240*(1+AW240),0))</f>
        <v/>
      </c>
      <c r="BA240" s="12">
        <f>IF(AZ240="","",ROUND(AZ240*(1+Assumptions!$B$11),0))</f>
        <v/>
      </c>
      <c r="BB240" s="12">
        <f>IF(AZ240="","",ROUND(AZ240*(1+AX240+Assumptions!$B$10),0))</f>
        <v/>
      </c>
      <c r="BC240" s="12">
        <f>IF(AZ240="","",ROUND(AZ240*(1+AX240),0))</f>
        <v/>
      </c>
      <c r="BD240" s="12">
        <f>IF(AZ240="","",ROUND(AZ240*(1+AX240+Assumptions!$B$11),0))</f>
        <v/>
      </c>
      <c r="BE240" s="12">
        <f>IF(AZ240="","",ROUND(AZ240*(1+AX240)*(1+AX240),0))</f>
        <v/>
      </c>
      <c r="BF240" s="7" t="inlineStr">
        <is>
          <t>Rules-based enrichment using launch-price anchor, cap-app realization, and 2026 segment conditions.</t>
        </is>
      </c>
      <c r="BG240" t="inlineStr">
        <is>
          <t>2026-03-17</t>
        </is>
      </c>
      <c r="BH240" s="7" t="inlineStr">
        <is>
          <t>DLD / Digital Dubai / CBUAE / Savills / Knight Frank-Moody’s / Reuters</t>
        </is>
      </c>
    </row>
    <row r="241">
      <c r="A241" t="n">
        <v>240</v>
      </c>
      <c r="B241" s="7" t="inlineStr">
        <is>
          <t>Lanai Islands</t>
        </is>
      </c>
      <c r="C241" t="inlineStr">
        <is>
          <t>Majid Al Futtaim</t>
        </is>
      </c>
      <c r="D241" t="inlineStr">
        <is>
          <t>Tilal Al Ghaf</t>
        </is>
      </c>
      <c r="E241" t="inlineStr">
        <is>
          <t>Mansions</t>
        </is>
      </c>
      <c r="F241" s="7" t="inlineStr">
        <is>
          <t>Island / Ultra</t>
        </is>
      </c>
      <c r="G241" t="inlineStr">
        <is>
          <t>60M+</t>
        </is>
      </c>
      <c r="H241" t="inlineStr">
        <is>
          <t>4000</t>
        </is>
      </c>
      <c r="I241" t="inlineStr">
        <is>
          <t>TBA</t>
        </is>
      </c>
      <c r="J241" t="inlineStr">
        <is>
          <t>50/50</t>
        </is>
      </c>
      <c r="K241" t="inlineStr">
        <is>
          <t>2023</t>
        </is>
      </c>
      <c r="L241" t="inlineStr">
        <is>
          <t>3.5-4.0</t>
        </is>
      </c>
      <c r="M241" t="inlineStr">
        <is>
          <t>10-15</t>
        </is>
      </c>
      <c r="N241" t="inlineStr">
        <is>
          <t>13.5-19.0</t>
        </is>
      </c>
      <c r="O241" s="7" t="inlineStr">
        <is>
          <t>Royal Grammar</t>
        </is>
      </c>
      <c r="P241" s="7" t="inlineStr">
        <is>
          <t>Mediclinic Parkview</t>
        </is>
      </c>
      <c r="Q241" s="7" t="inlineStr">
        <is>
          <t>First Avenue Mall</t>
        </is>
      </c>
      <c r="R241" s="7" t="inlineStr">
        <is>
          <t>Hessa St / E611</t>
        </is>
      </c>
      <c r="S241" t="inlineStr">
        <is>
          <t>20</t>
        </is>
      </c>
      <c r="T241" t="inlineStr">
        <is>
          <t>20</t>
        </is>
      </c>
      <c r="U241" t="inlineStr">
        <is>
          <t>25</t>
        </is>
      </c>
      <c r="V241" t="inlineStr">
        <is>
          <t>25</t>
        </is>
      </c>
      <c r="W241" t="n">
        <v>2</v>
      </c>
      <c r="X241" s="12" t="n">
        <v>60000000</v>
      </c>
      <c r="Y241" s="12" t="n">
        <v>60000000</v>
      </c>
      <c r="Z241" s="9" t="n">
        <v>3.5</v>
      </c>
      <c r="AA241" s="9" t="n">
        <v>4</v>
      </c>
      <c r="AB241" s="9" t="n">
        <v>10</v>
      </c>
      <c r="AC241" s="9" t="n">
        <v>15</v>
      </c>
      <c r="AD241" s="9" t="n">
        <v>13.5</v>
      </c>
      <c r="AE241" s="9" t="n">
        <v>19</v>
      </c>
      <c r="AF241" t="n">
        <v>2023</v>
      </c>
      <c r="AH241" t="inlineStr">
        <is>
          <t>Land</t>
        </is>
      </c>
      <c r="AI241" t="inlineStr">
        <is>
          <t>MainstreamSelective</t>
        </is>
      </c>
      <c r="AJ241" t="inlineStr">
        <is>
          <t>Established</t>
        </is>
      </c>
      <c r="AK241" t="inlineStr">
        <is>
          <t>Balanced / selective</t>
        </is>
      </c>
      <c r="AL241" s="7" t="inlineStr">
        <is>
          <t>Market remains active but increasingly differentiated by developer, micro-location, livability, and pricing discipline.</t>
        </is>
      </c>
      <c r="AM241" s="9" t="n">
        <v>12.5</v>
      </c>
      <c r="AN241" s="9" t="n">
        <v>3.75</v>
      </c>
      <c r="AO241" s="10" t="n">
        <v>0.55</v>
      </c>
      <c r="AP241" s="13" t="n">
        <v>0</v>
      </c>
      <c r="AQ241" s="13" t="n">
        <v>0</v>
      </c>
      <c r="AR241" s="13" t="n">
        <v>0</v>
      </c>
      <c r="AS241" s="13" t="n">
        <v>0.01</v>
      </c>
      <c r="AT241" s="13" t="n">
        <v>0</v>
      </c>
      <c r="AU241" s="13" t="n">
        <v>0</v>
      </c>
      <c r="AV241" s="13" t="n">
        <v>-0.005</v>
      </c>
      <c r="AW241" s="13">
        <f>IF(X241="","",(AM241/100*AO241)+AP241+AQ241+AR241)</f>
        <v/>
      </c>
      <c r="AX241" s="13">
        <f>IF(X241="","",AS241+AT241+AU241+AV241)</f>
        <v/>
      </c>
      <c r="AY241" s="12">
        <f>IF(AZ241="","",ROUND(AZ241*(1+Assumptions!$B$10),0))</f>
        <v/>
      </c>
      <c r="AZ241" s="12">
        <f>IF(X241="","",ROUND(X241*(1+AW241),0))</f>
        <v/>
      </c>
      <c r="BA241" s="12">
        <f>IF(AZ241="","",ROUND(AZ241*(1+Assumptions!$B$11),0))</f>
        <v/>
      </c>
      <c r="BB241" s="12">
        <f>IF(AZ241="","",ROUND(AZ241*(1+AX241+Assumptions!$B$10),0))</f>
        <v/>
      </c>
      <c r="BC241" s="12">
        <f>IF(AZ241="","",ROUND(AZ241*(1+AX241),0))</f>
        <v/>
      </c>
      <c r="BD241" s="12">
        <f>IF(AZ241="","",ROUND(AZ241*(1+AX241+Assumptions!$B$11),0))</f>
        <v/>
      </c>
      <c r="BE241" s="12">
        <f>IF(AZ241="","",ROUND(AZ241*(1+AX241)*(1+AX241),0))</f>
        <v/>
      </c>
      <c r="BF241" s="7" t="inlineStr">
        <is>
          <t>Rules-based enrichment using launch-price anchor, cap-app realization, and 2026 segment conditions.</t>
        </is>
      </c>
      <c r="BG241" t="inlineStr">
        <is>
          <t>2026-03-17</t>
        </is>
      </c>
      <c r="BH241" s="7" t="inlineStr">
        <is>
          <t>DLD / Digital Dubai / CBUAE / Savills / Knight Frank-Moody’s / Reuters</t>
        </is>
      </c>
    </row>
    <row r="242">
      <c r="A242" t="n">
        <v>241</v>
      </c>
      <c r="B242" s="7" t="inlineStr">
        <is>
          <t>Plagette 32</t>
        </is>
      </c>
      <c r="C242" t="inlineStr">
        <is>
          <t>Majid Al Futtaim</t>
        </is>
      </c>
      <c r="D242" t="inlineStr">
        <is>
          <t>Tilal Al Ghaf</t>
        </is>
      </c>
      <c r="E242" t="inlineStr">
        <is>
          <t>Villas</t>
        </is>
      </c>
      <c r="F242" s="7" t="inlineStr">
        <is>
          <t>Water / Luxury</t>
        </is>
      </c>
      <c r="G242" t="inlineStr">
        <is>
          <t>8.5M</t>
        </is>
      </c>
      <c r="H242" t="inlineStr">
        <is>
          <t>2100</t>
        </is>
      </c>
      <c r="I242" t="inlineStr">
        <is>
          <t>20</t>
        </is>
      </c>
      <c r="J242" t="inlineStr">
        <is>
          <t>50/50</t>
        </is>
      </c>
      <c r="K242" t="inlineStr">
        <is>
          <t>2024</t>
        </is>
      </c>
      <c r="L242" t="inlineStr">
        <is>
          <t>5.0-5.5</t>
        </is>
      </c>
      <c r="M242" t="inlineStr">
        <is>
          <t>10-12</t>
        </is>
      </c>
      <c r="N242" t="inlineStr">
        <is>
          <t>15.0-17.5</t>
        </is>
      </c>
      <c r="O242" s="7" t="inlineStr">
        <is>
          <t>Royal Grammar</t>
        </is>
      </c>
      <c r="P242" s="7" t="inlineStr">
        <is>
          <t>Mediclinic Parkview</t>
        </is>
      </c>
      <c r="Q242" s="7" t="inlineStr">
        <is>
          <t>First Avenue Mall</t>
        </is>
      </c>
      <c r="R242" s="7" t="inlineStr">
        <is>
          <t>Hessa St / E611</t>
        </is>
      </c>
      <c r="S242" t="inlineStr">
        <is>
          <t>20</t>
        </is>
      </c>
      <c r="T242" t="inlineStr">
        <is>
          <t>20</t>
        </is>
      </c>
      <c r="U242" t="inlineStr">
        <is>
          <t>25</t>
        </is>
      </c>
      <c r="V242" t="inlineStr">
        <is>
          <t>25</t>
        </is>
      </c>
      <c r="W242" t="n">
        <v>2</v>
      </c>
      <c r="X242" s="12" t="n">
        <v>8500000</v>
      </c>
      <c r="Y242" s="12" t="n">
        <v>8500000</v>
      </c>
      <c r="Z242" s="9" t="n">
        <v>5</v>
      </c>
      <c r="AA242" s="9" t="n">
        <v>5.5</v>
      </c>
      <c r="AB242" s="9" t="n">
        <v>10</v>
      </c>
      <c r="AC242" s="9" t="n">
        <v>12</v>
      </c>
      <c r="AD242" s="9" t="n">
        <v>15</v>
      </c>
      <c r="AE242" s="9" t="n">
        <v>17.5</v>
      </c>
      <c r="AF242" t="n">
        <v>2024</v>
      </c>
      <c r="AH242" t="inlineStr">
        <is>
          <t>Villa</t>
        </is>
      </c>
      <c r="AI242" t="inlineStr">
        <is>
          <t>FamilyVilla</t>
        </is>
      </c>
      <c r="AJ242" t="inlineStr">
        <is>
          <t>Established</t>
        </is>
      </c>
      <c r="AK242" t="inlineStr">
        <is>
          <t>Family-villa resilient</t>
        </is>
      </c>
      <c r="AL242" s="7" t="inlineStr">
        <is>
          <t>Villa/townhouse demand remains relatively firmer, though growth should be slower than the post-2020 surge.</t>
        </is>
      </c>
      <c r="AM242" s="9" t="n">
        <v>11</v>
      </c>
      <c r="AN242" s="9" t="n">
        <v>5.25</v>
      </c>
      <c r="AO242" s="10" t="n">
        <v>0.55</v>
      </c>
      <c r="AP242" s="13" t="n">
        <v>0</v>
      </c>
      <c r="AQ242" s="13" t="n">
        <v>0.015</v>
      </c>
      <c r="AR242" s="13" t="n">
        <v>0</v>
      </c>
      <c r="AS242" s="13" t="n">
        <v>0.025</v>
      </c>
      <c r="AT242" s="13" t="n">
        <v>0</v>
      </c>
      <c r="AU242" s="13" t="n">
        <v>0</v>
      </c>
      <c r="AV242" s="13" t="n">
        <v>-0.005</v>
      </c>
      <c r="AW242" s="13">
        <f>IF(X242="","",(AM242/100*AO242)+AP242+AQ242+AR242)</f>
        <v/>
      </c>
      <c r="AX242" s="13">
        <f>IF(X242="","",AS242+AT242+AU242+AV242)</f>
        <v/>
      </c>
      <c r="AY242" s="12">
        <f>IF(AZ242="","",ROUND(AZ242*(1+Assumptions!$B$10),0))</f>
        <v/>
      </c>
      <c r="AZ242" s="12">
        <f>IF(X242="","",ROUND(X242*(1+AW242),0))</f>
        <v/>
      </c>
      <c r="BA242" s="12">
        <f>IF(AZ242="","",ROUND(AZ242*(1+Assumptions!$B$11),0))</f>
        <v/>
      </c>
      <c r="BB242" s="12">
        <f>IF(AZ242="","",ROUND(AZ242*(1+AX242+Assumptions!$B$10),0))</f>
        <v/>
      </c>
      <c r="BC242" s="12">
        <f>IF(AZ242="","",ROUND(AZ242*(1+AX242),0))</f>
        <v/>
      </c>
      <c r="BD242" s="12">
        <f>IF(AZ242="","",ROUND(AZ242*(1+AX242+Assumptions!$B$11),0))</f>
        <v/>
      </c>
      <c r="BE242" s="12">
        <f>IF(AZ242="","",ROUND(AZ242*(1+AX242)*(1+AX242),0))</f>
        <v/>
      </c>
      <c r="BF242" s="7" t="inlineStr">
        <is>
          <t>Rules-based enrichment using launch-price anchor, cap-app realization, and 2026 segment conditions.</t>
        </is>
      </c>
      <c r="BG242" t="inlineStr">
        <is>
          <t>2026-03-17</t>
        </is>
      </c>
      <c r="BH242" s="7" t="inlineStr">
        <is>
          <t>DLD / Digital Dubai / CBUAE / Savills / Knight Frank-Moody’s / Reuters</t>
        </is>
      </c>
    </row>
    <row r="243">
      <c r="A243" t="n">
        <v>242</v>
      </c>
      <c r="B243" s="7" t="inlineStr">
        <is>
          <t>Amara</t>
        </is>
      </c>
      <c r="C243" t="inlineStr">
        <is>
          <t>Majid Al Futtaim</t>
        </is>
      </c>
      <c r="D243" t="inlineStr">
        <is>
          <t>Tilal Al Ghaf</t>
        </is>
      </c>
      <c r="E243" t="inlineStr">
        <is>
          <t>Twin Villas</t>
        </is>
      </c>
      <c r="F243" s="7" t="inlineStr">
        <is>
          <t>Modern / Hill</t>
        </is>
      </c>
      <c r="G243" t="inlineStr">
        <is>
          <t>6.5M</t>
        </is>
      </c>
      <c r="H243" t="inlineStr">
        <is>
          <t>1800</t>
        </is>
      </c>
      <c r="I243" t="inlineStr">
        <is>
          <t>18</t>
        </is>
      </c>
      <c r="J243" t="inlineStr">
        <is>
          <t>60/40</t>
        </is>
      </c>
      <c r="K243" t="inlineStr">
        <is>
          <t>2023</t>
        </is>
      </c>
      <c r="L243" t="inlineStr">
        <is>
          <t>5.5-6.0</t>
        </is>
      </c>
      <c r="M243" t="inlineStr">
        <is>
          <t>8-10</t>
        </is>
      </c>
      <c r="N243" t="inlineStr">
        <is>
          <t>13.5-16.0</t>
        </is>
      </c>
      <c r="O243" s="7" t="inlineStr">
        <is>
          <t>Royal Grammar</t>
        </is>
      </c>
      <c r="P243" s="7" t="inlineStr">
        <is>
          <t>Mediclinic Parkview</t>
        </is>
      </c>
      <c r="Q243" s="7" t="inlineStr">
        <is>
          <t>First Avenue Mall</t>
        </is>
      </c>
      <c r="R243" s="7" t="inlineStr">
        <is>
          <t>Hessa St / E611</t>
        </is>
      </c>
      <c r="S243" t="inlineStr">
        <is>
          <t>20</t>
        </is>
      </c>
      <c r="T243" t="inlineStr">
        <is>
          <t>20</t>
        </is>
      </c>
      <c r="U243" t="inlineStr">
        <is>
          <t>25</t>
        </is>
      </c>
      <c r="V243" t="inlineStr">
        <is>
          <t>25</t>
        </is>
      </c>
      <c r="W243" t="n">
        <v>2</v>
      </c>
      <c r="X243" s="12" t="n">
        <v>6500000</v>
      </c>
      <c r="Y243" s="12" t="n">
        <v>6500000</v>
      </c>
      <c r="Z243" s="9" t="n">
        <v>5.5</v>
      </c>
      <c r="AA243" s="9" t="n">
        <v>6</v>
      </c>
      <c r="AB243" s="9" t="n">
        <v>8</v>
      </c>
      <c r="AC243" s="9" t="n">
        <v>10</v>
      </c>
      <c r="AD243" s="9" t="n">
        <v>13.5</v>
      </c>
      <c r="AE243" s="9" t="n">
        <v>16</v>
      </c>
      <c r="AF243" t="n">
        <v>2023</v>
      </c>
      <c r="AH243" t="inlineStr">
        <is>
          <t>Villa</t>
        </is>
      </c>
      <c r="AI243" t="inlineStr">
        <is>
          <t>FamilyVilla</t>
        </is>
      </c>
      <c r="AJ243" t="inlineStr">
        <is>
          <t>Established</t>
        </is>
      </c>
      <c r="AK243" t="inlineStr">
        <is>
          <t>Family-villa resilient</t>
        </is>
      </c>
      <c r="AL243" s="7" t="inlineStr">
        <is>
          <t>Villa/townhouse demand remains relatively firmer, though growth should be slower than the post-2020 surge.</t>
        </is>
      </c>
      <c r="AM243" s="9" t="n">
        <v>9</v>
      </c>
      <c r="AN243" s="9" t="n">
        <v>5.75</v>
      </c>
      <c r="AO243" s="10" t="n">
        <v>0.55</v>
      </c>
      <c r="AP243" s="13" t="n">
        <v>0</v>
      </c>
      <c r="AQ243" s="13" t="n">
        <v>0.015</v>
      </c>
      <c r="AR243" s="13" t="n">
        <v>0</v>
      </c>
      <c r="AS243" s="13" t="n">
        <v>0.025</v>
      </c>
      <c r="AT243" s="13" t="n">
        <v>0</v>
      </c>
      <c r="AU243" s="13" t="n">
        <v>0</v>
      </c>
      <c r="AV243" s="13" t="n">
        <v>-0.005</v>
      </c>
      <c r="AW243" s="13">
        <f>IF(X243="","",(AM243/100*AO243)+AP243+AQ243+AR243)</f>
        <v/>
      </c>
      <c r="AX243" s="13">
        <f>IF(X243="","",AS243+AT243+AU243+AV243)</f>
        <v/>
      </c>
      <c r="AY243" s="12">
        <f>IF(AZ243="","",ROUND(AZ243*(1+Assumptions!$B$10),0))</f>
        <v/>
      </c>
      <c r="AZ243" s="12">
        <f>IF(X243="","",ROUND(X243*(1+AW243),0))</f>
        <v/>
      </c>
      <c r="BA243" s="12">
        <f>IF(AZ243="","",ROUND(AZ243*(1+Assumptions!$B$11),0))</f>
        <v/>
      </c>
      <c r="BB243" s="12">
        <f>IF(AZ243="","",ROUND(AZ243*(1+AX243+Assumptions!$B$10),0))</f>
        <v/>
      </c>
      <c r="BC243" s="12">
        <f>IF(AZ243="","",ROUND(AZ243*(1+AX243),0))</f>
        <v/>
      </c>
      <c r="BD243" s="12">
        <f>IF(AZ243="","",ROUND(AZ243*(1+AX243+Assumptions!$B$11),0))</f>
        <v/>
      </c>
      <c r="BE243" s="12">
        <f>IF(AZ243="","",ROUND(AZ243*(1+AX243)*(1+AX243),0))</f>
        <v/>
      </c>
      <c r="BF243" s="7" t="inlineStr">
        <is>
          <t>Rules-based enrichment using launch-price anchor, cap-app realization, and 2026 segment conditions.</t>
        </is>
      </c>
      <c r="BG243" t="inlineStr">
        <is>
          <t>2026-03-17</t>
        </is>
      </c>
      <c r="BH243" s="7" t="inlineStr">
        <is>
          <t>DLD / Digital Dubai / CBUAE / Savills / Knight Frank-Moody’s / Reuters</t>
        </is>
      </c>
    </row>
    <row r="244">
      <c r="A244" t="n">
        <v>243</v>
      </c>
      <c r="B244" s="7" t="inlineStr">
        <is>
          <t>Alaya</t>
        </is>
      </c>
      <c r="C244" t="inlineStr">
        <is>
          <t>Majid Al Futtaim</t>
        </is>
      </c>
      <c r="D244" t="inlineStr">
        <is>
          <t>Tilal Al Ghaf</t>
        </is>
      </c>
      <c r="E244" t="inlineStr">
        <is>
          <t>Villas</t>
        </is>
      </c>
      <c r="F244" s="7" t="inlineStr">
        <is>
          <t>Luxury / Zen</t>
        </is>
      </c>
      <c r="G244" t="inlineStr">
        <is>
          <t>9.0M</t>
        </is>
      </c>
      <c r="H244" t="inlineStr">
        <is>
          <t>1900</t>
        </is>
      </c>
      <c r="I244" t="inlineStr">
        <is>
          <t>18</t>
        </is>
      </c>
      <c r="J244" t="inlineStr">
        <is>
          <t>50/50</t>
        </is>
      </c>
      <c r="K244" t="inlineStr">
        <is>
          <t>2022</t>
        </is>
      </c>
      <c r="L244" t="inlineStr">
        <is>
          <t>5.0-5.5</t>
        </is>
      </c>
      <c r="M244" t="inlineStr">
        <is>
          <t>8-10</t>
        </is>
      </c>
      <c r="N244" t="inlineStr">
        <is>
          <t>13.0-15.5</t>
        </is>
      </c>
      <c r="O244" s="7" t="inlineStr">
        <is>
          <t>Royal Grammar</t>
        </is>
      </c>
      <c r="P244" s="7" t="inlineStr">
        <is>
          <t>Mediclinic Parkview</t>
        </is>
      </c>
      <c r="Q244" s="7" t="inlineStr">
        <is>
          <t>First Avenue Mall</t>
        </is>
      </c>
      <c r="R244" s="7" t="inlineStr">
        <is>
          <t>Hessa St / E611</t>
        </is>
      </c>
      <c r="S244" t="inlineStr">
        <is>
          <t>20</t>
        </is>
      </c>
      <c r="T244" t="inlineStr">
        <is>
          <t>20</t>
        </is>
      </c>
      <c r="U244" t="inlineStr">
        <is>
          <t>25</t>
        </is>
      </c>
      <c r="V244" t="inlineStr">
        <is>
          <t>25</t>
        </is>
      </c>
      <c r="W244" t="n">
        <v>2</v>
      </c>
      <c r="X244" s="12" t="n">
        <v>9000000</v>
      </c>
      <c r="Y244" s="12" t="n">
        <v>9000000</v>
      </c>
      <c r="Z244" s="9" t="n">
        <v>5</v>
      </c>
      <c r="AA244" s="9" t="n">
        <v>5.5</v>
      </c>
      <c r="AB244" s="9" t="n">
        <v>8</v>
      </c>
      <c r="AC244" s="9" t="n">
        <v>10</v>
      </c>
      <c r="AD244" s="9" t="n">
        <v>13</v>
      </c>
      <c r="AE244" s="9" t="n">
        <v>15.5</v>
      </c>
      <c r="AF244" t="n">
        <v>2022</v>
      </c>
      <c r="AH244" t="inlineStr">
        <is>
          <t>Villa</t>
        </is>
      </c>
      <c r="AI244" t="inlineStr">
        <is>
          <t>FamilyVilla</t>
        </is>
      </c>
      <c r="AJ244" t="inlineStr">
        <is>
          <t>Established</t>
        </is>
      </c>
      <c r="AK244" t="inlineStr">
        <is>
          <t>Family-villa resilient</t>
        </is>
      </c>
      <c r="AL244" s="7" t="inlineStr">
        <is>
          <t>Villa/townhouse demand remains relatively firmer, though growth should be slower than the post-2020 surge.</t>
        </is>
      </c>
      <c r="AM244" s="9" t="n">
        <v>9</v>
      </c>
      <c r="AN244" s="9" t="n">
        <v>5.25</v>
      </c>
      <c r="AO244" s="10" t="n">
        <v>0.55</v>
      </c>
      <c r="AP244" s="13" t="n">
        <v>0</v>
      </c>
      <c r="AQ244" s="13" t="n">
        <v>0.015</v>
      </c>
      <c r="AR244" s="13" t="n">
        <v>0</v>
      </c>
      <c r="AS244" s="13" t="n">
        <v>0.025</v>
      </c>
      <c r="AT244" s="13" t="n">
        <v>0</v>
      </c>
      <c r="AU244" s="13" t="n">
        <v>0</v>
      </c>
      <c r="AV244" s="13" t="n">
        <v>-0.005</v>
      </c>
      <c r="AW244" s="13">
        <f>IF(X244="","",(AM244/100*AO244)+AP244+AQ244+AR244)</f>
        <v/>
      </c>
      <c r="AX244" s="13">
        <f>IF(X244="","",AS244+AT244+AU244+AV244)</f>
        <v/>
      </c>
      <c r="AY244" s="12">
        <f>IF(AZ244="","",ROUND(AZ244*(1+Assumptions!$B$10),0))</f>
        <v/>
      </c>
      <c r="AZ244" s="12">
        <f>IF(X244="","",ROUND(X244*(1+AW244),0))</f>
        <v/>
      </c>
      <c r="BA244" s="12">
        <f>IF(AZ244="","",ROUND(AZ244*(1+Assumptions!$B$11),0))</f>
        <v/>
      </c>
      <c r="BB244" s="12">
        <f>IF(AZ244="","",ROUND(AZ244*(1+AX244+Assumptions!$B$10),0))</f>
        <v/>
      </c>
      <c r="BC244" s="12">
        <f>IF(AZ244="","",ROUND(AZ244*(1+AX244),0))</f>
        <v/>
      </c>
      <c r="BD244" s="12">
        <f>IF(AZ244="","",ROUND(AZ244*(1+AX244+Assumptions!$B$11),0))</f>
        <v/>
      </c>
      <c r="BE244" s="12">
        <f>IF(AZ244="","",ROUND(AZ244*(1+AX244)*(1+AX244),0))</f>
        <v/>
      </c>
      <c r="BF244" s="7" t="inlineStr">
        <is>
          <t>Rules-based enrichment using launch-price anchor, cap-app realization, and 2026 segment conditions.</t>
        </is>
      </c>
      <c r="BG244" t="inlineStr">
        <is>
          <t>2026-03-17</t>
        </is>
      </c>
      <c r="BH244" s="7" t="inlineStr">
        <is>
          <t>DLD / Digital Dubai / CBUAE / Savills / Knight Frank-Moody’s / Reuters</t>
        </is>
      </c>
    </row>
    <row r="245">
      <c r="A245" t="n">
        <v>244</v>
      </c>
      <c r="B245" s="7" t="inlineStr">
        <is>
          <t>Alaya Beach</t>
        </is>
      </c>
      <c r="C245" t="inlineStr">
        <is>
          <t>Majid Al Futtaim</t>
        </is>
      </c>
      <c r="D245" t="inlineStr">
        <is>
          <t>Tilal Al Ghaf</t>
        </is>
      </c>
      <c r="E245" t="inlineStr">
        <is>
          <t>Villas</t>
        </is>
      </c>
      <c r="F245" s="7" t="inlineStr">
        <is>
          <t>Beachfront</t>
        </is>
      </c>
      <c r="G245" t="inlineStr">
        <is>
          <t>12M+</t>
        </is>
      </c>
      <c r="H245" t="inlineStr">
        <is>
          <t>2200</t>
        </is>
      </c>
      <c r="I245" t="inlineStr">
        <is>
          <t>20</t>
        </is>
      </c>
      <c r="J245" t="inlineStr">
        <is>
          <t>50/50</t>
        </is>
      </c>
      <c r="K245" t="inlineStr">
        <is>
          <t>2022</t>
        </is>
      </c>
      <c r="L245" t="inlineStr">
        <is>
          <t>5.0-5.5</t>
        </is>
      </c>
      <c r="M245" t="inlineStr">
        <is>
          <t>8-10</t>
        </is>
      </c>
      <c r="N245" t="inlineStr">
        <is>
          <t>13.0-15.5</t>
        </is>
      </c>
      <c r="O245" s="7" t="inlineStr">
        <is>
          <t>Royal Grammar</t>
        </is>
      </c>
      <c r="P245" s="7" t="inlineStr">
        <is>
          <t>Mediclinic Parkview</t>
        </is>
      </c>
      <c r="Q245" s="7" t="inlineStr">
        <is>
          <t>First Avenue Mall</t>
        </is>
      </c>
      <c r="R245" s="7" t="inlineStr">
        <is>
          <t>Hessa St / E611</t>
        </is>
      </c>
      <c r="S245" t="inlineStr">
        <is>
          <t>20</t>
        </is>
      </c>
      <c r="T245" t="inlineStr">
        <is>
          <t>20</t>
        </is>
      </c>
      <c r="U245" t="inlineStr">
        <is>
          <t>25</t>
        </is>
      </c>
      <c r="V245" t="inlineStr">
        <is>
          <t>25</t>
        </is>
      </c>
      <c r="W245" t="n">
        <v>2</v>
      </c>
      <c r="X245" s="12" t="n">
        <v>12000000</v>
      </c>
      <c r="Y245" s="12" t="n">
        <v>12000000</v>
      </c>
      <c r="Z245" s="9" t="n">
        <v>5</v>
      </c>
      <c r="AA245" s="9" t="n">
        <v>5.5</v>
      </c>
      <c r="AB245" s="9" t="n">
        <v>8</v>
      </c>
      <c r="AC245" s="9" t="n">
        <v>10</v>
      </c>
      <c r="AD245" s="9" t="n">
        <v>13</v>
      </c>
      <c r="AE245" s="9" t="n">
        <v>15.5</v>
      </c>
      <c r="AF245" t="n">
        <v>2022</v>
      </c>
      <c r="AH245" t="inlineStr">
        <is>
          <t>Villa</t>
        </is>
      </c>
      <c r="AI245" t="inlineStr">
        <is>
          <t>FamilyVilla</t>
        </is>
      </c>
      <c r="AJ245" t="inlineStr">
        <is>
          <t>Established</t>
        </is>
      </c>
      <c r="AK245" t="inlineStr">
        <is>
          <t>Family-villa resilient</t>
        </is>
      </c>
      <c r="AL245" s="7" t="inlineStr">
        <is>
          <t>Villa/townhouse demand remains relatively firmer, though growth should be slower than the post-2020 surge.</t>
        </is>
      </c>
      <c r="AM245" s="9" t="n">
        <v>9</v>
      </c>
      <c r="AN245" s="9" t="n">
        <v>5.25</v>
      </c>
      <c r="AO245" s="10" t="n">
        <v>0.55</v>
      </c>
      <c r="AP245" s="13" t="n">
        <v>0</v>
      </c>
      <c r="AQ245" s="13" t="n">
        <v>0.015</v>
      </c>
      <c r="AR245" s="13" t="n">
        <v>0</v>
      </c>
      <c r="AS245" s="13" t="n">
        <v>0.025</v>
      </c>
      <c r="AT245" s="13" t="n">
        <v>0</v>
      </c>
      <c r="AU245" s="13" t="n">
        <v>0</v>
      </c>
      <c r="AV245" s="13" t="n">
        <v>-0.005</v>
      </c>
      <c r="AW245" s="13">
        <f>IF(X245="","",(AM245/100*AO245)+AP245+AQ245+AR245)</f>
        <v/>
      </c>
      <c r="AX245" s="13">
        <f>IF(X245="","",AS245+AT245+AU245+AV245)</f>
        <v/>
      </c>
      <c r="AY245" s="12">
        <f>IF(AZ245="","",ROUND(AZ245*(1+Assumptions!$B$10),0))</f>
        <v/>
      </c>
      <c r="AZ245" s="12">
        <f>IF(X245="","",ROUND(X245*(1+AW245),0))</f>
        <v/>
      </c>
      <c r="BA245" s="12">
        <f>IF(AZ245="","",ROUND(AZ245*(1+Assumptions!$B$11),0))</f>
        <v/>
      </c>
      <c r="BB245" s="12">
        <f>IF(AZ245="","",ROUND(AZ245*(1+AX245+Assumptions!$B$10),0))</f>
        <v/>
      </c>
      <c r="BC245" s="12">
        <f>IF(AZ245="","",ROUND(AZ245*(1+AX245),0))</f>
        <v/>
      </c>
      <c r="BD245" s="12">
        <f>IF(AZ245="","",ROUND(AZ245*(1+AX245+Assumptions!$B$11),0))</f>
        <v/>
      </c>
      <c r="BE245" s="12">
        <f>IF(AZ245="","",ROUND(AZ245*(1+AX245)*(1+AX245),0))</f>
        <v/>
      </c>
      <c r="BF245" s="7" t="inlineStr">
        <is>
          <t>Rules-based enrichment using launch-price anchor, cap-app realization, and 2026 segment conditions.</t>
        </is>
      </c>
      <c r="BG245" t="inlineStr">
        <is>
          <t>2026-03-17</t>
        </is>
      </c>
      <c r="BH245" s="7" t="inlineStr">
        <is>
          <t>DLD / Digital Dubai / CBUAE / Savills / Knight Frank-Moody’s / Reuters</t>
        </is>
      </c>
    </row>
    <row r="246">
      <c r="A246" t="n">
        <v>245</v>
      </c>
      <c r="B246" s="7" t="inlineStr">
        <is>
          <t>Elysian Mansions</t>
        </is>
      </c>
      <c r="C246" t="inlineStr">
        <is>
          <t>Majid Al Futtaim</t>
        </is>
      </c>
      <c r="D246" t="inlineStr">
        <is>
          <t>Tilal Al Ghaf</t>
        </is>
      </c>
      <c r="E246" t="inlineStr">
        <is>
          <t>Mansions</t>
        </is>
      </c>
      <c r="F246" s="7" t="inlineStr">
        <is>
          <t>Smart / Luxury</t>
        </is>
      </c>
      <c r="G246" t="inlineStr">
        <is>
          <t>18M+</t>
        </is>
      </c>
      <c r="H246" t="inlineStr">
        <is>
          <t>2500</t>
        </is>
      </c>
      <c r="I246" t="inlineStr">
        <is>
          <t>TBA</t>
        </is>
      </c>
      <c r="J246" t="inlineStr">
        <is>
          <t>50/50</t>
        </is>
      </c>
      <c r="K246" t="inlineStr">
        <is>
          <t>2022</t>
        </is>
      </c>
      <c r="L246" t="inlineStr">
        <is>
          <t>4.5-5.0</t>
        </is>
      </c>
      <c r="M246" t="inlineStr">
        <is>
          <t>8-10</t>
        </is>
      </c>
      <c r="N246" t="inlineStr">
        <is>
          <t>12.5-15.0</t>
        </is>
      </c>
      <c r="O246" s="7" t="inlineStr">
        <is>
          <t>Royal Grammar</t>
        </is>
      </c>
      <c r="P246" s="7" t="inlineStr">
        <is>
          <t>Mediclinic Parkview</t>
        </is>
      </c>
      <c r="Q246" s="7" t="inlineStr">
        <is>
          <t>First Avenue Mall</t>
        </is>
      </c>
      <c r="R246" s="7" t="inlineStr">
        <is>
          <t>Hessa St / E611</t>
        </is>
      </c>
      <c r="S246" t="inlineStr">
        <is>
          <t>20</t>
        </is>
      </c>
      <c r="T246" t="inlineStr">
        <is>
          <t>20</t>
        </is>
      </c>
      <c r="U246" t="inlineStr">
        <is>
          <t>25</t>
        </is>
      </c>
      <c r="V246" t="inlineStr">
        <is>
          <t>25</t>
        </is>
      </c>
      <c r="W246" t="n">
        <v>2</v>
      </c>
      <c r="X246" s="12" t="n">
        <v>18000000</v>
      </c>
      <c r="Y246" s="12" t="n">
        <v>18000000</v>
      </c>
      <c r="Z246" s="9" t="n">
        <v>4.5</v>
      </c>
      <c r="AA246" s="9" t="n">
        <v>5</v>
      </c>
      <c r="AB246" s="9" t="n">
        <v>8</v>
      </c>
      <c r="AC246" s="9" t="n">
        <v>10</v>
      </c>
      <c r="AD246" s="9" t="n">
        <v>12.5</v>
      </c>
      <c r="AE246" s="9" t="n">
        <v>15</v>
      </c>
      <c r="AF246" t="n">
        <v>2022</v>
      </c>
      <c r="AH246" t="inlineStr">
        <is>
          <t>Mixed/Other</t>
        </is>
      </c>
      <c r="AI246" t="inlineStr">
        <is>
          <t>MainstreamSelective</t>
        </is>
      </c>
      <c r="AJ246" t="inlineStr">
        <is>
          <t>Established</t>
        </is>
      </c>
      <c r="AK246" t="inlineStr">
        <is>
          <t>Balanced / selective</t>
        </is>
      </c>
      <c r="AL246" s="7" t="inlineStr">
        <is>
          <t>Market remains active but increasingly differentiated by developer, micro-location, livability, and pricing discipline.</t>
        </is>
      </c>
      <c r="AM246" s="9" t="n">
        <v>9</v>
      </c>
      <c r="AN246" s="9" t="n">
        <v>4.75</v>
      </c>
      <c r="AO246" s="10" t="n">
        <v>0.55</v>
      </c>
      <c r="AP246" s="13" t="n">
        <v>0</v>
      </c>
      <c r="AQ246" s="13" t="n">
        <v>0</v>
      </c>
      <c r="AR246" s="13" t="n">
        <v>0</v>
      </c>
      <c r="AS246" s="13" t="n">
        <v>0.01</v>
      </c>
      <c r="AT246" s="13" t="n">
        <v>0</v>
      </c>
      <c r="AU246" s="13" t="n">
        <v>0</v>
      </c>
      <c r="AV246" s="13" t="n">
        <v>-0.005</v>
      </c>
      <c r="AW246" s="13">
        <f>IF(X246="","",(AM246/100*AO246)+AP246+AQ246+AR246)</f>
        <v/>
      </c>
      <c r="AX246" s="13">
        <f>IF(X246="","",AS246+AT246+AU246+AV246)</f>
        <v/>
      </c>
      <c r="AY246" s="12">
        <f>IF(AZ246="","",ROUND(AZ246*(1+Assumptions!$B$10),0))</f>
        <v/>
      </c>
      <c r="AZ246" s="12">
        <f>IF(X246="","",ROUND(X246*(1+AW246),0))</f>
        <v/>
      </c>
      <c r="BA246" s="12">
        <f>IF(AZ246="","",ROUND(AZ246*(1+Assumptions!$B$11),0))</f>
        <v/>
      </c>
      <c r="BB246" s="12">
        <f>IF(AZ246="","",ROUND(AZ246*(1+AX246+Assumptions!$B$10),0))</f>
        <v/>
      </c>
      <c r="BC246" s="12">
        <f>IF(AZ246="","",ROUND(AZ246*(1+AX246),0))</f>
        <v/>
      </c>
      <c r="BD246" s="12">
        <f>IF(AZ246="","",ROUND(AZ246*(1+AX246+Assumptions!$B$11),0))</f>
        <v/>
      </c>
      <c r="BE246" s="12">
        <f>IF(AZ246="","",ROUND(AZ246*(1+AX246)*(1+AX246),0))</f>
        <v/>
      </c>
      <c r="BF246" s="7" t="inlineStr">
        <is>
          <t>Rules-based enrichment using launch-price anchor, cap-app realization, and 2026 segment conditions.</t>
        </is>
      </c>
      <c r="BG246" t="inlineStr">
        <is>
          <t>2026-03-17</t>
        </is>
      </c>
      <c r="BH246" s="7" t="inlineStr">
        <is>
          <t>DLD / Digital Dubai / CBUAE / Savills / Knight Frank-Moody’s / Reuters</t>
        </is>
      </c>
    </row>
    <row r="247">
      <c r="A247" t="n">
        <v>246</v>
      </c>
      <c r="B247" s="7" t="inlineStr">
        <is>
          <t>Harmony 1</t>
        </is>
      </c>
      <c r="C247" t="inlineStr">
        <is>
          <t>Majid Al Futtaim</t>
        </is>
      </c>
      <c r="D247" t="inlineStr">
        <is>
          <t>Tilal Al Ghaf</t>
        </is>
      </c>
      <c r="E247" t="inlineStr">
        <is>
          <t>Villas</t>
        </is>
      </c>
      <c r="F247" s="7" t="inlineStr">
        <is>
          <t>Family / Gated</t>
        </is>
      </c>
      <c r="G247" t="inlineStr">
        <is>
          <t>Resale (4.5M+)</t>
        </is>
      </c>
      <c r="H247" t="inlineStr">
        <is>
          <t>1400</t>
        </is>
      </c>
      <c r="I247" t="inlineStr">
        <is>
          <t>15</t>
        </is>
      </c>
      <c r="J247" t="inlineStr">
        <is>
          <t>Completed</t>
        </is>
      </c>
      <c r="K247" t="inlineStr">
        <is>
          <t>2023</t>
        </is>
      </c>
      <c r="L247" t="inlineStr">
        <is>
          <t>5.5-6.0</t>
        </is>
      </c>
      <c r="M247" t="inlineStr">
        <is>
          <t>6-8</t>
        </is>
      </c>
      <c r="N247" t="inlineStr">
        <is>
          <t>11.5-14.0</t>
        </is>
      </c>
      <c r="O247" s="7" t="inlineStr">
        <is>
          <t>Royal Grammar</t>
        </is>
      </c>
      <c r="P247" s="7" t="inlineStr">
        <is>
          <t>Mediclinic Parkview</t>
        </is>
      </c>
      <c r="Q247" s="7" t="inlineStr">
        <is>
          <t>First Avenue Mall</t>
        </is>
      </c>
      <c r="R247" s="7" t="inlineStr">
        <is>
          <t>Hessa St / E611</t>
        </is>
      </c>
      <c r="S247" t="inlineStr">
        <is>
          <t>20</t>
        </is>
      </c>
      <c r="T247" t="inlineStr">
        <is>
          <t>20</t>
        </is>
      </c>
      <c r="U247" t="inlineStr">
        <is>
          <t>25</t>
        </is>
      </c>
      <c r="V247" t="inlineStr">
        <is>
          <t>25</t>
        </is>
      </c>
      <c r="W247" t="n">
        <v>2</v>
      </c>
      <c r="X247" s="12" t="n">
        <v>4500000</v>
      </c>
      <c r="Y247" s="12" t="n">
        <v>4500000</v>
      </c>
      <c r="Z247" s="9" t="n">
        <v>5.5</v>
      </c>
      <c r="AA247" s="9" t="n">
        <v>6</v>
      </c>
      <c r="AB247" s="9" t="n">
        <v>6</v>
      </c>
      <c r="AC247" s="9" t="n">
        <v>8</v>
      </c>
      <c r="AD247" s="9" t="n">
        <v>11.5</v>
      </c>
      <c r="AE247" s="9" t="n">
        <v>14</v>
      </c>
      <c r="AF247" t="n">
        <v>2023</v>
      </c>
      <c r="AH247" t="inlineStr">
        <is>
          <t>Villa</t>
        </is>
      </c>
      <c r="AI247" t="inlineStr">
        <is>
          <t>FamilyVilla</t>
        </is>
      </c>
      <c r="AJ247" t="inlineStr">
        <is>
          <t>Established</t>
        </is>
      </c>
      <c r="AK247" t="inlineStr">
        <is>
          <t>Family-villa resilient</t>
        </is>
      </c>
      <c r="AL247" s="7" t="inlineStr">
        <is>
          <t>Villa/townhouse demand remains relatively firmer, though growth should be slower than the post-2020 surge.</t>
        </is>
      </c>
      <c r="AM247" s="9" t="n">
        <v>7</v>
      </c>
      <c r="AN247" s="9" t="n">
        <v>5.75</v>
      </c>
      <c r="AO247" s="10" t="n">
        <v>0.55</v>
      </c>
      <c r="AP247" s="13" t="n">
        <v>0</v>
      </c>
      <c r="AQ247" s="13" t="n">
        <v>0.015</v>
      </c>
      <c r="AR247" s="13" t="n">
        <v>0</v>
      </c>
      <c r="AS247" s="13" t="n">
        <v>0.025</v>
      </c>
      <c r="AT247" s="13" t="n">
        <v>0</v>
      </c>
      <c r="AU247" s="13" t="n">
        <v>0</v>
      </c>
      <c r="AV247" s="13" t="n">
        <v>-0.005</v>
      </c>
      <c r="AW247" s="13">
        <f>IF(X247="","",(AM247/100*AO247)+AP247+AQ247+AR247)</f>
        <v/>
      </c>
      <c r="AX247" s="13">
        <f>IF(X247="","",AS247+AT247+AU247+AV247)</f>
        <v/>
      </c>
      <c r="AY247" s="12">
        <f>IF(AZ247="","",ROUND(AZ247*(1+Assumptions!$B$10),0))</f>
        <v/>
      </c>
      <c r="AZ247" s="12">
        <f>IF(X247="","",ROUND(X247*(1+AW247),0))</f>
        <v/>
      </c>
      <c r="BA247" s="12">
        <f>IF(AZ247="","",ROUND(AZ247*(1+Assumptions!$B$11),0))</f>
        <v/>
      </c>
      <c r="BB247" s="12">
        <f>IF(AZ247="","",ROUND(AZ247*(1+AX247+Assumptions!$B$10),0))</f>
        <v/>
      </c>
      <c r="BC247" s="12">
        <f>IF(AZ247="","",ROUND(AZ247*(1+AX247),0))</f>
        <v/>
      </c>
      <c r="BD247" s="12">
        <f>IF(AZ247="","",ROUND(AZ247*(1+AX247+Assumptions!$B$11),0))</f>
        <v/>
      </c>
      <c r="BE247" s="12">
        <f>IF(AZ247="","",ROUND(AZ247*(1+AX247)*(1+AX247),0))</f>
        <v/>
      </c>
      <c r="BF247" s="7" t="inlineStr">
        <is>
          <t>Rules-based enrichment using launch-price anchor, cap-app realization, and 2026 segment conditions.</t>
        </is>
      </c>
      <c r="BG247" t="inlineStr">
        <is>
          <t>2026-03-17</t>
        </is>
      </c>
      <c r="BH247" s="7" t="inlineStr">
        <is>
          <t>DLD / Digital Dubai / CBUAE / Savills / Knight Frank-Moody’s / Reuters</t>
        </is>
      </c>
    </row>
    <row r="248">
      <c r="A248" t="n">
        <v>247</v>
      </c>
      <c r="B248" s="7" t="inlineStr">
        <is>
          <t>Harmony 2</t>
        </is>
      </c>
      <c r="C248" t="inlineStr">
        <is>
          <t>Majid Al Futtaim</t>
        </is>
      </c>
      <c r="D248" t="inlineStr">
        <is>
          <t>Tilal Al Ghaf</t>
        </is>
      </c>
      <c r="E248" t="inlineStr">
        <is>
          <t>Villas</t>
        </is>
      </c>
      <c r="F248" s="7" t="inlineStr">
        <is>
          <t>Family / Gated</t>
        </is>
      </c>
      <c r="G248" t="inlineStr">
        <is>
          <t>Resale (4.6M+)</t>
        </is>
      </c>
      <c r="H248" t="inlineStr">
        <is>
          <t>1450</t>
        </is>
      </c>
      <c r="I248" t="inlineStr">
        <is>
          <t>15</t>
        </is>
      </c>
      <c r="J248" t="inlineStr">
        <is>
          <t>Completed</t>
        </is>
      </c>
      <c r="K248" t="inlineStr">
        <is>
          <t>2023</t>
        </is>
      </c>
      <c r="L248" t="inlineStr">
        <is>
          <t>5.5-6.0</t>
        </is>
      </c>
      <c r="M248" t="inlineStr">
        <is>
          <t>6-8</t>
        </is>
      </c>
      <c r="N248" t="inlineStr">
        <is>
          <t>11.5-14.0</t>
        </is>
      </c>
      <c r="O248" s="7" t="inlineStr">
        <is>
          <t>Royal Grammar</t>
        </is>
      </c>
      <c r="P248" s="7" t="inlineStr">
        <is>
          <t>Mediclinic Parkview</t>
        </is>
      </c>
      <c r="Q248" s="7" t="inlineStr">
        <is>
          <t>First Avenue Mall</t>
        </is>
      </c>
      <c r="R248" s="7" t="inlineStr">
        <is>
          <t>Hessa St / E611</t>
        </is>
      </c>
      <c r="S248" t="inlineStr">
        <is>
          <t>20</t>
        </is>
      </c>
      <c r="T248" t="inlineStr">
        <is>
          <t>20</t>
        </is>
      </c>
      <c r="U248" t="inlineStr">
        <is>
          <t>25</t>
        </is>
      </c>
      <c r="V248" t="inlineStr">
        <is>
          <t>25</t>
        </is>
      </c>
      <c r="W248" t="n">
        <v>2</v>
      </c>
      <c r="X248" s="12" t="n">
        <v>4600000</v>
      </c>
      <c r="Y248" s="12" t="n">
        <v>4600000</v>
      </c>
      <c r="Z248" s="9" t="n">
        <v>5.5</v>
      </c>
      <c r="AA248" s="9" t="n">
        <v>6</v>
      </c>
      <c r="AB248" s="9" t="n">
        <v>6</v>
      </c>
      <c r="AC248" s="9" t="n">
        <v>8</v>
      </c>
      <c r="AD248" s="9" t="n">
        <v>11.5</v>
      </c>
      <c r="AE248" s="9" t="n">
        <v>14</v>
      </c>
      <c r="AF248" t="n">
        <v>2023</v>
      </c>
      <c r="AH248" t="inlineStr">
        <is>
          <t>Villa</t>
        </is>
      </c>
      <c r="AI248" t="inlineStr">
        <is>
          <t>FamilyVilla</t>
        </is>
      </c>
      <c r="AJ248" t="inlineStr">
        <is>
          <t>Established</t>
        </is>
      </c>
      <c r="AK248" t="inlineStr">
        <is>
          <t>Family-villa resilient</t>
        </is>
      </c>
      <c r="AL248" s="7" t="inlineStr">
        <is>
          <t>Villa/townhouse demand remains relatively firmer, though growth should be slower than the post-2020 surge.</t>
        </is>
      </c>
      <c r="AM248" s="9" t="n">
        <v>7</v>
      </c>
      <c r="AN248" s="9" t="n">
        <v>5.75</v>
      </c>
      <c r="AO248" s="10" t="n">
        <v>0.55</v>
      </c>
      <c r="AP248" s="13" t="n">
        <v>0</v>
      </c>
      <c r="AQ248" s="13" t="n">
        <v>0.015</v>
      </c>
      <c r="AR248" s="13" t="n">
        <v>0</v>
      </c>
      <c r="AS248" s="13" t="n">
        <v>0.025</v>
      </c>
      <c r="AT248" s="13" t="n">
        <v>0</v>
      </c>
      <c r="AU248" s="13" t="n">
        <v>0</v>
      </c>
      <c r="AV248" s="13" t="n">
        <v>-0.005</v>
      </c>
      <c r="AW248" s="13">
        <f>IF(X248="","",(AM248/100*AO248)+AP248+AQ248+AR248)</f>
        <v/>
      </c>
      <c r="AX248" s="13">
        <f>IF(X248="","",AS248+AT248+AU248+AV248)</f>
        <v/>
      </c>
      <c r="AY248" s="12">
        <f>IF(AZ248="","",ROUND(AZ248*(1+Assumptions!$B$10),0))</f>
        <v/>
      </c>
      <c r="AZ248" s="12">
        <f>IF(X248="","",ROUND(X248*(1+AW248),0))</f>
        <v/>
      </c>
      <c r="BA248" s="12">
        <f>IF(AZ248="","",ROUND(AZ248*(1+Assumptions!$B$11),0))</f>
        <v/>
      </c>
      <c r="BB248" s="12">
        <f>IF(AZ248="","",ROUND(AZ248*(1+AX248+Assumptions!$B$10),0))</f>
        <v/>
      </c>
      <c r="BC248" s="12">
        <f>IF(AZ248="","",ROUND(AZ248*(1+AX248),0))</f>
        <v/>
      </c>
      <c r="BD248" s="12">
        <f>IF(AZ248="","",ROUND(AZ248*(1+AX248+Assumptions!$B$11),0))</f>
        <v/>
      </c>
      <c r="BE248" s="12">
        <f>IF(AZ248="","",ROUND(AZ248*(1+AX248)*(1+AX248),0))</f>
        <v/>
      </c>
      <c r="BF248" s="7" t="inlineStr">
        <is>
          <t>Rules-based enrichment using launch-price anchor, cap-app realization, and 2026 segment conditions.</t>
        </is>
      </c>
      <c r="BG248" t="inlineStr">
        <is>
          <t>2026-03-17</t>
        </is>
      </c>
      <c r="BH248" s="7" t="inlineStr">
        <is>
          <t>DLD / Digital Dubai / CBUAE / Savills / Knight Frank-Moody’s / Reuters</t>
        </is>
      </c>
    </row>
    <row r="249">
      <c r="A249" t="n">
        <v>248</v>
      </c>
      <c r="B249" s="7" t="inlineStr">
        <is>
          <t>Harmony 3</t>
        </is>
      </c>
      <c r="C249" t="inlineStr">
        <is>
          <t>Majid Al Futtaim</t>
        </is>
      </c>
      <c r="D249" t="inlineStr">
        <is>
          <t>Tilal Al Ghaf</t>
        </is>
      </c>
      <c r="E249" t="inlineStr">
        <is>
          <t>Villas</t>
        </is>
      </c>
      <c r="F249" s="7" t="inlineStr">
        <is>
          <t>Family / Gated</t>
        </is>
      </c>
      <c r="G249" t="inlineStr">
        <is>
          <t>Resale (4.8M+)</t>
        </is>
      </c>
      <c r="H249" t="inlineStr">
        <is>
          <t>1500</t>
        </is>
      </c>
      <c r="I249" t="inlineStr">
        <is>
          <t>15</t>
        </is>
      </c>
      <c r="J249" t="inlineStr">
        <is>
          <t>Completed</t>
        </is>
      </c>
      <c r="K249" t="inlineStr">
        <is>
          <t>2023</t>
        </is>
      </c>
      <c r="L249" t="inlineStr">
        <is>
          <t>5.5-6.0</t>
        </is>
      </c>
      <c r="M249" t="inlineStr">
        <is>
          <t>6-8</t>
        </is>
      </c>
      <c r="N249" t="inlineStr">
        <is>
          <t>11.5-14.0</t>
        </is>
      </c>
      <c r="O249" s="7" t="inlineStr">
        <is>
          <t>Royal Grammar</t>
        </is>
      </c>
      <c r="P249" s="7" t="inlineStr">
        <is>
          <t>Mediclinic Parkview</t>
        </is>
      </c>
      <c r="Q249" s="7" t="inlineStr">
        <is>
          <t>First Avenue Mall</t>
        </is>
      </c>
      <c r="R249" s="7" t="inlineStr">
        <is>
          <t>Hessa St / E611</t>
        </is>
      </c>
      <c r="S249" t="inlineStr">
        <is>
          <t>20</t>
        </is>
      </c>
      <c r="T249" t="inlineStr">
        <is>
          <t>20</t>
        </is>
      </c>
      <c r="U249" t="inlineStr">
        <is>
          <t>25</t>
        </is>
      </c>
      <c r="V249" t="inlineStr">
        <is>
          <t>25</t>
        </is>
      </c>
      <c r="W249" t="n">
        <v>2</v>
      </c>
      <c r="X249" s="12" t="n">
        <v>4800000</v>
      </c>
      <c r="Y249" s="12" t="n">
        <v>4800000</v>
      </c>
      <c r="Z249" s="9" t="n">
        <v>5.5</v>
      </c>
      <c r="AA249" s="9" t="n">
        <v>6</v>
      </c>
      <c r="AB249" s="9" t="n">
        <v>6</v>
      </c>
      <c r="AC249" s="9" t="n">
        <v>8</v>
      </c>
      <c r="AD249" s="9" t="n">
        <v>11.5</v>
      </c>
      <c r="AE249" s="9" t="n">
        <v>14</v>
      </c>
      <c r="AF249" t="n">
        <v>2023</v>
      </c>
      <c r="AH249" t="inlineStr">
        <is>
          <t>Villa</t>
        </is>
      </c>
      <c r="AI249" t="inlineStr">
        <is>
          <t>FamilyVilla</t>
        </is>
      </c>
      <c r="AJ249" t="inlineStr">
        <is>
          <t>Established</t>
        </is>
      </c>
      <c r="AK249" t="inlineStr">
        <is>
          <t>Family-villa resilient</t>
        </is>
      </c>
      <c r="AL249" s="7" t="inlineStr">
        <is>
          <t>Villa/townhouse demand remains relatively firmer, though growth should be slower than the post-2020 surge.</t>
        </is>
      </c>
      <c r="AM249" s="9" t="n">
        <v>7</v>
      </c>
      <c r="AN249" s="9" t="n">
        <v>5.75</v>
      </c>
      <c r="AO249" s="10" t="n">
        <v>0.55</v>
      </c>
      <c r="AP249" s="13" t="n">
        <v>0</v>
      </c>
      <c r="AQ249" s="13" t="n">
        <v>0.015</v>
      </c>
      <c r="AR249" s="13" t="n">
        <v>0</v>
      </c>
      <c r="AS249" s="13" t="n">
        <v>0.025</v>
      </c>
      <c r="AT249" s="13" t="n">
        <v>0</v>
      </c>
      <c r="AU249" s="13" t="n">
        <v>0</v>
      </c>
      <c r="AV249" s="13" t="n">
        <v>-0.005</v>
      </c>
      <c r="AW249" s="13">
        <f>IF(X249="","",(AM249/100*AO249)+AP249+AQ249+AR249)</f>
        <v/>
      </c>
      <c r="AX249" s="13">
        <f>IF(X249="","",AS249+AT249+AU249+AV249)</f>
        <v/>
      </c>
      <c r="AY249" s="12">
        <f>IF(AZ249="","",ROUND(AZ249*(1+Assumptions!$B$10),0))</f>
        <v/>
      </c>
      <c r="AZ249" s="12">
        <f>IF(X249="","",ROUND(X249*(1+AW249),0))</f>
        <v/>
      </c>
      <c r="BA249" s="12">
        <f>IF(AZ249="","",ROUND(AZ249*(1+Assumptions!$B$11),0))</f>
        <v/>
      </c>
      <c r="BB249" s="12">
        <f>IF(AZ249="","",ROUND(AZ249*(1+AX249+Assumptions!$B$10),0))</f>
        <v/>
      </c>
      <c r="BC249" s="12">
        <f>IF(AZ249="","",ROUND(AZ249*(1+AX249),0))</f>
        <v/>
      </c>
      <c r="BD249" s="12">
        <f>IF(AZ249="","",ROUND(AZ249*(1+AX249+Assumptions!$B$11),0))</f>
        <v/>
      </c>
      <c r="BE249" s="12">
        <f>IF(AZ249="","",ROUND(AZ249*(1+AX249)*(1+AX249),0))</f>
        <v/>
      </c>
      <c r="BF249" s="7" t="inlineStr">
        <is>
          <t>Rules-based enrichment using launch-price anchor, cap-app realization, and 2026 segment conditions.</t>
        </is>
      </c>
      <c r="BG249" t="inlineStr">
        <is>
          <t>2026-03-17</t>
        </is>
      </c>
      <c r="BH249" s="7" t="inlineStr">
        <is>
          <t>DLD / Digital Dubai / CBUAE / Savills / Knight Frank-Moody’s / Reuters</t>
        </is>
      </c>
    </row>
    <row r="250">
      <c r="A250" t="n">
        <v>249</v>
      </c>
      <c r="B250" s="7" t="inlineStr">
        <is>
          <t>Elan</t>
        </is>
      </c>
      <c r="C250" t="inlineStr">
        <is>
          <t>Majid Al Futtaim</t>
        </is>
      </c>
      <c r="D250" t="inlineStr">
        <is>
          <t>Tilal Al Ghaf</t>
        </is>
      </c>
      <c r="E250" t="inlineStr">
        <is>
          <t>Townhouses</t>
        </is>
      </c>
      <c r="F250" s="7" t="inlineStr">
        <is>
          <t>Gated / Starter</t>
        </is>
      </c>
      <c r="G250" t="inlineStr">
        <is>
          <t>Resale (2.5M+)</t>
        </is>
      </c>
      <c r="H250" t="inlineStr">
        <is>
          <t>1300</t>
        </is>
      </c>
      <c r="I250" t="inlineStr">
        <is>
          <t>15</t>
        </is>
      </c>
      <c r="J250" t="inlineStr">
        <is>
          <t>Completed</t>
        </is>
      </c>
      <c r="K250" t="inlineStr">
        <is>
          <t>2022</t>
        </is>
      </c>
      <c r="L250" t="inlineStr">
        <is>
          <t>6.5-7.0</t>
        </is>
      </c>
      <c r="M250" t="inlineStr">
        <is>
          <t>6-8</t>
        </is>
      </c>
      <c r="N250" t="inlineStr">
        <is>
          <t>12.5-15.0</t>
        </is>
      </c>
      <c r="O250" s="7" t="inlineStr">
        <is>
          <t>Royal Grammar</t>
        </is>
      </c>
      <c r="P250" s="7" t="inlineStr">
        <is>
          <t>Mediclinic Parkview</t>
        </is>
      </c>
      <c r="Q250" s="7" t="inlineStr">
        <is>
          <t>First Avenue Mall</t>
        </is>
      </c>
      <c r="R250" s="7" t="inlineStr">
        <is>
          <t>Hessa St / E611</t>
        </is>
      </c>
      <c r="S250" t="inlineStr">
        <is>
          <t>20</t>
        </is>
      </c>
      <c r="T250" t="inlineStr">
        <is>
          <t>20</t>
        </is>
      </c>
      <c r="U250" t="inlineStr">
        <is>
          <t>25</t>
        </is>
      </c>
      <c r="V250" t="inlineStr">
        <is>
          <t>25</t>
        </is>
      </c>
      <c r="W250" t="n">
        <v>2</v>
      </c>
      <c r="X250" s="12" t="n">
        <v>2500000</v>
      </c>
      <c r="Y250" s="12" t="n">
        <v>2500000</v>
      </c>
      <c r="Z250" s="9" t="n">
        <v>6.5</v>
      </c>
      <c r="AA250" s="9" t="n">
        <v>7</v>
      </c>
      <c r="AB250" s="9" t="n">
        <v>6</v>
      </c>
      <c r="AC250" s="9" t="n">
        <v>8</v>
      </c>
      <c r="AD250" s="9" t="n">
        <v>12.5</v>
      </c>
      <c r="AE250" s="9" t="n">
        <v>15</v>
      </c>
      <c r="AF250" t="n">
        <v>2022</v>
      </c>
      <c r="AH250" t="inlineStr">
        <is>
          <t>Townhouse</t>
        </is>
      </c>
      <c r="AI250" t="inlineStr">
        <is>
          <t>FamilyVilla</t>
        </is>
      </c>
      <c r="AJ250" t="inlineStr">
        <is>
          <t>Established</t>
        </is>
      </c>
      <c r="AK250" t="inlineStr">
        <is>
          <t>Family-villa resilient</t>
        </is>
      </c>
      <c r="AL250" s="7" t="inlineStr">
        <is>
          <t>Villa/townhouse demand remains relatively firmer, though growth should be slower than the post-2020 surge.</t>
        </is>
      </c>
      <c r="AM250" s="9" t="n">
        <v>7</v>
      </c>
      <c r="AN250" s="9" t="n">
        <v>6.75</v>
      </c>
      <c r="AO250" s="10" t="n">
        <v>0.55</v>
      </c>
      <c r="AP250" s="13" t="n">
        <v>0</v>
      </c>
      <c r="AQ250" s="13" t="n">
        <v>0.015</v>
      </c>
      <c r="AR250" s="13" t="n">
        <v>0</v>
      </c>
      <c r="AS250" s="13" t="n">
        <v>0.025</v>
      </c>
      <c r="AT250" s="13" t="n">
        <v>0</v>
      </c>
      <c r="AU250" s="13" t="n">
        <v>0.0025</v>
      </c>
      <c r="AV250" s="13" t="n">
        <v>-0.005</v>
      </c>
      <c r="AW250" s="13">
        <f>IF(X250="","",(AM250/100*AO250)+AP250+AQ250+AR250)</f>
        <v/>
      </c>
      <c r="AX250" s="13">
        <f>IF(X250="","",AS250+AT250+AU250+AV250)</f>
        <v/>
      </c>
      <c r="AY250" s="12">
        <f>IF(AZ250="","",ROUND(AZ250*(1+Assumptions!$B$10),0))</f>
        <v/>
      </c>
      <c r="AZ250" s="12">
        <f>IF(X250="","",ROUND(X250*(1+AW250),0))</f>
        <v/>
      </c>
      <c r="BA250" s="12">
        <f>IF(AZ250="","",ROUND(AZ250*(1+Assumptions!$B$11),0))</f>
        <v/>
      </c>
      <c r="BB250" s="12">
        <f>IF(AZ250="","",ROUND(AZ250*(1+AX250+Assumptions!$B$10),0))</f>
        <v/>
      </c>
      <c r="BC250" s="12">
        <f>IF(AZ250="","",ROUND(AZ250*(1+AX250),0))</f>
        <v/>
      </c>
      <c r="BD250" s="12">
        <f>IF(AZ250="","",ROUND(AZ250*(1+AX250+Assumptions!$B$11),0))</f>
        <v/>
      </c>
      <c r="BE250" s="12">
        <f>IF(AZ250="","",ROUND(AZ250*(1+AX250)*(1+AX250),0))</f>
        <v/>
      </c>
      <c r="BF250" s="7" t="inlineStr">
        <is>
          <t>Rules-based enrichment using launch-price anchor, cap-app realization, and 2026 segment conditions.</t>
        </is>
      </c>
      <c r="BG250" t="inlineStr">
        <is>
          <t>2026-03-17</t>
        </is>
      </c>
      <c r="BH250" s="7" t="inlineStr">
        <is>
          <t>DLD / Digital Dubai / CBUAE / Savills / Knight Frank-Moody’s / Reuters</t>
        </is>
      </c>
    </row>
    <row r="251">
      <c r="A251" t="n">
        <v>250</v>
      </c>
      <c r="B251" s="7" t="inlineStr">
        <is>
          <t>Aura</t>
        </is>
      </c>
      <c r="C251" t="inlineStr">
        <is>
          <t>Majid Al Futtaim</t>
        </is>
      </c>
      <c r="D251" t="inlineStr">
        <is>
          <t>Tilal Al Ghaf</t>
        </is>
      </c>
      <c r="E251" t="inlineStr">
        <is>
          <t>Twin Villas</t>
        </is>
      </c>
      <c r="F251" s="7" t="inlineStr">
        <is>
          <t>Gated / Modern</t>
        </is>
      </c>
      <c r="G251" t="inlineStr">
        <is>
          <t>Resale (3.5M+)</t>
        </is>
      </c>
      <c r="H251" t="inlineStr">
        <is>
          <t>1400</t>
        </is>
      </c>
      <c r="I251" t="inlineStr">
        <is>
          <t>15</t>
        </is>
      </c>
      <c r="J251" t="inlineStr">
        <is>
          <t>Completed</t>
        </is>
      </c>
      <c r="K251" t="inlineStr">
        <is>
          <t>2023</t>
        </is>
      </c>
      <c r="L251" t="inlineStr">
        <is>
          <t>6.0-6.5</t>
        </is>
      </c>
      <c r="M251" t="inlineStr">
        <is>
          <t>6-8</t>
        </is>
      </c>
      <c r="N251" t="inlineStr">
        <is>
          <t>12.0-14.5</t>
        </is>
      </c>
      <c r="O251" s="7" t="inlineStr">
        <is>
          <t>Royal Grammar</t>
        </is>
      </c>
      <c r="P251" s="7" t="inlineStr">
        <is>
          <t>Mediclinic Parkview</t>
        </is>
      </c>
      <c r="Q251" s="7" t="inlineStr">
        <is>
          <t>First Avenue Mall</t>
        </is>
      </c>
      <c r="R251" s="7" t="inlineStr">
        <is>
          <t>Hessa St / E611</t>
        </is>
      </c>
      <c r="S251" t="inlineStr">
        <is>
          <t>20</t>
        </is>
      </c>
      <c r="T251" t="inlineStr">
        <is>
          <t>20</t>
        </is>
      </c>
      <c r="U251" t="inlineStr">
        <is>
          <t>25</t>
        </is>
      </c>
      <c r="V251" t="inlineStr">
        <is>
          <t>25</t>
        </is>
      </c>
      <c r="W251" t="n">
        <v>2</v>
      </c>
      <c r="X251" s="12" t="n">
        <v>3500000</v>
      </c>
      <c r="Y251" s="12" t="n">
        <v>3500000</v>
      </c>
      <c r="Z251" s="9" t="n">
        <v>6</v>
      </c>
      <c r="AA251" s="9" t="n">
        <v>6.5</v>
      </c>
      <c r="AB251" s="9" t="n">
        <v>6</v>
      </c>
      <c r="AC251" s="9" t="n">
        <v>8</v>
      </c>
      <c r="AD251" s="9" t="n">
        <v>12</v>
      </c>
      <c r="AE251" s="9" t="n">
        <v>14.5</v>
      </c>
      <c r="AF251" t="n">
        <v>2023</v>
      </c>
      <c r="AH251" t="inlineStr">
        <is>
          <t>Villa</t>
        </is>
      </c>
      <c r="AI251" t="inlineStr">
        <is>
          <t>FamilyVilla</t>
        </is>
      </c>
      <c r="AJ251" t="inlineStr">
        <is>
          <t>Established</t>
        </is>
      </c>
      <c r="AK251" t="inlineStr">
        <is>
          <t>Family-villa resilient</t>
        </is>
      </c>
      <c r="AL251" s="7" t="inlineStr">
        <is>
          <t>Villa/townhouse demand remains relatively firmer, though growth should be slower than the post-2020 surge.</t>
        </is>
      </c>
      <c r="AM251" s="9" t="n">
        <v>7</v>
      </c>
      <c r="AN251" s="9" t="n">
        <v>6.25</v>
      </c>
      <c r="AO251" s="10" t="n">
        <v>0.55</v>
      </c>
      <c r="AP251" s="13" t="n">
        <v>0</v>
      </c>
      <c r="AQ251" s="13" t="n">
        <v>0.015</v>
      </c>
      <c r="AR251" s="13" t="n">
        <v>0</v>
      </c>
      <c r="AS251" s="13" t="n">
        <v>0.025</v>
      </c>
      <c r="AT251" s="13" t="n">
        <v>0</v>
      </c>
      <c r="AU251" s="13" t="n">
        <v>0.0025</v>
      </c>
      <c r="AV251" s="13" t="n">
        <v>-0.005</v>
      </c>
      <c r="AW251" s="13">
        <f>IF(X251="","",(AM251/100*AO251)+AP251+AQ251+AR251)</f>
        <v/>
      </c>
      <c r="AX251" s="13">
        <f>IF(X251="","",AS251+AT251+AU251+AV251)</f>
        <v/>
      </c>
      <c r="AY251" s="12">
        <f>IF(AZ251="","",ROUND(AZ251*(1+Assumptions!$B$10),0))</f>
        <v/>
      </c>
      <c r="AZ251" s="12">
        <f>IF(X251="","",ROUND(X251*(1+AW251),0))</f>
        <v/>
      </c>
      <c r="BA251" s="12">
        <f>IF(AZ251="","",ROUND(AZ251*(1+Assumptions!$B$11),0))</f>
        <v/>
      </c>
      <c r="BB251" s="12">
        <f>IF(AZ251="","",ROUND(AZ251*(1+AX251+Assumptions!$B$10),0))</f>
        <v/>
      </c>
      <c r="BC251" s="12">
        <f>IF(AZ251="","",ROUND(AZ251*(1+AX251),0))</f>
        <v/>
      </c>
      <c r="BD251" s="12">
        <f>IF(AZ251="","",ROUND(AZ251*(1+AX251+Assumptions!$B$11),0))</f>
        <v/>
      </c>
      <c r="BE251" s="12">
        <f>IF(AZ251="","",ROUND(AZ251*(1+AX251)*(1+AX251),0))</f>
        <v/>
      </c>
      <c r="BF251" s="7" t="inlineStr">
        <is>
          <t>Rules-based enrichment using launch-price anchor, cap-app realization, and 2026 segment conditions.</t>
        </is>
      </c>
      <c r="BG251" t="inlineStr">
        <is>
          <t>2026-03-17</t>
        </is>
      </c>
      <c r="BH251" s="7" t="inlineStr">
        <is>
          <t>DLD / Digital Dubai / CBUAE / Savills / Knight Frank-Moody’s / Reuters</t>
        </is>
      </c>
    </row>
    <row r="252">
      <c r="A252" t="n">
        <v>251</v>
      </c>
      <c r="B252" s="7" t="inlineStr">
        <is>
          <t>The Highgrove</t>
        </is>
      </c>
      <c r="C252" t="inlineStr">
        <is>
          <t>Ellington Properties</t>
        </is>
      </c>
      <c r="D252" t="inlineStr">
        <is>
          <t>MBR City</t>
        </is>
      </c>
      <c r="E252" t="inlineStr">
        <is>
          <t>Apartments</t>
        </is>
      </c>
      <c r="F252" s="7" t="inlineStr">
        <is>
          <t>Design / Boutique</t>
        </is>
      </c>
      <c r="G252" t="inlineStr">
        <is>
          <t>1.8M</t>
        </is>
      </c>
      <c r="H252" t="inlineStr">
        <is>
          <t>2000</t>
        </is>
      </c>
      <c r="I252" t="inlineStr">
        <is>
          <t>18</t>
        </is>
      </c>
      <c r="J252" t="inlineStr">
        <is>
          <t>70/30</t>
        </is>
      </c>
      <c r="K252" t="inlineStr">
        <is>
          <t>2024</t>
        </is>
      </c>
      <c r="L252" t="inlineStr">
        <is>
          <t>6.0-6.5</t>
        </is>
      </c>
      <c r="M252" t="inlineStr">
        <is>
          <t>8-10</t>
        </is>
      </c>
      <c r="N252" t="inlineStr">
        <is>
          <t>14.0-16.5</t>
        </is>
      </c>
      <c r="O252" s="7" t="inlineStr">
        <is>
          <t>Hartland Intl</t>
        </is>
      </c>
      <c r="P252" s="7" t="inlineStr">
        <is>
          <t>American Hospital</t>
        </is>
      </c>
      <c r="Q252" s="7" t="inlineStr">
        <is>
          <t>Dubai Mall</t>
        </is>
      </c>
      <c r="R252" s="7" t="inlineStr">
        <is>
          <t>Ras Al Khor / E44</t>
        </is>
      </c>
      <c r="S252" t="inlineStr">
        <is>
          <t>12</t>
        </is>
      </c>
      <c r="T252" t="inlineStr">
        <is>
          <t>25</t>
        </is>
      </c>
      <c r="U252" t="inlineStr">
        <is>
          <t>15</t>
        </is>
      </c>
      <c r="V252" t="inlineStr">
        <is>
          <t>40</t>
        </is>
      </c>
      <c r="W252" t="n">
        <v>2</v>
      </c>
      <c r="X252" s="12" t="n">
        <v>1800000</v>
      </c>
      <c r="Y252" s="12" t="n">
        <v>1800000</v>
      </c>
      <c r="Z252" s="9" t="n">
        <v>6</v>
      </c>
      <c r="AA252" s="9" t="n">
        <v>6.5</v>
      </c>
      <c r="AB252" s="9" t="n">
        <v>8</v>
      </c>
      <c r="AC252" s="9" t="n">
        <v>10</v>
      </c>
      <c r="AD252" s="9" t="n">
        <v>14</v>
      </c>
      <c r="AE252" s="9" t="n">
        <v>16.5</v>
      </c>
      <c r="AF252" t="n">
        <v>2024</v>
      </c>
      <c r="AH252" t="inlineStr">
        <is>
          <t>Apartment</t>
        </is>
      </c>
      <c r="AI252" t="inlineStr">
        <is>
          <t>MainstreamSelective</t>
        </is>
      </c>
      <c r="AJ252" t="inlineStr">
        <is>
          <t>TopTier</t>
        </is>
      </c>
      <c r="AK252" t="inlineStr">
        <is>
          <t>Balanced / selective</t>
        </is>
      </c>
      <c r="AL252" s="7" t="inlineStr">
        <is>
          <t>Market remains active but increasingly differentiated by developer, micro-location, livability, and pricing discipline.</t>
        </is>
      </c>
      <c r="AM252" s="9" t="n">
        <v>9</v>
      </c>
      <c r="AN252" s="9" t="n">
        <v>6.25</v>
      </c>
      <c r="AO252" s="10" t="n">
        <v>0.55</v>
      </c>
      <c r="AP252" s="13" t="n">
        <v>0</v>
      </c>
      <c r="AQ252" s="13" t="n">
        <v>0</v>
      </c>
      <c r="AR252" s="13" t="n">
        <v>0</v>
      </c>
      <c r="AS252" s="13" t="n">
        <v>0.01</v>
      </c>
      <c r="AT252" s="13" t="n">
        <v>0.005</v>
      </c>
      <c r="AU252" s="13" t="n">
        <v>0.0025</v>
      </c>
      <c r="AV252" s="13" t="n">
        <v>-0.005</v>
      </c>
      <c r="AW252" s="13">
        <f>IF(X252="","",(AM252/100*AO252)+AP252+AQ252+AR252)</f>
        <v/>
      </c>
      <c r="AX252" s="13">
        <f>IF(X252="","",AS252+AT252+AU252+AV252)</f>
        <v/>
      </c>
      <c r="AY252" s="12">
        <f>IF(AZ252="","",ROUND(AZ252*(1+Assumptions!$B$10),0))</f>
        <v/>
      </c>
      <c r="AZ252" s="12">
        <f>IF(X252="","",ROUND(X252*(1+AW252),0))</f>
        <v/>
      </c>
      <c r="BA252" s="12">
        <f>IF(AZ252="","",ROUND(AZ252*(1+Assumptions!$B$11),0))</f>
        <v/>
      </c>
      <c r="BB252" s="12">
        <f>IF(AZ252="","",ROUND(AZ252*(1+AX252+Assumptions!$B$10),0))</f>
        <v/>
      </c>
      <c r="BC252" s="12">
        <f>IF(AZ252="","",ROUND(AZ252*(1+AX252),0))</f>
        <v/>
      </c>
      <c r="BD252" s="12">
        <f>IF(AZ252="","",ROUND(AZ252*(1+AX252+Assumptions!$B$11),0))</f>
        <v/>
      </c>
      <c r="BE252" s="12">
        <f>IF(AZ252="","",ROUND(AZ252*(1+AX252)*(1+AX252),0))</f>
        <v/>
      </c>
      <c r="BF252" s="7" t="inlineStr">
        <is>
          <t>Rules-based enrichment using launch-price anchor, cap-app realization, and 2026 segment conditions.</t>
        </is>
      </c>
      <c r="BG252" t="inlineStr">
        <is>
          <t>2026-03-17</t>
        </is>
      </c>
      <c r="BH252" s="7" t="inlineStr">
        <is>
          <t>DLD / Digital Dubai / CBUAE / Savills / Knight Frank-Moody’s / Reuters</t>
        </is>
      </c>
    </row>
    <row r="253">
      <c r="A253" t="n">
        <v>252</v>
      </c>
      <c r="B253" s="7" t="inlineStr">
        <is>
          <t>Claydon House</t>
        </is>
      </c>
      <c r="C253" t="inlineStr">
        <is>
          <t>Ellington Properties</t>
        </is>
      </c>
      <c r="D253" t="inlineStr">
        <is>
          <t>MBR City</t>
        </is>
      </c>
      <c r="E253" t="inlineStr">
        <is>
          <t>Apartments</t>
        </is>
      </c>
      <c r="F253" s="7" t="inlineStr">
        <is>
          <t>Design / Boutique</t>
        </is>
      </c>
      <c r="G253" t="inlineStr">
        <is>
          <t>1.9M</t>
        </is>
      </c>
      <c r="H253" t="inlineStr">
        <is>
          <t>2000</t>
        </is>
      </c>
      <c r="I253" t="inlineStr">
        <is>
          <t>18</t>
        </is>
      </c>
      <c r="J253" t="inlineStr">
        <is>
          <t>70/30</t>
        </is>
      </c>
      <c r="K253" t="inlineStr">
        <is>
          <t>2024</t>
        </is>
      </c>
      <c r="L253" t="inlineStr">
        <is>
          <t>6.0-6.5</t>
        </is>
      </c>
      <c r="M253" t="inlineStr">
        <is>
          <t>8-10</t>
        </is>
      </c>
      <c r="N253" t="inlineStr">
        <is>
          <t>14.0-16.5</t>
        </is>
      </c>
      <c r="O253" s="7" t="inlineStr">
        <is>
          <t>Hartland Intl</t>
        </is>
      </c>
      <c r="P253" s="7" t="inlineStr">
        <is>
          <t>American Hospital</t>
        </is>
      </c>
      <c r="Q253" s="7" t="inlineStr">
        <is>
          <t>Dubai Mall</t>
        </is>
      </c>
      <c r="R253" s="7" t="inlineStr">
        <is>
          <t>Ras Al Khor / E44</t>
        </is>
      </c>
      <c r="S253" t="inlineStr">
        <is>
          <t>12</t>
        </is>
      </c>
      <c r="T253" t="inlineStr">
        <is>
          <t>25</t>
        </is>
      </c>
      <c r="U253" t="inlineStr">
        <is>
          <t>15</t>
        </is>
      </c>
      <c r="V253" t="inlineStr">
        <is>
          <t>40</t>
        </is>
      </c>
      <c r="W253" t="n">
        <v>2</v>
      </c>
      <c r="X253" s="12" t="n">
        <v>1900000</v>
      </c>
      <c r="Y253" s="12" t="n">
        <v>1900000</v>
      </c>
      <c r="Z253" s="9" t="n">
        <v>6</v>
      </c>
      <c r="AA253" s="9" t="n">
        <v>6.5</v>
      </c>
      <c r="AB253" s="9" t="n">
        <v>8</v>
      </c>
      <c r="AC253" s="9" t="n">
        <v>10</v>
      </c>
      <c r="AD253" s="9" t="n">
        <v>14</v>
      </c>
      <c r="AE253" s="9" t="n">
        <v>16.5</v>
      </c>
      <c r="AF253" t="n">
        <v>2024</v>
      </c>
      <c r="AH253" t="inlineStr">
        <is>
          <t>Apartment</t>
        </is>
      </c>
      <c r="AI253" t="inlineStr">
        <is>
          <t>MainstreamSelective</t>
        </is>
      </c>
      <c r="AJ253" t="inlineStr">
        <is>
          <t>TopTier</t>
        </is>
      </c>
      <c r="AK253" t="inlineStr">
        <is>
          <t>Balanced / selective</t>
        </is>
      </c>
      <c r="AL253" s="7" t="inlineStr">
        <is>
          <t>Market remains active but increasingly differentiated by developer, micro-location, livability, and pricing discipline.</t>
        </is>
      </c>
      <c r="AM253" s="9" t="n">
        <v>9</v>
      </c>
      <c r="AN253" s="9" t="n">
        <v>6.25</v>
      </c>
      <c r="AO253" s="10" t="n">
        <v>0.55</v>
      </c>
      <c r="AP253" s="13" t="n">
        <v>0</v>
      </c>
      <c r="AQ253" s="13" t="n">
        <v>0</v>
      </c>
      <c r="AR253" s="13" t="n">
        <v>0</v>
      </c>
      <c r="AS253" s="13" t="n">
        <v>0.01</v>
      </c>
      <c r="AT253" s="13" t="n">
        <v>0.005</v>
      </c>
      <c r="AU253" s="13" t="n">
        <v>0.0025</v>
      </c>
      <c r="AV253" s="13" t="n">
        <v>-0.005</v>
      </c>
      <c r="AW253" s="13">
        <f>IF(X253="","",(AM253/100*AO253)+AP253+AQ253+AR253)</f>
        <v/>
      </c>
      <c r="AX253" s="13">
        <f>IF(X253="","",AS253+AT253+AU253+AV253)</f>
        <v/>
      </c>
      <c r="AY253" s="12">
        <f>IF(AZ253="","",ROUND(AZ253*(1+Assumptions!$B$10),0))</f>
        <v/>
      </c>
      <c r="AZ253" s="12">
        <f>IF(X253="","",ROUND(X253*(1+AW253),0))</f>
        <v/>
      </c>
      <c r="BA253" s="12">
        <f>IF(AZ253="","",ROUND(AZ253*(1+Assumptions!$B$11),0))</f>
        <v/>
      </c>
      <c r="BB253" s="12">
        <f>IF(AZ253="","",ROUND(AZ253*(1+AX253+Assumptions!$B$10),0))</f>
        <v/>
      </c>
      <c r="BC253" s="12">
        <f>IF(AZ253="","",ROUND(AZ253*(1+AX253),0))</f>
        <v/>
      </c>
      <c r="BD253" s="12">
        <f>IF(AZ253="","",ROUND(AZ253*(1+AX253+Assumptions!$B$11),0))</f>
        <v/>
      </c>
      <c r="BE253" s="12">
        <f>IF(AZ253="","",ROUND(AZ253*(1+AX253)*(1+AX253),0))</f>
        <v/>
      </c>
      <c r="BF253" s="7" t="inlineStr">
        <is>
          <t>Rules-based enrichment using launch-price anchor, cap-app realization, and 2026 segment conditions.</t>
        </is>
      </c>
      <c r="BG253" t="inlineStr">
        <is>
          <t>2026-03-17</t>
        </is>
      </c>
      <c r="BH253" s="7" t="inlineStr">
        <is>
          <t>DLD / Digital Dubai / CBUAE / Savills / Knight Frank-Moody’s / Reuters</t>
        </is>
      </c>
    </row>
    <row r="254">
      <c r="A254" t="n">
        <v>253</v>
      </c>
      <c r="B254" s="7" t="inlineStr">
        <is>
          <t>Wilton Terraces 1</t>
        </is>
      </c>
      <c r="C254" t="inlineStr">
        <is>
          <t>Ellington Properties</t>
        </is>
      </c>
      <c r="D254" t="inlineStr">
        <is>
          <t>MBR City</t>
        </is>
      </c>
      <c r="E254" t="inlineStr">
        <is>
          <t>Apartments</t>
        </is>
      </c>
      <c r="F254" s="7" t="inlineStr">
        <is>
          <t>Design / Garden</t>
        </is>
      </c>
      <c r="G254" t="inlineStr">
        <is>
          <t>Resale (1.6M+)</t>
        </is>
      </c>
      <c r="H254" t="inlineStr">
        <is>
          <t>1700</t>
        </is>
      </c>
      <c r="I254" t="inlineStr">
        <is>
          <t>18</t>
        </is>
      </c>
      <c r="J254" t="inlineStr">
        <is>
          <t>Completed</t>
        </is>
      </c>
      <c r="K254" t="inlineStr">
        <is>
          <t>2019</t>
        </is>
      </c>
      <c r="L254" t="inlineStr">
        <is>
          <t>6.5-7.0</t>
        </is>
      </c>
      <c r="M254" t="inlineStr">
        <is>
          <t>5-7</t>
        </is>
      </c>
      <c r="N254" t="inlineStr">
        <is>
          <t>11.5-14.0</t>
        </is>
      </c>
      <c r="O254" s="7" t="inlineStr">
        <is>
          <t>Hartland Intl</t>
        </is>
      </c>
      <c r="P254" s="7" t="inlineStr">
        <is>
          <t>American Hospital</t>
        </is>
      </c>
      <c r="Q254" s="7" t="inlineStr">
        <is>
          <t>Dubai Mall</t>
        </is>
      </c>
      <c r="R254" s="7" t="inlineStr">
        <is>
          <t>Ras Al Khor / E44</t>
        </is>
      </c>
      <c r="S254" t="inlineStr">
        <is>
          <t>12</t>
        </is>
      </c>
      <c r="T254" t="inlineStr">
        <is>
          <t>25</t>
        </is>
      </c>
      <c r="U254" t="inlineStr">
        <is>
          <t>15</t>
        </is>
      </c>
      <c r="V254" t="inlineStr">
        <is>
          <t>40</t>
        </is>
      </c>
      <c r="W254" t="n">
        <v>2</v>
      </c>
      <c r="X254" s="12" t="n">
        <v>1600000</v>
      </c>
      <c r="Y254" s="12" t="n">
        <v>1600000</v>
      </c>
      <c r="Z254" s="9" t="n">
        <v>6.5</v>
      </c>
      <c r="AA254" s="9" t="n">
        <v>7</v>
      </c>
      <c r="AB254" s="9" t="n">
        <v>5</v>
      </c>
      <c r="AC254" s="9" t="n">
        <v>7</v>
      </c>
      <c r="AD254" s="9" t="n">
        <v>11.5</v>
      </c>
      <c r="AE254" s="9" t="n">
        <v>14</v>
      </c>
      <c r="AF254" t="n">
        <v>2019</v>
      </c>
      <c r="AH254" t="inlineStr">
        <is>
          <t>Apartment</t>
        </is>
      </c>
      <c r="AI254" t="inlineStr">
        <is>
          <t>MainstreamSelective</t>
        </is>
      </c>
      <c r="AJ254" t="inlineStr">
        <is>
          <t>TopTier</t>
        </is>
      </c>
      <c r="AK254" t="inlineStr">
        <is>
          <t>Balanced / selective</t>
        </is>
      </c>
      <c r="AL254" s="7" t="inlineStr">
        <is>
          <t>Market remains active but increasingly differentiated by developer, micro-location, livability, and pricing discipline.</t>
        </is>
      </c>
      <c r="AM254" s="9" t="n">
        <v>6</v>
      </c>
      <c r="AN254" s="9" t="n">
        <v>6.75</v>
      </c>
      <c r="AO254" s="10" t="n">
        <v>0.55</v>
      </c>
      <c r="AP254" s="13" t="n">
        <v>0</v>
      </c>
      <c r="AQ254" s="13" t="n">
        <v>0</v>
      </c>
      <c r="AR254" s="13" t="n">
        <v>0</v>
      </c>
      <c r="AS254" s="13" t="n">
        <v>0.01</v>
      </c>
      <c r="AT254" s="13" t="n">
        <v>0.005</v>
      </c>
      <c r="AU254" s="13" t="n">
        <v>0.0025</v>
      </c>
      <c r="AV254" s="13" t="n">
        <v>-0.005</v>
      </c>
      <c r="AW254" s="13">
        <f>IF(X254="","",(AM254/100*AO254)+AP254+AQ254+AR254)</f>
        <v/>
      </c>
      <c r="AX254" s="13">
        <f>IF(X254="","",AS254+AT254+AU254+AV254)</f>
        <v/>
      </c>
      <c r="AY254" s="12">
        <f>IF(AZ254="","",ROUND(AZ254*(1+Assumptions!$B$10),0))</f>
        <v/>
      </c>
      <c r="AZ254" s="12">
        <f>IF(X254="","",ROUND(X254*(1+AW254),0))</f>
        <v/>
      </c>
      <c r="BA254" s="12">
        <f>IF(AZ254="","",ROUND(AZ254*(1+Assumptions!$B$11),0))</f>
        <v/>
      </c>
      <c r="BB254" s="12">
        <f>IF(AZ254="","",ROUND(AZ254*(1+AX254+Assumptions!$B$10),0))</f>
        <v/>
      </c>
      <c r="BC254" s="12">
        <f>IF(AZ254="","",ROUND(AZ254*(1+AX254),0))</f>
        <v/>
      </c>
      <c r="BD254" s="12">
        <f>IF(AZ254="","",ROUND(AZ254*(1+AX254+Assumptions!$B$11),0))</f>
        <v/>
      </c>
      <c r="BE254" s="12">
        <f>IF(AZ254="","",ROUND(AZ254*(1+AX254)*(1+AX254),0))</f>
        <v/>
      </c>
      <c r="BF254" s="7" t="inlineStr">
        <is>
          <t>Rules-based enrichment using launch-price anchor, cap-app realization, and 2026 segment conditions.</t>
        </is>
      </c>
      <c r="BG254" t="inlineStr">
        <is>
          <t>2026-03-17</t>
        </is>
      </c>
      <c r="BH254" s="7" t="inlineStr">
        <is>
          <t>DLD / Digital Dubai / CBUAE / Savills / Knight Frank-Moody’s / Reuters</t>
        </is>
      </c>
    </row>
    <row r="255">
      <c r="A255" t="n">
        <v>254</v>
      </c>
      <c r="B255" s="7" t="inlineStr">
        <is>
          <t>Wilton Terraces 2</t>
        </is>
      </c>
      <c r="C255" t="inlineStr">
        <is>
          <t>Ellington Properties</t>
        </is>
      </c>
      <c r="D255" t="inlineStr">
        <is>
          <t>MBR City</t>
        </is>
      </c>
      <c r="E255" t="inlineStr">
        <is>
          <t>Apartments</t>
        </is>
      </c>
      <c r="F255" s="7" t="inlineStr">
        <is>
          <t>Design / Garden</t>
        </is>
      </c>
      <c r="G255" t="inlineStr">
        <is>
          <t>Resale (1.6M+)</t>
        </is>
      </c>
      <c r="H255" t="inlineStr">
        <is>
          <t>1700</t>
        </is>
      </c>
      <c r="I255" t="inlineStr">
        <is>
          <t>18</t>
        </is>
      </c>
      <c r="J255" t="inlineStr">
        <is>
          <t>Completed</t>
        </is>
      </c>
      <c r="K255" t="inlineStr">
        <is>
          <t>2019</t>
        </is>
      </c>
      <c r="L255" t="inlineStr">
        <is>
          <t>6.5-7.0</t>
        </is>
      </c>
      <c r="M255" t="inlineStr">
        <is>
          <t>5-7</t>
        </is>
      </c>
      <c r="N255" t="inlineStr">
        <is>
          <t>11.5-14.0</t>
        </is>
      </c>
      <c r="O255" s="7" t="inlineStr">
        <is>
          <t>Hartland Intl</t>
        </is>
      </c>
      <c r="P255" s="7" t="inlineStr">
        <is>
          <t>American Hospital</t>
        </is>
      </c>
      <c r="Q255" s="7" t="inlineStr">
        <is>
          <t>Dubai Mall</t>
        </is>
      </c>
      <c r="R255" s="7" t="inlineStr">
        <is>
          <t>Ras Al Khor / E44</t>
        </is>
      </c>
      <c r="S255" t="inlineStr">
        <is>
          <t>12</t>
        </is>
      </c>
      <c r="T255" t="inlineStr">
        <is>
          <t>25</t>
        </is>
      </c>
      <c r="U255" t="inlineStr">
        <is>
          <t>15</t>
        </is>
      </c>
      <c r="V255" t="inlineStr">
        <is>
          <t>40</t>
        </is>
      </c>
      <c r="W255" t="n">
        <v>2</v>
      </c>
      <c r="X255" s="12" t="n">
        <v>1600000</v>
      </c>
      <c r="Y255" s="12" t="n">
        <v>1600000</v>
      </c>
      <c r="Z255" s="9" t="n">
        <v>6.5</v>
      </c>
      <c r="AA255" s="9" t="n">
        <v>7</v>
      </c>
      <c r="AB255" s="9" t="n">
        <v>5</v>
      </c>
      <c r="AC255" s="9" t="n">
        <v>7</v>
      </c>
      <c r="AD255" s="9" t="n">
        <v>11.5</v>
      </c>
      <c r="AE255" s="9" t="n">
        <v>14</v>
      </c>
      <c r="AF255" t="n">
        <v>2019</v>
      </c>
      <c r="AH255" t="inlineStr">
        <is>
          <t>Apartment</t>
        </is>
      </c>
      <c r="AI255" t="inlineStr">
        <is>
          <t>MainstreamSelective</t>
        </is>
      </c>
      <c r="AJ255" t="inlineStr">
        <is>
          <t>TopTier</t>
        </is>
      </c>
      <c r="AK255" t="inlineStr">
        <is>
          <t>Balanced / selective</t>
        </is>
      </c>
      <c r="AL255" s="7" t="inlineStr">
        <is>
          <t>Market remains active but increasingly differentiated by developer, micro-location, livability, and pricing discipline.</t>
        </is>
      </c>
      <c r="AM255" s="9" t="n">
        <v>6</v>
      </c>
      <c r="AN255" s="9" t="n">
        <v>6.75</v>
      </c>
      <c r="AO255" s="10" t="n">
        <v>0.55</v>
      </c>
      <c r="AP255" s="13" t="n">
        <v>0</v>
      </c>
      <c r="AQ255" s="13" t="n">
        <v>0</v>
      </c>
      <c r="AR255" s="13" t="n">
        <v>0</v>
      </c>
      <c r="AS255" s="13" t="n">
        <v>0.01</v>
      </c>
      <c r="AT255" s="13" t="n">
        <v>0.005</v>
      </c>
      <c r="AU255" s="13" t="n">
        <v>0.0025</v>
      </c>
      <c r="AV255" s="13" t="n">
        <v>-0.005</v>
      </c>
      <c r="AW255" s="13">
        <f>IF(X255="","",(AM255/100*AO255)+AP255+AQ255+AR255)</f>
        <v/>
      </c>
      <c r="AX255" s="13">
        <f>IF(X255="","",AS255+AT255+AU255+AV255)</f>
        <v/>
      </c>
      <c r="AY255" s="12">
        <f>IF(AZ255="","",ROUND(AZ255*(1+Assumptions!$B$10),0))</f>
        <v/>
      </c>
      <c r="AZ255" s="12">
        <f>IF(X255="","",ROUND(X255*(1+AW255),0))</f>
        <v/>
      </c>
      <c r="BA255" s="12">
        <f>IF(AZ255="","",ROUND(AZ255*(1+Assumptions!$B$11),0))</f>
        <v/>
      </c>
      <c r="BB255" s="12">
        <f>IF(AZ255="","",ROUND(AZ255*(1+AX255+Assumptions!$B$10),0))</f>
        <v/>
      </c>
      <c r="BC255" s="12">
        <f>IF(AZ255="","",ROUND(AZ255*(1+AX255),0))</f>
        <v/>
      </c>
      <c r="BD255" s="12">
        <f>IF(AZ255="","",ROUND(AZ255*(1+AX255+Assumptions!$B$11),0))</f>
        <v/>
      </c>
      <c r="BE255" s="12">
        <f>IF(AZ255="","",ROUND(AZ255*(1+AX255)*(1+AX255),0))</f>
        <v/>
      </c>
      <c r="BF255" s="7" t="inlineStr">
        <is>
          <t>Rules-based enrichment using launch-price anchor, cap-app realization, and 2026 segment conditions.</t>
        </is>
      </c>
      <c r="BG255" t="inlineStr">
        <is>
          <t>2026-03-17</t>
        </is>
      </c>
      <c r="BH255" s="7" t="inlineStr">
        <is>
          <t>DLD / Digital Dubai / CBUAE / Savills / Knight Frank-Moody’s / Reuters</t>
        </is>
      </c>
    </row>
    <row r="256">
      <c r="A256" t="n">
        <v>255</v>
      </c>
      <c r="B256" s="7" t="inlineStr">
        <is>
          <t>Wilton Park Residences</t>
        </is>
      </c>
      <c r="C256" t="inlineStr">
        <is>
          <t>Ellington Properties</t>
        </is>
      </c>
      <c r="D256" t="inlineStr">
        <is>
          <t>MBR City</t>
        </is>
      </c>
      <c r="E256" t="inlineStr">
        <is>
          <t>Apartments</t>
        </is>
      </c>
      <c r="F256" s="7" t="inlineStr">
        <is>
          <t>Park / Modern</t>
        </is>
      </c>
      <c r="G256" t="inlineStr">
        <is>
          <t>Resale (1.5M+)</t>
        </is>
      </c>
      <c r="H256" t="inlineStr">
        <is>
          <t>1600</t>
        </is>
      </c>
      <c r="I256" t="inlineStr">
        <is>
          <t>18</t>
        </is>
      </c>
      <c r="J256" t="inlineStr">
        <is>
          <t>Completed</t>
        </is>
      </c>
      <c r="K256" t="inlineStr">
        <is>
          <t>2021</t>
        </is>
      </c>
      <c r="L256" t="inlineStr">
        <is>
          <t>6.5-7.0</t>
        </is>
      </c>
      <c r="M256" t="inlineStr">
        <is>
          <t>5-7</t>
        </is>
      </c>
      <c r="N256" t="inlineStr">
        <is>
          <t>11.5-14.0</t>
        </is>
      </c>
      <c r="O256" s="7" t="inlineStr">
        <is>
          <t>Hartland Intl</t>
        </is>
      </c>
      <c r="P256" s="7" t="inlineStr">
        <is>
          <t>American Hospital</t>
        </is>
      </c>
      <c r="Q256" s="7" t="inlineStr">
        <is>
          <t>Dubai Mall</t>
        </is>
      </c>
      <c r="R256" s="7" t="inlineStr">
        <is>
          <t>Ras Al Khor / E44</t>
        </is>
      </c>
      <c r="S256" t="inlineStr">
        <is>
          <t>12</t>
        </is>
      </c>
      <c r="T256" t="inlineStr">
        <is>
          <t>25</t>
        </is>
      </c>
      <c r="U256" t="inlineStr">
        <is>
          <t>15</t>
        </is>
      </c>
      <c r="V256" t="inlineStr">
        <is>
          <t>40</t>
        </is>
      </c>
      <c r="W256" t="n">
        <v>2</v>
      </c>
      <c r="X256" s="12" t="n">
        <v>1500000</v>
      </c>
      <c r="Y256" s="12" t="n">
        <v>1500000</v>
      </c>
      <c r="Z256" s="9" t="n">
        <v>6.5</v>
      </c>
      <c r="AA256" s="9" t="n">
        <v>7</v>
      </c>
      <c r="AB256" s="9" t="n">
        <v>5</v>
      </c>
      <c r="AC256" s="9" t="n">
        <v>7</v>
      </c>
      <c r="AD256" s="9" t="n">
        <v>11.5</v>
      </c>
      <c r="AE256" s="9" t="n">
        <v>14</v>
      </c>
      <c r="AF256" t="n">
        <v>2021</v>
      </c>
      <c r="AH256" t="inlineStr">
        <is>
          <t>Apartment</t>
        </is>
      </c>
      <c r="AI256" t="inlineStr">
        <is>
          <t>MainstreamSelective</t>
        </is>
      </c>
      <c r="AJ256" t="inlineStr">
        <is>
          <t>TopTier</t>
        </is>
      </c>
      <c r="AK256" t="inlineStr">
        <is>
          <t>Balanced / selective</t>
        </is>
      </c>
      <c r="AL256" s="7" t="inlineStr">
        <is>
          <t>Market remains active but increasingly differentiated by developer, micro-location, livability, and pricing discipline.</t>
        </is>
      </c>
      <c r="AM256" s="9" t="n">
        <v>6</v>
      </c>
      <c r="AN256" s="9" t="n">
        <v>6.75</v>
      </c>
      <c r="AO256" s="10" t="n">
        <v>0.55</v>
      </c>
      <c r="AP256" s="13" t="n">
        <v>0</v>
      </c>
      <c r="AQ256" s="13" t="n">
        <v>0</v>
      </c>
      <c r="AR256" s="13" t="n">
        <v>0</v>
      </c>
      <c r="AS256" s="13" t="n">
        <v>0.01</v>
      </c>
      <c r="AT256" s="13" t="n">
        <v>0.005</v>
      </c>
      <c r="AU256" s="13" t="n">
        <v>0.0025</v>
      </c>
      <c r="AV256" s="13" t="n">
        <v>-0.005</v>
      </c>
      <c r="AW256" s="13">
        <f>IF(X256="","",(AM256/100*AO256)+AP256+AQ256+AR256)</f>
        <v/>
      </c>
      <c r="AX256" s="13">
        <f>IF(X256="","",AS256+AT256+AU256+AV256)</f>
        <v/>
      </c>
      <c r="AY256" s="12">
        <f>IF(AZ256="","",ROUND(AZ256*(1+Assumptions!$B$10),0))</f>
        <v/>
      </c>
      <c r="AZ256" s="12">
        <f>IF(X256="","",ROUND(X256*(1+AW256),0))</f>
        <v/>
      </c>
      <c r="BA256" s="12">
        <f>IF(AZ256="","",ROUND(AZ256*(1+Assumptions!$B$11),0))</f>
        <v/>
      </c>
      <c r="BB256" s="12">
        <f>IF(AZ256="","",ROUND(AZ256*(1+AX256+Assumptions!$B$10),0))</f>
        <v/>
      </c>
      <c r="BC256" s="12">
        <f>IF(AZ256="","",ROUND(AZ256*(1+AX256),0))</f>
        <v/>
      </c>
      <c r="BD256" s="12">
        <f>IF(AZ256="","",ROUND(AZ256*(1+AX256+Assumptions!$B$11),0))</f>
        <v/>
      </c>
      <c r="BE256" s="12">
        <f>IF(AZ256="","",ROUND(AZ256*(1+AX256)*(1+AX256),0))</f>
        <v/>
      </c>
      <c r="BF256" s="7" t="inlineStr">
        <is>
          <t>Rules-based enrichment using launch-price anchor, cap-app realization, and 2026 segment conditions.</t>
        </is>
      </c>
      <c r="BG256" t="inlineStr">
        <is>
          <t>2026-03-17</t>
        </is>
      </c>
      <c r="BH256" s="7" t="inlineStr">
        <is>
          <t>DLD / Digital Dubai / CBUAE / Savills / Knight Frank-Moody’s / Reuters</t>
        </is>
      </c>
    </row>
    <row r="257">
      <c r="A257" t="n">
        <v>256</v>
      </c>
      <c r="B257" s="7" t="inlineStr">
        <is>
          <t>The Sanctuary</t>
        </is>
      </c>
      <c r="C257" t="inlineStr">
        <is>
          <t>Ellington Properties</t>
        </is>
      </c>
      <c r="D257" t="inlineStr">
        <is>
          <t>MBR City (District 11)</t>
        </is>
      </c>
      <c r="E257" t="inlineStr">
        <is>
          <t>Villas</t>
        </is>
      </c>
      <c r="F257" s="7" t="inlineStr">
        <is>
          <t>Gated / Water</t>
        </is>
      </c>
      <c r="G257" t="inlineStr">
        <is>
          <t>15M+</t>
        </is>
      </c>
      <c r="H257" t="inlineStr">
        <is>
          <t>2200</t>
        </is>
      </c>
      <c r="I257" t="inlineStr">
        <is>
          <t>20</t>
        </is>
      </c>
      <c r="J257" t="inlineStr">
        <is>
          <t>60/40</t>
        </is>
      </c>
      <c r="K257" t="inlineStr">
        <is>
          <t>2023</t>
        </is>
      </c>
      <c r="L257" t="inlineStr">
        <is>
          <t>5.0-5.5</t>
        </is>
      </c>
      <c r="M257" t="inlineStr">
        <is>
          <t>8-10</t>
        </is>
      </c>
      <c r="N257" t="inlineStr">
        <is>
          <t>13.0-15.5</t>
        </is>
      </c>
      <c r="O257" s="7" t="inlineStr">
        <is>
          <t>Repton School</t>
        </is>
      </c>
      <c r="P257" s="7" t="inlineStr">
        <is>
          <t>Nad Al Sheba Health</t>
        </is>
      </c>
      <c r="Q257" s="7" t="inlineStr">
        <is>
          <t>Meydan One (Planned)</t>
        </is>
      </c>
      <c r="R257" s="7" t="inlineStr">
        <is>
          <t>Al Ain Rd E66</t>
        </is>
      </c>
      <c r="S257" t="inlineStr">
        <is>
          <t>15</t>
        </is>
      </c>
      <c r="T257" t="inlineStr">
        <is>
          <t>20</t>
        </is>
      </c>
      <c r="U257" t="inlineStr">
        <is>
          <t>20</t>
        </is>
      </c>
      <c r="V257" t="inlineStr">
        <is>
          <t>30</t>
        </is>
      </c>
      <c r="W257" t="n">
        <v>2</v>
      </c>
      <c r="X257" s="12" t="n">
        <v>15000000</v>
      </c>
      <c r="Y257" s="12" t="n">
        <v>15000000</v>
      </c>
      <c r="Z257" s="9" t="n">
        <v>5</v>
      </c>
      <c r="AA257" s="9" t="n">
        <v>5.5</v>
      </c>
      <c r="AB257" s="9" t="n">
        <v>8</v>
      </c>
      <c r="AC257" s="9" t="n">
        <v>10</v>
      </c>
      <c r="AD257" s="9" t="n">
        <v>13</v>
      </c>
      <c r="AE257" s="9" t="n">
        <v>15.5</v>
      </c>
      <c r="AF257" t="n">
        <v>2023</v>
      </c>
      <c r="AH257" t="inlineStr">
        <is>
          <t>Villa</t>
        </is>
      </c>
      <c r="AI257" t="inlineStr">
        <is>
          <t>MainstreamSelective</t>
        </is>
      </c>
      <c r="AJ257" t="inlineStr">
        <is>
          <t>TopTier</t>
        </is>
      </c>
      <c r="AK257" t="inlineStr">
        <is>
          <t>Family-villa resilient</t>
        </is>
      </c>
      <c r="AL257" s="7" t="inlineStr">
        <is>
          <t>Villa/townhouse demand remains relatively firmer, though growth should be slower than the post-2020 surge.</t>
        </is>
      </c>
      <c r="AM257" s="9" t="n">
        <v>9</v>
      </c>
      <c r="AN257" s="9" t="n">
        <v>5.25</v>
      </c>
      <c r="AO257" s="10" t="n">
        <v>0.55</v>
      </c>
      <c r="AP257" s="13" t="n">
        <v>0</v>
      </c>
      <c r="AQ257" s="13" t="n">
        <v>0.015</v>
      </c>
      <c r="AR257" s="13" t="n">
        <v>0</v>
      </c>
      <c r="AS257" s="13" t="n">
        <v>0.025</v>
      </c>
      <c r="AT257" s="13" t="n">
        <v>0.005</v>
      </c>
      <c r="AU257" s="13" t="n">
        <v>0</v>
      </c>
      <c r="AV257" s="13" t="n">
        <v>-0.005</v>
      </c>
      <c r="AW257" s="13">
        <f>IF(X257="","",(AM257/100*AO257)+AP257+AQ257+AR257)</f>
        <v/>
      </c>
      <c r="AX257" s="13">
        <f>IF(X257="","",AS257+AT257+AU257+AV257)</f>
        <v/>
      </c>
      <c r="AY257" s="12">
        <f>IF(AZ257="","",ROUND(AZ257*(1+Assumptions!$B$10),0))</f>
        <v/>
      </c>
      <c r="AZ257" s="12">
        <f>IF(X257="","",ROUND(X257*(1+AW257),0))</f>
        <v/>
      </c>
      <c r="BA257" s="12">
        <f>IF(AZ257="","",ROUND(AZ257*(1+Assumptions!$B$11),0))</f>
        <v/>
      </c>
      <c r="BB257" s="12">
        <f>IF(AZ257="","",ROUND(AZ257*(1+AX257+Assumptions!$B$10),0))</f>
        <v/>
      </c>
      <c r="BC257" s="12">
        <f>IF(AZ257="","",ROUND(AZ257*(1+AX257),0))</f>
        <v/>
      </c>
      <c r="BD257" s="12">
        <f>IF(AZ257="","",ROUND(AZ257*(1+AX257+Assumptions!$B$11),0))</f>
        <v/>
      </c>
      <c r="BE257" s="12">
        <f>IF(AZ257="","",ROUND(AZ257*(1+AX257)*(1+AX257),0))</f>
        <v/>
      </c>
      <c r="BF257" s="7" t="inlineStr">
        <is>
          <t>Rules-based enrichment using launch-price anchor, cap-app realization, and 2026 segment conditions.</t>
        </is>
      </c>
      <c r="BG257" t="inlineStr">
        <is>
          <t>2026-03-17</t>
        </is>
      </c>
      <c r="BH257" s="7" t="inlineStr">
        <is>
          <t>DLD / Digital Dubai / CBUAE / Savills / Knight Frank-Moody’s / Reuters</t>
        </is>
      </c>
    </row>
    <row r="258">
      <c r="A258" t="n">
        <v>257</v>
      </c>
      <c r="B258" s="7" t="inlineStr">
        <is>
          <t>Ellington Sands</t>
        </is>
      </c>
      <c r="C258" t="inlineStr">
        <is>
          <t>Ellington Properties</t>
        </is>
      </c>
      <c r="D258" t="inlineStr">
        <is>
          <t>Al Marjan Is. (RAK)</t>
        </is>
      </c>
      <c r="E258" t="inlineStr">
        <is>
          <t>Apartments</t>
        </is>
      </c>
      <c r="F258" s="7" t="inlineStr">
        <is>
          <t>Beach / Resort</t>
        </is>
      </c>
      <c r="G258" t="inlineStr">
        <is>
          <t>2.2M</t>
        </is>
      </c>
      <c r="H258" t="inlineStr">
        <is>
          <t>2100</t>
        </is>
      </c>
      <c r="I258" t="inlineStr">
        <is>
          <t>20</t>
        </is>
      </c>
      <c r="J258" t="inlineStr">
        <is>
          <t>60/40</t>
        </is>
      </c>
      <c r="K258" t="inlineStr">
        <is>
          <t>2024</t>
        </is>
      </c>
      <c r="L258" t="inlineStr">
        <is>
          <t>6.5-7.5</t>
        </is>
      </c>
      <c r="M258" t="inlineStr">
        <is>
          <t>10-15</t>
        </is>
      </c>
      <c r="N258" t="inlineStr">
        <is>
          <t>16.5-22.5</t>
        </is>
      </c>
      <c r="O258" s="7" t="inlineStr">
        <is>
          <t>RAK Academy</t>
        </is>
      </c>
      <c r="P258" s="7" t="inlineStr">
        <is>
          <t>RAK Hospital</t>
        </is>
      </c>
      <c r="Q258" s="7" t="inlineStr">
        <is>
          <t>Al Hamra Mall</t>
        </is>
      </c>
      <c r="R258" s="7" t="inlineStr">
        <is>
          <t>E11 (RAK)</t>
        </is>
      </c>
      <c r="S258" t="inlineStr">
        <is>
          <t>60+</t>
        </is>
      </c>
      <c r="T258" t="inlineStr">
        <is>
          <t>60+</t>
        </is>
      </c>
      <c r="U258" t="inlineStr">
        <is>
          <t>50</t>
        </is>
      </c>
      <c r="V258" t="inlineStr">
        <is>
          <t>60+</t>
        </is>
      </c>
      <c r="W258" t="n">
        <v>2</v>
      </c>
      <c r="X258" s="12" t="n">
        <v>2200000</v>
      </c>
      <c r="Y258" s="12" t="n">
        <v>2200000</v>
      </c>
      <c r="Z258" s="9" t="n">
        <v>6.5</v>
      </c>
      <c r="AA258" s="9" t="n">
        <v>7.5</v>
      </c>
      <c r="AB258" s="9" t="n">
        <v>10</v>
      </c>
      <c r="AC258" s="9" t="n">
        <v>15</v>
      </c>
      <c r="AD258" s="9" t="n">
        <v>16.5</v>
      </c>
      <c r="AE258" s="9" t="n">
        <v>22.5</v>
      </c>
      <c r="AF258" t="n">
        <v>2024</v>
      </c>
      <c r="AH258" t="inlineStr">
        <is>
          <t>Apartment</t>
        </is>
      </c>
      <c r="AI258" t="inlineStr">
        <is>
          <t>MainstreamSelective</t>
        </is>
      </c>
      <c r="AJ258" t="inlineStr">
        <is>
          <t>TopTier</t>
        </is>
      </c>
      <c r="AK258" t="inlineStr">
        <is>
          <t>Balanced / selective</t>
        </is>
      </c>
      <c r="AL258" s="7" t="inlineStr">
        <is>
          <t>Market remains active but increasingly differentiated by developer, micro-location, livability, and pricing discipline.</t>
        </is>
      </c>
      <c r="AM258" s="9" t="n">
        <v>12.5</v>
      </c>
      <c r="AN258" s="9" t="n">
        <v>7</v>
      </c>
      <c r="AO258" s="10" t="n">
        <v>0.55</v>
      </c>
      <c r="AP258" s="13" t="n">
        <v>0</v>
      </c>
      <c r="AQ258" s="13" t="n">
        <v>0</v>
      </c>
      <c r="AR258" s="13" t="n">
        <v>0</v>
      </c>
      <c r="AS258" s="13" t="n">
        <v>0.01</v>
      </c>
      <c r="AT258" s="13" t="n">
        <v>0.005</v>
      </c>
      <c r="AU258" s="13" t="n">
        <v>0.0025</v>
      </c>
      <c r="AV258" s="13" t="n">
        <v>-0.005</v>
      </c>
      <c r="AW258" s="13">
        <f>IF(X258="","",(AM258/100*AO258)+AP258+AQ258+AR258)</f>
        <v/>
      </c>
      <c r="AX258" s="13">
        <f>IF(X258="","",AS258+AT258+AU258+AV258)</f>
        <v/>
      </c>
      <c r="AY258" s="12">
        <f>IF(AZ258="","",ROUND(AZ258*(1+Assumptions!$B$10),0))</f>
        <v/>
      </c>
      <c r="AZ258" s="12">
        <f>IF(X258="","",ROUND(X258*(1+AW258),0))</f>
        <v/>
      </c>
      <c r="BA258" s="12">
        <f>IF(AZ258="","",ROUND(AZ258*(1+Assumptions!$B$11),0))</f>
        <v/>
      </c>
      <c r="BB258" s="12">
        <f>IF(AZ258="","",ROUND(AZ258*(1+AX258+Assumptions!$B$10),0))</f>
        <v/>
      </c>
      <c r="BC258" s="12">
        <f>IF(AZ258="","",ROUND(AZ258*(1+AX258),0))</f>
        <v/>
      </c>
      <c r="BD258" s="12">
        <f>IF(AZ258="","",ROUND(AZ258*(1+AX258+Assumptions!$B$11),0))</f>
        <v/>
      </c>
      <c r="BE258" s="12">
        <f>IF(AZ258="","",ROUND(AZ258*(1+AX258)*(1+AX258),0))</f>
        <v/>
      </c>
      <c r="BF258" s="7" t="inlineStr">
        <is>
          <t>Rules-based enrichment using launch-price anchor, cap-app realization, and 2026 segment conditions.</t>
        </is>
      </c>
      <c r="BG258" t="inlineStr">
        <is>
          <t>2026-03-17</t>
        </is>
      </c>
      <c r="BH258" s="7" t="inlineStr">
        <is>
          <t>DLD / Digital Dubai / CBUAE / Savills / Knight Frank-Moody’s / Reuters</t>
        </is>
      </c>
    </row>
    <row r="259">
      <c r="A259" t="n">
        <v>258</v>
      </c>
      <c r="B259" s="7" t="inlineStr">
        <is>
          <t>One River Point</t>
        </is>
      </c>
      <c r="C259" t="inlineStr">
        <is>
          <t>Ellington Properties</t>
        </is>
      </c>
      <c r="D259" t="inlineStr">
        <is>
          <t>Business Bay</t>
        </is>
      </c>
      <c r="E259" t="inlineStr">
        <is>
          <t>Apartments</t>
        </is>
      </c>
      <c r="F259" s="7" t="inlineStr">
        <is>
          <t>Canal / Luxury</t>
        </is>
      </c>
      <c r="G259" t="inlineStr">
        <is>
          <t>2.5M</t>
        </is>
      </c>
      <c r="H259" t="inlineStr">
        <is>
          <t>2500</t>
        </is>
      </c>
      <c r="I259" t="inlineStr">
        <is>
          <t>22</t>
        </is>
      </c>
      <c r="J259" t="inlineStr">
        <is>
          <t>70/30</t>
        </is>
      </c>
      <c r="K259" t="inlineStr">
        <is>
          <t>2023</t>
        </is>
      </c>
      <c r="L259" t="inlineStr">
        <is>
          <t>6.0-6.5</t>
        </is>
      </c>
      <c r="M259" t="inlineStr">
        <is>
          <t>8-10</t>
        </is>
      </c>
      <c r="N259" t="inlineStr">
        <is>
          <t>14.0-16.5</t>
        </is>
      </c>
      <c r="O259" s="7" t="inlineStr">
        <is>
          <t>Hartland Intl</t>
        </is>
      </c>
      <c r="P259" s="7" t="inlineStr">
        <is>
          <t>Emirates Hospital BB</t>
        </is>
      </c>
      <c r="Q259" s="7" t="inlineStr">
        <is>
          <t>Dubai Mall</t>
        </is>
      </c>
      <c r="R259" s="7" t="inlineStr">
        <is>
          <t>Al Khail E44</t>
        </is>
      </c>
      <c r="S259" t="inlineStr">
        <is>
          <t>5</t>
        </is>
      </c>
      <c r="T259" t="inlineStr">
        <is>
          <t>20</t>
        </is>
      </c>
      <c r="U259" t="inlineStr">
        <is>
          <t>15</t>
        </is>
      </c>
      <c r="V259" t="inlineStr">
        <is>
          <t>35</t>
        </is>
      </c>
      <c r="W259" t="n">
        <v>2</v>
      </c>
      <c r="X259" s="12" t="n">
        <v>2500000</v>
      </c>
      <c r="Y259" s="12" t="n">
        <v>2500000</v>
      </c>
      <c r="Z259" s="9" t="n">
        <v>6</v>
      </c>
      <c r="AA259" s="9" t="n">
        <v>6.5</v>
      </c>
      <c r="AB259" s="9" t="n">
        <v>8</v>
      </c>
      <c r="AC259" s="9" t="n">
        <v>10</v>
      </c>
      <c r="AD259" s="9" t="n">
        <v>14</v>
      </c>
      <c r="AE259" s="9" t="n">
        <v>16.5</v>
      </c>
      <c r="AF259" t="n">
        <v>2023</v>
      </c>
      <c r="AH259" t="inlineStr">
        <is>
          <t>Apartment</t>
        </is>
      </c>
      <c r="AI259" t="inlineStr">
        <is>
          <t>Prime</t>
        </is>
      </c>
      <c r="AJ259" t="inlineStr">
        <is>
          <t>TopTier</t>
        </is>
      </c>
      <c r="AK259" t="inlineStr">
        <is>
          <t>Prime resilient / selective</t>
        </is>
      </c>
      <c r="AL259" s="7" t="inlineStr">
        <is>
          <t>Better support from quality, branding, and scarcer prime stock; still entry-price sensitive.</t>
        </is>
      </c>
      <c r="AM259" s="9" t="n">
        <v>9</v>
      </c>
      <c r="AN259" s="9" t="n">
        <v>6.25</v>
      </c>
      <c r="AO259" s="10" t="n">
        <v>0.55</v>
      </c>
      <c r="AP259" s="13" t="n">
        <v>0.02</v>
      </c>
      <c r="AQ259" s="13" t="n">
        <v>0</v>
      </c>
      <c r="AR259" s="13" t="n">
        <v>0</v>
      </c>
      <c r="AS259" s="13" t="n">
        <v>0.03</v>
      </c>
      <c r="AT259" s="13" t="n">
        <v>0.005</v>
      </c>
      <c r="AU259" s="13" t="n">
        <v>0.0025</v>
      </c>
      <c r="AV259" s="13" t="n">
        <v>-0.005</v>
      </c>
      <c r="AW259" s="13">
        <f>IF(X259="","",(AM259/100*AO259)+AP259+AQ259+AR259)</f>
        <v/>
      </c>
      <c r="AX259" s="13">
        <f>IF(X259="","",AS259+AT259+AU259+AV259)</f>
        <v/>
      </c>
      <c r="AY259" s="12">
        <f>IF(AZ259="","",ROUND(AZ259*(1+Assumptions!$B$10),0))</f>
        <v/>
      </c>
      <c r="AZ259" s="12">
        <f>IF(X259="","",ROUND(X259*(1+AW259),0))</f>
        <v/>
      </c>
      <c r="BA259" s="12">
        <f>IF(AZ259="","",ROUND(AZ259*(1+Assumptions!$B$11),0))</f>
        <v/>
      </c>
      <c r="BB259" s="12">
        <f>IF(AZ259="","",ROUND(AZ259*(1+AX259+Assumptions!$B$10),0))</f>
        <v/>
      </c>
      <c r="BC259" s="12">
        <f>IF(AZ259="","",ROUND(AZ259*(1+AX259),0))</f>
        <v/>
      </c>
      <c r="BD259" s="12">
        <f>IF(AZ259="","",ROUND(AZ259*(1+AX259+Assumptions!$B$11),0))</f>
        <v/>
      </c>
      <c r="BE259" s="12">
        <f>IF(AZ259="","",ROUND(AZ259*(1+AX259)*(1+AX259),0))</f>
        <v/>
      </c>
      <c r="BF259" s="7" t="inlineStr">
        <is>
          <t>Rules-based enrichment using launch-price anchor, cap-app realization, and 2026 segment conditions.</t>
        </is>
      </c>
      <c r="BG259" t="inlineStr">
        <is>
          <t>2026-03-17</t>
        </is>
      </c>
      <c r="BH259" s="7" t="inlineStr">
        <is>
          <t>DLD / Digital Dubai / CBUAE / Savills / Knight Frank-Moody’s / Reuters</t>
        </is>
      </c>
    </row>
    <row r="260">
      <c r="A260" t="n">
        <v>259</v>
      </c>
      <c r="B260" s="7" t="inlineStr">
        <is>
          <t>The Crestmark</t>
        </is>
      </c>
      <c r="C260" t="inlineStr">
        <is>
          <t>Ellington Properties</t>
        </is>
      </c>
      <c r="D260" t="inlineStr">
        <is>
          <t>Business Bay</t>
        </is>
      </c>
      <c r="E260" t="inlineStr">
        <is>
          <t>Apartments</t>
        </is>
      </c>
      <c r="F260" s="7" t="inlineStr">
        <is>
          <t>Canal / Design</t>
        </is>
      </c>
      <c r="G260" t="inlineStr">
        <is>
          <t>2.6M</t>
        </is>
      </c>
      <c r="H260" t="inlineStr">
        <is>
          <t>2600</t>
        </is>
      </c>
      <c r="I260" t="inlineStr">
        <is>
          <t>22</t>
        </is>
      </c>
      <c r="J260" t="inlineStr">
        <is>
          <t>70/30</t>
        </is>
      </c>
      <c r="K260" t="inlineStr">
        <is>
          <t>2023</t>
        </is>
      </c>
      <c r="L260" t="inlineStr">
        <is>
          <t>6.0-6.5</t>
        </is>
      </c>
      <c r="M260" t="inlineStr">
        <is>
          <t>8-10</t>
        </is>
      </c>
      <c r="N260" t="inlineStr">
        <is>
          <t>14.0-16.5</t>
        </is>
      </c>
      <c r="O260" s="7" t="inlineStr">
        <is>
          <t>Hartland Intl</t>
        </is>
      </c>
      <c r="P260" s="7" t="inlineStr">
        <is>
          <t>Emirates Hospital BB</t>
        </is>
      </c>
      <c r="Q260" s="7" t="inlineStr">
        <is>
          <t>Dubai Mall</t>
        </is>
      </c>
      <c r="R260" s="7" t="inlineStr">
        <is>
          <t>Al Khail E44</t>
        </is>
      </c>
      <c r="S260" t="inlineStr">
        <is>
          <t>5</t>
        </is>
      </c>
      <c r="T260" t="inlineStr">
        <is>
          <t>20</t>
        </is>
      </c>
      <c r="U260" t="inlineStr">
        <is>
          <t>15</t>
        </is>
      </c>
      <c r="V260" t="inlineStr">
        <is>
          <t>35</t>
        </is>
      </c>
      <c r="W260" t="n">
        <v>2</v>
      </c>
      <c r="X260" s="12" t="n">
        <v>2600000</v>
      </c>
      <c r="Y260" s="12" t="n">
        <v>2600000</v>
      </c>
      <c r="Z260" s="9" t="n">
        <v>6</v>
      </c>
      <c r="AA260" s="9" t="n">
        <v>6.5</v>
      </c>
      <c r="AB260" s="9" t="n">
        <v>8</v>
      </c>
      <c r="AC260" s="9" t="n">
        <v>10</v>
      </c>
      <c r="AD260" s="9" t="n">
        <v>14</v>
      </c>
      <c r="AE260" s="9" t="n">
        <v>16.5</v>
      </c>
      <c r="AF260" t="n">
        <v>2023</v>
      </c>
      <c r="AH260" t="inlineStr">
        <is>
          <t>Apartment</t>
        </is>
      </c>
      <c r="AI260" t="inlineStr">
        <is>
          <t>Prime</t>
        </is>
      </c>
      <c r="AJ260" t="inlineStr">
        <is>
          <t>TopTier</t>
        </is>
      </c>
      <c r="AK260" t="inlineStr">
        <is>
          <t>Prime resilient / selective</t>
        </is>
      </c>
      <c r="AL260" s="7" t="inlineStr">
        <is>
          <t>Better support from quality, branding, and scarcer prime stock; still entry-price sensitive.</t>
        </is>
      </c>
      <c r="AM260" s="9" t="n">
        <v>9</v>
      </c>
      <c r="AN260" s="9" t="n">
        <v>6.25</v>
      </c>
      <c r="AO260" s="10" t="n">
        <v>0.55</v>
      </c>
      <c r="AP260" s="13" t="n">
        <v>0.02</v>
      </c>
      <c r="AQ260" s="13" t="n">
        <v>0</v>
      </c>
      <c r="AR260" s="13" t="n">
        <v>0</v>
      </c>
      <c r="AS260" s="13" t="n">
        <v>0.03</v>
      </c>
      <c r="AT260" s="13" t="n">
        <v>0.005</v>
      </c>
      <c r="AU260" s="13" t="n">
        <v>0.0025</v>
      </c>
      <c r="AV260" s="13" t="n">
        <v>-0.005</v>
      </c>
      <c r="AW260" s="13">
        <f>IF(X260="","",(AM260/100*AO260)+AP260+AQ260+AR260)</f>
        <v/>
      </c>
      <c r="AX260" s="13">
        <f>IF(X260="","",AS260+AT260+AU260+AV260)</f>
        <v/>
      </c>
      <c r="AY260" s="12">
        <f>IF(AZ260="","",ROUND(AZ260*(1+Assumptions!$B$10),0))</f>
        <v/>
      </c>
      <c r="AZ260" s="12">
        <f>IF(X260="","",ROUND(X260*(1+AW260),0))</f>
        <v/>
      </c>
      <c r="BA260" s="12">
        <f>IF(AZ260="","",ROUND(AZ260*(1+Assumptions!$B$11),0))</f>
        <v/>
      </c>
      <c r="BB260" s="12">
        <f>IF(AZ260="","",ROUND(AZ260*(1+AX260+Assumptions!$B$10),0))</f>
        <v/>
      </c>
      <c r="BC260" s="12">
        <f>IF(AZ260="","",ROUND(AZ260*(1+AX260),0))</f>
        <v/>
      </c>
      <c r="BD260" s="12">
        <f>IF(AZ260="","",ROUND(AZ260*(1+AX260+Assumptions!$B$11),0))</f>
        <v/>
      </c>
      <c r="BE260" s="12">
        <f>IF(AZ260="","",ROUND(AZ260*(1+AX260)*(1+AX260),0))</f>
        <v/>
      </c>
      <c r="BF260" s="7" t="inlineStr">
        <is>
          <t>Rules-based enrichment using launch-price anchor, cap-app realization, and 2026 segment conditions.</t>
        </is>
      </c>
      <c r="BG260" t="inlineStr">
        <is>
          <t>2026-03-17</t>
        </is>
      </c>
      <c r="BH260" s="7" t="inlineStr">
        <is>
          <t>DLD / Digital Dubai / CBUAE / Savills / Knight Frank-Moody’s / Reuters</t>
        </is>
      </c>
    </row>
    <row r="261">
      <c r="A261" t="n">
        <v>260</v>
      </c>
      <c r="B261" s="7" t="inlineStr">
        <is>
          <t>DT1</t>
        </is>
      </c>
      <c r="C261" t="inlineStr">
        <is>
          <t>Ellington Properties</t>
        </is>
      </c>
      <c r="D261" t="inlineStr">
        <is>
          <t>Downtown Dubai</t>
        </is>
      </c>
      <c r="E261" t="inlineStr">
        <is>
          <t>Apartments</t>
        </is>
      </c>
      <c r="F261" s="7" t="inlineStr">
        <is>
          <t>Luxury / City</t>
        </is>
      </c>
      <c r="G261" t="inlineStr">
        <is>
          <t>Resale (2.5M+)</t>
        </is>
      </c>
      <c r="H261" t="inlineStr">
        <is>
          <t>2800</t>
        </is>
      </c>
      <c r="I261" t="inlineStr">
        <is>
          <t>25</t>
        </is>
      </c>
      <c r="J261" t="inlineStr">
        <is>
          <t>Completed</t>
        </is>
      </c>
      <c r="K261" t="inlineStr">
        <is>
          <t>2019</t>
        </is>
      </c>
      <c r="L261" t="inlineStr">
        <is>
          <t>6.0-6.5</t>
        </is>
      </c>
      <c r="M261" t="inlineStr">
        <is>
          <t>5-7</t>
        </is>
      </c>
      <c r="N261" t="inlineStr">
        <is>
          <t>11.0-13.5</t>
        </is>
      </c>
      <c r="O261" s="7" t="inlineStr">
        <is>
          <t>Hartland Intl</t>
        </is>
      </c>
      <c r="P261" s="7" t="inlineStr">
        <is>
          <t>Mediclinic Dubai Mall</t>
        </is>
      </c>
      <c r="Q261" s="7" t="inlineStr">
        <is>
          <t>Dubai Mall</t>
        </is>
      </c>
      <c r="R261" s="7" t="inlineStr">
        <is>
          <t>Financial Ctr Rd</t>
        </is>
      </c>
      <c r="S261" t="inlineStr">
        <is>
          <t>5</t>
        </is>
      </c>
      <c r="T261" t="inlineStr">
        <is>
          <t>20</t>
        </is>
      </c>
      <c r="U261" t="inlineStr">
        <is>
          <t>15</t>
        </is>
      </c>
      <c r="V261" t="inlineStr">
        <is>
          <t>35</t>
        </is>
      </c>
      <c r="W261" t="n">
        <v>2</v>
      </c>
      <c r="X261" s="12" t="n">
        <v>2500000</v>
      </c>
      <c r="Y261" s="12" t="n">
        <v>2500000</v>
      </c>
      <c r="Z261" s="9" t="n">
        <v>6</v>
      </c>
      <c r="AA261" s="9" t="n">
        <v>6.5</v>
      </c>
      <c r="AB261" s="9" t="n">
        <v>5</v>
      </c>
      <c r="AC261" s="9" t="n">
        <v>7</v>
      </c>
      <c r="AD261" s="9" t="n">
        <v>11</v>
      </c>
      <c r="AE261" s="9" t="n">
        <v>13.5</v>
      </c>
      <c r="AF261" t="n">
        <v>2019</v>
      </c>
      <c r="AH261" t="inlineStr">
        <is>
          <t>Apartment</t>
        </is>
      </c>
      <c r="AI261" t="inlineStr">
        <is>
          <t>Prime</t>
        </is>
      </c>
      <c r="AJ261" t="inlineStr">
        <is>
          <t>TopTier</t>
        </is>
      </c>
      <c r="AK261" t="inlineStr">
        <is>
          <t>Prime resilient / selective</t>
        </is>
      </c>
      <c r="AL261" s="7" t="inlineStr">
        <is>
          <t>Better support from quality, branding, and scarcer prime stock; still entry-price sensitive.</t>
        </is>
      </c>
      <c r="AM261" s="9" t="n">
        <v>6</v>
      </c>
      <c r="AN261" s="9" t="n">
        <v>6.25</v>
      </c>
      <c r="AO261" s="10" t="n">
        <v>0.55</v>
      </c>
      <c r="AP261" s="13" t="n">
        <v>0.02</v>
      </c>
      <c r="AQ261" s="13" t="n">
        <v>0</v>
      </c>
      <c r="AR261" s="13" t="n">
        <v>0</v>
      </c>
      <c r="AS261" s="13" t="n">
        <v>0.03</v>
      </c>
      <c r="AT261" s="13" t="n">
        <v>0.005</v>
      </c>
      <c r="AU261" s="13" t="n">
        <v>0.0025</v>
      </c>
      <c r="AV261" s="13" t="n">
        <v>-0.005</v>
      </c>
      <c r="AW261" s="13">
        <f>IF(X261="","",(AM261/100*AO261)+AP261+AQ261+AR261)</f>
        <v/>
      </c>
      <c r="AX261" s="13">
        <f>IF(X261="","",AS261+AT261+AU261+AV261)</f>
        <v/>
      </c>
      <c r="AY261" s="12">
        <f>IF(AZ261="","",ROUND(AZ261*(1+Assumptions!$B$10),0))</f>
        <v/>
      </c>
      <c r="AZ261" s="12">
        <f>IF(X261="","",ROUND(X261*(1+AW261),0))</f>
        <v/>
      </c>
      <c r="BA261" s="12">
        <f>IF(AZ261="","",ROUND(AZ261*(1+Assumptions!$B$11),0))</f>
        <v/>
      </c>
      <c r="BB261" s="12">
        <f>IF(AZ261="","",ROUND(AZ261*(1+AX261+Assumptions!$B$10),0))</f>
        <v/>
      </c>
      <c r="BC261" s="12">
        <f>IF(AZ261="","",ROUND(AZ261*(1+AX261),0))</f>
        <v/>
      </c>
      <c r="BD261" s="12">
        <f>IF(AZ261="","",ROUND(AZ261*(1+AX261+Assumptions!$B$11),0))</f>
        <v/>
      </c>
      <c r="BE261" s="12">
        <f>IF(AZ261="","",ROUND(AZ261*(1+AX261)*(1+AX261),0))</f>
        <v/>
      </c>
      <c r="BF261" s="7" t="inlineStr">
        <is>
          <t>Rules-based enrichment using launch-price anchor, cap-app realization, and 2026 segment conditions.</t>
        </is>
      </c>
      <c r="BG261" t="inlineStr">
        <is>
          <t>2026-03-17</t>
        </is>
      </c>
      <c r="BH261" s="7" t="inlineStr">
        <is>
          <t>DLD / Digital Dubai / CBUAE / Savills / Knight Frank-Moody’s / Reuters</t>
        </is>
      </c>
    </row>
    <row r="262">
      <c r="A262" t="n">
        <v>261</v>
      </c>
      <c r="B262" s="7" t="inlineStr">
        <is>
          <t>Mercer House</t>
        </is>
      </c>
      <c r="C262" t="inlineStr">
        <is>
          <t>Ellington Properties</t>
        </is>
      </c>
      <c r="D262" t="inlineStr">
        <is>
          <t>JLT</t>
        </is>
      </c>
      <c r="E262" t="inlineStr">
        <is>
          <t>Apartments</t>
        </is>
      </c>
      <c r="F262" s="7" t="inlineStr">
        <is>
          <t>High-Rise / View</t>
        </is>
      </c>
      <c r="G262" t="inlineStr">
        <is>
          <t>1.8M</t>
        </is>
      </c>
      <c r="H262" t="inlineStr">
        <is>
          <t>2000</t>
        </is>
      </c>
      <c r="I262" t="inlineStr">
        <is>
          <t>20</t>
        </is>
      </c>
      <c r="J262" t="inlineStr">
        <is>
          <t>70/30</t>
        </is>
      </c>
      <c r="K262" t="inlineStr">
        <is>
          <t>2023</t>
        </is>
      </c>
      <c r="L262" t="inlineStr">
        <is>
          <t>6.5-7.0</t>
        </is>
      </c>
      <c r="M262" t="inlineStr">
        <is>
          <t>8-10</t>
        </is>
      </c>
      <c r="N262" t="inlineStr">
        <is>
          <t>14.5-17.0</t>
        </is>
      </c>
      <c r="O262" s="7" t="inlineStr">
        <is>
          <t>Emirates Intl School</t>
        </is>
      </c>
      <c r="P262" s="7" t="inlineStr">
        <is>
          <t>Saudi German Hospital</t>
        </is>
      </c>
      <c r="Q262" s="7" t="inlineStr">
        <is>
          <t>Dubai Marina Mall</t>
        </is>
      </c>
      <c r="R262" s="7" t="inlineStr">
        <is>
          <t>Sheikh Zayed E11</t>
        </is>
      </c>
      <c r="S262" t="inlineStr">
        <is>
          <t>20</t>
        </is>
      </c>
      <c r="T262" t="inlineStr">
        <is>
          <t>5</t>
        </is>
      </c>
      <c r="U262" t="inlineStr">
        <is>
          <t>25</t>
        </is>
      </c>
      <c r="V262" t="inlineStr">
        <is>
          <t>30</t>
        </is>
      </c>
      <c r="W262" t="n">
        <v>2</v>
      </c>
      <c r="X262" s="12" t="n">
        <v>1800000</v>
      </c>
      <c r="Y262" s="12" t="n">
        <v>1800000</v>
      </c>
      <c r="Z262" s="9" t="n">
        <v>6.5</v>
      </c>
      <c r="AA262" s="9" t="n">
        <v>7</v>
      </c>
      <c r="AB262" s="9" t="n">
        <v>8</v>
      </c>
      <c r="AC262" s="9" t="n">
        <v>10</v>
      </c>
      <c r="AD262" s="9" t="n">
        <v>14.5</v>
      </c>
      <c r="AE262" s="9" t="n">
        <v>17</v>
      </c>
      <c r="AF262" t="n">
        <v>2023</v>
      </c>
      <c r="AH262" t="inlineStr">
        <is>
          <t>Apartment</t>
        </is>
      </c>
      <c r="AI262" t="inlineStr">
        <is>
          <t>MainstreamSelective</t>
        </is>
      </c>
      <c r="AJ262" t="inlineStr">
        <is>
          <t>TopTier</t>
        </is>
      </c>
      <c r="AK262" t="inlineStr">
        <is>
          <t>Balanced / selective</t>
        </is>
      </c>
      <c r="AL262" s="7" t="inlineStr">
        <is>
          <t>Market remains active but increasingly differentiated by developer, micro-location, livability, and pricing discipline.</t>
        </is>
      </c>
      <c r="AM262" s="9" t="n">
        <v>9</v>
      </c>
      <c r="AN262" s="9" t="n">
        <v>6.75</v>
      </c>
      <c r="AO262" s="10" t="n">
        <v>0.55</v>
      </c>
      <c r="AP262" s="13" t="n">
        <v>0</v>
      </c>
      <c r="AQ262" s="13" t="n">
        <v>0</v>
      </c>
      <c r="AR262" s="13" t="n">
        <v>0</v>
      </c>
      <c r="AS262" s="13" t="n">
        <v>0.01</v>
      </c>
      <c r="AT262" s="13" t="n">
        <v>0.005</v>
      </c>
      <c r="AU262" s="13" t="n">
        <v>0.0025</v>
      </c>
      <c r="AV262" s="13" t="n">
        <v>-0.005</v>
      </c>
      <c r="AW262" s="13">
        <f>IF(X262="","",(AM262/100*AO262)+AP262+AQ262+AR262)</f>
        <v/>
      </c>
      <c r="AX262" s="13">
        <f>IF(X262="","",AS262+AT262+AU262+AV262)</f>
        <v/>
      </c>
      <c r="AY262" s="12">
        <f>IF(AZ262="","",ROUND(AZ262*(1+Assumptions!$B$10),0))</f>
        <v/>
      </c>
      <c r="AZ262" s="12">
        <f>IF(X262="","",ROUND(X262*(1+AW262),0))</f>
        <v/>
      </c>
      <c r="BA262" s="12">
        <f>IF(AZ262="","",ROUND(AZ262*(1+Assumptions!$B$11),0))</f>
        <v/>
      </c>
      <c r="BB262" s="12">
        <f>IF(AZ262="","",ROUND(AZ262*(1+AX262+Assumptions!$B$10),0))</f>
        <v/>
      </c>
      <c r="BC262" s="12">
        <f>IF(AZ262="","",ROUND(AZ262*(1+AX262),0))</f>
        <v/>
      </c>
      <c r="BD262" s="12">
        <f>IF(AZ262="","",ROUND(AZ262*(1+AX262+Assumptions!$B$11),0))</f>
        <v/>
      </c>
      <c r="BE262" s="12">
        <f>IF(AZ262="","",ROUND(AZ262*(1+AX262)*(1+AX262),0))</f>
        <v/>
      </c>
      <c r="BF262" s="7" t="inlineStr">
        <is>
          <t>Rules-based enrichment using launch-price anchor, cap-app realization, and 2026 segment conditions.</t>
        </is>
      </c>
      <c r="BG262" t="inlineStr">
        <is>
          <t>2026-03-17</t>
        </is>
      </c>
      <c r="BH262" s="7" t="inlineStr">
        <is>
          <t>DLD / Digital Dubai / CBUAE / Savills / Knight Frank-Moody’s / Reuters</t>
        </is>
      </c>
    </row>
    <row r="263">
      <c r="A263" t="n">
        <v>262</v>
      </c>
      <c r="B263" s="7" t="inlineStr">
        <is>
          <t>Upper House</t>
        </is>
      </c>
      <c r="C263" t="inlineStr">
        <is>
          <t>Ellington Properties</t>
        </is>
      </c>
      <c r="D263" t="inlineStr">
        <is>
          <t>JLT</t>
        </is>
      </c>
      <c r="E263" t="inlineStr">
        <is>
          <t>Apartments</t>
        </is>
      </c>
      <c r="F263" s="7" t="inlineStr">
        <is>
          <t>High-Rise / View</t>
        </is>
      </c>
      <c r="G263" t="inlineStr">
        <is>
          <t>1.6M</t>
        </is>
      </c>
      <c r="H263" t="inlineStr">
        <is>
          <t>1900</t>
        </is>
      </c>
      <c r="I263" t="inlineStr">
        <is>
          <t>20</t>
        </is>
      </c>
      <c r="J263" t="inlineStr">
        <is>
          <t>70/30</t>
        </is>
      </c>
      <c r="K263" t="inlineStr">
        <is>
          <t>2023</t>
        </is>
      </c>
      <c r="L263" t="inlineStr">
        <is>
          <t>6.5-7.0</t>
        </is>
      </c>
      <c r="M263" t="inlineStr">
        <is>
          <t>8-10</t>
        </is>
      </c>
      <c r="N263" t="inlineStr">
        <is>
          <t>14.5-17.0</t>
        </is>
      </c>
      <c r="O263" s="7" t="inlineStr">
        <is>
          <t>Emirates Intl School</t>
        </is>
      </c>
      <c r="P263" s="7" t="inlineStr">
        <is>
          <t>Saudi German Hospital</t>
        </is>
      </c>
      <c r="Q263" s="7" t="inlineStr">
        <is>
          <t>Dubai Marina Mall</t>
        </is>
      </c>
      <c r="R263" s="7" t="inlineStr">
        <is>
          <t>Sheikh Zayed E11</t>
        </is>
      </c>
      <c r="S263" t="inlineStr">
        <is>
          <t>20</t>
        </is>
      </c>
      <c r="T263" t="inlineStr">
        <is>
          <t>5</t>
        </is>
      </c>
      <c r="U263" t="inlineStr">
        <is>
          <t>25</t>
        </is>
      </c>
      <c r="V263" t="inlineStr">
        <is>
          <t>30</t>
        </is>
      </c>
      <c r="W263" t="n">
        <v>2</v>
      </c>
      <c r="X263" s="12" t="n">
        <v>1600000</v>
      </c>
      <c r="Y263" s="12" t="n">
        <v>1600000</v>
      </c>
      <c r="Z263" s="9" t="n">
        <v>6.5</v>
      </c>
      <c r="AA263" s="9" t="n">
        <v>7</v>
      </c>
      <c r="AB263" s="9" t="n">
        <v>8</v>
      </c>
      <c r="AC263" s="9" t="n">
        <v>10</v>
      </c>
      <c r="AD263" s="9" t="n">
        <v>14.5</v>
      </c>
      <c r="AE263" s="9" t="n">
        <v>17</v>
      </c>
      <c r="AF263" t="n">
        <v>2023</v>
      </c>
      <c r="AH263" t="inlineStr">
        <is>
          <t>Apartment</t>
        </is>
      </c>
      <c r="AI263" t="inlineStr">
        <is>
          <t>MainstreamSelective</t>
        </is>
      </c>
      <c r="AJ263" t="inlineStr">
        <is>
          <t>TopTier</t>
        </is>
      </c>
      <c r="AK263" t="inlineStr">
        <is>
          <t>Balanced / selective</t>
        </is>
      </c>
      <c r="AL263" s="7" t="inlineStr">
        <is>
          <t>Market remains active but increasingly differentiated by developer, micro-location, livability, and pricing discipline.</t>
        </is>
      </c>
      <c r="AM263" s="9" t="n">
        <v>9</v>
      </c>
      <c r="AN263" s="9" t="n">
        <v>6.75</v>
      </c>
      <c r="AO263" s="10" t="n">
        <v>0.55</v>
      </c>
      <c r="AP263" s="13" t="n">
        <v>0</v>
      </c>
      <c r="AQ263" s="13" t="n">
        <v>0</v>
      </c>
      <c r="AR263" s="13" t="n">
        <v>0</v>
      </c>
      <c r="AS263" s="13" t="n">
        <v>0.01</v>
      </c>
      <c r="AT263" s="13" t="n">
        <v>0.005</v>
      </c>
      <c r="AU263" s="13" t="n">
        <v>0.0025</v>
      </c>
      <c r="AV263" s="13" t="n">
        <v>-0.005</v>
      </c>
      <c r="AW263" s="13">
        <f>IF(X263="","",(AM263/100*AO263)+AP263+AQ263+AR263)</f>
        <v/>
      </c>
      <c r="AX263" s="13">
        <f>IF(X263="","",AS263+AT263+AU263+AV263)</f>
        <v/>
      </c>
      <c r="AY263" s="12">
        <f>IF(AZ263="","",ROUND(AZ263*(1+Assumptions!$B$10),0))</f>
        <v/>
      </c>
      <c r="AZ263" s="12">
        <f>IF(X263="","",ROUND(X263*(1+AW263),0))</f>
        <v/>
      </c>
      <c r="BA263" s="12">
        <f>IF(AZ263="","",ROUND(AZ263*(1+Assumptions!$B$11),0))</f>
        <v/>
      </c>
      <c r="BB263" s="12">
        <f>IF(AZ263="","",ROUND(AZ263*(1+AX263+Assumptions!$B$10),0))</f>
        <v/>
      </c>
      <c r="BC263" s="12">
        <f>IF(AZ263="","",ROUND(AZ263*(1+AX263),0))</f>
        <v/>
      </c>
      <c r="BD263" s="12">
        <f>IF(AZ263="","",ROUND(AZ263*(1+AX263+Assumptions!$B$11),0))</f>
        <v/>
      </c>
      <c r="BE263" s="12">
        <f>IF(AZ263="","",ROUND(AZ263*(1+AX263)*(1+AX263),0))</f>
        <v/>
      </c>
      <c r="BF263" s="7" t="inlineStr">
        <is>
          <t>Rules-based enrichment using launch-price anchor, cap-app realization, and 2026 segment conditions.</t>
        </is>
      </c>
      <c r="BG263" t="inlineStr">
        <is>
          <t>2026-03-17</t>
        </is>
      </c>
      <c r="BH263" s="7" t="inlineStr">
        <is>
          <t>DLD / Digital Dubai / CBUAE / Savills / Knight Frank-Moody’s / Reuters</t>
        </is>
      </c>
    </row>
    <row r="264">
      <c r="A264" t="n">
        <v>263</v>
      </c>
      <c r="B264" s="7" t="inlineStr">
        <is>
          <t>Ocean House</t>
        </is>
      </c>
      <c r="C264" t="inlineStr">
        <is>
          <t>Ellington Properties</t>
        </is>
      </c>
      <c r="D264" t="inlineStr">
        <is>
          <t>Palm Jumeirah</t>
        </is>
      </c>
      <c r="E264" t="inlineStr">
        <is>
          <t>Apartments</t>
        </is>
      </c>
      <c r="F264" s="7" t="inlineStr">
        <is>
          <t>Luxury / Beach</t>
        </is>
      </c>
      <c r="G264" t="inlineStr">
        <is>
          <t>8.0M+</t>
        </is>
      </c>
      <c r="H264" t="inlineStr">
        <is>
          <t>4000</t>
        </is>
      </c>
      <c r="I264" t="inlineStr">
        <is>
          <t>30</t>
        </is>
      </c>
      <c r="J264" t="inlineStr">
        <is>
          <t>60/40</t>
        </is>
      </c>
      <c r="K264" t="inlineStr">
        <is>
          <t>2022</t>
        </is>
      </c>
      <c r="L264" t="inlineStr">
        <is>
          <t>4.5-5.0</t>
        </is>
      </c>
      <c r="M264" t="inlineStr">
        <is>
          <t>8-12</t>
        </is>
      </c>
      <c r="N264" t="inlineStr">
        <is>
          <t>12.5-17.0</t>
        </is>
      </c>
      <c r="O264" s="7" t="inlineStr">
        <is>
          <t>Chevalier College</t>
        </is>
      </c>
      <c r="P264" s="7" t="inlineStr">
        <is>
          <t>Emirates Hospital</t>
        </is>
      </c>
      <c r="Q264" s="7" t="inlineStr">
        <is>
          <t>Nakheel Mall</t>
        </is>
      </c>
      <c r="R264" s="7" t="inlineStr">
        <is>
          <t>Sheikh Zayed E11</t>
        </is>
      </c>
      <c r="S264" t="inlineStr">
        <is>
          <t>20</t>
        </is>
      </c>
      <c r="T264" t="inlineStr">
        <is>
          <t>10</t>
        </is>
      </c>
      <c r="U264" t="inlineStr">
        <is>
          <t>25</t>
        </is>
      </c>
      <c r="V264" t="inlineStr">
        <is>
          <t>35</t>
        </is>
      </c>
      <c r="W264" t="n">
        <v>2</v>
      </c>
      <c r="X264" s="12" t="n">
        <v>8000000</v>
      </c>
      <c r="Y264" s="12" t="n">
        <v>8000000</v>
      </c>
      <c r="Z264" s="9" t="n">
        <v>4.5</v>
      </c>
      <c r="AA264" s="9" t="n">
        <v>5</v>
      </c>
      <c r="AB264" s="9" t="n">
        <v>8</v>
      </c>
      <c r="AC264" s="9" t="n">
        <v>12</v>
      </c>
      <c r="AD264" s="9" t="n">
        <v>12.5</v>
      </c>
      <c r="AE264" s="9" t="n">
        <v>17</v>
      </c>
      <c r="AF264" t="n">
        <v>2022</v>
      </c>
      <c r="AH264" t="inlineStr">
        <is>
          <t>Apartment</t>
        </is>
      </c>
      <c r="AI264" t="inlineStr">
        <is>
          <t>Prime</t>
        </is>
      </c>
      <c r="AJ264" t="inlineStr">
        <is>
          <t>TopTier</t>
        </is>
      </c>
      <c r="AK264" t="inlineStr">
        <is>
          <t>Prime resilient / selective</t>
        </is>
      </c>
      <c r="AL264" s="7" t="inlineStr">
        <is>
          <t>Better support from quality, branding, and scarcer prime stock; still entry-price sensitive.</t>
        </is>
      </c>
      <c r="AM264" s="9" t="n">
        <v>10</v>
      </c>
      <c r="AN264" s="9" t="n">
        <v>4.75</v>
      </c>
      <c r="AO264" s="10" t="n">
        <v>0.55</v>
      </c>
      <c r="AP264" s="13" t="n">
        <v>0.02</v>
      </c>
      <c r="AQ264" s="13" t="n">
        <v>0</v>
      </c>
      <c r="AR264" s="13" t="n">
        <v>0</v>
      </c>
      <c r="AS264" s="13" t="n">
        <v>0.03</v>
      </c>
      <c r="AT264" s="13" t="n">
        <v>0.005</v>
      </c>
      <c r="AU264" s="13" t="n">
        <v>0</v>
      </c>
      <c r="AV264" s="13" t="n">
        <v>-0.005</v>
      </c>
      <c r="AW264" s="13">
        <f>IF(X264="","",(AM264/100*AO264)+AP264+AQ264+AR264)</f>
        <v/>
      </c>
      <c r="AX264" s="13">
        <f>IF(X264="","",AS264+AT264+AU264+AV264)</f>
        <v/>
      </c>
      <c r="AY264" s="12">
        <f>IF(AZ264="","",ROUND(AZ264*(1+Assumptions!$B$10),0))</f>
        <v/>
      </c>
      <c r="AZ264" s="12">
        <f>IF(X264="","",ROUND(X264*(1+AW264),0))</f>
        <v/>
      </c>
      <c r="BA264" s="12">
        <f>IF(AZ264="","",ROUND(AZ264*(1+Assumptions!$B$11),0))</f>
        <v/>
      </c>
      <c r="BB264" s="12">
        <f>IF(AZ264="","",ROUND(AZ264*(1+AX264+Assumptions!$B$10),0))</f>
        <v/>
      </c>
      <c r="BC264" s="12">
        <f>IF(AZ264="","",ROUND(AZ264*(1+AX264),0))</f>
        <v/>
      </c>
      <c r="BD264" s="12">
        <f>IF(AZ264="","",ROUND(AZ264*(1+AX264+Assumptions!$B$11),0))</f>
        <v/>
      </c>
      <c r="BE264" s="12">
        <f>IF(AZ264="","",ROUND(AZ264*(1+AX264)*(1+AX264),0))</f>
        <v/>
      </c>
      <c r="BF264" s="7" t="inlineStr">
        <is>
          <t>Rules-based enrichment using launch-price anchor, cap-app realization, and 2026 segment conditions.</t>
        </is>
      </c>
      <c r="BG264" t="inlineStr">
        <is>
          <t>2026-03-17</t>
        </is>
      </c>
      <c r="BH264" s="7" t="inlineStr">
        <is>
          <t>DLD / Digital Dubai / CBUAE / Savills / Knight Frank-Moody’s / Reuters</t>
        </is>
      </c>
    </row>
    <row r="265">
      <c r="A265" t="n">
        <v>264</v>
      </c>
      <c r="B265" s="7" t="inlineStr">
        <is>
          <t>Ellington Beach House</t>
        </is>
      </c>
      <c r="C265" t="inlineStr">
        <is>
          <t>Ellington Properties</t>
        </is>
      </c>
      <c r="D265" t="inlineStr">
        <is>
          <t>Palm Jumeirah</t>
        </is>
      </c>
      <c r="E265" t="inlineStr">
        <is>
          <t>Apartments</t>
        </is>
      </c>
      <c r="F265" s="7" t="inlineStr">
        <is>
          <t>Luxury / Beach</t>
        </is>
      </c>
      <c r="G265" t="inlineStr">
        <is>
          <t>7.5M+</t>
        </is>
      </c>
      <c r="H265" t="inlineStr">
        <is>
          <t>3800</t>
        </is>
      </c>
      <c r="I265" t="inlineStr">
        <is>
          <t>30</t>
        </is>
      </c>
      <c r="J265" t="inlineStr">
        <is>
          <t>60/40</t>
        </is>
      </c>
      <c r="K265" t="inlineStr">
        <is>
          <t>2022</t>
        </is>
      </c>
      <c r="L265" t="inlineStr">
        <is>
          <t>4.5-5.0</t>
        </is>
      </c>
      <c r="M265" t="inlineStr">
        <is>
          <t>8-12</t>
        </is>
      </c>
      <c r="N265" t="inlineStr">
        <is>
          <t>12.5-17.0</t>
        </is>
      </c>
      <c r="O265" s="7" t="inlineStr">
        <is>
          <t>Chevalier College</t>
        </is>
      </c>
      <c r="P265" s="7" t="inlineStr">
        <is>
          <t>Emirates Hospital</t>
        </is>
      </c>
      <c r="Q265" s="7" t="inlineStr">
        <is>
          <t>Nakheel Mall</t>
        </is>
      </c>
      <c r="R265" s="7" t="inlineStr">
        <is>
          <t>Sheikh Zayed E11</t>
        </is>
      </c>
      <c r="S265" t="inlineStr">
        <is>
          <t>20</t>
        </is>
      </c>
      <c r="T265" t="inlineStr">
        <is>
          <t>10</t>
        </is>
      </c>
      <c r="U265" t="inlineStr">
        <is>
          <t>25</t>
        </is>
      </c>
      <c r="V265" t="inlineStr">
        <is>
          <t>35</t>
        </is>
      </c>
      <c r="W265" t="n">
        <v>2</v>
      </c>
      <c r="X265" s="12" t="n">
        <v>7500000</v>
      </c>
      <c r="Y265" s="12" t="n">
        <v>7500000</v>
      </c>
      <c r="Z265" s="9" t="n">
        <v>4.5</v>
      </c>
      <c r="AA265" s="9" t="n">
        <v>5</v>
      </c>
      <c r="AB265" s="9" t="n">
        <v>8</v>
      </c>
      <c r="AC265" s="9" t="n">
        <v>12</v>
      </c>
      <c r="AD265" s="9" t="n">
        <v>12.5</v>
      </c>
      <c r="AE265" s="9" t="n">
        <v>17</v>
      </c>
      <c r="AF265" t="n">
        <v>2022</v>
      </c>
      <c r="AH265" t="inlineStr">
        <is>
          <t>Apartment</t>
        </is>
      </c>
      <c r="AI265" t="inlineStr">
        <is>
          <t>Prime</t>
        </is>
      </c>
      <c r="AJ265" t="inlineStr">
        <is>
          <t>TopTier</t>
        </is>
      </c>
      <c r="AK265" t="inlineStr">
        <is>
          <t>Prime resilient / selective</t>
        </is>
      </c>
      <c r="AL265" s="7" t="inlineStr">
        <is>
          <t>Better support from quality, branding, and scarcer prime stock; still entry-price sensitive.</t>
        </is>
      </c>
      <c r="AM265" s="9" t="n">
        <v>10</v>
      </c>
      <c r="AN265" s="9" t="n">
        <v>4.75</v>
      </c>
      <c r="AO265" s="10" t="n">
        <v>0.55</v>
      </c>
      <c r="AP265" s="13" t="n">
        <v>0.02</v>
      </c>
      <c r="AQ265" s="13" t="n">
        <v>0</v>
      </c>
      <c r="AR265" s="13" t="n">
        <v>0</v>
      </c>
      <c r="AS265" s="13" t="n">
        <v>0.03</v>
      </c>
      <c r="AT265" s="13" t="n">
        <v>0.005</v>
      </c>
      <c r="AU265" s="13" t="n">
        <v>0</v>
      </c>
      <c r="AV265" s="13" t="n">
        <v>-0.005</v>
      </c>
      <c r="AW265" s="13">
        <f>IF(X265="","",(AM265/100*AO265)+AP265+AQ265+AR265)</f>
        <v/>
      </c>
      <c r="AX265" s="13">
        <f>IF(X265="","",AS265+AT265+AU265+AV265)</f>
        <v/>
      </c>
      <c r="AY265" s="12">
        <f>IF(AZ265="","",ROUND(AZ265*(1+Assumptions!$B$10),0))</f>
        <v/>
      </c>
      <c r="AZ265" s="12">
        <f>IF(X265="","",ROUND(X265*(1+AW265),0))</f>
        <v/>
      </c>
      <c r="BA265" s="12">
        <f>IF(AZ265="","",ROUND(AZ265*(1+Assumptions!$B$11),0))</f>
        <v/>
      </c>
      <c r="BB265" s="12">
        <f>IF(AZ265="","",ROUND(AZ265*(1+AX265+Assumptions!$B$10),0))</f>
        <v/>
      </c>
      <c r="BC265" s="12">
        <f>IF(AZ265="","",ROUND(AZ265*(1+AX265),0))</f>
        <v/>
      </c>
      <c r="BD265" s="12">
        <f>IF(AZ265="","",ROUND(AZ265*(1+AX265+Assumptions!$B$11),0))</f>
        <v/>
      </c>
      <c r="BE265" s="12">
        <f>IF(AZ265="","",ROUND(AZ265*(1+AX265)*(1+AX265),0))</f>
        <v/>
      </c>
      <c r="BF265" s="7" t="inlineStr">
        <is>
          <t>Rules-based enrichment using launch-price anchor, cap-app realization, and 2026 segment conditions.</t>
        </is>
      </c>
      <c r="BG265" t="inlineStr">
        <is>
          <t>2026-03-17</t>
        </is>
      </c>
      <c r="BH265" s="7" t="inlineStr">
        <is>
          <t>DLD / Digital Dubai / CBUAE / Savills / Knight Frank-Moody’s / Reuters</t>
        </is>
      </c>
    </row>
    <row r="266">
      <c r="A266" t="n">
        <v>265</v>
      </c>
      <c r="B266" s="7" t="inlineStr">
        <is>
          <t>The Sloane</t>
        </is>
      </c>
      <c r="C266" t="inlineStr">
        <is>
          <t>Ellington Properties</t>
        </is>
      </c>
      <c r="D266" t="inlineStr">
        <is>
          <t>JVC</t>
        </is>
      </c>
      <c r="E266" t="inlineStr">
        <is>
          <t>Apartments</t>
        </is>
      </c>
      <c r="F266" s="7" t="inlineStr">
        <is>
          <t>Boutique / Design</t>
        </is>
      </c>
      <c r="G266" t="inlineStr">
        <is>
          <t>Resale (1.2M+)</t>
        </is>
      </c>
      <c r="H266" t="inlineStr">
        <is>
          <t>1400</t>
        </is>
      </c>
      <c r="I266" t="inlineStr">
        <is>
          <t>15</t>
        </is>
      </c>
      <c r="J266" t="inlineStr">
        <is>
          <t>Completed</t>
        </is>
      </c>
      <c r="K266" t="inlineStr">
        <is>
          <t>2022</t>
        </is>
      </c>
      <c r="L266" t="inlineStr">
        <is>
          <t>7.0-7.5</t>
        </is>
      </c>
      <c r="M266" t="inlineStr">
        <is>
          <t>6-8</t>
        </is>
      </c>
      <c r="N266" t="inlineStr">
        <is>
          <t>13.0-15.5</t>
        </is>
      </c>
      <c r="O266" s="7" t="inlineStr">
        <is>
          <t>JSS International</t>
        </is>
      </c>
      <c r="P266" s="7" t="inlineStr">
        <is>
          <t>Saudi German Hospital</t>
        </is>
      </c>
      <c r="Q266" s="7" t="inlineStr">
        <is>
          <t>Circle Mall</t>
        </is>
      </c>
      <c r="R266" s="7" t="inlineStr">
        <is>
          <t>Hessa St / E44</t>
        </is>
      </c>
      <c r="S266" t="inlineStr">
        <is>
          <t>20</t>
        </is>
      </c>
      <c r="T266" t="inlineStr">
        <is>
          <t>15</t>
        </is>
      </c>
      <c r="U266" t="inlineStr">
        <is>
          <t>25</t>
        </is>
      </c>
      <c r="V266" t="inlineStr">
        <is>
          <t>30</t>
        </is>
      </c>
      <c r="W266" t="n">
        <v>2</v>
      </c>
      <c r="X266" s="12" t="n">
        <v>1200000</v>
      </c>
      <c r="Y266" s="12" t="n">
        <v>1200000</v>
      </c>
      <c r="Z266" s="9" t="n">
        <v>7</v>
      </c>
      <c r="AA266" s="9" t="n">
        <v>7.5</v>
      </c>
      <c r="AB266" s="9" t="n">
        <v>6</v>
      </c>
      <c r="AC266" s="9" t="n">
        <v>8</v>
      </c>
      <c r="AD266" s="9" t="n">
        <v>13</v>
      </c>
      <c r="AE266" s="9" t="n">
        <v>15.5</v>
      </c>
      <c r="AF266" t="n">
        <v>2022</v>
      </c>
      <c r="AH266" t="inlineStr">
        <is>
          <t>Apartment</t>
        </is>
      </c>
      <c r="AI266" t="inlineStr">
        <is>
          <t>SupplySensitiveApartment</t>
        </is>
      </c>
      <c r="AJ266" t="inlineStr">
        <is>
          <t>TopTier</t>
        </is>
      </c>
      <c r="AK266" t="inlineStr">
        <is>
          <t>Supply-sensitive / selective</t>
        </is>
      </c>
      <c r="AL266" s="7" t="inlineStr">
        <is>
          <t>Higher delivery risk in more price-sensitive apartment clusters; building selection and exit liquidity matter.</t>
        </is>
      </c>
      <c r="AM266" s="9" t="n">
        <v>7</v>
      </c>
      <c r="AN266" s="9" t="n">
        <v>7.25</v>
      </c>
      <c r="AO266" s="10" t="n">
        <v>0.55</v>
      </c>
      <c r="AP266" s="13" t="n">
        <v>0</v>
      </c>
      <c r="AQ266" s="13" t="n">
        <v>0</v>
      </c>
      <c r="AR266" s="13" t="n">
        <v>-0.01</v>
      </c>
      <c r="AS266" s="13" t="n">
        <v>-0.01</v>
      </c>
      <c r="AT266" s="13" t="n">
        <v>0.005</v>
      </c>
      <c r="AU266" s="13" t="n">
        <v>0.0025</v>
      </c>
      <c r="AV266" s="13" t="n">
        <v>-0.005</v>
      </c>
      <c r="AW266" s="13">
        <f>IF(X266="","",(AM266/100*AO266)+AP266+AQ266+AR266)</f>
        <v/>
      </c>
      <c r="AX266" s="13">
        <f>IF(X266="","",AS266+AT266+AU266+AV266)</f>
        <v/>
      </c>
      <c r="AY266" s="12">
        <f>IF(AZ266="","",ROUND(AZ266*(1+Assumptions!$B$10),0))</f>
        <v/>
      </c>
      <c r="AZ266" s="12">
        <f>IF(X266="","",ROUND(X266*(1+AW266),0))</f>
        <v/>
      </c>
      <c r="BA266" s="12">
        <f>IF(AZ266="","",ROUND(AZ266*(1+Assumptions!$B$11),0))</f>
        <v/>
      </c>
      <c r="BB266" s="12">
        <f>IF(AZ266="","",ROUND(AZ266*(1+AX266+Assumptions!$B$10),0))</f>
        <v/>
      </c>
      <c r="BC266" s="12">
        <f>IF(AZ266="","",ROUND(AZ266*(1+AX266),0))</f>
        <v/>
      </c>
      <c r="BD266" s="12">
        <f>IF(AZ266="","",ROUND(AZ266*(1+AX266+Assumptions!$B$11),0))</f>
        <v/>
      </c>
      <c r="BE266" s="12">
        <f>IF(AZ266="","",ROUND(AZ266*(1+AX266)*(1+AX266),0))</f>
        <v/>
      </c>
      <c r="BF266" s="7" t="inlineStr">
        <is>
          <t>Rules-based enrichment using launch-price anchor, cap-app realization, and 2026 segment conditions.</t>
        </is>
      </c>
      <c r="BG266" t="inlineStr">
        <is>
          <t>2026-03-17</t>
        </is>
      </c>
      <c r="BH266" s="7" t="inlineStr">
        <is>
          <t>DLD / Digital Dubai / CBUAE / Savills / Knight Frank-Moody’s / Reuters</t>
        </is>
      </c>
    </row>
    <row r="267">
      <c r="A267" t="n">
        <v>266</v>
      </c>
      <c r="B267" s="7" t="inlineStr">
        <is>
          <t>Belgravia 1</t>
        </is>
      </c>
      <c r="C267" t="inlineStr">
        <is>
          <t>Ellington Properties</t>
        </is>
      </c>
      <c r="D267" t="inlineStr">
        <is>
          <t>JVC</t>
        </is>
      </c>
      <c r="E267" t="inlineStr">
        <is>
          <t>Apartments</t>
        </is>
      </c>
      <c r="F267" s="7" t="inlineStr">
        <is>
          <t>Boutique / Family</t>
        </is>
      </c>
      <c r="G267" t="inlineStr">
        <is>
          <t>Resale (1.1M+)</t>
        </is>
      </c>
      <c r="H267" t="inlineStr">
        <is>
          <t>1300</t>
        </is>
      </c>
      <c r="I267" t="inlineStr">
        <is>
          <t>15</t>
        </is>
      </c>
      <c r="J267" t="inlineStr">
        <is>
          <t>Completed</t>
        </is>
      </c>
      <c r="K267" t="inlineStr">
        <is>
          <t>2016</t>
        </is>
      </c>
      <c r="L267" t="inlineStr">
        <is>
          <t>7.5-8.0</t>
        </is>
      </c>
      <c r="M267" t="inlineStr">
        <is>
          <t>5-7</t>
        </is>
      </c>
      <c r="N267" t="inlineStr">
        <is>
          <t>12.5-15.0</t>
        </is>
      </c>
      <c r="O267" s="7" t="inlineStr">
        <is>
          <t>JSS International</t>
        </is>
      </c>
      <c r="P267" s="7" t="inlineStr">
        <is>
          <t>Saudi German Hospital</t>
        </is>
      </c>
      <c r="Q267" s="7" t="inlineStr">
        <is>
          <t>Circle Mall</t>
        </is>
      </c>
      <c r="R267" s="7" t="inlineStr">
        <is>
          <t>Hessa St / E44</t>
        </is>
      </c>
      <c r="S267" t="inlineStr">
        <is>
          <t>20</t>
        </is>
      </c>
      <c r="T267" t="inlineStr">
        <is>
          <t>15</t>
        </is>
      </c>
      <c r="U267" t="inlineStr">
        <is>
          <t>25</t>
        </is>
      </c>
      <c r="V267" t="inlineStr">
        <is>
          <t>30</t>
        </is>
      </c>
      <c r="W267" t="n">
        <v>2</v>
      </c>
      <c r="X267" s="12" t="n">
        <v>1100000</v>
      </c>
      <c r="Y267" s="12" t="n">
        <v>1100000</v>
      </c>
      <c r="Z267" s="9" t="n">
        <v>7.5</v>
      </c>
      <c r="AA267" s="9" t="n">
        <v>8</v>
      </c>
      <c r="AB267" s="9" t="n">
        <v>5</v>
      </c>
      <c r="AC267" s="9" t="n">
        <v>7</v>
      </c>
      <c r="AD267" s="9" t="n">
        <v>12.5</v>
      </c>
      <c r="AE267" s="9" t="n">
        <v>15</v>
      </c>
      <c r="AF267" t="n">
        <v>2016</v>
      </c>
      <c r="AH267" t="inlineStr">
        <is>
          <t>Apartment</t>
        </is>
      </c>
      <c r="AI267" t="inlineStr">
        <is>
          <t>SupplySensitiveApartment</t>
        </is>
      </c>
      <c r="AJ267" t="inlineStr">
        <is>
          <t>TopTier</t>
        </is>
      </c>
      <c r="AK267" t="inlineStr">
        <is>
          <t>Supply-sensitive / selective</t>
        </is>
      </c>
      <c r="AL267" s="7" t="inlineStr">
        <is>
          <t>Higher delivery risk in more price-sensitive apartment clusters; building selection and exit liquidity matter.</t>
        </is>
      </c>
      <c r="AM267" s="9" t="n">
        <v>6</v>
      </c>
      <c r="AN267" s="9" t="n">
        <v>7.75</v>
      </c>
      <c r="AO267" s="10" t="n">
        <v>0.55</v>
      </c>
      <c r="AP267" s="13" t="n">
        <v>0</v>
      </c>
      <c r="AQ267" s="13" t="n">
        <v>0</v>
      </c>
      <c r="AR267" s="13" t="n">
        <v>-0.01</v>
      </c>
      <c r="AS267" s="13" t="n">
        <v>-0.01</v>
      </c>
      <c r="AT267" s="13" t="n">
        <v>0.005</v>
      </c>
      <c r="AU267" s="13" t="n">
        <v>0.0025</v>
      </c>
      <c r="AV267" s="13" t="n">
        <v>-0.005</v>
      </c>
      <c r="AW267" s="13">
        <f>IF(X267="","",(AM267/100*AO267)+AP267+AQ267+AR267)</f>
        <v/>
      </c>
      <c r="AX267" s="13">
        <f>IF(X267="","",AS267+AT267+AU267+AV267)</f>
        <v/>
      </c>
      <c r="AY267" s="12">
        <f>IF(AZ267="","",ROUND(AZ267*(1+Assumptions!$B$10),0))</f>
        <v/>
      </c>
      <c r="AZ267" s="12">
        <f>IF(X267="","",ROUND(X267*(1+AW267),0))</f>
        <v/>
      </c>
      <c r="BA267" s="12">
        <f>IF(AZ267="","",ROUND(AZ267*(1+Assumptions!$B$11),0))</f>
        <v/>
      </c>
      <c r="BB267" s="12">
        <f>IF(AZ267="","",ROUND(AZ267*(1+AX267+Assumptions!$B$10),0))</f>
        <v/>
      </c>
      <c r="BC267" s="12">
        <f>IF(AZ267="","",ROUND(AZ267*(1+AX267),0))</f>
        <v/>
      </c>
      <c r="BD267" s="12">
        <f>IF(AZ267="","",ROUND(AZ267*(1+AX267+Assumptions!$B$11),0))</f>
        <v/>
      </c>
      <c r="BE267" s="12">
        <f>IF(AZ267="","",ROUND(AZ267*(1+AX267)*(1+AX267),0))</f>
        <v/>
      </c>
      <c r="BF267" s="7" t="inlineStr">
        <is>
          <t>Rules-based enrichment using launch-price anchor, cap-app realization, and 2026 segment conditions.</t>
        </is>
      </c>
      <c r="BG267" t="inlineStr">
        <is>
          <t>2026-03-17</t>
        </is>
      </c>
      <c r="BH267" s="7" t="inlineStr">
        <is>
          <t>DLD / Digital Dubai / CBUAE / Savills / Knight Frank-Moody’s / Reuters</t>
        </is>
      </c>
    </row>
    <row r="268">
      <c r="A268" t="n">
        <v>267</v>
      </c>
      <c r="B268" s="7" t="inlineStr">
        <is>
          <t>Belgravia 2</t>
        </is>
      </c>
      <c r="C268" t="inlineStr">
        <is>
          <t>Ellington Properties</t>
        </is>
      </c>
      <c r="D268" t="inlineStr">
        <is>
          <t>JVC</t>
        </is>
      </c>
      <c r="E268" t="inlineStr">
        <is>
          <t>Apartments</t>
        </is>
      </c>
      <c r="F268" s="7" t="inlineStr">
        <is>
          <t>Boutique / Family</t>
        </is>
      </c>
      <c r="G268" t="inlineStr">
        <is>
          <t>Resale (1.1M+)</t>
        </is>
      </c>
      <c r="H268" t="inlineStr">
        <is>
          <t>1300</t>
        </is>
      </c>
      <c r="I268" t="inlineStr">
        <is>
          <t>15</t>
        </is>
      </c>
      <c r="J268" t="inlineStr">
        <is>
          <t>Completed</t>
        </is>
      </c>
      <c r="K268" t="inlineStr">
        <is>
          <t>2018</t>
        </is>
      </c>
      <c r="L268" t="inlineStr">
        <is>
          <t>7.5-8.0</t>
        </is>
      </c>
      <c r="M268" t="inlineStr">
        <is>
          <t>5-7</t>
        </is>
      </c>
      <c r="N268" t="inlineStr">
        <is>
          <t>12.5-15.0</t>
        </is>
      </c>
      <c r="O268" s="7" t="inlineStr">
        <is>
          <t>JSS International</t>
        </is>
      </c>
      <c r="P268" s="7" t="inlineStr">
        <is>
          <t>Saudi German Hospital</t>
        </is>
      </c>
      <c r="Q268" s="7" t="inlineStr">
        <is>
          <t>Circle Mall</t>
        </is>
      </c>
      <c r="R268" s="7" t="inlineStr">
        <is>
          <t>Hessa St / E44</t>
        </is>
      </c>
      <c r="S268" t="inlineStr">
        <is>
          <t>20</t>
        </is>
      </c>
      <c r="T268" t="inlineStr">
        <is>
          <t>15</t>
        </is>
      </c>
      <c r="U268" t="inlineStr">
        <is>
          <t>25</t>
        </is>
      </c>
      <c r="V268" t="inlineStr">
        <is>
          <t>30</t>
        </is>
      </c>
      <c r="W268" t="n">
        <v>2</v>
      </c>
      <c r="X268" s="12" t="n">
        <v>1100000</v>
      </c>
      <c r="Y268" s="12" t="n">
        <v>1100000</v>
      </c>
      <c r="Z268" s="9" t="n">
        <v>7.5</v>
      </c>
      <c r="AA268" s="9" t="n">
        <v>8</v>
      </c>
      <c r="AB268" s="9" t="n">
        <v>5</v>
      </c>
      <c r="AC268" s="9" t="n">
        <v>7</v>
      </c>
      <c r="AD268" s="9" t="n">
        <v>12.5</v>
      </c>
      <c r="AE268" s="9" t="n">
        <v>15</v>
      </c>
      <c r="AF268" t="n">
        <v>2018</v>
      </c>
      <c r="AH268" t="inlineStr">
        <is>
          <t>Apartment</t>
        </is>
      </c>
      <c r="AI268" t="inlineStr">
        <is>
          <t>SupplySensitiveApartment</t>
        </is>
      </c>
      <c r="AJ268" t="inlineStr">
        <is>
          <t>TopTier</t>
        </is>
      </c>
      <c r="AK268" t="inlineStr">
        <is>
          <t>Supply-sensitive / selective</t>
        </is>
      </c>
      <c r="AL268" s="7" t="inlineStr">
        <is>
          <t>Higher delivery risk in more price-sensitive apartment clusters; building selection and exit liquidity matter.</t>
        </is>
      </c>
      <c r="AM268" s="9" t="n">
        <v>6</v>
      </c>
      <c r="AN268" s="9" t="n">
        <v>7.75</v>
      </c>
      <c r="AO268" s="10" t="n">
        <v>0.55</v>
      </c>
      <c r="AP268" s="13" t="n">
        <v>0</v>
      </c>
      <c r="AQ268" s="13" t="n">
        <v>0</v>
      </c>
      <c r="AR268" s="13" t="n">
        <v>-0.01</v>
      </c>
      <c r="AS268" s="13" t="n">
        <v>-0.01</v>
      </c>
      <c r="AT268" s="13" t="n">
        <v>0.005</v>
      </c>
      <c r="AU268" s="13" t="n">
        <v>0.0025</v>
      </c>
      <c r="AV268" s="13" t="n">
        <v>-0.005</v>
      </c>
      <c r="AW268" s="13">
        <f>IF(X268="","",(AM268/100*AO268)+AP268+AQ268+AR268)</f>
        <v/>
      </c>
      <c r="AX268" s="13">
        <f>IF(X268="","",AS268+AT268+AU268+AV268)</f>
        <v/>
      </c>
      <c r="AY268" s="12">
        <f>IF(AZ268="","",ROUND(AZ268*(1+Assumptions!$B$10),0))</f>
        <v/>
      </c>
      <c r="AZ268" s="12">
        <f>IF(X268="","",ROUND(X268*(1+AW268),0))</f>
        <v/>
      </c>
      <c r="BA268" s="12">
        <f>IF(AZ268="","",ROUND(AZ268*(1+Assumptions!$B$11),0))</f>
        <v/>
      </c>
      <c r="BB268" s="12">
        <f>IF(AZ268="","",ROUND(AZ268*(1+AX268+Assumptions!$B$10),0))</f>
        <v/>
      </c>
      <c r="BC268" s="12">
        <f>IF(AZ268="","",ROUND(AZ268*(1+AX268),0))</f>
        <v/>
      </c>
      <c r="BD268" s="12">
        <f>IF(AZ268="","",ROUND(AZ268*(1+AX268+Assumptions!$B$11),0))</f>
        <v/>
      </c>
      <c r="BE268" s="12">
        <f>IF(AZ268="","",ROUND(AZ268*(1+AX268)*(1+AX268),0))</f>
        <v/>
      </c>
      <c r="BF268" s="7" t="inlineStr">
        <is>
          <t>Rules-based enrichment using launch-price anchor, cap-app realization, and 2026 segment conditions.</t>
        </is>
      </c>
      <c r="BG268" t="inlineStr">
        <is>
          <t>2026-03-17</t>
        </is>
      </c>
      <c r="BH268" s="7" t="inlineStr">
        <is>
          <t>DLD / Digital Dubai / CBUAE / Savills / Knight Frank-Moody’s / Reuters</t>
        </is>
      </c>
    </row>
    <row r="269">
      <c r="A269" t="n">
        <v>268</v>
      </c>
      <c r="B269" s="7" t="inlineStr">
        <is>
          <t>Belgravia 3</t>
        </is>
      </c>
      <c r="C269" t="inlineStr">
        <is>
          <t>Ellington Properties</t>
        </is>
      </c>
      <c r="D269" t="inlineStr">
        <is>
          <t>JVC</t>
        </is>
      </c>
      <c r="E269" t="inlineStr">
        <is>
          <t>Apartments</t>
        </is>
      </c>
      <c r="F269" s="7" t="inlineStr">
        <is>
          <t>Boutique / Family</t>
        </is>
      </c>
      <c r="G269" t="inlineStr">
        <is>
          <t>Resale (1.1M+)</t>
        </is>
      </c>
      <c r="H269" t="inlineStr">
        <is>
          <t>1300</t>
        </is>
      </c>
      <c r="I269" t="inlineStr">
        <is>
          <t>15</t>
        </is>
      </c>
      <c r="J269" t="inlineStr">
        <is>
          <t>Completed</t>
        </is>
      </c>
      <c r="K269" t="inlineStr">
        <is>
          <t>2020</t>
        </is>
      </c>
      <c r="L269" t="inlineStr">
        <is>
          <t>7.5-8.0</t>
        </is>
      </c>
      <c r="M269" t="inlineStr">
        <is>
          <t>5-7</t>
        </is>
      </c>
      <c r="N269" t="inlineStr">
        <is>
          <t>12.5-15.0</t>
        </is>
      </c>
      <c r="O269" s="7" t="inlineStr">
        <is>
          <t>JSS International</t>
        </is>
      </c>
      <c r="P269" s="7" t="inlineStr">
        <is>
          <t>Saudi German Hospital</t>
        </is>
      </c>
      <c r="Q269" s="7" t="inlineStr">
        <is>
          <t>Circle Mall</t>
        </is>
      </c>
      <c r="R269" s="7" t="inlineStr">
        <is>
          <t>Hessa St / E44</t>
        </is>
      </c>
      <c r="S269" t="inlineStr">
        <is>
          <t>20</t>
        </is>
      </c>
      <c r="T269" t="inlineStr">
        <is>
          <t>15</t>
        </is>
      </c>
      <c r="U269" t="inlineStr">
        <is>
          <t>25</t>
        </is>
      </c>
      <c r="V269" t="inlineStr">
        <is>
          <t>30</t>
        </is>
      </c>
      <c r="W269" t="n">
        <v>2</v>
      </c>
      <c r="X269" s="12" t="n">
        <v>1100000</v>
      </c>
      <c r="Y269" s="12" t="n">
        <v>1100000</v>
      </c>
      <c r="Z269" s="9" t="n">
        <v>7.5</v>
      </c>
      <c r="AA269" s="9" t="n">
        <v>8</v>
      </c>
      <c r="AB269" s="9" t="n">
        <v>5</v>
      </c>
      <c r="AC269" s="9" t="n">
        <v>7</v>
      </c>
      <c r="AD269" s="9" t="n">
        <v>12.5</v>
      </c>
      <c r="AE269" s="9" t="n">
        <v>15</v>
      </c>
      <c r="AF269" t="n">
        <v>2020</v>
      </c>
      <c r="AH269" t="inlineStr">
        <is>
          <t>Apartment</t>
        </is>
      </c>
      <c r="AI269" t="inlineStr">
        <is>
          <t>SupplySensitiveApartment</t>
        </is>
      </c>
      <c r="AJ269" t="inlineStr">
        <is>
          <t>TopTier</t>
        </is>
      </c>
      <c r="AK269" t="inlineStr">
        <is>
          <t>Supply-sensitive / selective</t>
        </is>
      </c>
      <c r="AL269" s="7" t="inlineStr">
        <is>
          <t>Higher delivery risk in more price-sensitive apartment clusters; building selection and exit liquidity matter.</t>
        </is>
      </c>
      <c r="AM269" s="9" t="n">
        <v>6</v>
      </c>
      <c r="AN269" s="9" t="n">
        <v>7.75</v>
      </c>
      <c r="AO269" s="10" t="n">
        <v>0.55</v>
      </c>
      <c r="AP269" s="13" t="n">
        <v>0</v>
      </c>
      <c r="AQ269" s="13" t="n">
        <v>0</v>
      </c>
      <c r="AR269" s="13" t="n">
        <v>-0.01</v>
      </c>
      <c r="AS269" s="13" t="n">
        <v>-0.01</v>
      </c>
      <c r="AT269" s="13" t="n">
        <v>0.005</v>
      </c>
      <c r="AU269" s="13" t="n">
        <v>0.0025</v>
      </c>
      <c r="AV269" s="13" t="n">
        <v>-0.005</v>
      </c>
      <c r="AW269" s="13">
        <f>IF(X269="","",(AM269/100*AO269)+AP269+AQ269+AR269)</f>
        <v/>
      </c>
      <c r="AX269" s="13">
        <f>IF(X269="","",AS269+AT269+AU269+AV269)</f>
        <v/>
      </c>
      <c r="AY269" s="12">
        <f>IF(AZ269="","",ROUND(AZ269*(1+Assumptions!$B$10),0))</f>
        <v/>
      </c>
      <c r="AZ269" s="12">
        <f>IF(X269="","",ROUND(X269*(1+AW269),0))</f>
        <v/>
      </c>
      <c r="BA269" s="12">
        <f>IF(AZ269="","",ROUND(AZ269*(1+Assumptions!$B$11),0))</f>
        <v/>
      </c>
      <c r="BB269" s="12">
        <f>IF(AZ269="","",ROUND(AZ269*(1+AX269+Assumptions!$B$10),0))</f>
        <v/>
      </c>
      <c r="BC269" s="12">
        <f>IF(AZ269="","",ROUND(AZ269*(1+AX269),0))</f>
        <v/>
      </c>
      <c r="BD269" s="12">
        <f>IF(AZ269="","",ROUND(AZ269*(1+AX269+Assumptions!$B$11),0))</f>
        <v/>
      </c>
      <c r="BE269" s="12">
        <f>IF(AZ269="","",ROUND(AZ269*(1+AX269)*(1+AX269),0))</f>
        <v/>
      </c>
      <c r="BF269" s="7" t="inlineStr">
        <is>
          <t>Rules-based enrichment using launch-price anchor, cap-app realization, and 2026 segment conditions.</t>
        </is>
      </c>
      <c r="BG269" t="inlineStr">
        <is>
          <t>2026-03-17</t>
        </is>
      </c>
      <c r="BH269" s="7" t="inlineStr">
        <is>
          <t>DLD / Digital Dubai / CBUAE / Savills / Knight Frank-Moody’s / Reuters</t>
        </is>
      </c>
    </row>
    <row r="270">
      <c r="A270" t="n">
        <v>269</v>
      </c>
      <c r="B270" s="7" t="inlineStr">
        <is>
          <t>Belgravia Square</t>
        </is>
      </c>
      <c r="C270" t="inlineStr">
        <is>
          <t>Ellington Properties</t>
        </is>
      </c>
      <c r="D270" t="inlineStr">
        <is>
          <t>JVC</t>
        </is>
      </c>
      <c r="E270" t="inlineStr">
        <is>
          <t>Apartments</t>
        </is>
      </c>
      <c r="F270" s="7" t="inlineStr">
        <is>
          <t>Boutique / Design</t>
        </is>
      </c>
      <c r="G270" t="inlineStr">
        <is>
          <t>Resale (1.2M+)</t>
        </is>
      </c>
      <c r="H270" t="inlineStr">
        <is>
          <t>1350</t>
        </is>
      </c>
      <c r="I270" t="inlineStr">
        <is>
          <t>15</t>
        </is>
      </c>
      <c r="J270" t="inlineStr">
        <is>
          <t>Completed</t>
        </is>
      </c>
      <c r="K270" t="inlineStr">
        <is>
          <t>2021</t>
        </is>
      </c>
      <c r="L270" t="inlineStr">
        <is>
          <t>7.5-8.0</t>
        </is>
      </c>
      <c r="M270" t="inlineStr">
        <is>
          <t>5-7</t>
        </is>
      </c>
      <c r="N270" t="inlineStr">
        <is>
          <t>12.5-15.0</t>
        </is>
      </c>
      <c r="O270" s="7" t="inlineStr">
        <is>
          <t>JSS International</t>
        </is>
      </c>
      <c r="P270" s="7" t="inlineStr">
        <is>
          <t>Saudi German Hospital</t>
        </is>
      </c>
      <c r="Q270" s="7" t="inlineStr">
        <is>
          <t>Circle Mall</t>
        </is>
      </c>
      <c r="R270" s="7" t="inlineStr">
        <is>
          <t>Hessa St / E44</t>
        </is>
      </c>
      <c r="S270" t="inlineStr">
        <is>
          <t>20</t>
        </is>
      </c>
      <c r="T270" t="inlineStr">
        <is>
          <t>15</t>
        </is>
      </c>
      <c r="U270" t="inlineStr">
        <is>
          <t>25</t>
        </is>
      </c>
      <c r="V270" t="inlineStr">
        <is>
          <t>30</t>
        </is>
      </c>
      <c r="W270" t="n">
        <v>2</v>
      </c>
      <c r="X270" s="12" t="n">
        <v>1200000</v>
      </c>
      <c r="Y270" s="12" t="n">
        <v>1200000</v>
      </c>
      <c r="Z270" s="9" t="n">
        <v>7.5</v>
      </c>
      <c r="AA270" s="9" t="n">
        <v>8</v>
      </c>
      <c r="AB270" s="9" t="n">
        <v>5</v>
      </c>
      <c r="AC270" s="9" t="n">
        <v>7</v>
      </c>
      <c r="AD270" s="9" t="n">
        <v>12.5</v>
      </c>
      <c r="AE270" s="9" t="n">
        <v>15</v>
      </c>
      <c r="AF270" t="n">
        <v>2021</v>
      </c>
      <c r="AH270" t="inlineStr">
        <is>
          <t>Apartment</t>
        </is>
      </c>
      <c r="AI270" t="inlineStr">
        <is>
          <t>SupplySensitiveApartment</t>
        </is>
      </c>
      <c r="AJ270" t="inlineStr">
        <is>
          <t>TopTier</t>
        </is>
      </c>
      <c r="AK270" t="inlineStr">
        <is>
          <t>Supply-sensitive / selective</t>
        </is>
      </c>
      <c r="AL270" s="7" t="inlineStr">
        <is>
          <t>Higher delivery risk in more price-sensitive apartment clusters; building selection and exit liquidity matter.</t>
        </is>
      </c>
      <c r="AM270" s="9" t="n">
        <v>6</v>
      </c>
      <c r="AN270" s="9" t="n">
        <v>7.75</v>
      </c>
      <c r="AO270" s="10" t="n">
        <v>0.55</v>
      </c>
      <c r="AP270" s="13" t="n">
        <v>0</v>
      </c>
      <c r="AQ270" s="13" t="n">
        <v>0</v>
      </c>
      <c r="AR270" s="13" t="n">
        <v>-0.01</v>
      </c>
      <c r="AS270" s="13" t="n">
        <v>-0.01</v>
      </c>
      <c r="AT270" s="13" t="n">
        <v>0.005</v>
      </c>
      <c r="AU270" s="13" t="n">
        <v>0.0025</v>
      </c>
      <c r="AV270" s="13" t="n">
        <v>-0.005</v>
      </c>
      <c r="AW270" s="13">
        <f>IF(X270="","",(AM270/100*AO270)+AP270+AQ270+AR270)</f>
        <v/>
      </c>
      <c r="AX270" s="13">
        <f>IF(X270="","",AS270+AT270+AU270+AV270)</f>
        <v/>
      </c>
      <c r="AY270" s="12">
        <f>IF(AZ270="","",ROUND(AZ270*(1+Assumptions!$B$10),0))</f>
        <v/>
      </c>
      <c r="AZ270" s="12">
        <f>IF(X270="","",ROUND(X270*(1+AW270),0))</f>
        <v/>
      </c>
      <c r="BA270" s="12">
        <f>IF(AZ270="","",ROUND(AZ270*(1+Assumptions!$B$11),0))</f>
        <v/>
      </c>
      <c r="BB270" s="12">
        <f>IF(AZ270="","",ROUND(AZ270*(1+AX270+Assumptions!$B$10),0))</f>
        <v/>
      </c>
      <c r="BC270" s="12">
        <f>IF(AZ270="","",ROUND(AZ270*(1+AX270),0))</f>
        <v/>
      </c>
      <c r="BD270" s="12">
        <f>IF(AZ270="","",ROUND(AZ270*(1+AX270+Assumptions!$B$11),0))</f>
        <v/>
      </c>
      <c r="BE270" s="12">
        <f>IF(AZ270="","",ROUND(AZ270*(1+AX270)*(1+AX270),0))</f>
        <v/>
      </c>
      <c r="BF270" s="7" t="inlineStr">
        <is>
          <t>Rules-based enrichment using launch-price anchor, cap-app realization, and 2026 segment conditions.</t>
        </is>
      </c>
      <c r="BG270" t="inlineStr">
        <is>
          <t>2026-03-17</t>
        </is>
      </c>
      <c r="BH270" s="7" t="inlineStr">
        <is>
          <t>DLD / Digital Dubai / CBUAE / Savills / Knight Frank-Moody’s / Reuters</t>
        </is>
      </c>
    </row>
    <row r="271">
      <c r="A271" t="n">
        <v>270</v>
      </c>
      <c r="B271" s="7" t="inlineStr">
        <is>
          <t>Belgravia Heights</t>
        </is>
      </c>
      <c r="C271" t="inlineStr">
        <is>
          <t>Ellington Properties</t>
        </is>
      </c>
      <c r="D271" t="inlineStr">
        <is>
          <t>JVC</t>
        </is>
      </c>
      <c r="E271" t="inlineStr">
        <is>
          <t>Apartments</t>
        </is>
      </c>
      <c r="F271" s="7" t="inlineStr">
        <is>
          <t>Boutique / View</t>
        </is>
      </c>
      <c r="G271" t="inlineStr">
        <is>
          <t>Resale (1.2M+)</t>
        </is>
      </c>
      <c r="H271" t="inlineStr">
        <is>
          <t>1350</t>
        </is>
      </c>
      <c r="I271" t="inlineStr">
        <is>
          <t>15</t>
        </is>
      </c>
      <c r="J271" t="inlineStr">
        <is>
          <t>Completed</t>
        </is>
      </c>
      <c r="K271" t="inlineStr">
        <is>
          <t>2021</t>
        </is>
      </c>
      <c r="L271" t="inlineStr">
        <is>
          <t>7.5-8.0</t>
        </is>
      </c>
      <c r="M271" t="inlineStr">
        <is>
          <t>5-7</t>
        </is>
      </c>
      <c r="N271" t="inlineStr">
        <is>
          <t>12.5-15.0</t>
        </is>
      </c>
      <c r="O271" s="7" t="inlineStr">
        <is>
          <t>JSS International</t>
        </is>
      </c>
      <c r="P271" s="7" t="inlineStr">
        <is>
          <t>Saudi German Hospital</t>
        </is>
      </c>
      <c r="Q271" s="7" t="inlineStr">
        <is>
          <t>Circle Mall</t>
        </is>
      </c>
      <c r="R271" s="7" t="inlineStr">
        <is>
          <t>Hessa St / E44</t>
        </is>
      </c>
      <c r="S271" t="inlineStr">
        <is>
          <t>20</t>
        </is>
      </c>
      <c r="T271" t="inlineStr">
        <is>
          <t>15</t>
        </is>
      </c>
      <c r="U271" t="inlineStr">
        <is>
          <t>25</t>
        </is>
      </c>
      <c r="V271" t="inlineStr">
        <is>
          <t>30</t>
        </is>
      </c>
      <c r="W271" t="n">
        <v>2</v>
      </c>
      <c r="X271" s="12" t="n">
        <v>1200000</v>
      </c>
      <c r="Y271" s="12" t="n">
        <v>1200000</v>
      </c>
      <c r="Z271" s="9" t="n">
        <v>7.5</v>
      </c>
      <c r="AA271" s="9" t="n">
        <v>8</v>
      </c>
      <c r="AB271" s="9" t="n">
        <v>5</v>
      </c>
      <c r="AC271" s="9" t="n">
        <v>7</v>
      </c>
      <c r="AD271" s="9" t="n">
        <v>12.5</v>
      </c>
      <c r="AE271" s="9" t="n">
        <v>15</v>
      </c>
      <c r="AF271" t="n">
        <v>2021</v>
      </c>
      <c r="AH271" t="inlineStr">
        <is>
          <t>Apartment</t>
        </is>
      </c>
      <c r="AI271" t="inlineStr">
        <is>
          <t>SupplySensitiveApartment</t>
        </is>
      </c>
      <c r="AJ271" t="inlineStr">
        <is>
          <t>TopTier</t>
        </is>
      </c>
      <c r="AK271" t="inlineStr">
        <is>
          <t>Supply-sensitive / selective</t>
        </is>
      </c>
      <c r="AL271" s="7" t="inlineStr">
        <is>
          <t>Higher delivery risk in more price-sensitive apartment clusters; building selection and exit liquidity matter.</t>
        </is>
      </c>
      <c r="AM271" s="9" t="n">
        <v>6</v>
      </c>
      <c r="AN271" s="9" t="n">
        <v>7.75</v>
      </c>
      <c r="AO271" s="10" t="n">
        <v>0.55</v>
      </c>
      <c r="AP271" s="13" t="n">
        <v>0</v>
      </c>
      <c r="AQ271" s="13" t="n">
        <v>0</v>
      </c>
      <c r="AR271" s="13" t="n">
        <v>-0.01</v>
      </c>
      <c r="AS271" s="13" t="n">
        <v>-0.01</v>
      </c>
      <c r="AT271" s="13" t="n">
        <v>0.005</v>
      </c>
      <c r="AU271" s="13" t="n">
        <v>0.0025</v>
      </c>
      <c r="AV271" s="13" t="n">
        <v>-0.005</v>
      </c>
      <c r="AW271" s="13">
        <f>IF(X271="","",(AM271/100*AO271)+AP271+AQ271+AR271)</f>
        <v/>
      </c>
      <c r="AX271" s="13">
        <f>IF(X271="","",AS271+AT271+AU271+AV271)</f>
        <v/>
      </c>
      <c r="AY271" s="12">
        <f>IF(AZ271="","",ROUND(AZ271*(1+Assumptions!$B$10),0))</f>
        <v/>
      </c>
      <c r="AZ271" s="12">
        <f>IF(X271="","",ROUND(X271*(1+AW271),0))</f>
        <v/>
      </c>
      <c r="BA271" s="12">
        <f>IF(AZ271="","",ROUND(AZ271*(1+Assumptions!$B$11),0))</f>
        <v/>
      </c>
      <c r="BB271" s="12">
        <f>IF(AZ271="","",ROUND(AZ271*(1+AX271+Assumptions!$B$10),0))</f>
        <v/>
      </c>
      <c r="BC271" s="12">
        <f>IF(AZ271="","",ROUND(AZ271*(1+AX271),0))</f>
        <v/>
      </c>
      <c r="BD271" s="12">
        <f>IF(AZ271="","",ROUND(AZ271*(1+AX271+Assumptions!$B$11),0))</f>
        <v/>
      </c>
      <c r="BE271" s="12">
        <f>IF(AZ271="","",ROUND(AZ271*(1+AX271)*(1+AX271),0))</f>
        <v/>
      </c>
      <c r="BF271" s="7" t="inlineStr">
        <is>
          <t>Rules-based enrichment using launch-price anchor, cap-app realization, and 2026 segment conditions.</t>
        </is>
      </c>
      <c r="BG271" t="inlineStr">
        <is>
          <t>2026-03-17</t>
        </is>
      </c>
      <c r="BH271" s="7" t="inlineStr">
        <is>
          <t>DLD / Digital Dubai / CBUAE / Savills / Knight Frank-Moody’s / Reuters</t>
        </is>
      </c>
    </row>
    <row r="272">
      <c r="A272" t="n">
        <v>271</v>
      </c>
      <c r="B272" s="7" t="inlineStr">
        <is>
          <t>Oakley Square</t>
        </is>
      </c>
      <c r="C272" t="inlineStr">
        <is>
          <t>Ellington Properties</t>
        </is>
      </c>
      <c r="D272" t="inlineStr">
        <is>
          <t>JVC</t>
        </is>
      </c>
      <c r="E272" t="inlineStr">
        <is>
          <t>Apartments</t>
        </is>
      </c>
      <c r="F272" s="7" t="inlineStr">
        <is>
          <t>Boutique / Park</t>
        </is>
      </c>
      <c r="G272" t="inlineStr">
        <is>
          <t>1.0M</t>
        </is>
      </c>
      <c r="H272" t="inlineStr">
        <is>
          <t>1400</t>
        </is>
      </c>
      <c r="I272" t="inlineStr">
        <is>
          <t>15</t>
        </is>
      </c>
      <c r="J272" t="inlineStr">
        <is>
          <t>70/30</t>
        </is>
      </c>
      <c r="K272" t="inlineStr">
        <is>
          <t>2022</t>
        </is>
      </c>
      <c r="L272" t="inlineStr">
        <is>
          <t>7.5-8.0</t>
        </is>
      </c>
      <c r="M272" t="inlineStr">
        <is>
          <t>6-8</t>
        </is>
      </c>
      <c r="N272" t="inlineStr">
        <is>
          <t>13.5-16.0</t>
        </is>
      </c>
      <c r="O272" s="7" t="inlineStr">
        <is>
          <t>JSS International</t>
        </is>
      </c>
      <c r="P272" s="7" t="inlineStr">
        <is>
          <t>Saudi German Hospital</t>
        </is>
      </c>
      <c r="Q272" s="7" t="inlineStr">
        <is>
          <t>Circle Mall</t>
        </is>
      </c>
      <c r="R272" s="7" t="inlineStr">
        <is>
          <t>Hessa St / E44</t>
        </is>
      </c>
      <c r="S272" t="inlineStr">
        <is>
          <t>20</t>
        </is>
      </c>
      <c r="T272" t="inlineStr">
        <is>
          <t>15</t>
        </is>
      </c>
      <c r="U272" t="inlineStr">
        <is>
          <t>25</t>
        </is>
      </c>
      <c r="V272" t="inlineStr">
        <is>
          <t>30</t>
        </is>
      </c>
      <c r="W272" t="n">
        <v>2</v>
      </c>
      <c r="X272" s="12" t="n">
        <v>1000000</v>
      </c>
      <c r="Y272" s="12" t="n">
        <v>1000000</v>
      </c>
      <c r="Z272" s="9" t="n">
        <v>7.5</v>
      </c>
      <c r="AA272" s="9" t="n">
        <v>8</v>
      </c>
      <c r="AB272" s="9" t="n">
        <v>6</v>
      </c>
      <c r="AC272" s="9" t="n">
        <v>8</v>
      </c>
      <c r="AD272" s="9" t="n">
        <v>13.5</v>
      </c>
      <c r="AE272" s="9" t="n">
        <v>16</v>
      </c>
      <c r="AF272" t="n">
        <v>2022</v>
      </c>
      <c r="AH272" t="inlineStr">
        <is>
          <t>Apartment</t>
        </is>
      </c>
      <c r="AI272" t="inlineStr">
        <is>
          <t>SupplySensitiveApartment</t>
        </is>
      </c>
      <c r="AJ272" t="inlineStr">
        <is>
          <t>TopTier</t>
        </is>
      </c>
      <c r="AK272" t="inlineStr">
        <is>
          <t>Supply-sensitive / selective</t>
        </is>
      </c>
      <c r="AL272" s="7" t="inlineStr">
        <is>
          <t>Higher delivery risk in more price-sensitive apartment clusters; building selection and exit liquidity matter.</t>
        </is>
      </c>
      <c r="AM272" s="9" t="n">
        <v>7</v>
      </c>
      <c r="AN272" s="9" t="n">
        <v>7.75</v>
      </c>
      <c r="AO272" s="10" t="n">
        <v>0.55</v>
      </c>
      <c r="AP272" s="13" t="n">
        <v>0</v>
      </c>
      <c r="AQ272" s="13" t="n">
        <v>0</v>
      </c>
      <c r="AR272" s="13" t="n">
        <v>-0.01</v>
      </c>
      <c r="AS272" s="13" t="n">
        <v>-0.01</v>
      </c>
      <c r="AT272" s="13" t="n">
        <v>0.005</v>
      </c>
      <c r="AU272" s="13" t="n">
        <v>0.0025</v>
      </c>
      <c r="AV272" s="13" t="n">
        <v>-0.005</v>
      </c>
      <c r="AW272" s="13">
        <f>IF(X272="","",(AM272/100*AO272)+AP272+AQ272+AR272)</f>
        <v/>
      </c>
      <c r="AX272" s="13">
        <f>IF(X272="","",AS272+AT272+AU272+AV272)</f>
        <v/>
      </c>
      <c r="AY272" s="12">
        <f>IF(AZ272="","",ROUND(AZ272*(1+Assumptions!$B$10),0))</f>
        <v/>
      </c>
      <c r="AZ272" s="12">
        <f>IF(X272="","",ROUND(X272*(1+AW272),0))</f>
        <v/>
      </c>
      <c r="BA272" s="12">
        <f>IF(AZ272="","",ROUND(AZ272*(1+Assumptions!$B$11),0))</f>
        <v/>
      </c>
      <c r="BB272" s="12">
        <f>IF(AZ272="","",ROUND(AZ272*(1+AX272+Assumptions!$B$10),0))</f>
        <v/>
      </c>
      <c r="BC272" s="12">
        <f>IF(AZ272="","",ROUND(AZ272*(1+AX272),0))</f>
        <v/>
      </c>
      <c r="BD272" s="12">
        <f>IF(AZ272="","",ROUND(AZ272*(1+AX272+Assumptions!$B$11),0))</f>
        <v/>
      </c>
      <c r="BE272" s="12">
        <f>IF(AZ272="","",ROUND(AZ272*(1+AX272)*(1+AX272),0))</f>
        <v/>
      </c>
      <c r="BF272" s="7" t="inlineStr">
        <is>
          <t>Rules-based enrichment using launch-price anchor, cap-app realization, and 2026 segment conditions.</t>
        </is>
      </c>
      <c r="BG272" t="inlineStr">
        <is>
          <t>2026-03-17</t>
        </is>
      </c>
      <c r="BH272" s="7" t="inlineStr">
        <is>
          <t>DLD / Digital Dubai / CBUAE / Savills / Knight Frank-Moody’s / Reuters</t>
        </is>
      </c>
    </row>
    <row r="273">
      <c r="A273" t="n">
        <v>272</v>
      </c>
      <c r="B273" s="7" t="inlineStr">
        <is>
          <t>Hamilton House</t>
        </is>
      </c>
      <c r="C273" t="inlineStr">
        <is>
          <t>Ellington Properties</t>
        </is>
      </c>
      <c r="D273" t="inlineStr">
        <is>
          <t>JVC</t>
        </is>
      </c>
      <c r="E273" t="inlineStr">
        <is>
          <t>Apartments</t>
        </is>
      </c>
      <c r="F273" s="7" t="inlineStr">
        <is>
          <t>Boutique / Design</t>
        </is>
      </c>
      <c r="G273" t="inlineStr">
        <is>
          <t>1.1M</t>
        </is>
      </c>
      <c r="H273" t="inlineStr">
        <is>
          <t>1450</t>
        </is>
      </c>
      <c r="I273" t="inlineStr">
        <is>
          <t>15</t>
        </is>
      </c>
      <c r="J273" t="inlineStr">
        <is>
          <t>70/30</t>
        </is>
      </c>
      <c r="K273" t="inlineStr">
        <is>
          <t>2022</t>
        </is>
      </c>
      <c r="L273" t="inlineStr">
        <is>
          <t>7.5-8.0</t>
        </is>
      </c>
      <c r="M273" t="inlineStr">
        <is>
          <t>6-8</t>
        </is>
      </c>
      <c r="N273" t="inlineStr">
        <is>
          <t>13.5-16.0</t>
        </is>
      </c>
      <c r="O273" s="7" t="inlineStr">
        <is>
          <t>JSS International</t>
        </is>
      </c>
      <c r="P273" s="7" t="inlineStr">
        <is>
          <t>Saudi German Hospital</t>
        </is>
      </c>
      <c r="Q273" s="7" t="inlineStr">
        <is>
          <t>Circle Mall</t>
        </is>
      </c>
      <c r="R273" s="7" t="inlineStr">
        <is>
          <t>Hessa St / E44</t>
        </is>
      </c>
      <c r="S273" t="inlineStr">
        <is>
          <t>20</t>
        </is>
      </c>
      <c r="T273" t="inlineStr">
        <is>
          <t>15</t>
        </is>
      </c>
      <c r="U273" t="inlineStr">
        <is>
          <t>25</t>
        </is>
      </c>
      <c r="V273" t="inlineStr">
        <is>
          <t>30</t>
        </is>
      </c>
      <c r="W273" t="n">
        <v>2</v>
      </c>
      <c r="X273" s="12" t="n">
        <v>1100000</v>
      </c>
      <c r="Y273" s="12" t="n">
        <v>1100000</v>
      </c>
      <c r="Z273" s="9" t="n">
        <v>7.5</v>
      </c>
      <c r="AA273" s="9" t="n">
        <v>8</v>
      </c>
      <c r="AB273" s="9" t="n">
        <v>6</v>
      </c>
      <c r="AC273" s="9" t="n">
        <v>8</v>
      </c>
      <c r="AD273" s="9" t="n">
        <v>13.5</v>
      </c>
      <c r="AE273" s="9" t="n">
        <v>16</v>
      </c>
      <c r="AF273" t="n">
        <v>2022</v>
      </c>
      <c r="AH273" t="inlineStr">
        <is>
          <t>Apartment</t>
        </is>
      </c>
      <c r="AI273" t="inlineStr">
        <is>
          <t>SupplySensitiveApartment</t>
        </is>
      </c>
      <c r="AJ273" t="inlineStr">
        <is>
          <t>TopTier</t>
        </is>
      </c>
      <c r="AK273" t="inlineStr">
        <is>
          <t>Supply-sensitive / selective</t>
        </is>
      </c>
      <c r="AL273" s="7" t="inlineStr">
        <is>
          <t>Higher delivery risk in more price-sensitive apartment clusters; building selection and exit liquidity matter.</t>
        </is>
      </c>
      <c r="AM273" s="9" t="n">
        <v>7</v>
      </c>
      <c r="AN273" s="9" t="n">
        <v>7.75</v>
      </c>
      <c r="AO273" s="10" t="n">
        <v>0.55</v>
      </c>
      <c r="AP273" s="13" t="n">
        <v>0</v>
      </c>
      <c r="AQ273" s="13" t="n">
        <v>0</v>
      </c>
      <c r="AR273" s="13" t="n">
        <v>-0.01</v>
      </c>
      <c r="AS273" s="13" t="n">
        <v>-0.01</v>
      </c>
      <c r="AT273" s="13" t="n">
        <v>0.005</v>
      </c>
      <c r="AU273" s="13" t="n">
        <v>0.0025</v>
      </c>
      <c r="AV273" s="13" t="n">
        <v>-0.005</v>
      </c>
      <c r="AW273" s="13">
        <f>IF(X273="","",(AM273/100*AO273)+AP273+AQ273+AR273)</f>
        <v/>
      </c>
      <c r="AX273" s="13">
        <f>IF(X273="","",AS273+AT273+AU273+AV273)</f>
        <v/>
      </c>
      <c r="AY273" s="12">
        <f>IF(AZ273="","",ROUND(AZ273*(1+Assumptions!$B$10),0))</f>
        <v/>
      </c>
      <c r="AZ273" s="12">
        <f>IF(X273="","",ROUND(X273*(1+AW273),0))</f>
        <v/>
      </c>
      <c r="BA273" s="12">
        <f>IF(AZ273="","",ROUND(AZ273*(1+Assumptions!$B$11),0))</f>
        <v/>
      </c>
      <c r="BB273" s="12">
        <f>IF(AZ273="","",ROUND(AZ273*(1+AX273+Assumptions!$B$10),0))</f>
        <v/>
      </c>
      <c r="BC273" s="12">
        <f>IF(AZ273="","",ROUND(AZ273*(1+AX273),0))</f>
        <v/>
      </c>
      <c r="BD273" s="12">
        <f>IF(AZ273="","",ROUND(AZ273*(1+AX273+Assumptions!$B$11),0))</f>
        <v/>
      </c>
      <c r="BE273" s="12">
        <f>IF(AZ273="","",ROUND(AZ273*(1+AX273)*(1+AX273),0))</f>
        <v/>
      </c>
      <c r="BF273" s="7" t="inlineStr">
        <is>
          <t>Rules-based enrichment using launch-price anchor, cap-app realization, and 2026 segment conditions.</t>
        </is>
      </c>
      <c r="BG273" t="inlineStr">
        <is>
          <t>2026-03-17</t>
        </is>
      </c>
      <c r="BH273" s="7" t="inlineStr">
        <is>
          <t>DLD / Digital Dubai / CBUAE / Savills / Knight Frank-Moody’s / Reuters</t>
        </is>
      </c>
    </row>
    <row r="274">
      <c r="A274" t="n">
        <v>273</v>
      </c>
      <c r="B274" s="7" t="inlineStr">
        <is>
          <t>The Portman</t>
        </is>
      </c>
      <c r="C274" t="inlineStr">
        <is>
          <t>Ellington Properties</t>
        </is>
      </c>
      <c r="D274" t="inlineStr">
        <is>
          <t>JVC</t>
        </is>
      </c>
      <c r="E274" t="inlineStr">
        <is>
          <t>Apartments</t>
        </is>
      </c>
      <c r="F274" s="7" t="inlineStr">
        <is>
          <t>Boutique / Design</t>
        </is>
      </c>
      <c r="G274" t="inlineStr">
        <is>
          <t>1.1M</t>
        </is>
      </c>
      <c r="H274" t="inlineStr">
        <is>
          <t>1450</t>
        </is>
      </c>
      <c r="I274" t="inlineStr">
        <is>
          <t>15</t>
        </is>
      </c>
      <c r="J274" t="inlineStr">
        <is>
          <t>70/30</t>
        </is>
      </c>
      <c r="K274" t="inlineStr">
        <is>
          <t>2022</t>
        </is>
      </c>
      <c r="L274" t="inlineStr">
        <is>
          <t>7.5-8.0</t>
        </is>
      </c>
      <c r="M274" t="inlineStr">
        <is>
          <t>6-8</t>
        </is>
      </c>
      <c r="N274" t="inlineStr">
        <is>
          <t>13.5-16.0</t>
        </is>
      </c>
      <c r="O274" s="7" t="inlineStr">
        <is>
          <t>JSS International</t>
        </is>
      </c>
      <c r="P274" s="7" t="inlineStr">
        <is>
          <t>Saudi German Hospital</t>
        </is>
      </c>
      <c r="Q274" s="7" t="inlineStr">
        <is>
          <t>Circle Mall</t>
        </is>
      </c>
      <c r="R274" s="7" t="inlineStr">
        <is>
          <t>Hessa St / E44</t>
        </is>
      </c>
      <c r="S274" t="inlineStr">
        <is>
          <t>20</t>
        </is>
      </c>
      <c r="T274" t="inlineStr">
        <is>
          <t>15</t>
        </is>
      </c>
      <c r="U274" t="inlineStr">
        <is>
          <t>25</t>
        </is>
      </c>
      <c r="V274" t="inlineStr">
        <is>
          <t>30</t>
        </is>
      </c>
      <c r="W274" t="n">
        <v>2</v>
      </c>
      <c r="X274" s="12" t="n">
        <v>1100000</v>
      </c>
      <c r="Y274" s="12" t="n">
        <v>1100000</v>
      </c>
      <c r="Z274" s="9" t="n">
        <v>7.5</v>
      </c>
      <c r="AA274" s="9" t="n">
        <v>8</v>
      </c>
      <c r="AB274" s="9" t="n">
        <v>6</v>
      </c>
      <c r="AC274" s="9" t="n">
        <v>8</v>
      </c>
      <c r="AD274" s="9" t="n">
        <v>13.5</v>
      </c>
      <c r="AE274" s="9" t="n">
        <v>16</v>
      </c>
      <c r="AF274" t="n">
        <v>2022</v>
      </c>
      <c r="AH274" t="inlineStr">
        <is>
          <t>Apartment</t>
        </is>
      </c>
      <c r="AI274" t="inlineStr">
        <is>
          <t>SupplySensitiveApartment</t>
        </is>
      </c>
      <c r="AJ274" t="inlineStr">
        <is>
          <t>TopTier</t>
        </is>
      </c>
      <c r="AK274" t="inlineStr">
        <is>
          <t>Supply-sensitive / selective</t>
        </is>
      </c>
      <c r="AL274" s="7" t="inlineStr">
        <is>
          <t>Higher delivery risk in more price-sensitive apartment clusters; building selection and exit liquidity matter.</t>
        </is>
      </c>
      <c r="AM274" s="9" t="n">
        <v>7</v>
      </c>
      <c r="AN274" s="9" t="n">
        <v>7.75</v>
      </c>
      <c r="AO274" s="10" t="n">
        <v>0.55</v>
      </c>
      <c r="AP274" s="13" t="n">
        <v>0</v>
      </c>
      <c r="AQ274" s="13" t="n">
        <v>0</v>
      </c>
      <c r="AR274" s="13" t="n">
        <v>-0.01</v>
      </c>
      <c r="AS274" s="13" t="n">
        <v>-0.01</v>
      </c>
      <c r="AT274" s="13" t="n">
        <v>0.005</v>
      </c>
      <c r="AU274" s="13" t="n">
        <v>0.0025</v>
      </c>
      <c r="AV274" s="13" t="n">
        <v>-0.005</v>
      </c>
      <c r="AW274" s="13">
        <f>IF(X274="","",(AM274/100*AO274)+AP274+AQ274+AR274)</f>
        <v/>
      </c>
      <c r="AX274" s="13">
        <f>IF(X274="","",AS274+AT274+AU274+AV274)</f>
        <v/>
      </c>
      <c r="AY274" s="12">
        <f>IF(AZ274="","",ROUND(AZ274*(1+Assumptions!$B$10),0))</f>
        <v/>
      </c>
      <c r="AZ274" s="12">
        <f>IF(X274="","",ROUND(X274*(1+AW274),0))</f>
        <v/>
      </c>
      <c r="BA274" s="12">
        <f>IF(AZ274="","",ROUND(AZ274*(1+Assumptions!$B$11),0))</f>
        <v/>
      </c>
      <c r="BB274" s="12">
        <f>IF(AZ274="","",ROUND(AZ274*(1+AX274+Assumptions!$B$10),0))</f>
        <v/>
      </c>
      <c r="BC274" s="12">
        <f>IF(AZ274="","",ROUND(AZ274*(1+AX274),0))</f>
        <v/>
      </c>
      <c r="BD274" s="12">
        <f>IF(AZ274="","",ROUND(AZ274*(1+AX274+Assumptions!$B$11),0))</f>
        <v/>
      </c>
      <c r="BE274" s="12">
        <f>IF(AZ274="","",ROUND(AZ274*(1+AX274)*(1+AX274),0))</f>
        <v/>
      </c>
      <c r="BF274" s="7" t="inlineStr">
        <is>
          <t>Rules-based enrichment using launch-price anchor, cap-app realization, and 2026 segment conditions.</t>
        </is>
      </c>
      <c r="BG274" t="inlineStr">
        <is>
          <t>2026-03-17</t>
        </is>
      </c>
      <c r="BH274" s="7" t="inlineStr">
        <is>
          <t>DLD / Digital Dubai / CBUAE / Savills / Knight Frank-Moody’s / Reuters</t>
        </is>
      </c>
    </row>
    <row r="275">
      <c r="A275" t="n">
        <v>274</v>
      </c>
      <c r="B275" s="7" t="inlineStr">
        <is>
          <t>Arbor View</t>
        </is>
      </c>
      <c r="C275" t="inlineStr">
        <is>
          <t>Ellington Properties</t>
        </is>
      </c>
      <c r="D275" t="inlineStr">
        <is>
          <t>Arjan</t>
        </is>
      </c>
      <c r="E275" t="inlineStr">
        <is>
          <t>Apartments</t>
        </is>
      </c>
      <c r="F275" s="7" t="inlineStr">
        <is>
          <t>Green / Family</t>
        </is>
      </c>
      <c r="G275" t="inlineStr">
        <is>
          <t>1.2M</t>
        </is>
      </c>
      <c r="H275" t="inlineStr">
        <is>
          <t>1300</t>
        </is>
      </c>
      <c r="I275" t="inlineStr">
        <is>
          <t>15</t>
        </is>
      </c>
      <c r="J275" t="inlineStr">
        <is>
          <t>70/30</t>
        </is>
      </c>
      <c r="K275" t="inlineStr">
        <is>
          <t>2023</t>
        </is>
      </c>
      <c r="L275" t="inlineStr">
        <is>
          <t>7.0-7.5</t>
        </is>
      </c>
      <c r="M275" t="inlineStr">
        <is>
          <t>7-9</t>
        </is>
      </c>
      <c r="N275" t="inlineStr">
        <is>
          <t>14.0-16.5</t>
        </is>
      </c>
      <c r="O275" s="7" t="inlineStr">
        <is>
          <t>Nord Anglia</t>
        </is>
      </c>
      <c r="P275" s="7" t="inlineStr">
        <is>
          <t>Mediclinic Parkview</t>
        </is>
      </c>
      <c r="Q275" s="7" t="inlineStr">
        <is>
          <t>Dubai Hills Mall</t>
        </is>
      </c>
      <c r="R275" s="7" t="inlineStr">
        <is>
          <t>Umm Suqeim / E311</t>
        </is>
      </c>
      <c r="S275" t="inlineStr">
        <is>
          <t>20</t>
        </is>
      </c>
      <c r="T275" t="inlineStr">
        <is>
          <t>20</t>
        </is>
      </c>
      <c r="U275" t="inlineStr">
        <is>
          <t>30</t>
        </is>
      </c>
      <c r="V275" t="inlineStr">
        <is>
          <t>25</t>
        </is>
      </c>
      <c r="W275" t="n">
        <v>2</v>
      </c>
      <c r="X275" s="12" t="n">
        <v>1200000</v>
      </c>
      <c r="Y275" s="12" t="n">
        <v>1200000</v>
      </c>
      <c r="Z275" s="9" t="n">
        <v>7</v>
      </c>
      <c r="AA275" s="9" t="n">
        <v>7.5</v>
      </c>
      <c r="AB275" s="9" t="n">
        <v>7</v>
      </c>
      <c r="AC275" s="9" t="n">
        <v>9</v>
      </c>
      <c r="AD275" s="9" t="n">
        <v>14</v>
      </c>
      <c r="AE275" s="9" t="n">
        <v>16.5</v>
      </c>
      <c r="AF275" t="n">
        <v>2023</v>
      </c>
      <c r="AH275" t="inlineStr">
        <is>
          <t>Apartment</t>
        </is>
      </c>
      <c r="AI275" t="inlineStr">
        <is>
          <t>SupplySensitiveApartment</t>
        </is>
      </c>
      <c r="AJ275" t="inlineStr">
        <is>
          <t>TopTier</t>
        </is>
      </c>
      <c r="AK275" t="inlineStr">
        <is>
          <t>Supply-sensitive / selective</t>
        </is>
      </c>
      <c r="AL275" s="7" t="inlineStr">
        <is>
          <t>Higher delivery risk in more price-sensitive apartment clusters; building selection and exit liquidity matter.</t>
        </is>
      </c>
      <c r="AM275" s="9" t="n">
        <v>8</v>
      </c>
      <c r="AN275" s="9" t="n">
        <v>7.25</v>
      </c>
      <c r="AO275" s="10" t="n">
        <v>0.55</v>
      </c>
      <c r="AP275" s="13" t="n">
        <v>0</v>
      </c>
      <c r="AQ275" s="13" t="n">
        <v>0</v>
      </c>
      <c r="AR275" s="13" t="n">
        <v>-0.01</v>
      </c>
      <c r="AS275" s="13" t="n">
        <v>-0.01</v>
      </c>
      <c r="AT275" s="13" t="n">
        <v>0.005</v>
      </c>
      <c r="AU275" s="13" t="n">
        <v>0.0025</v>
      </c>
      <c r="AV275" s="13" t="n">
        <v>-0.005</v>
      </c>
      <c r="AW275" s="13">
        <f>IF(X275="","",(AM275/100*AO275)+AP275+AQ275+AR275)</f>
        <v/>
      </c>
      <c r="AX275" s="13">
        <f>IF(X275="","",AS275+AT275+AU275+AV275)</f>
        <v/>
      </c>
      <c r="AY275" s="12">
        <f>IF(AZ275="","",ROUND(AZ275*(1+Assumptions!$B$10),0))</f>
        <v/>
      </c>
      <c r="AZ275" s="12">
        <f>IF(X275="","",ROUND(X275*(1+AW275),0))</f>
        <v/>
      </c>
      <c r="BA275" s="12">
        <f>IF(AZ275="","",ROUND(AZ275*(1+Assumptions!$B$11),0))</f>
        <v/>
      </c>
      <c r="BB275" s="12">
        <f>IF(AZ275="","",ROUND(AZ275*(1+AX275+Assumptions!$B$10),0))</f>
        <v/>
      </c>
      <c r="BC275" s="12">
        <f>IF(AZ275="","",ROUND(AZ275*(1+AX275),0))</f>
        <v/>
      </c>
      <c r="BD275" s="12">
        <f>IF(AZ275="","",ROUND(AZ275*(1+AX275+Assumptions!$B$11),0))</f>
        <v/>
      </c>
      <c r="BE275" s="12">
        <f>IF(AZ275="","",ROUND(AZ275*(1+AX275)*(1+AX275),0))</f>
        <v/>
      </c>
      <c r="BF275" s="7" t="inlineStr">
        <is>
          <t>Rules-based enrichment using launch-price anchor, cap-app realization, and 2026 segment conditions.</t>
        </is>
      </c>
      <c r="BG275" t="inlineStr">
        <is>
          <t>2026-03-17</t>
        </is>
      </c>
      <c r="BH275" s="7" t="inlineStr">
        <is>
          <t>DLD / Digital Dubai / CBUAE / Savills / Knight Frank-Moody’s / Reuters</t>
        </is>
      </c>
    </row>
    <row r="276">
      <c r="A276" t="n">
        <v>275</v>
      </c>
      <c r="B276" s="7" t="inlineStr">
        <is>
          <t>Art Bay</t>
        </is>
      </c>
      <c r="C276" t="inlineStr">
        <is>
          <t>Ellington Properties</t>
        </is>
      </c>
      <c r="D276" t="inlineStr">
        <is>
          <t>Jaddaf Waterfront</t>
        </is>
      </c>
      <c r="E276" t="inlineStr">
        <is>
          <t>Apartments</t>
        </is>
      </c>
      <c r="F276" s="7" t="inlineStr">
        <is>
          <t>Art / Creek</t>
        </is>
      </c>
      <c r="G276" t="inlineStr">
        <is>
          <t>1.6M</t>
        </is>
      </c>
      <c r="H276" t="inlineStr">
        <is>
          <t>1800</t>
        </is>
      </c>
      <c r="I276" t="inlineStr">
        <is>
          <t>18</t>
        </is>
      </c>
      <c r="J276" t="inlineStr">
        <is>
          <t>70/30</t>
        </is>
      </c>
      <c r="K276" t="inlineStr">
        <is>
          <t>2024</t>
        </is>
      </c>
      <c r="L276" t="inlineStr">
        <is>
          <t>6.0-6.5</t>
        </is>
      </c>
      <c r="M276" t="inlineStr">
        <is>
          <t>8-10</t>
        </is>
      </c>
      <c r="N276" t="inlineStr">
        <is>
          <t>14.0-16.5</t>
        </is>
      </c>
      <c r="O276" s="7" t="inlineStr">
        <is>
          <t>Swiss Intl School</t>
        </is>
      </c>
      <c r="P276" s="7" t="inlineStr">
        <is>
          <t>American Hospital</t>
        </is>
      </c>
      <c r="Q276" s="7" t="inlineStr">
        <is>
          <t>Dubai Festival City</t>
        </is>
      </c>
      <c r="R276" s="7" t="inlineStr">
        <is>
          <t>Al Khail E44</t>
        </is>
      </c>
      <c r="S276" t="inlineStr">
        <is>
          <t>10</t>
        </is>
      </c>
      <c r="T276" t="inlineStr">
        <is>
          <t>25</t>
        </is>
      </c>
      <c r="U276" t="inlineStr">
        <is>
          <t>10</t>
        </is>
      </c>
      <c r="V276" t="inlineStr">
        <is>
          <t>40</t>
        </is>
      </c>
      <c r="W276" t="n">
        <v>2</v>
      </c>
      <c r="X276" s="12" t="n">
        <v>1600000</v>
      </c>
      <c r="Y276" s="12" t="n">
        <v>1600000</v>
      </c>
      <c r="Z276" s="9" t="n">
        <v>6</v>
      </c>
      <c r="AA276" s="9" t="n">
        <v>6.5</v>
      </c>
      <c r="AB276" s="9" t="n">
        <v>8</v>
      </c>
      <c r="AC276" s="9" t="n">
        <v>10</v>
      </c>
      <c r="AD276" s="9" t="n">
        <v>14</v>
      </c>
      <c r="AE276" s="9" t="n">
        <v>16.5</v>
      </c>
      <c r="AF276" t="n">
        <v>2024</v>
      </c>
      <c r="AH276" t="inlineStr">
        <is>
          <t>Apartment</t>
        </is>
      </c>
      <c r="AI276" t="inlineStr">
        <is>
          <t>MainstreamSelective</t>
        </is>
      </c>
      <c r="AJ276" t="inlineStr">
        <is>
          <t>TopTier</t>
        </is>
      </c>
      <c r="AK276" t="inlineStr">
        <is>
          <t>Balanced / selective</t>
        </is>
      </c>
      <c r="AL276" s="7" t="inlineStr">
        <is>
          <t>Market remains active but increasingly differentiated by developer, micro-location, livability, and pricing discipline.</t>
        </is>
      </c>
      <c r="AM276" s="9" t="n">
        <v>9</v>
      </c>
      <c r="AN276" s="9" t="n">
        <v>6.25</v>
      </c>
      <c r="AO276" s="10" t="n">
        <v>0.55</v>
      </c>
      <c r="AP276" s="13" t="n">
        <v>0</v>
      </c>
      <c r="AQ276" s="13" t="n">
        <v>0</v>
      </c>
      <c r="AR276" s="13" t="n">
        <v>0</v>
      </c>
      <c r="AS276" s="13" t="n">
        <v>0.01</v>
      </c>
      <c r="AT276" s="13" t="n">
        <v>0.005</v>
      </c>
      <c r="AU276" s="13" t="n">
        <v>0.0025</v>
      </c>
      <c r="AV276" s="13" t="n">
        <v>-0.005</v>
      </c>
      <c r="AW276" s="13">
        <f>IF(X276="","",(AM276/100*AO276)+AP276+AQ276+AR276)</f>
        <v/>
      </c>
      <c r="AX276" s="13">
        <f>IF(X276="","",AS276+AT276+AU276+AV276)</f>
        <v/>
      </c>
      <c r="AY276" s="12">
        <f>IF(AZ276="","",ROUND(AZ276*(1+Assumptions!$B$10),0))</f>
        <v/>
      </c>
      <c r="AZ276" s="12">
        <f>IF(X276="","",ROUND(X276*(1+AW276),0))</f>
        <v/>
      </c>
      <c r="BA276" s="12">
        <f>IF(AZ276="","",ROUND(AZ276*(1+Assumptions!$B$11),0))</f>
        <v/>
      </c>
      <c r="BB276" s="12">
        <f>IF(AZ276="","",ROUND(AZ276*(1+AX276+Assumptions!$B$10),0))</f>
        <v/>
      </c>
      <c r="BC276" s="12">
        <f>IF(AZ276="","",ROUND(AZ276*(1+AX276),0))</f>
        <v/>
      </c>
      <c r="BD276" s="12">
        <f>IF(AZ276="","",ROUND(AZ276*(1+AX276+Assumptions!$B$11),0))</f>
        <v/>
      </c>
      <c r="BE276" s="12">
        <f>IF(AZ276="","",ROUND(AZ276*(1+AX276)*(1+AX276),0))</f>
        <v/>
      </c>
      <c r="BF276" s="7" t="inlineStr">
        <is>
          <t>Rules-based enrichment using launch-price anchor, cap-app realization, and 2026 segment conditions.</t>
        </is>
      </c>
      <c r="BG276" t="inlineStr">
        <is>
          <t>2026-03-17</t>
        </is>
      </c>
      <c r="BH276" s="7" t="inlineStr">
        <is>
          <t>DLD / Digital Dubai / CBUAE / Savills / Knight Frank-Moody’s / Reuters</t>
        </is>
      </c>
    </row>
    <row r="277">
      <c r="A277" t="n">
        <v>276</v>
      </c>
      <c r="B277" s="7" t="inlineStr">
        <is>
          <t>Six Senses Residences Dubai Marina</t>
        </is>
      </c>
      <c r="C277" t="inlineStr">
        <is>
          <t>Select Group</t>
        </is>
      </c>
      <c r="D277" t="inlineStr">
        <is>
          <t>Dubai Marina</t>
        </is>
      </c>
      <c r="E277" t="inlineStr">
        <is>
          <t>Branded Apts</t>
        </is>
      </c>
      <c r="F277" s="7" t="inlineStr">
        <is>
          <t>Ultra-Luxury / Wellness</t>
        </is>
      </c>
      <c r="G277" t="inlineStr">
        <is>
          <t>5.8M</t>
        </is>
      </c>
      <c r="H277" t="inlineStr">
        <is>
          <t>4500</t>
        </is>
      </c>
      <c r="I277" t="inlineStr">
        <is>
          <t>40+</t>
        </is>
      </c>
      <c r="J277" t="inlineStr">
        <is>
          <t>60/40</t>
        </is>
      </c>
      <c r="K277" t="inlineStr">
        <is>
          <t>2024</t>
        </is>
      </c>
      <c r="L277" t="inlineStr">
        <is>
          <t>4.5-5.0</t>
        </is>
      </c>
      <c r="M277" t="inlineStr">
        <is>
          <t>10-12</t>
        </is>
      </c>
      <c r="N277" t="inlineStr">
        <is>
          <t>14.5-17.0</t>
        </is>
      </c>
      <c r="O277" s="7" t="inlineStr">
        <is>
          <t>American Univ. Dubai</t>
        </is>
      </c>
      <c r="P277" s="7" t="inlineStr">
        <is>
          <t>Saudi German Hospital</t>
        </is>
      </c>
      <c r="Q277" s="7" t="inlineStr">
        <is>
          <t>Dubai Marina Mall</t>
        </is>
      </c>
      <c r="R277" s="7" t="inlineStr">
        <is>
          <t>Sheikh Zayed E11</t>
        </is>
      </c>
      <c r="S277" t="inlineStr">
        <is>
          <t>20</t>
        </is>
      </c>
      <c r="T277" t="inlineStr">
        <is>
          <t>2</t>
        </is>
      </c>
      <c r="U277" t="inlineStr">
        <is>
          <t>25</t>
        </is>
      </c>
      <c r="V277" t="inlineStr">
        <is>
          <t>30</t>
        </is>
      </c>
      <c r="W277" t="n">
        <v>2</v>
      </c>
      <c r="X277" s="12" t="n">
        <v>5800000</v>
      </c>
      <c r="Y277" s="12" t="n">
        <v>5800000</v>
      </c>
      <c r="Z277" s="9" t="n">
        <v>4.5</v>
      </c>
      <c r="AA277" s="9" t="n">
        <v>5</v>
      </c>
      <c r="AB277" s="9" t="n">
        <v>10</v>
      </c>
      <c r="AC277" s="9" t="n">
        <v>12</v>
      </c>
      <c r="AD277" s="9" t="n">
        <v>14.5</v>
      </c>
      <c r="AE277" s="9" t="n">
        <v>17</v>
      </c>
      <c r="AF277" t="n">
        <v>2024</v>
      </c>
      <c r="AH277" t="inlineStr">
        <is>
          <t>Apartment</t>
        </is>
      </c>
      <c r="AI277" t="inlineStr">
        <is>
          <t>Prime</t>
        </is>
      </c>
      <c r="AJ277" t="inlineStr">
        <is>
          <t>Established</t>
        </is>
      </c>
      <c r="AK277" t="inlineStr">
        <is>
          <t>Prime resilient / selective</t>
        </is>
      </c>
      <c r="AL277" s="7" t="inlineStr">
        <is>
          <t>Better support from quality, branding, and scarcer prime stock; still entry-price sensitive.</t>
        </is>
      </c>
      <c r="AM277" s="9" t="n">
        <v>11</v>
      </c>
      <c r="AN277" s="9" t="n">
        <v>4.75</v>
      </c>
      <c r="AO277" s="10" t="n">
        <v>0.55</v>
      </c>
      <c r="AP277" s="13" t="n">
        <v>0.02</v>
      </c>
      <c r="AQ277" s="13" t="n">
        <v>0</v>
      </c>
      <c r="AR277" s="13" t="n">
        <v>0</v>
      </c>
      <c r="AS277" s="13" t="n">
        <v>0.03</v>
      </c>
      <c r="AT277" s="13" t="n">
        <v>0</v>
      </c>
      <c r="AU277" s="13" t="n">
        <v>0</v>
      </c>
      <c r="AV277" s="13" t="n">
        <v>-0.005</v>
      </c>
      <c r="AW277" s="13">
        <f>IF(X277="","",(AM277/100*AO277)+AP277+AQ277+AR277)</f>
        <v/>
      </c>
      <c r="AX277" s="13">
        <f>IF(X277="","",AS277+AT277+AU277+AV277)</f>
        <v/>
      </c>
      <c r="AY277" s="12">
        <f>IF(AZ277="","",ROUND(AZ277*(1+Assumptions!$B$10),0))</f>
        <v/>
      </c>
      <c r="AZ277" s="12">
        <f>IF(X277="","",ROUND(X277*(1+AW277),0))</f>
        <v/>
      </c>
      <c r="BA277" s="12">
        <f>IF(AZ277="","",ROUND(AZ277*(1+Assumptions!$B$11),0))</f>
        <v/>
      </c>
      <c r="BB277" s="12">
        <f>IF(AZ277="","",ROUND(AZ277*(1+AX277+Assumptions!$B$10),0))</f>
        <v/>
      </c>
      <c r="BC277" s="12">
        <f>IF(AZ277="","",ROUND(AZ277*(1+AX277),0))</f>
        <v/>
      </c>
      <c r="BD277" s="12">
        <f>IF(AZ277="","",ROUND(AZ277*(1+AX277+Assumptions!$B$11),0))</f>
        <v/>
      </c>
      <c r="BE277" s="12">
        <f>IF(AZ277="","",ROUND(AZ277*(1+AX277)*(1+AX277),0))</f>
        <v/>
      </c>
      <c r="BF277" s="7" t="inlineStr">
        <is>
          <t>Rules-based enrichment using launch-price anchor, cap-app realization, and 2026 segment conditions.</t>
        </is>
      </c>
      <c r="BG277" t="inlineStr">
        <is>
          <t>2026-03-17</t>
        </is>
      </c>
      <c r="BH277" s="7" t="inlineStr">
        <is>
          <t>DLD / Digital Dubai / CBUAE / Savills / Knight Frank-Moody’s / Reuters</t>
        </is>
      </c>
    </row>
    <row r="278">
      <c r="A278" t="n">
        <v>277</v>
      </c>
      <c r="B278" s="7" t="inlineStr">
        <is>
          <t>Marina Gate 1</t>
        </is>
      </c>
      <c r="C278" t="inlineStr">
        <is>
          <t>Select Group</t>
        </is>
      </c>
      <c r="D278" t="inlineStr">
        <is>
          <t>Dubai Marina</t>
        </is>
      </c>
      <c r="E278" t="inlineStr">
        <is>
          <t>Apartments</t>
        </is>
      </c>
      <c r="F278" s="7" t="inlineStr">
        <is>
          <t>Marina / Prime</t>
        </is>
      </c>
      <c r="G278" t="inlineStr">
        <is>
          <t>Resale (2.5M+)</t>
        </is>
      </c>
      <c r="H278" t="inlineStr">
        <is>
          <t>2200</t>
        </is>
      </c>
      <c r="I278" t="inlineStr">
        <is>
          <t>25</t>
        </is>
      </c>
      <c r="J278" t="inlineStr">
        <is>
          <t>Completed</t>
        </is>
      </c>
      <c r="K278" t="inlineStr">
        <is>
          <t>2016</t>
        </is>
      </c>
      <c r="L278" t="inlineStr">
        <is>
          <t>6.0-6.5</t>
        </is>
      </c>
      <c r="M278" t="inlineStr">
        <is>
          <t>5-7</t>
        </is>
      </c>
      <c r="N278" t="inlineStr">
        <is>
          <t>11.0-13.5</t>
        </is>
      </c>
      <c r="O278" s="7" t="inlineStr">
        <is>
          <t>American Univ. Dubai</t>
        </is>
      </c>
      <c r="P278" s="7" t="inlineStr">
        <is>
          <t>Saudi German Hospital</t>
        </is>
      </c>
      <c r="Q278" s="7" t="inlineStr">
        <is>
          <t>Dubai Marina Mall</t>
        </is>
      </c>
      <c r="R278" s="7" t="inlineStr">
        <is>
          <t>Sheikh Zayed E11</t>
        </is>
      </c>
      <c r="S278" t="inlineStr">
        <is>
          <t>20</t>
        </is>
      </c>
      <c r="T278" t="inlineStr">
        <is>
          <t>2</t>
        </is>
      </c>
      <c r="U278" t="inlineStr">
        <is>
          <t>25</t>
        </is>
      </c>
      <c r="V278" t="inlineStr">
        <is>
          <t>30</t>
        </is>
      </c>
      <c r="W278" t="n">
        <v>2</v>
      </c>
      <c r="X278" s="12" t="n">
        <v>2500000</v>
      </c>
      <c r="Y278" s="12" t="n">
        <v>2500000</v>
      </c>
      <c r="Z278" s="9" t="n">
        <v>6</v>
      </c>
      <c r="AA278" s="9" t="n">
        <v>6.5</v>
      </c>
      <c r="AB278" s="9" t="n">
        <v>5</v>
      </c>
      <c r="AC278" s="9" t="n">
        <v>7</v>
      </c>
      <c r="AD278" s="9" t="n">
        <v>11</v>
      </c>
      <c r="AE278" s="9" t="n">
        <v>13.5</v>
      </c>
      <c r="AF278" t="n">
        <v>2016</v>
      </c>
      <c r="AH278" t="inlineStr">
        <is>
          <t>Apartment</t>
        </is>
      </c>
      <c r="AI278" t="inlineStr">
        <is>
          <t>Prime</t>
        </is>
      </c>
      <c r="AJ278" t="inlineStr">
        <is>
          <t>Established</t>
        </is>
      </c>
      <c r="AK278" t="inlineStr">
        <is>
          <t>Prime resilient / selective</t>
        </is>
      </c>
      <c r="AL278" s="7" t="inlineStr">
        <is>
          <t>Better support from quality, branding, and scarcer prime stock; still entry-price sensitive.</t>
        </is>
      </c>
      <c r="AM278" s="9" t="n">
        <v>6</v>
      </c>
      <c r="AN278" s="9" t="n">
        <v>6.25</v>
      </c>
      <c r="AO278" s="10" t="n">
        <v>0.55</v>
      </c>
      <c r="AP278" s="13" t="n">
        <v>0.02</v>
      </c>
      <c r="AQ278" s="13" t="n">
        <v>0</v>
      </c>
      <c r="AR278" s="13" t="n">
        <v>0</v>
      </c>
      <c r="AS278" s="13" t="n">
        <v>0.03</v>
      </c>
      <c r="AT278" s="13" t="n">
        <v>0</v>
      </c>
      <c r="AU278" s="13" t="n">
        <v>0.0025</v>
      </c>
      <c r="AV278" s="13" t="n">
        <v>-0.005</v>
      </c>
      <c r="AW278" s="13">
        <f>IF(X278="","",(AM278/100*AO278)+AP278+AQ278+AR278)</f>
        <v/>
      </c>
      <c r="AX278" s="13">
        <f>IF(X278="","",AS278+AT278+AU278+AV278)</f>
        <v/>
      </c>
      <c r="AY278" s="12">
        <f>IF(AZ278="","",ROUND(AZ278*(1+Assumptions!$B$10),0))</f>
        <v/>
      </c>
      <c r="AZ278" s="12">
        <f>IF(X278="","",ROUND(X278*(1+AW278),0))</f>
        <v/>
      </c>
      <c r="BA278" s="12">
        <f>IF(AZ278="","",ROUND(AZ278*(1+Assumptions!$B$11),0))</f>
        <v/>
      </c>
      <c r="BB278" s="12">
        <f>IF(AZ278="","",ROUND(AZ278*(1+AX278+Assumptions!$B$10),0))</f>
        <v/>
      </c>
      <c r="BC278" s="12">
        <f>IF(AZ278="","",ROUND(AZ278*(1+AX278),0))</f>
        <v/>
      </c>
      <c r="BD278" s="12">
        <f>IF(AZ278="","",ROUND(AZ278*(1+AX278+Assumptions!$B$11),0))</f>
        <v/>
      </c>
      <c r="BE278" s="12">
        <f>IF(AZ278="","",ROUND(AZ278*(1+AX278)*(1+AX278),0))</f>
        <v/>
      </c>
      <c r="BF278" s="7" t="inlineStr">
        <is>
          <t>Rules-based enrichment using launch-price anchor, cap-app realization, and 2026 segment conditions.</t>
        </is>
      </c>
      <c r="BG278" t="inlineStr">
        <is>
          <t>2026-03-17</t>
        </is>
      </c>
      <c r="BH278" s="7" t="inlineStr">
        <is>
          <t>DLD / Digital Dubai / CBUAE / Savills / Knight Frank-Moody’s / Reuters</t>
        </is>
      </c>
    </row>
    <row r="279">
      <c r="A279" t="n">
        <v>278</v>
      </c>
      <c r="B279" s="7" t="inlineStr">
        <is>
          <t>Marina Gate 2</t>
        </is>
      </c>
      <c r="C279" t="inlineStr">
        <is>
          <t>Select Group</t>
        </is>
      </c>
      <c r="D279" t="inlineStr">
        <is>
          <t>Dubai Marina</t>
        </is>
      </c>
      <c r="E279" t="inlineStr">
        <is>
          <t>Apartments</t>
        </is>
      </c>
      <c r="F279" s="7" t="inlineStr">
        <is>
          <t>Marina / Prime</t>
        </is>
      </c>
      <c r="G279" t="inlineStr">
        <is>
          <t>Resale (2.5M+)</t>
        </is>
      </c>
      <c r="H279" t="inlineStr">
        <is>
          <t>2200</t>
        </is>
      </c>
      <c r="I279" t="inlineStr">
        <is>
          <t>25</t>
        </is>
      </c>
      <c r="J279" t="inlineStr">
        <is>
          <t>Completed</t>
        </is>
      </c>
      <c r="K279" t="inlineStr">
        <is>
          <t>2018</t>
        </is>
      </c>
      <c r="L279" t="inlineStr">
        <is>
          <t>6.0-6.5</t>
        </is>
      </c>
      <c r="M279" t="inlineStr">
        <is>
          <t>5-7</t>
        </is>
      </c>
      <c r="N279" t="inlineStr">
        <is>
          <t>11.0-13.5</t>
        </is>
      </c>
      <c r="O279" s="7" t="inlineStr">
        <is>
          <t>American Univ. Dubai</t>
        </is>
      </c>
      <c r="P279" s="7" t="inlineStr">
        <is>
          <t>Saudi German Hospital</t>
        </is>
      </c>
      <c r="Q279" s="7" t="inlineStr">
        <is>
          <t>Dubai Marina Mall</t>
        </is>
      </c>
      <c r="R279" s="7" t="inlineStr">
        <is>
          <t>Sheikh Zayed E11</t>
        </is>
      </c>
      <c r="S279" t="inlineStr">
        <is>
          <t>20</t>
        </is>
      </c>
      <c r="T279" t="inlineStr">
        <is>
          <t>2</t>
        </is>
      </c>
      <c r="U279" t="inlineStr">
        <is>
          <t>25</t>
        </is>
      </c>
      <c r="V279" t="inlineStr">
        <is>
          <t>30</t>
        </is>
      </c>
      <c r="W279" t="n">
        <v>2</v>
      </c>
      <c r="X279" s="12" t="n">
        <v>2500000</v>
      </c>
      <c r="Y279" s="12" t="n">
        <v>2500000</v>
      </c>
      <c r="Z279" s="9" t="n">
        <v>6</v>
      </c>
      <c r="AA279" s="9" t="n">
        <v>6.5</v>
      </c>
      <c r="AB279" s="9" t="n">
        <v>5</v>
      </c>
      <c r="AC279" s="9" t="n">
        <v>7</v>
      </c>
      <c r="AD279" s="9" t="n">
        <v>11</v>
      </c>
      <c r="AE279" s="9" t="n">
        <v>13.5</v>
      </c>
      <c r="AF279" t="n">
        <v>2018</v>
      </c>
      <c r="AH279" t="inlineStr">
        <is>
          <t>Apartment</t>
        </is>
      </c>
      <c r="AI279" t="inlineStr">
        <is>
          <t>Prime</t>
        </is>
      </c>
      <c r="AJ279" t="inlineStr">
        <is>
          <t>Established</t>
        </is>
      </c>
      <c r="AK279" t="inlineStr">
        <is>
          <t>Prime resilient / selective</t>
        </is>
      </c>
      <c r="AL279" s="7" t="inlineStr">
        <is>
          <t>Better support from quality, branding, and scarcer prime stock; still entry-price sensitive.</t>
        </is>
      </c>
      <c r="AM279" s="9" t="n">
        <v>6</v>
      </c>
      <c r="AN279" s="9" t="n">
        <v>6.25</v>
      </c>
      <c r="AO279" s="10" t="n">
        <v>0.55</v>
      </c>
      <c r="AP279" s="13" t="n">
        <v>0.02</v>
      </c>
      <c r="AQ279" s="13" t="n">
        <v>0</v>
      </c>
      <c r="AR279" s="13" t="n">
        <v>0</v>
      </c>
      <c r="AS279" s="13" t="n">
        <v>0.03</v>
      </c>
      <c r="AT279" s="13" t="n">
        <v>0</v>
      </c>
      <c r="AU279" s="13" t="n">
        <v>0.0025</v>
      </c>
      <c r="AV279" s="13" t="n">
        <v>-0.005</v>
      </c>
      <c r="AW279" s="13">
        <f>IF(X279="","",(AM279/100*AO279)+AP279+AQ279+AR279)</f>
        <v/>
      </c>
      <c r="AX279" s="13">
        <f>IF(X279="","",AS279+AT279+AU279+AV279)</f>
        <v/>
      </c>
      <c r="AY279" s="12">
        <f>IF(AZ279="","",ROUND(AZ279*(1+Assumptions!$B$10),0))</f>
        <v/>
      </c>
      <c r="AZ279" s="12">
        <f>IF(X279="","",ROUND(X279*(1+AW279),0))</f>
        <v/>
      </c>
      <c r="BA279" s="12">
        <f>IF(AZ279="","",ROUND(AZ279*(1+Assumptions!$B$11),0))</f>
        <v/>
      </c>
      <c r="BB279" s="12">
        <f>IF(AZ279="","",ROUND(AZ279*(1+AX279+Assumptions!$B$10),0))</f>
        <v/>
      </c>
      <c r="BC279" s="12">
        <f>IF(AZ279="","",ROUND(AZ279*(1+AX279),0))</f>
        <v/>
      </c>
      <c r="BD279" s="12">
        <f>IF(AZ279="","",ROUND(AZ279*(1+AX279+Assumptions!$B$11),0))</f>
        <v/>
      </c>
      <c r="BE279" s="12">
        <f>IF(AZ279="","",ROUND(AZ279*(1+AX279)*(1+AX279),0))</f>
        <v/>
      </c>
      <c r="BF279" s="7" t="inlineStr">
        <is>
          <t>Rules-based enrichment using launch-price anchor, cap-app realization, and 2026 segment conditions.</t>
        </is>
      </c>
      <c r="BG279" t="inlineStr">
        <is>
          <t>2026-03-17</t>
        </is>
      </c>
      <c r="BH279" s="7" t="inlineStr">
        <is>
          <t>DLD / Digital Dubai / CBUAE / Savills / Knight Frank-Moody’s / Reuters</t>
        </is>
      </c>
    </row>
    <row r="280">
      <c r="A280" t="n">
        <v>279</v>
      </c>
      <c r="B280" s="7" t="inlineStr">
        <is>
          <t>Jumeirah Living Marina Gate</t>
        </is>
      </c>
      <c r="C280" t="inlineStr">
        <is>
          <t>Select Group</t>
        </is>
      </c>
      <c r="D280" t="inlineStr">
        <is>
          <t>Dubai Marina</t>
        </is>
      </c>
      <c r="E280" t="inlineStr">
        <is>
          <t>Branded Apts</t>
        </is>
      </c>
      <c r="F280" s="7" t="inlineStr">
        <is>
          <t>Luxury / Service</t>
        </is>
      </c>
      <c r="G280" t="inlineStr">
        <is>
          <t>Resale (3.5M+)</t>
        </is>
      </c>
      <c r="H280" t="inlineStr">
        <is>
          <t>3000</t>
        </is>
      </c>
      <c r="I280" t="inlineStr">
        <is>
          <t>30</t>
        </is>
      </c>
      <c r="J280" t="inlineStr">
        <is>
          <t>Completed</t>
        </is>
      </c>
      <c r="K280" t="inlineStr">
        <is>
          <t>2020</t>
        </is>
      </c>
      <c r="L280" t="inlineStr">
        <is>
          <t>5.5-6.0</t>
        </is>
      </c>
      <c r="M280" t="inlineStr">
        <is>
          <t>5-7</t>
        </is>
      </c>
      <c r="N280" t="inlineStr">
        <is>
          <t>10.5-13.0</t>
        </is>
      </c>
      <c r="O280" s="7" t="inlineStr">
        <is>
          <t>American Univ. Dubai</t>
        </is>
      </c>
      <c r="P280" s="7" t="inlineStr">
        <is>
          <t>Saudi German Hospital</t>
        </is>
      </c>
      <c r="Q280" s="7" t="inlineStr">
        <is>
          <t>Dubai Marina Mall</t>
        </is>
      </c>
      <c r="R280" s="7" t="inlineStr">
        <is>
          <t>Sheikh Zayed E11</t>
        </is>
      </c>
      <c r="S280" t="inlineStr">
        <is>
          <t>20</t>
        </is>
      </c>
      <c r="T280" t="inlineStr">
        <is>
          <t>2</t>
        </is>
      </c>
      <c r="U280" t="inlineStr">
        <is>
          <t>25</t>
        </is>
      </c>
      <c r="V280" t="inlineStr">
        <is>
          <t>30</t>
        </is>
      </c>
      <c r="W280" t="n">
        <v>2</v>
      </c>
      <c r="X280" s="12" t="n">
        <v>3500000</v>
      </c>
      <c r="Y280" s="12" t="n">
        <v>3500000</v>
      </c>
      <c r="Z280" s="9" t="n">
        <v>5.5</v>
      </c>
      <c r="AA280" s="9" t="n">
        <v>6</v>
      </c>
      <c r="AB280" s="9" t="n">
        <v>5</v>
      </c>
      <c r="AC280" s="9" t="n">
        <v>7</v>
      </c>
      <c r="AD280" s="9" t="n">
        <v>10.5</v>
      </c>
      <c r="AE280" s="9" t="n">
        <v>13</v>
      </c>
      <c r="AF280" t="n">
        <v>2020</v>
      </c>
      <c r="AH280" t="inlineStr">
        <is>
          <t>Apartment</t>
        </is>
      </c>
      <c r="AI280" t="inlineStr">
        <is>
          <t>Prime</t>
        </is>
      </c>
      <c r="AJ280" t="inlineStr">
        <is>
          <t>Established</t>
        </is>
      </c>
      <c r="AK280" t="inlineStr">
        <is>
          <t>Prime resilient / selective</t>
        </is>
      </c>
      <c r="AL280" s="7" t="inlineStr">
        <is>
          <t>Better support from quality, branding, and scarcer prime stock; still entry-price sensitive.</t>
        </is>
      </c>
      <c r="AM280" s="9" t="n">
        <v>6</v>
      </c>
      <c r="AN280" s="9" t="n">
        <v>5.75</v>
      </c>
      <c r="AO280" s="10" t="n">
        <v>0.55</v>
      </c>
      <c r="AP280" s="13" t="n">
        <v>0.02</v>
      </c>
      <c r="AQ280" s="13" t="n">
        <v>0</v>
      </c>
      <c r="AR280" s="13" t="n">
        <v>0</v>
      </c>
      <c r="AS280" s="13" t="n">
        <v>0.03</v>
      </c>
      <c r="AT280" s="13" t="n">
        <v>0</v>
      </c>
      <c r="AU280" s="13" t="n">
        <v>0</v>
      </c>
      <c r="AV280" s="13" t="n">
        <v>-0.005</v>
      </c>
      <c r="AW280" s="13">
        <f>IF(X280="","",(AM280/100*AO280)+AP280+AQ280+AR280)</f>
        <v/>
      </c>
      <c r="AX280" s="13">
        <f>IF(X280="","",AS280+AT280+AU280+AV280)</f>
        <v/>
      </c>
      <c r="AY280" s="12">
        <f>IF(AZ280="","",ROUND(AZ280*(1+Assumptions!$B$10),0))</f>
        <v/>
      </c>
      <c r="AZ280" s="12">
        <f>IF(X280="","",ROUND(X280*(1+AW280),0))</f>
        <v/>
      </c>
      <c r="BA280" s="12">
        <f>IF(AZ280="","",ROUND(AZ280*(1+Assumptions!$B$11),0))</f>
        <v/>
      </c>
      <c r="BB280" s="12">
        <f>IF(AZ280="","",ROUND(AZ280*(1+AX280+Assumptions!$B$10),0))</f>
        <v/>
      </c>
      <c r="BC280" s="12">
        <f>IF(AZ280="","",ROUND(AZ280*(1+AX280),0))</f>
        <v/>
      </c>
      <c r="BD280" s="12">
        <f>IF(AZ280="","",ROUND(AZ280*(1+AX280+Assumptions!$B$11),0))</f>
        <v/>
      </c>
      <c r="BE280" s="12">
        <f>IF(AZ280="","",ROUND(AZ280*(1+AX280)*(1+AX280),0))</f>
        <v/>
      </c>
      <c r="BF280" s="7" t="inlineStr">
        <is>
          <t>Rules-based enrichment using launch-price anchor, cap-app realization, and 2026 segment conditions.</t>
        </is>
      </c>
      <c r="BG280" t="inlineStr">
        <is>
          <t>2026-03-17</t>
        </is>
      </c>
      <c r="BH280" s="7" t="inlineStr">
        <is>
          <t>DLD / Digital Dubai / CBUAE / Savills / Knight Frank-Moody’s / Reuters</t>
        </is>
      </c>
    </row>
    <row r="281">
      <c r="A281" t="n">
        <v>280</v>
      </c>
      <c r="B281" s="7" t="inlineStr">
        <is>
          <t>Studio One</t>
        </is>
      </c>
      <c r="C281" t="inlineStr">
        <is>
          <t>Select Group</t>
        </is>
      </c>
      <c r="D281" t="inlineStr">
        <is>
          <t>Dubai Marina</t>
        </is>
      </c>
      <c r="E281" t="inlineStr">
        <is>
          <t>Apartments</t>
        </is>
      </c>
      <c r="F281" s="7" t="inlineStr">
        <is>
          <t>Studio/1Bed Focus</t>
        </is>
      </c>
      <c r="G281" t="inlineStr">
        <is>
          <t>Resale (1.1M+)</t>
        </is>
      </c>
      <c r="H281" t="inlineStr">
        <is>
          <t>1800</t>
        </is>
      </c>
      <c r="I281" t="inlineStr">
        <is>
          <t>20</t>
        </is>
      </c>
      <c r="J281" t="inlineStr">
        <is>
          <t>Completed</t>
        </is>
      </c>
      <c r="K281" t="inlineStr">
        <is>
          <t>2019</t>
        </is>
      </c>
      <c r="L281" t="inlineStr">
        <is>
          <t>6.5-7.5</t>
        </is>
      </c>
      <c r="M281" t="inlineStr">
        <is>
          <t>5-7</t>
        </is>
      </c>
      <c r="N281" t="inlineStr">
        <is>
          <t>11.5-14.5</t>
        </is>
      </c>
      <c r="O281" s="7" t="inlineStr">
        <is>
          <t>American Univ. Dubai</t>
        </is>
      </c>
      <c r="P281" s="7" t="inlineStr">
        <is>
          <t>Saudi German Hospital</t>
        </is>
      </c>
      <c r="Q281" s="7" t="inlineStr">
        <is>
          <t>Dubai Marina Mall</t>
        </is>
      </c>
      <c r="R281" s="7" t="inlineStr">
        <is>
          <t>Sheikh Zayed E11</t>
        </is>
      </c>
      <c r="S281" t="inlineStr">
        <is>
          <t>20</t>
        </is>
      </c>
      <c r="T281" t="inlineStr">
        <is>
          <t>2</t>
        </is>
      </c>
      <c r="U281" t="inlineStr">
        <is>
          <t>25</t>
        </is>
      </c>
      <c r="V281" t="inlineStr">
        <is>
          <t>30</t>
        </is>
      </c>
      <c r="W281" t="n">
        <v>2</v>
      </c>
      <c r="X281" s="12" t="n">
        <v>1100000</v>
      </c>
      <c r="Y281" s="12" t="n">
        <v>1100000</v>
      </c>
      <c r="Z281" s="9" t="n">
        <v>6.5</v>
      </c>
      <c r="AA281" s="9" t="n">
        <v>7.5</v>
      </c>
      <c r="AB281" s="9" t="n">
        <v>5</v>
      </c>
      <c r="AC281" s="9" t="n">
        <v>7</v>
      </c>
      <c r="AD281" s="9" t="n">
        <v>11.5</v>
      </c>
      <c r="AE281" s="9" t="n">
        <v>14.5</v>
      </c>
      <c r="AF281" t="n">
        <v>2019</v>
      </c>
      <c r="AH281" t="inlineStr">
        <is>
          <t>Apartment</t>
        </is>
      </c>
      <c r="AI281" t="inlineStr">
        <is>
          <t>Prime</t>
        </is>
      </c>
      <c r="AJ281" t="inlineStr">
        <is>
          <t>Established</t>
        </is>
      </c>
      <c r="AK281" t="inlineStr">
        <is>
          <t>Prime resilient / selective</t>
        </is>
      </c>
      <c r="AL281" s="7" t="inlineStr">
        <is>
          <t>Better support from quality, branding, and scarcer prime stock; still entry-price sensitive.</t>
        </is>
      </c>
      <c r="AM281" s="9" t="n">
        <v>6</v>
      </c>
      <c r="AN281" s="9" t="n">
        <v>7</v>
      </c>
      <c r="AO281" s="10" t="n">
        <v>0.55</v>
      </c>
      <c r="AP281" s="13" t="n">
        <v>0.02</v>
      </c>
      <c r="AQ281" s="13" t="n">
        <v>0</v>
      </c>
      <c r="AR281" s="13" t="n">
        <v>0</v>
      </c>
      <c r="AS281" s="13" t="n">
        <v>0.03</v>
      </c>
      <c r="AT281" s="13" t="n">
        <v>0</v>
      </c>
      <c r="AU281" s="13" t="n">
        <v>0.0025</v>
      </c>
      <c r="AV281" s="13" t="n">
        <v>-0.005</v>
      </c>
      <c r="AW281" s="13">
        <f>IF(X281="","",(AM281/100*AO281)+AP281+AQ281+AR281)</f>
        <v/>
      </c>
      <c r="AX281" s="13">
        <f>IF(X281="","",AS281+AT281+AU281+AV281)</f>
        <v/>
      </c>
      <c r="AY281" s="12">
        <f>IF(AZ281="","",ROUND(AZ281*(1+Assumptions!$B$10),0))</f>
        <v/>
      </c>
      <c r="AZ281" s="12">
        <f>IF(X281="","",ROUND(X281*(1+AW281),0))</f>
        <v/>
      </c>
      <c r="BA281" s="12">
        <f>IF(AZ281="","",ROUND(AZ281*(1+Assumptions!$B$11),0))</f>
        <v/>
      </c>
      <c r="BB281" s="12">
        <f>IF(AZ281="","",ROUND(AZ281*(1+AX281+Assumptions!$B$10),0))</f>
        <v/>
      </c>
      <c r="BC281" s="12">
        <f>IF(AZ281="","",ROUND(AZ281*(1+AX281),0))</f>
        <v/>
      </c>
      <c r="BD281" s="12">
        <f>IF(AZ281="","",ROUND(AZ281*(1+AX281+Assumptions!$B$11),0))</f>
        <v/>
      </c>
      <c r="BE281" s="12">
        <f>IF(AZ281="","",ROUND(AZ281*(1+AX281)*(1+AX281),0))</f>
        <v/>
      </c>
      <c r="BF281" s="7" t="inlineStr">
        <is>
          <t>Rules-based enrichment using launch-price anchor, cap-app realization, and 2026 segment conditions.</t>
        </is>
      </c>
      <c r="BG281" t="inlineStr">
        <is>
          <t>2026-03-17</t>
        </is>
      </c>
      <c r="BH281" s="7" t="inlineStr">
        <is>
          <t>DLD / Digital Dubai / CBUAE / Savills / Knight Frank-Moody’s / Reuters</t>
        </is>
      </c>
    </row>
    <row r="282">
      <c r="A282" t="n">
        <v>281</v>
      </c>
      <c r="B282" s="7" t="inlineStr">
        <is>
          <t>The Torch</t>
        </is>
      </c>
      <c r="C282" t="inlineStr">
        <is>
          <t>Select Group</t>
        </is>
      </c>
      <c r="D282" t="inlineStr">
        <is>
          <t>Dubai Marina</t>
        </is>
      </c>
      <c r="E282" t="inlineStr">
        <is>
          <t>Apartments</t>
        </is>
      </c>
      <c r="F282" s="7" t="inlineStr">
        <is>
          <t>High-Rise</t>
        </is>
      </c>
      <c r="G282" t="inlineStr">
        <is>
          <t>Resale</t>
        </is>
      </c>
      <c r="H282" t="inlineStr">
        <is>
          <t>1400</t>
        </is>
      </c>
      <c r="I282" t="inlineStr">
        <is>
          <t>20</t>
        </is>
      </c>
      <c r="J282" t="inlineStr">
        <is>
          <t>Completed</t>
        </is>
      </c>
      <c r="K282" t="inlineStr">
        <is>
          <t>2011</t>
        </is>
      </c>
      <c r="L282" t="inlineStr">
        <is>
          <t>7.0-7.5</t>
        </is>
      </c>
      <c r="M282" t="inlineStr">
        <is>
          <t>4-6</t>
        </is>
      </c>
      <c r="N282" t="inlineStr">
        <is>
          <t>11.0-13.5</t>
        </is>
      </c>
      <c r="O282" s="7" t="inlineStr">
        <is>
          <t>American Univ. Dubai</t>
        </is>
      </c>
      <c r="P282" s="7" t="inlineStr">
        <is>
          <t>Saudi German Hospital</t>
        </is>
      </c>
      <c r="Q282" s="7" t="inlineStr">
        <is>
          <t>Dubai Marina Mall</t>
        </is>
      </c>
      <c r="R282" s="7" t="inlineStr">
        <is>
          <t>Sheikh Zayed E11</t>
        </is>
      </c>
      <c r="S282" t="inlineStr">
        <is>
          <t>20</t>
        </is>
      </c>
      <c r="T282" t="inlineStr">
        <is>
          <t>2</t>
        </is>
      </c>
      <c r="U282" t="inlineStr">
        <is>
          <t>25</t>
        </is>
      </c>
      <c r="V282" t="inlineStr">
        <is>
          <t>30</t>
        </is>
      </c>
      <c r="W282" t="n">
        <v>2</v>
      </c>
      <c r="X282" s="12" t="n"/>
      <c r="Y282" s="12" t="n"/>
      <c r="Z282" s="9" t="n">
        <v>7</v>
      </c>
      <c r="AA282" s="9" t="n">
        <v>7.5</v>
      </c>
      <c r="AB282" s="9" t="n">
        <v>4</v>
      </c>
      <c r="AC282" s="9" t="n">
        <v>6</v>
      </c>
      <c r="AD282" s="9" t="n">
        <v>11</v>
      </c>
      <c r="AE282" s="9" t="n">
        <v>13.5</v>
      </c>
      <c r="AF282" t="n">
        <v>2011</v>
      </c>
      <c r="AH282" t="inlineStr">
        <is>
          <t>Apartment</t>
        </is>
      </c>
      <c r="AI282" t="inlineStr">
        <is>
          <t>Prime</t>
        </is>
      </c>
      <c r="AJ282" t="inlineStr">
        <is>
          <t>Established</t>
        </is>
      </c>
      <c r="AK282" t="inlineStr">
        <is>
          <t>Prime resilient / selective</t>
        </is>
      </c>
      <c r="AL282" s="7" t="inlineStr">
        <is>
          <t>Better support from quality, branding, and scarcer prime stock; still entry-price sensitive.</t>
        </is>
      </c>
      <c r="AM282" s="9" t="n">
        <v>5</v>
      </c>
      <c r="AN282" s="9" t="n">
        <v>7.25</v>
      </c>
      <c r="AO282" s="10" t="n">
        <v>0.55</v>
      </c>
      <c r="AP282" s="13" t="n">
        <v>0.02</v>
      </c>
      <c r="AQ282" s="13" t="n">
        <v>0</v>
      </c>
      <c r="AR282" s="13" t="n">
        <v>0</v>
      </c>
      <c r="AS282" s="13" t="n">
        <v>0.03</v>
      </c>
      <c r="AT282" s="13" t="n">
        <v>0</v>
      </c>
      <c r="AU282" s="13" t="n">
        <v>0.0025</v>
      </c>
      <c r="AV282" s="13" t="n">
        <v>-0.005</v>
      </c>
      <c r="AW282" s="13">
        <f>IF(X282="","",(AM282/100*AO282)+AP282+AQ282+AR282)</f>
        <v/>
      </c>
      <c r="AX282" s="13">
        <f>IF(X282="","",AS282+AT282+AU282+AV282)</f>
        <v/>
      </c>
      <c r="AY282" s="12">
        <f>IF(AZ282="","",ROUND(AZ282*(1+Assumptions!$B$10),0))</f>
        <v/>
      </c>
      <c r="AZ282" s="12">
        <f>IF(X282="","",ROUND(X282*(1+AW282),0))</f>
        <v/>
      </c>
      <c r="BA282" s="12">
        <f>IF(AZ282="","",ROUND(AZ282*(1+Assumptions!$B$11),0))</f>
        <v/>
      </c>
      <c r="BB282" s="12">
        <f>IF(AZ282="","",ROUND(AZ282*(1+AX282+Assumptions!$B$10),0))</f>
        <v/>
      </c>
      <c r="BC282" s="12">
        <f>IF(AZ282="","",ROUND(AZ282*(1+AX282),0))</f>
        <v/>
      </c>
      <c r="BD282" s="12">
        <f>IF(AZ282="","",ROUND(AZ282*(1+AX282+Assumptions!$B$11),0))</f>
        <v/>
      </c>
      <c r="BE282" s="12">
        <f>IF(AZ282="","",ROUND(AZ282*(1+AX282)*(1+AX282),0))</f>
        <v/>
      </c>
      <c r="BF282" s="7" t="inlineStr">
        <is>
          <t>Rules-based enrichment using launch-price anchor, cap-app realization, and 2026 segment conditions.</t>
        </is>
      </c>
      <c r="BG282" t="inlineStr">
        <is>
          <t>2026-03-17</t>
        </is>
      </c>
      <c r="BH282" s="7" t="inlineStr">
        <is>
          <t>DLD / Digital Dubai / CBUAE / Savills / Knight Frank-Moody’s / Reuters</t>
        </is>
      </c>
    </row>
    <row r="283">
      <c r="A283" t="n">
        <v>282</v>
      </c>
      <c r="B283" s="7" t="inlineStr">
        <is>
          <t>No.9</t>
        </is>
      </c>
      <c r="C283" t="inlineStr">
        <is>
          <t>Select Group</t>
        </is>
      </c>
      <c r="D283" t="inlineStr">
        <is>
          <t>Dubai Marina</t>
        </is>
      </c>
      <c r="E283" t="inlineStr">
        <is>
          <t>Apartments</t>
        </is>
      </c>
      <c r="F283" s="7" t="inlineStr">
        <is>
          <t>Waterfront</t>
        </is>
      </c>
      <c r="G283" t="inlineStr">
        <is>
          <t>Resale</t>
        </is>
      </c>
      <c r="H283" t="inlineStr">
        <is>
          <t>1600</t>
        </is>
      </c>
      <c r="I283" t="inlineStr">
        <is>
          <t>20</t>
        </is>
      </c>
      <c r="J283" t="inlineStr">
        <is>
          <t>Completed</t>
        </is>
      </c>
      <c r="K283" t="inlineStr">
        <is>
          <t>2018</t>
        </is>
      </c>
      <c r="L283" t="inlineStr">
        <is>
          <t>6.5-7.0</t>
        </is>
      </c>
      <c r="M283" t="inlineStr">
        <is>
          <t>5-7</t>
        </is>
      </c>
      <c r="N283" t="inlineStr">
        <is>
          <t>11.5-14.0</t>
        </is>
      </c>
      <c r="O283" s="7" t="inlineStr">
        <is>
          <t>American Univ. Dubai</t>
        </is>
      </c>
      <c r="P283" s="7" t="inlineStr">
        <is>
          <t>Saudi German Hospital</t>
        </is>
      </c>
      <c r="Q283" s="7" t="inlineStr">
        <is>
          <t>Dubai Marina Mall</t>
        </is>
      </c>
      <c r="R283" s="7" t="inlineStr">
        <is>
          <t>Sheikh Zayed E11</t>
        </is>
      </c>
      <c r="S283" t="inlineStr">
        <is>
          <t>20</t>
        </is>
      </c>
      <c r="T283" t="inlineStr">
        <is>
          <t>2</t>
        </is>
      </c>
      <c r="U283" t="inlineStr">
        <is>
          <t>25</t>
        </is>
      </c>
      <c r="V283" t="inlineStr">
        <is>
          <t>30</t>
        </is>
      </c>
      <c r="W283" t="n">
        <v>2</v>
      </c>
      <c r="X283" s="12" t="n"/>
      <c r="Y283" s="12" t="n"/>
      <c r="Z283" s="9" t="n">
        <v>6.5</v>
      </c>
      <c r="AA283" s="9" t="n">
        <v>7</v>
      </c>
      <c r="AB283" s="9" t="n">
        <v>5</v>
      </c>
      <c r="AC283" s="9" t="n">
        <v>7</v>
      </c>
      <c r="AD283" s="9" t="n">
        <v>11.5</v>
      </c>
      <c r="AE283" s="9" t="n">
        <v>14</v>
      </c>
      <c r="AF283" t="n">
        <v>2018</v>
      </c>
      <c r="AH283" t="inlineStr">
        <is>
          <t>Apartment</t>
        </is>
      </c>
      <c r="AI283" t="inlineStr">
        <is>
          <t>Prime</t>
        </is>
      </c>
      <c r="AJ283" t="inlineStr">
        <is>
          <t>Established</t>
        </is>
      </c>
      <c r="AK283" t="inlineStr">
        <is>
          <t>Prime resilient / selective</t>
        </is>
      </c>
      <c r="AL283" s="7" t="inlineStr">
        <is>
          <t>Better support from quality, branding, and scarcer prime stock; still entry-price sensitive.</t>
        </is>
      </c>
      <c r="AM283" s="9" t="n">
        <v>6</v>
      </c>
      <c r="AN283" s="9" t="n">
        <v>6.75</v>
      </c>
      <c r="AO283" s="10" t="n">
        <v>0.55</v>
      </c>
      <c r="AP283" s="13" t="n">
        <v>0.02</v>
      </c>
      <c r="AQ283" s="13" t="n">
        <v>0</v>
      </c>
      <c r="AR283" s="13" t="n">
        <v>0</v>
      </c>
      <c r="AS283" s="13" t="n">
        <v>0.03</v>
      </c>
      <c r="AT283" s="13" t="n">
        <v>0</v>
      </c>
      <c r="AU283" s="13" t="n">
        <v>0.0025</v>
      </c>
      <c r="AV283" s="13" t="n">
        <v>-0.005</v>
      </c>
      <c r="AW283" s="13">
        <f>IF(X283="","",(AM283/100*AO283)+AP283+AQ283+AR283)</f>
        <v/>
      </c>
      <c r="AX283" s="13">
        <f>IF(X283="","",AS283+AT283+AU283+AV283)</f>
        <v/>
      </c>
      <c r="AY283" s="12">
        <f>IF(AZ283="","",ROUND(AZ283*(1+Assumptions!$B$10),0))</f>
        <v/>
      </c>
      <c r="AZ283" s="12">
        <f>IF(X283="","",ROUND(X283*(1+AW283),0))</f>
        <v/>
      </c>
      <c r="BA283" s="12">
        <f>IF(AZ283="","",ROUND(AZ283*(1+Assumptions!$B$11),0))</f>
        <v/>
      </c>
      <c r="BB283" s="12">
        <f>IF(AZ283="","",ROUND(AZ283*(1+AX283+Assumptions!$B$10),0))</f>
        <v/>
      </c>
      <c r="BC283" s="12">
        <f>IF(AZ283="","",ROUND(AZ283*(1+AX283),0))</f>
        <v/>
      </c>
      <c r="BD283" s="12">
        <f>IF(AZ283="","",ROUND(AZ283*(1+AX283+Assumptions!$B$11),0))</f>
        <v/>
      </c>
      <c r="BE283" s="12">
        <f>IF(AZ283="","",ROUND(AZ283*(1+AX283)*(1+AX283),0))</f>
        <v/>
      </c>
      <c r="BF283" s="7" t="inlineStr">
        <is>
          <t>Rules-based enrichment using launch-price anchor, cap-app realization, and 2026 segment conditions.</t>
        </is>
      </c>
      <c r="BG283" t="inlineStr">
        <is>
          <t>2026-03-17</t>
        </is>
      </c>
      <c r="BH283" s="7" t="inlineStr">
        <is>
          <t>DLD / Digital Dubai / CBUAE / Savills / Knight Frank-Moody’s / Reuters</t>
        </is>
      </c>
    </row>
    <row r="284">
      <c r="A284" t="n">
        <v>283</v>
      </c>
      <c r="B284" s="7" t="inlineStr">
        <is>
          <t>Botanica</t>
        </is>
      </c>
      <c r="C284" t="inlineStr">
        <is>
          <t>Select Group</t>
        </is>
      </c>
      <c r="D284" t="inlineStr">
        <is>
          <t>Dubai Marina</t>
        </is>
      </c>
      <c r="E284" t="inlineStr">
        <is>
          <t>Apartments</t>
        </is>
      </c>
      <c r="F284" s="7" t="inlineStr">
        <is>
          <t>Green / Tower</t>
        </is>
      </c>
      <c r="G284" t="inlineStr">
        <is>
          <t>Resale</t>
        </is>
      </c>
      <c r="H284" t="inlineStr">
        <is>
          <t>1500</t>
        </is>
      </c>
      <c r="I284" t="inlineStr">
        <is>
          <t>20</t>
        </is>
      </c>
      <c r="J284" t="inlineStr">
        <is>
          <t>Completed</t>
        </is>
      </c>
      <c r="K284" t="inlineStr">
        <is>
          <t>2011</t>
        </is>
      </c>
      <c r="L284" t="inlineStr">
        <is>
          <t>6.5-7.0</t>
        </is>
      </c>
      <c r="M284" t="inlineStr">
        <is>
          <t>4-6</t>
        </is>
      </c>
      <c r="N284" t="inlineStr">
        <is>
          <t>10.5-13.0</t>
        </is>
      </c>
      <c r="O284" s="7" t="inlineStr">
        <is>
          <t>American Univ. Dubai</t>
        </is>
      </c>
      <c r="P284" s="7" t="inlineStr">
        <is>
          <t>Saudi German Hospital</t>
        </is>
      </c>
      <c r="Q284" s="7" t="inlineStr">
        <is>
          <t>Dubai Marina Mall</t>
        </is>
      </c>
      <c r="R284" s="7" t="inlineStr">
        <is>
          <t>Sheikh Zayed E11</t>
        </is>
      </c>
      <c r="S284" t="inlineStr">
        <is>
          <t>20</t>
        </is>
      </c>
      <c r="T284" t="inlineStr">
        <is>
          <t>2</t>
        </is>
      </c>
      <c r="U284" t="inlineStr">
        <is>
          <t>25</t>
        </is>
      </c>
      <c r="V284" t="inlineStr">
        <is>
          <t>30</t>
        </is>
      </c>
      <c r="W284" t="n">
        <v>2</v>
      </c>
      <c r="X284" s="12" t="n"/>
      <c r="Y284" s="12" t="n"/>
      <c r="Z284" s="9" t="n">
        <v>6.5</v>
      </c>
      <c r="AA284" s="9" t="n">
        <v>7</v>
      </c>
      <c r="AB284" s="9" t="n">
        <v>4</v>
      </c>
      <c r="AC284" s="9" t="n">
        <v>6</v>
      </c>
      <c r="AD284" s="9" t="n">
        <v>10.5</v>
      </c>
      <c r="AE284" s="9" t="n">
        <v>13</v>
      </c>
      <c r="AF284" t="n">
        <v>2011</v>
      </c>
      <c r="AH284" t="inlineStr">
        <is>
          <t>Apartment</t>
        </is>
      </c>
      <c r="AI284" t="inlineStr">
        <is>
          <t>Prime</t>
        </is>
      </c>
      <c r="AJ284" t="inlineStr">
        <is>
          <t>Established</t>
        </is>
      </c>
      <c r="AK284" t="inlineStr">
        <is>
          <t>Prime resilient / selective</t>
        </is>
      </c>
      <c r="AL284" s="7" t="inlineStr">
        <is>
          <t>Better support from quality, branding, and scarcer prime stock; still entry-price sensitive.</t>
        </is>
      </c>
      <c r="AM284" s="9" t="n">
        <v>5</v>
      </c>
      <c r="AN284" s="9" t="n">
        <v>6.75</v>
      </c>
      <c r="AO284" s="10" t="n">
        <v>0.55</v>
      </c>
      <c r="AP284" s="13" t="n">
        <v>0.02</v>
      </c>
      <c r="AQ284" s="13" t="n">
        <v>0</v>
      </c>
      <c r="AR284" s="13" t="n">
        <v>0</v>
      </c>
      <c r="AS284" s="13" t="n">
        <v>0.03</v>
      </c>
      <c r="AT284" s="13" t="n">
        <v>0</v>
      </c>
      <c r="AU284" s="13" t="n">
        <v>0.0025</v>
      </c>
      <c r="AV284" s="13" t="n">
        <v>-0.005</v>
      </c>
      <c r="AW284" s="13">
        <f>IF(X284="","",(AM284/100*AO284)+AP284+AQ284+AR284)</f>
        <v/>
      </c>
      <c r="AX284" s="13">
        <f>IF(X284="","",AS284+AT284+AU284+AV284)</f>
        <v/>
      </c>
      <c r="AY284" s="12">
        <f>IF(AZ284="","",ROUND(AZ284*(1+Assumptions!$B$10),0))</f>
        <v/>
      </c>
      <c r="AZ284" s="12">
        <f>IF(X284="","",ROUND(X284*(1+AW284),0))</f>
        <v/>
      </c>
      <c r="BA284" s="12">
        <f>IF(AZ284="","",ROUND(AZ284*(1+Assumptions!$B$11),0))</f>
        <v/>
      </c>
      <c r="BB284" s="12">
        <f>IF(AZ284="","",ROUND(AZ284*(1+AX284+Assumptions!$B$10),0))</f>
        <v/>
      </c>
      <c r="BC284" s="12">
        <f>IF(AZ284="","",ROUND(AZ284*(1+AX284),0))</f>
        <v/>
      </c>
      <c r="BD284" s="12">
        <f>IF(AZ284="","",ROUND(AZ284*(1+AX284+Assumptions!$B$11),0))</f>
        <v/>
      </c>
      <c r="BE284" s="12">
        <f>IF(AZ284="","",ROUND(AZ284*(1+AX284)*(1+AX284),0))</f>
        <v/>
      </c>
      <c r="BF284" s="7" t="inlineStr">
        <is>
          <t>Rules-based enrichment using launch-price anchor, cap-app realization, and 2026 segment conditions.</t>
        </is>
      </c>
      <c r="BG284" t="inlineStr">
        <is>
          <t>2026-03-17</t>
        </is>
      </c>
      <c r="BH284" s="7" t="inlineStr">
        <is>
          <t>DLD / Digital Dubai / CBUAE / Savills / Knight Frank-Moody’s / Reuters</t>
        </is>
      </c>
    </row>
    <row r="285">
      <c r="A285" t="n">
        <v>284</v>
      </c>
      <c r="B285" s="7" t="inlineStr">
        <is>
          <t>Six Senses Residences The Palm</t>
        </is>
      </c>
      <c r="C285" t="inlineStr">
        <is>
          <t>Select Group</t>
        </is>
      </c>
      <c r="D285" t="inlineStr">
        <is>
          <t>Palm Jumeirah</t>
        </is>
      </c>
      <c r="E285" t="inlineStr">
        <is>
          <t>Branded Villas/Apts</t>
        </is>
      </c>
      <c r="F285" s="7" t="inlineStr">
        <is>
          <t>Ultra-Luxury / Wellness</t>
        </is>
      </c>
      <c r="G285" t="inlineStr">
        <is>
          <t>25M+</t>
        </is>
      </c>
      <c r="H285" t="inlineStr">
        <is>
          <t>5000</t>
        </is>
      </c>
      <c r="I285" t="inlineStr">
        <is>
          <t>40+</t>
        </is>
      </c>
      <c r="J285" t="inlineStr">
        <is>
          <t>60/40</t>
        </is>
      </c>
      <c r="K285" t="inlineStr">
        <is>
          <t>2022</t>
        </is>
      </c>
      <c r="L285" t="inlineStr">
        <is>
          <t>3.5-4.0</t>
        </is>
      </c>
      <c r="M285" t="inlineStr">
        <is>
          <t>8-12</t>
        </is>
      </c>
      <c r="N285" t="inlineStr">
        <is>
          <t>11.5-16.0</t>
        </is>
      </c>
      <c r="O285" s="7" t="inlineStr">
        <is>
          <t>Chevalier College</t>
        </is>
      </c>
      <c r="P285" s="7" t="inlineStr">
        <is>
          <t>Emirates Hospital</t>
        </is>
      </c>
      <c r="Q285" s="7" t="inlineStr">
        <is>
          <t>Nakheel Mall</t>
        </is>
      </c>
      <c r="R285" s="7" t="inlineStr">
        <is>
          <t>Sheikh Zayed E11</t>
        </is>
      </c>
      <c r="S285" t="inlineStr">
        <is>
          <t>20</t>
        </is>
      </c>
      <c r="T285" t="inlineStr">
        <is>
          <t>10</t>
        </is>
      </c>
      <c r="U285" t="inlineStr">
        <is>
          <t>25</t>
        </is>
      </c>
      <c r="V285" t="inlineStr">
        <is>
          <t>35</t>
        </is>
      </c>
      <c r="W285" t="n">
        <v>2</v>
      </c>
      <c r="X285" s="12" t="n">
        <v>25000000</v>
      </c>
      <c r="Y285" s="12" t="n">
        <v>25000000</v>
      </c>
      <c r="Z285" s="9" t="n">
        <v>3.5</v>
      </c>
      <c r="AA285" s="9" t="n">
        <v>4</v>
      </c>
      <c r="AB285" s="9" t="n">
        <v>8</v>
      </c>
      <c r="AC285" s="9" t="n">
        <v>12</v>
      </c>
      <c r="AD285" s="9" t="n">
        <v>11.5</v>
      </c>
      <c r="AE285" s="9" t="n">
        <v>16</v>
      </c>
      <c r="AF285" t="n">
        <v>2022</v>
      </c>
      <c r="AH285" t="inlineStr">
        <is>
          <t>Villa</t>
        </is>
      </c>
      <c r="AI285" t="inlineStr">
        <is>
          <t>Prime</t>
        </is>
      </c>
      <c r="AJ285" t="inlineStr">
        <is>
          <t>Established</t>
        </is>
      </c>
      <c r="AK285" t="inlineStr">
        <is>
          <t>Prime resilient / selective</t>
        </is>
      </c>
      <c r="AL285" s="7" t="inlineStr">
        <is>
          <t>Better support from quality, branding, and scarcer prime stock; still entry-price sensitive.</t>
        </is>
      </c>
      <c r="AM285" s="9" t="n">
        <v>10</v>
      </c>
      <c r="AN285" s="9" t="n">
        <v>3.75</v>
      </c>
      <c r="AO285" s="10" t="n">
        <v>0.55</v>
      </c>
      <c r="AP285" s="13" t="n">
        <v>0.02</v>
      </c>
      <c r="AQ285" s="13" t="n">
        <v>0.015</v>
      </c>
      <c r="AR285" s="13" t="n">
        <v>0</v>
      </c>
      <c r="AS285" s="13" t="n">
        <v>0.03</v>
      </c>
      <c r="AT285" s="13" t="n">
        <v>0</v>
      </c>
      <c r="AU285" s="13" t="n">
        <v>0</v>
      </c>
      <c r="AV285" s="13" t="n">
        <v>-0.005</v>
      </c>
      <c r="AW285" s="13">
        <f>IF(X285="","",(AM285/100*AO285)+AP285+AQ285+AR285)</f>
        <v/>
      </c>
      <c r="AX285" s="13">
        <f>IF(X285="","",AS285+AT285+AU285+AV285)</f>
        <v/>
      </c>
      <c r="AY285" s="12">
        <f>IF(AZ285="","",ROUND(AZ285*(1+Assumptions!$B$10),0))</f>
        <v/>
      </c>
      <c r="AZ285" s="12">
        <f>IF(X285="","",ROUND(X285*(1+AW285),0))</f>
        <v/>
      </c>
      <c r="BA285" s="12">
        <f>IF(AZ285="","",ROUND(AZ285*(1+Assumptions!$B$11),0))</f>
        <v/>
      </c>
      <c r="BB285" s="12">
        <f>IF(AZ285="","",ROUND(AZ285*(1+AX285+Assumptions!$B$10),0))</f>
        <v/>
      </c>
      <c r="BC285" s="12">
        <f>IF(AZ285="","",ROUND(AZ285*(1+AX285),0))</f>
        <v/>
      </c>
      <c r="BD285" s="12">
        <f>IF(AZ285="","",ROUND(AZ285*(1+AX285+Assumptions!$B$11),0))</f>
        <v/>
      </c>
      <c r="BE285" s="12">
        <f>IF(AZ285="","",ROUND(AZ285*(1+AX285)*(1+AX285),0))</f>
        <v/>
      </c>
      <c r="BF285" s="7" t="inlineStr">
        <is>
          <t>Rules-based enrichment using launch-price anchor, cap-app realization, and 2026 segment conditions.</t>
        </is>
      </c>
      <c r="BG285" t="inlineStr">
        <is>
          <t>2026-03-17</t>
        </is>
      </c>
      <c r="BH285" s="7" t="inlineStr">
        <is>
          <t>DLD / Digital Dubai / CBUAE / Savills / Knight Frank-Moody’s / Reuters</t>
        </is>
      </c>
    </row>
    <row r="286">
      <c r="A286" t="n">
        <v>285</v>
      </c>
      <c r="B286" s="7" t="inlineStr">
        <is>
          <t>Peninsula One</t>
        </is>
      </c>
      <c r="C286" t="inlineStr">
        <is>
          <t>Select Group</t>
        </is>
      </c>
      <c r="D286" t="inlineStr">
        <is>
          <t>Business Bay</t>
        </is>
      </c>
      <c r="E286" t="inlineStr">
        <is>
          <t>Apartments</t>
        </is>
      </c>
      <c r="F286" s="7" t="inlineStr">
        <is>
          <t>Canal / City</t>
        </is>
      </c>
      <c r="G286" t="inlineStr">
        <is>
          <t>1.8M</t>
        </is>
      </c>
      <c r="H286" t="inlineStr">
        <is>
          <t>2000</t>
        </is>
      </c>
      <c r="I286" t="inlineStr">
        <is>
          <t>22</t>
        </is>
      </c>
      <c r="J286" t="inlineStr">
        <is>
          <t>60/40</t>
        </is>
      </c>
      <c r="K286" t="inlineStr">
        <is>
          <t>2021</t>
        </is>
      </c>
      <c r="L286" t="inlineStr">
        <is>
          <t>6.5-7.0</t>
        </is>
      </c>
      <c r="M286" t="inlineStr">
        <is>
          <t>6-8</t>
        </is>
      </c>
      <c r="N286" t="inlineStr">
        <is>
          <t>12.5-15.0</t>
        </is>
      </c>
      <c r="O286" s="7" t="inlineStr">
        <is>
          <t>Hartland Intl</t>
        </is>
      </c>
      <c r="P286" s="7" t="inlineStr">
        <is>
          <t>Emirates Hospital BB</t>
        </is>
      </c>
      <c r="Q286" s="7" t="inlineStr">
        <is>
          <t>Dubai Mall</t>
        </is>
      </c>
      <c r="R286" s="7" t="inlineStr">
        <is>
          <t>Al Khail E44</t>
        </is>
      </c>
      <c r="S286" t="inlineStr">
        <is>
          <t>5</t>
        </is>
      </c>
      <c r="T286" t="inlineStr">
        <is>
          <t>20</t>
        </is>
      </c>
      <c r="U286" t="inlineStr">
        <is>
          <t>15</t>
        </is>
      </c>
      <c r="V286" t="inlineStr">
        <is>
          <t>35</t>
        </is>
      </c>
      <c r="W286" t="n">
        <v>2</v>
      </c>
      <c r="X286" s="12" t="n">
        <v>1800000</v>
      </c>
      <c r="Y286" s="12" t="n">
        <v>1800000</v>
      </c>
      <c r="Z286" s="9" t="n">
        <v>6.5</v>
      </c>
      <c r="AA286" s="9" t="n">
        <v>7</v>
      </c>
      <c r="AB286" s="9" t="n">
        <v>6</v>
      </c>
      <c r="AC286" s="9" t="n">
        <v>8</v>
      </c>
      <c r="AD286" s="9" t="n">
        <v>12.5</v>
      </c>
      <c r="AE286" s="9" t="n">
        <v>15</v>
      </c>
      <c r="AF286" t="n">
        <v>2021</v>
      </c>
      <c r="AH286" t="inlineStr">
        <is>
          <t>Apartment</t>
        </is>
      </c>
      <c r="AI286" t="inlineStr">
        <is>
          <t>Prime</t>
        </is>
      </c>
      <c r="AJ286" t="inlineStr">
        <is>
          <t>Established</t>
        </is>
      </c>
      <c r="AK286" t="inlineStr">
        <is>
          <t>Prime resilient / selective</t>
        </is>
      </c>
      <c r="AL286" s="7" t="inlineStr">
        <is>
          <t>Better support from quality, branding, and scarcer prime stock; still entry-price sensitive.</t>
        </is>
      </c>
      <c r="AM286" s="9" t="n">
        <v>7</v>
      </c>
      <c r="AN286" s="9" t="n">
        <v>6.75</v>
      </c>
      <c r="AO286" s="10" t="n">
        <v>0.55</v>
      </c>
      <c r="AP286" s="13" t="n">
        <v>0.02</v>
      </c>
      <c r="AQ286" s="13" t="n">
        <v>0</v>
      </c>
      <c r="AR286" s="13" t="n">
        <v>0</v>
      </c>
      <c r="AS286" s="13" t="n">
        <v>0.03</v>
      </c>
      <c r="AT286" s="13" t="n">
        <v>0</v>
      </c>
      <c r="AU286" s="13" t="n">
        <v>0.0025</v>
      </c>
      <c r="AV286" s="13" t="n">
        <v>-0.005</v>
      </c>
      <c r="AW286" s="13">
        <f>IF(X286="","",(AM286/100*AO286)+AP286+AQ286+AR286)</f>
        <v/>
      </c>
      <c r="AX286" s="13">
        <f>IF(X286="","",AS286+AT286+AU286+AV286)</f>
        <v/>
      </c>
      <c r="AY286" s="12">
        <f>IF(AZ286="","",ROUND(AZ286*(1+Assumptions!$B$10),0))</f>
        <v/>
      </c>
      <c r="AZ286" s="12">
        <f>IF(X286="","",ROUND(X286*(1+AW286),0))</f>
        <v/>
      </c>
      <c r="BA286" s="12">
        <f>IF(AZ286="","",ROUND(AZ286*(1+Assumptions!$B$11),0))</f>
        <v/>
      </c>
      <c r="BB286" s="12">
        <f>IF(AZ286="","",ROUND(AZ286*(1+AX286+Assumptions!$B$10),0))</f>
        <v/>
      </c>
      <c r="BC286" s="12">
        <f>IF(AZ286="","",ROUND(AZ286*(1+AX286),0))</f>
        <v/>
      </c>
      <c r="BD286" s="12">
        <f>IF(AZ286="","",ROUND(AZ286*(1+AX286+Assumptions!$B$11),0))</f>
        <v/>
      </c>
      <c r="BE286" s="12">
        <f>IF(AZ286="","",ROUND(AZ286*(1+AX286)*(1+AX286),0))</f>
        <v/>
      </c>
      <c r="BF286" s="7" t="inlineStr">
        <is>
          <t>Rules-based enrichment using launch-price anchor, cap-app realization, and 2026 segment conditions.</t>
        </is>
      </c>
      <c r="BG286" t="inlineStr">
        <is>
          <t>2026-03-17</t>
        </is>
      </c>
      <c r="BH286" s="7" t="inlineStr">
        <is>
          <t>DLD / Digital Dubai / CBUAE / Savills / Knight Frank-Moody’s / Reuters</t>
        </is>
      </c>
    </row>
    <row r="287">
      <c r="A287" t="n">
        <v>286</v>
      </c>
      <c r="B287" s="7" t="inlineStr">
        <is>
          <t>Peninsula Two</t>
        </is>
      </c>
      <c r="C287" t="inlineStr">
        <is>
          <t>Select Group</t>
        </is>
      </c>
      <c r="D287" t="inlineStr">
        <is>
          <t>Business Bay</t>
        </is>
      </c>
      <c r="E287" t="inlineStr">
        <is>
          <t>Apartments</t>
        </is>
      </c>
      <c r="F287" s="7" t="inlineStr">
        <is>
          <t>Canal / City</t>
        </is>
      </c>
      <c r="G287" t="inlineStr">
        <is>
          <t>1.8M</t>
        </is>
      </c>
      <c r="H287" t="inlineStr">
        <is>
          <t>2000</t>
        </is>
      </c>
      <c r="I287" t="inlineStr">
        <is>
          <t>22</t>
        </is>
      </c>
      <c r="J287" t="inlineStr">
        <is>
          <t>60/40</t>
        </is>
      </c>
      <c r="K287" t="inlineStr">
        <is>
          <t>2021</t>
        </is>
      </c>
      <c r="L287" t="inlineStr">
        <is>
          <t>6.5-7.0</t>
        </is>
      </c>
      <c r="M287" t="inlineStr">
        <is>
          <t>6-8</t>
        </is>
      </c>
      <c r="N287" t="inlineStr">
        <is>
          <t>12.5-15.0</t>
        </is>
      </c>
      <c r="O287" s="7" t="inlineStr">
        <is>
          <t>Hartland Intl</t>
        </is>
      </c>
      <c r="P287" s="7" t="inlineStr">
        <is>
          <t>Emirates Hospital BB</t>
        </is>
      </c>
      <c r="Q287" s="7" t="inlineStr">
        <is>
          <t>Dubai Mall</t>
        </is>
      </c>
      <c r="R287" s="7" t="inlineStr">
        <is>
          <t>Al Khail E44</t>
        </is>
      </c>
      <c r="S287" t="inlineStr">
        <is>
          <t>5</t>
        </is>
      </c>
      <c r="T287" t="inlineStr">
        <is>
          <t>20</t>
        </is>
      </c>
      <c r="U287" t="inlineStr">
        <is>
          <t>15</t>
        </is>
      </c>
      <c r="V287" t="inlineStr">
        <is>
          <t>35</t>
        </is>
      </c>
      <c r="W287" t="n">
        <v>2</v>
      </c>
      <c r="X287" s="12" t="n">
        <v>1800000</v>
      </c>
      <c r="Y287" s="12" t="n">
        <v>1800000</v>
      </c>
      <c r="Z287" s="9" t="n">
        <v>6.5</v>
      </c>
      <c r="AA287" s="9" t="n">
        <v>7</v>
      </c>
      <c r="AB287" s="9" t="n">
        <v>6</v>
      </c>
      <c r="AC287" s="9" t="n">
        <v>8</v>
      </c>
      <c r="AD287" s="9" t="n">
        <v>12.5</v>
      </c>
      <c r="AE287" s="9" t="n">
        <v>15</v>
      </c>
      <c r="AF287" t="n">
        <v>2021</v>
      </c>
      <c r="AH287" t="inlineStr">
        <is>
          <t>Apartment</t>
        </is>
      </c>
      <c r="AI287" t="inlineStr">
        <is>
          <t>Prime</t>
        </is>
      </c>
      <c r="AJ287" t="inlineStr">
        <is>
          <t>Established</t>
        </is>
      </c>
      <c r="AK287" t="inlineStr">
        <is>
          <t>Prime resilient / selective</t>
        </is>
      </c>
      <c r="AL287" s="7" t="inlineStr">
        <is>
          <t>Better support from quality, branding, and scarcer prime stock; still entry-price sensitive.</t>
        </is>
      </c>
      <c r="AM287" s="9" t="n">
        <v>7</v>
      </c>
      <c r="AN287" s="9" t="n">
        <v>6.75</v>
      </c>
      <c r="AO287" s="10" t="n">
        <v>0.55</v>
      </c>
      <c r="AP287" s="13" t="n">
        <v>0.02</v>
      </c>
      <c r="AQ287" s="13" t="n">
        <v>0</v>
      </c>
      <c r="AR287" s="13" t="n">
        <v>0</v>
      </c>
      <c r="AS287" s="13" t="n">
        <v>0.03</v>
      </c>
      <c r="AT287" s="13" t="n">
        <v>0</v>
      </c>
      <c r="AU287" s="13" t="n">
        <v>0.0025</v>
      </c>
      <c r="AV287" s="13" t="n">
        <v>-0.005</v>
      </c>
      <c r="AW287" s="13">
        <f>IF(X287="","",(AM287/100*AO287)+AP287+AQ287+AR287)</f>
        <v/>
      </c>
      <c r="AX287" s="13">
        <f>IF(X287="","",AS287+AT287+AU287+AV287)</f>
        <v/>
      </c>
      <c r="AY287" s="12">
        <f>IF(AZ287="","",ROUND(AZ287*(1+Assumptions!$B$10),0))</f>
        <v/>
      </c>
      <c r="AZ287" s="12">
        <f>IF(X287="","",ROUND(X287*(1+AW287),0))</f>
        <v/>
      </c>
      <c r="BA287" s="12">
        <f>IF(AZ287="","",ROUND(AZ287*(1+Assumptions!$B$11),0))</f>
        <v/>
      </c>
      <c r="BB287" s="12">
        <f>IF(AZ287="","",ROUND(AZ287*(1+AX287+Assumptions!$B$10),0))</f>
        <v/>
      </c>
      <c r="BC287" s="12">
        <f>IF(AZ287="","",ROUND(AZ287*(1+AX287),0))</f>
        <v/>
      </c>
      <c r="BD287" s="12">
        <f>IF(AZ287="","",ROUND(AZ287*(1+AX287+Assumptions!$B$11),0))</f>
        <v/>
      </c>
      <c r="BE287" s="12">
        <f>IF(AZ287="","",ROUND(AZ287*(1+AX287)*(1+AX287),0))</f>
        <v/>
      </c>
      <c r="BF287" s="7" t="inlineStr">
        <is>
          <t>Rules-based enrichment using launch-price anchor, cap-app realization, and 2026 segment conditions.</t>
        </is>
      </c>
      <c r="BG287" t="inlineStr">
        <is>
          <t>2026-03-17</t>
        </is>
      </c>
      <c r="BH287" s="7" t="inlineStr">
        <is>
          <t>DLD / Digital Dubai / CBUAE / Savills / Knight Frank-Moody’s / Reuters</t>
        </is>
      </c>
    </row>
    <row r="288">
      <c r="A288" t="n">
        <v>287</v>
      </c>
      <c r="B288" s="7" t="inlineStr">
        <is>
          <t>Peninsula Three</t>
        </is>
      </c>
      <c r="C288" t="inlineStr">
        <is>
          <t>Select Group</t>
        </is>
      </c>
      <c r="D288" t="inlineStr">
        <is>
          <t>Business Bay</t>
        </is>
      </c>
      <c r="E288" t="inlineStr">
        <is>
          <t>Apartments</t>
        </is>
      </c>
      <c r="F288" s="7" t="inlineStr">
        <is>
          <t>Canal / City</t>
        </is>
      </c>
      <c r="G288" t="inlineStr">
        <is>
          <t>1.9M</t>
        </is>
      </c>
      <c r="H288" t="inlineStr">
        <is>
          <t>2100</t>
        </is>
      </c>
      <c r="I288" t="inlineStr">
        <is>
          <t>22</t>
        </is>
      </c>
      <c r="J288" t="inlineStr">
        <is>
          <t>60/40</t>
        </is>
      </c>
      <c r="K288" t="inlineStr">
        <is>
          <t>2022</t>
        </is>
      </c>
      <c r="L288" t="inlineStr">
        <is>
          <t>6.5-7.0</t>
        </is>
      </c>
      <c r="M288" t="inlineStr">
        <is>
          <t>6-8</t>
        </is>
      </c>
      <c r="N288" t="inlineStr">
        <is>
          <t>12.5-15.0</t>
        </is>
      </c>
      <c r="O288" s="7" t="inlineStr">
        <is>
          <t>Hartland Intl</t>
        </is>
      </c>
      <c r="P288" s="7" t="inlineStr">
        <is>
          <t>Emirates Hospital BB</t>
        </is>
      </c>
      <c r="Q288" s="7" t="inlineStr">
        <is>
          <t>Dubai Mall</t>
        </is>
      </c>
      <c r="R288" s="7" t="inlineStr">
        <is>
          <t>Al Khail E44</t>
        </is>
      </c>
      <c r="S288" t="inlineStr">
        <is>
          <t>5</t>
        </is>
      </c>
      <c r="T288" t="inlineStr">
        <is>
          <t>20</t>
        </is>
      </c>
      <c r="U288" t="inlineStr">
        <is>
          <t>15</t>
        </is>
      </c>
      <c r="V288" t="inlineStr">
        <is>
          <t>35</t>
        </is>
      </c>
      <c r="W288" t="n">
        <v>2</v>
      </c>
      <c r="X288" s="12" t="n">
        <v>1900000</v>
      </c>
      <c r="Y288" s="12" t="n">
        <v>1900000</v>
      </c>
      <c r="Z288" s="9" t="n">
        <v>6.5</v>
      </c>
      <c r="AA288" s="9" t="n">
        <v>7</v>
      </c>
      <c r="AB288" s="9" t="n">
        <v>6</v>
      </c>
      <c r="AC288" s="9" t="n">
        <v>8</v>
      </c>
      <c r="AD288" s="9" t="n">
        <v>12.5</v>
      </c>
      <c r="AE288" s="9" t="n">
        <v>15</v>
      </c>
      <c r="AF288" t="n">
        <v>2022</v>
      </c>
      <c r="AH288" t="inlineStr">
        <is>
          <t>Apartment</t>
        </is>
      </c>
      <c r="AI288" t="inlineStr">
        <is>
          <t>Prime</t>
        </is>
      </c>
      <c r="AJ288" t="inlineStr">
        <is>
          <t>Established</t>
        </is>
      </c>
      <c r="AK288" t="inlineStr">
        <is>
          <t>Prime resilient / selective</t>
        </is>
      </c>
      <c r="AL288" s="7" t="inlineStr">
        <is>
          <t>Better support from quality, branding, and scarcer prime stock; still entry-price sensitive.</t>
        </is>
      </c>
      <c r="AM288" s="9" t="n">
        <v>7</v>
      </c>
      <c r="AN288" s="9" t="n">
        <v>6.75</v>
      </c>
      <c r="AO288" s="10" t="n">
        <v>0.55</v>
      </c>
      <c r="AP288" s="13" t="n">
        <v>0.02</v>
      </c>
      <c r="AQ288" s="13" t="n">
        <v>0</v>
      </c>
      <c r="AR288" s="13" t="n">
        <v>0</v>
      </c>
      <c r="AS288" s="13" t="n">
        <v>0.03</v>
      </c>
      <c r="AT288" s="13" t="n">
        <v>0</v>
      </c>
      <c r="AU288" s="13" t="n">
        <v>0.0025</v>
      </c>
      <c r="AV288" s="13" t="n">
        <v>-0.005</v>
      </c>
      <c r="AW288" s="13">
        <f>IF(X288="","",(AM288/100*AO288)+AP288+AQ288+AR288)</f>
        <v/>
      </c>
      <c r="AX288" s="13">
        <f>IF(X288="","",AS288+AT288+AU288+AV288)</f>
        <v/>
      </c>
      <c r="AY288" s="12">
        <f>IF(AZ288="","",ROUND(AZ288*(1+Assumptions!$B$10),0))</f>
        <v/>
      </c>
      <c r="AZ288" s="12">
        <f>IF(X288="","",ROUND(X288*(1+AW288),0))</f>
        <v/>
      </c>
      <c r="BA288" s="12">
        <f>IF(AZ288="","",ROUND(AZ288*(1+Assumptions!$B$11),0))</f>
        <v/>
      </c>
      <c r="BB288" s="12">
        <f>IF(AZ288="","",ROUND(AZ288*(1+AX288+Assumptions!$B$10),0))</f>
        <v/>
      </c>
      <c r="BC288" s="12">
        <f>IF(AZ288="","",ROUND(AZ288*(1+AX288),0))</f>
        <v/>
      </c>
      <c r="BD288" s="12">
        <f>IF(AZ288="","",ROUND(AZ288*(1+AX288+Assumptions!$B$11),0))</f>
        <v/>
      </c>
      <c r="BE288" s="12">
        <f>IF(AZ288="","",ROUND(AZ288*(1+AX288)*(1+AX288),0))</f>
        <v/>
      </c>
      <c r="BF288" s="7" t="inlineStr">
        <is>
          <t>Rules-based enrichment using launch-price anchor, cap-app realization, and 2026 segment conditions.</t>
        </is>
      </c>
      <c r="BG288" t="inlineStr">
        <is>
          <t>2026-03-17</t>
        </is>
      </c>
      <c r="BH288" s="7" t="inlineStr">
        <is>
          <t>DLD / Digital Dubai / CBUAE / Savills / Knight Frank-Moody’s / Reuters</t>
        </is>
      </c>
    </row>
    <row r="289">
      <c r="A289" t="n">
        <v>288</v>
      </c>
      <c r="B289" s="7" t="inlineStr">
        <is>
          <t>Peninsula Four (The Plaza)</t>
        </is>
      </c>
      <c r="C289" t="inlineStr">
        <is>
          <t>Select Group</t>
        </is>
      </c>
      <c r="D289" t="inlineStr">
        <is>
          <t>Business Bay</t>
        </is>
      </c>
      <c r="E289" t="inlineStr">
        <is>
          <t>Apartments</t>
        </is>
      </c>
      <c r="F289" s="7" t="inlineStr">
        <is>
          <t>Canal / Luxury</t>
        </is>
      </c>
      <c r="G289" t="inlineStr">
        <is>
          <t>2.2M</t>
        </is>
      </c>
      <c r="H289" t="inlineStr">
        <is>
          <t>2300</t>
        </is>
      </c>
      <c r="I289" t="inlineStr">
        <is>
          <t>22</t>
        </is>
      </c>
      <c r="J289" t="inlineStr">
        <is>
          <t>60/40</t>
        </is>
      </c>
      <c r="K289" t="inlineStr">
        <is>
          <t>2022</t>
        </is>
      </c>
      <c r="L289" t="inlineStr">
        <is>
          <t>6.0-6.5</t>
        </is>
      </c>
      <c r="M289" t="inlineStr">
        <is>
          <t>7-9</t>
        </is>
      </c>
      <c r="N289" t="inlineStr">
        <is>
          <t>13.0-15.5</t>
        </is>
      </c>
      <c r="O289" s="7" t="inlineStr">
        <is>
          <t>Hartland Intl</t>
        </is>
      </c>
      <c r="P289" s="7" t="inlineStr">
        <is>
          <t>Emirates Hospital BB</t>
        </is>
      </c>
      <c r="Q289" s="7" t="inlineStr">
        <is>
          <t>Dubai Mall</t>
        </is>
      </c>
      <c r="R289" s="7" t="inlineStr">
        <is>
          <t>Al Khail E44</t>
        </is>
      </c>
      <c r="S289" t="inlineStr">
        <is>
          <t>5</t>
        </is>
      </c>
      <c r="T289" t="inlineStr">
        <is>
          <t>20</t>
        </is>
      </c>
      <c r="U289" t="inlineStr">
        <is>
          <t>15</t>
        </is>
      </c>
      <c r="V289" t="inlineStr">
        <is>
          <t>35</t>
        </is>
      </c>
      <c r="W289" t="n">
        <v>2</v>
      </c>
      <c r="X289" s="12" t="n">
        <v>2200000</v>
      </c>
      <c r="Y289" s="12" t="n">
        <v>2200000</v>
      </c>
      <c r="Z289" s="9" t="n">
        <v>6</v>
      </c>
      <c r="AA289" s="9" t="n">
        <v>6.5</v>
      </c>
      <c r="AB289" s="9" t="n">
        <v>7</v>
      </c>
      <c r="AC289" s="9" t="n">
        <v>9</v>
      </c>
      <c r="AD289" s="9" t="n">
        <v>13</v>
      </c>
      <c r="AE289" s="9" t="n">
        <v>15.5</v>
      </c>
      <c r="AF289" t="n">
        <v>2022</v>
      </c>
      <c r="AH289" t="inlineStr">
        <is>
          <t>Apartment</t>
        </is>
      </c>
      <c r="AI289" t="inlineStr">
        <is>
          <t>Prime</t>
        </is>
      </c>
      <c r="AJ289" t="inlineStr">
        <is>
          <t>Established</t>
        </is>
      </c>
      <c r="AK289" t="inlineStr">
        <is>
          <t>Prime resilient / selective</t>
        </is>
      </c>
      <c r="AL289" s="7" t="inlineStr">
        <is>
          <t>Better support from quality, branding, and scarcer prime stock; still entry-price sensitive.</t>
        </is>
      </c>
      <c r="AM289" s="9" t="n">
        <v>8</v>
      </c>
      <c r="AN289" s="9" t="n">
        <v>6.25</v>
      </c>
      <c r="AO289" s="10" t="n">
        <v>0.55</v>
      </c>
      <c r="AP289" s="13" t="n">
        <v>0.02</v>
      </c>
      <c r="AQ289" s="13" t="n">
        <v>0</v>
      </c>
      <c r="AR289" s="13" t="n">
        <v>0</v>
      </c>
      <c r="AS289" s="13" t="n">
        <v>0.03</v>
      </c>
      <c r="AT289" s="13" t="n">
        <v>0</v>
      </c>
      <c r="AU289" s="13" t="n">
        <v>0.0025</v>
      </c>
      <c r="AV289" s="13" t="n">
        <v>-0.005</v>
      </c>
      <c r="AW289" s="13">
        <f>IF(X289="","",(AM289/100*AO289)+AP289+AQ289+AR289)</f>
        <v/>
      </c>
      <c r="AX289" s="13">
        <f>IF(X289="","",AS289+AT289+AU289+AV289)</f>
        <v/>
      </c>
      <c r="AY289" s="12">
        <f>IF(AZ289="","",ROUND(AZ289*(1+Assumptions!$B$10),0))</f>
        <v/>
      </c>
      <c r="AZ289" s="12">
        <f>IF(X289="","",ROUND(X289*(1+AW289),0))</f>
        <v/>
      </c>
      <c r="BA289" s="12">
        <f>IF(AZ289="","",ROUND(AZ289*(1+Assumptions!$B$11),0))</f>
        <v/>
      </c>
      <c r="BB289" s="12">
        <f>IF(AZ289="","",ROUND(AZ289*(1+AX289+Assumptions!$B$10),0))</f>
        <v/>
      </c>
      <c r="BC289" s="12">
        <f>IF(AZ289="","",ROUND(AZ289*(1+AX289),0))</f>
        <v/>
      </c>
      <c r="BD289" s="12">
        <f>IF(AZ289="","",ROUND(AZ289*(1+AX289+Assumptions!$B$11),0))</f>
        <v/>
      </c>
      <c r="BE289" s="12">
        <f>IF(AZ289="","",ROUND(AZ289*(1+AX289)*(1+AX289),0))</f>
        <v/>
      </c>
      <c r="BF289" s="7" t="inlineStr">
        <is>
          <t>Rules-based enrichment using launch-price anchor, cap-app realization, and 2026 segment conditions.</t>
        </is>
      </c>
      <c r="BG289" t="inlineStr">
        <is>
          <t>2026-03-17</t>
        </is>
      </c>
      <c r="BH289" s="7" t="inlineStr">
        <is>
          <t>DLD / Digital Dubai / CBUAE / Savills / Knight Frank-Moody’s / Reuters</t>
        </is>
      </c>
    </row>
    <row r="290">
      <c r="A290" t="n">
        <v>289</v>
      </c>
      <c r="B290" s="7" t="inlineStr">
        <is>
          <t>Peninsula Five</t>
        </is>
      </c>
      <c r="C290" t="inlineStr">
        <is>
          <t>Select Group</t>
        </is>
      </c>
      <c r="D290" t="inlineStr">
        <is>
          <t>Business Bay</t>
        </is>
      </c>
      <c r="E290" t="inlineStr">
        <is>
          <t>Apartments</t>
        </is>
      </c>
      <c r="F290" s="7" t="inlineStr">
        <is>
          <t>Canal / Premium</t>
        </is>
      </c>
      <c r="G290" t="inlineStr">
        <is>
          <t>2.4M</t>
        </is>
      </c>
      <c r="H290" t="inlineStr">
        <is>
          <t>2400</t>
        </is>
      </c>
      <c r="I290" t="inlineStr">
        <is>
          <t>22</t>
        </is>
      </c>
      <c r="J290" t="inlineStr">
        <is>
          <t>60/40</t>
        </is>
      </c>
      <c r="K290" t="inlineStr">
        <is>
          <t>2022</t>
        </is>
      </c>
      <c r="L290" t="inlineStr">
        <is>
          <t>6.0-6.5</t>
        </is>
      </c>
      <c r="M290" t="inlineStr">
        <is>
          <t>7-9</t>
        </is>
      </c>
      <c r="N290" t="inlineStr">
        <is>
          <t>13.0-15.5</t>
        </is>
      </c>
      <c r="O290" s="7" t="inlineStr">
        <is>
          <t>Hartland Intl</t>
        </is>
      </c>
      <c r="P290" s="7" t="inlineStr">
        <is>
          <t>Emirates Hospital BB</t>
        </is>
      </c>
      <c r="Q290" s="7" t="inlineStr">
        <is>
          <t>Dubai Mall</t>
        </is>
      </c>
      <c r="R290" s="7" t="inlineStr">
        <is>
          <t>Al Khail E44</t>
        </is>
      </c>
      <c r="S290" t="inlineStr">
        <is>
          <t>5</t>
        </is>
      </c>
      <c r="T290" t="inlineStr">
        <is>
          <t>20</t>
        </is>
      </c>
      <c r="U290" t="inlineStr">
        <is>
          <t>15</t>
        </is>
      </c>
      <c r="V290" t="inlineStr">
        <is>
          <t>35</t>
        </is>
      </c>
      <c r="W290" t="n">
        <v>2</v>
      </c>
      <c r="X290" s="12" t="n">
        <v>2400000</v>
      </c>
      <c r="Y290" s="12" t="n">
        <v>2400000</v>
      </c>
      <c r="Z290" s="9" t="n">
        <v>6</v>
      </c>
      <c r="AA290" s="9" t="n">
        <v>6.5</v>
      </c>
      <c r="AB290" s="9" t="n">
        <v>7</v>
      </c>
      <c r="AC290" s="9" t="n">
        <v>9</v>
      </c>
      <c r="AD290" s="9" t="n">
        <v>13</v>
      </c>
      <c r="AE290" s="9" t="n">
        <v>15.5</v>
      </c>
      <c r="AF290" t="n">
        <v>2022</v>
      </c>
      <c r="AH290" t="inlineStr">
        <is>
          <t>Apartment</t>
        </is>
      </c>
      <c r="AI290" t="inlineStr">
        <is>
          <t>Prime</t>
        </is>
      </c>
      <c r="AJ290" t="inlineStr">
        <is>
          <t>Established</t>
        </is>
      </c>
      <c r="AK290" t="inlineStr">
        <is>
          <t>Prime resilient / selective</t>
        </is>
      </c>
      <c r="AL290" s="7" t="inlineStr">
        <is>
          <t>Better support from quality, branding, and scarcer prime stock; still entry-price sensitive.</t>
        </is>
      </c>
      <c r="AM290" s="9" t="n">
        <v>8</v>
      </c>
      <c r="AN290" s="9" t="n">
        <v>6.25</v>
      </c>
      <c r="AO290" s="10" t="n">
        <v>0.55</v>
      </c>
      <c r="AP290" s="13" t="n">
        <v>0.02</v>
      </c>
      <c r="AQ290" s="13" t="n">
        <v>0</v>
      </c>
      <c r="AR290" s="13" t="n">
        <v>0</v>
      </c>
      <c r="AS290" s="13" t="n">
        <v>0.03</v>
      </c>
      <c r="AT290" s="13" t="n">
        <v>0</v>
      </c>
      <c r="AU290" s="13" t="n">
        <v>0.0025</v>
      </c>
      <c r="AV290" s="13" t="n">
        <v>-0.005</v>
      </c>
      <c r="AW290" s="13">
        <f>IF(X290="","",(AM290/100*AO290)+AP290+AQ290+AR290)</f>
        <v/>
      </c>
      <c r="AX290" s="13">
        <f>IF(X290="","",AS290+AT290+AU290+AV290)</f>
        <v/>
      </c>
      <c r="AY290" s="12">
        <f>IF(AZ290="","",ROUND(AZ290*(1+Assumptions!$B$10),0))</f>
        <v/>
      </c>
      <c r="AZ290" s="12">
        <f>IF(X290="","",ROUND(X290*(1+AW290),0))</f>
        <v/>
      </c>
      <c r="BA290" s="12">
        <f>IF(AZ290="","",ROUND(AZ290*(1+Assumptions!$B$11),0))</f>
        <v/>
      </c>
      <c r="BB290" s="12">
        <f>IF(AZ290="","",ROUND(AZ290*(1+AX290+Assumptions!$B$10),0))</f>
        <v/>
      </c>
      <c r="BC290" s="12">
        <f>IF(AZ290="","",ROUND(AZ290*(1+AX290),0))</f>
        <v/>
      </c>
      <c r="BD290" s="12">
        <f>IF(AZ290="","",ROUND(AZ290*(1+AX290+Assumptions!$B$11),0))</f>
        <v/>
      </c>
      <c r="BE290" s="12">
        <f>IF(AZ290="","",ROUND(AZ290*(1+AX290)*(1+AX290),0))</f>
        <v/>
      </c>
      <c r="BF290" s="7" t="inlineStr">
        <is>
          <t>Rules-based enrichment using launch-price anchor, cap-app realization, and 2026 segment conditions.</t>
        </is>
      </c>
      <c r="BG290" t="inlineStr">
        <is>
          <t>2026-03-17</t>
        </is>
      </c>
      <c r="BH290" s="7" t="inlineStr">
        <is>
          <t>DLD / Digital Dubai / CBUAE / Savills / Knight Frank-Moody’s / Reuters</t>
        </is>
      </c>
    </row>
    <row r="291">
      <c r="A291" t="n">
        <v>290</v>
      </c>
      <c r="B291" s="7" t="inlineStr">
        <is>
          <t>Jumeirah Living Business Bay</t>
        </is>
      </c>
      <c r="C291" t="inlineStr">
        <is>
          <t>Select Group</t>
        </is>
      </c>
      <c r="D291" t="inlineStr">
        <is>
          <t>Business Bay</t>
        </is>
      </c>
      <c r="E291" t="inlineStr">
        <is>
          <t>Branded Apts</t>
        </is>
      </c>
      <c r="F291" s="7" t="inlineStr">
        <is>
          <t>Luxury / Service</t>
        </is>
      </c>
      <c r="G291" t="inlineStr">
        <is>
          <t>3.5M</t>
        </is>
      </c>
      <c r="H291" t="inlineStr">
        <is>
          <t>3000</t>
        </is>
      </c>
      <c r="I291" t="inlineStr">
        <is>
          <t>30</t>
        </is>
      </c>
      <c r="J291" t="inlineStr">
        <is>
          <t>60/40</t>
        </is>
      </c>
      <c r="K291" t="inlineStr">
        <is>
          <t>2022</t>
        </is>
      </c>
      <c r="L291" t="inlineStr">
        <is>
          <t>5.0-5.5</t>
        </is>
      </c>
      <c r="M291" t="inlineStr">
        <is>
          <t>7-9</t>
        </is>
      </c>
      <c r="N291" t="inlineStr">
        <is>
          <t>12.0-14.5</t>
        </is>
      </c>
      <c r="O291" s="7" t="inlineStr">
        <is>
          <t>Hartland Intl</t>
        </is>
      </c>
      <c r="P291" s="7" t="inlineStr">
        <is>
          <t>Emirates Hospital BB</t>
        </is>
      </c>
      <c r="Q291" s="7" t="inlineStr">
        <is>
          <t>Dubai Mall</t>
        </is>
      </c>
      <c r="R291" s="7" t="inlineStr">
        <is>
          <t>Al Khail E44</t>
        </is>
      </c>
      <c r="S291" t="inlineStr">
        <is>
          <t>5</t>
        </is>
      </c>
      <c r="T291" t="inlineStr">
        <is>
          <t>20</t>
        </is>
      </c>
      <c r="U291" t="inlineStr">
        <is>
          <t>15</t>
        </is>
      </c>
      <c r="V291" t="inlineStr">
        <is>
          <t>35</t>
        </is>
      </c>
      <c r="W291" t="n">
        <v>2</v>
      </c>
      <c r="X291" s="12" t="n">
        <v>3500000</v>
      </c>
      <c r="Y291" s="12" t="n">
        <v>3500000</v>
      </c>
      <c r="Z291" s="9" t="n">
        <v>5</v>
      </c>
      <c r="AA291" s="9" t="n">
        <v>5.5</v>
      </c>
      <c r="AB291" s="9" t="n">
        <v>7</v>
      </c>
      <c r="AC291" s="9" t="n">
        <v>9</v>
      </c>
      <c r="AD291" s="9" t="n">
        <v>12</v>
      </c>
      <c r="AE291" s="9" t="n">
        <v>14.5</v>
      </c>
      <c r="AF291" t="n">
        <v>2022</v>
      </c>
      <c r="AH291" t="inlineStr">
        <is>
          <t>Apartment</t>
        </is>
      </c>
      <c r="AI291" t="inlineStr">
        <is>
          <t>Prime</t>
        </is>
      </c>
      <c r="AJ291" t="inlineStr">
        <is>
          <t>Established</t>
        </is>
      </c>
      <c r="AK291" t="inlineStr">
        <is>
          <t>Prime resilient / selective</t>
        </is>
      </c>
      <c r="AL291" s="7" t="inlineStr">
        <is>
          <t>Better support from quality, branding, and scarcer prime stock; still entry-price sensitive.</t>
        </is>
      </c>
      <c r="AM291" s="9" t="n">
        <v>8</v>
      </c>
      <c r="AN291" s="9" t="n">
        <v>5.25</v>
      </c>
      <c r="AO291" s="10" t="n">
        <v>0.55</v>
      </c>
      <c r="AP291" s="13" t="n">
        <v>0.02</v>
      </c>
      <c r="AQ291" s="13" t="n">
        <v>0</v>
      </c>
      <c r="AR291" s="13" t="n">
        <v>0</v>
      </c>
      <c r="AS291" s="13" t="n">
        <v>0.03</v>
      </c>
      <c r="AT291" s="13" t="n">
        <v>0</v>
      </c>
      <c r="AU291" s="13" t="n">
        <v>0</v>
      </c>
      <c r="AV291" s="13" t="n">
        <v>-0.005</v>
      </c>
      <c r="AW291" s="13">
        <f>IF(X291="","",(AM291/100*AO291)+AP291+AQ291+AR291)</f>
        <v/>
      </c>
      <c r="AX291" s="13">
        <f>IF(X291="","",AS291+AT291+AU291+AV291)</f>
        <v/>
      </c>
      <c r="AY291" s="12">
        <f>IF(AZ291="","",ROUND(AZ291*(1+Assumptions!$B$10),0))</f>
        <v/>
      </c>
      <c r="AZ291" s="12">
        <f>IF(X291="","",ROUND(X291*(1+AW291),0))</f>
        <v/>
      </c>
      <c r="BA291" s="12">
        <f>IF(AZ291="","",ROUND(AZ291*(1+Assumptions!$B$11),0))</f>
        <v/>
      </c>
      <c r="BB291" s="12">
        <f>IF(AZ291="","",ROUND(AZ291*(1+AX291+Assumptions!$B$10),0))</f>
        <v/>
      </c>
      <c r="BC291" s="12">
        <f>IF(AZ291="","",ROUND(AZ291*(1+AX291),0))</f>
        <v/>
      </c>
      <c r="BD291" s="12">
        <f>IF(AZ291="","",ROUND(AZ291*(1+AX291+Assumptions!$B$11),0))</f>
        <v/>
      </c>
      <c r="BE291" s="12">
        <f>IF(AZ291="","",ROUND(AZ291*(1+AX291)*(1+AX291),0))</f>
        <v/>
      </c>
      <c r="BF291" s="7" t="inlineStr">
        <is>
          <t>Rules-based enrichment using launch-price anchor, cap-app realization, and 2026 segment conditions.</t>
        </is>
      </c>
      <c r="BG291" t="inlineStr">
        <is>
          <t>2026-03-17</t>
        </is>
      </c>
      <c r="BH291" s="7" t="inlineStr">
        <is>
          <t>DLD / Digital Dubai / CBUAE / Savills / Knight Frank-Moody’s / Reuters</t>
        </is>
      </c>
    </row>
    <row r="292">
      <c r="A292" t="n">
        <v>291</v>
      </c>
      <c r="B292" s="7" t="inlineStr">
        <is>
          <t>Nautica One</t>
        </is>
      </c>
      <c r="C292" t="inlineStr">
        <is>
          <t>Select Group</t>
        </is>
      </c>
      <c r="D292" t="inlineStr">
        <is>
          <t>Dubai Maritime City</t>
        </is>
      </c>
      <c r="E292" t="inlineStr">
        <is>
          <t>Apartments</t>
        </is>
      </c>
      <c r="F292" s="7" t="inlineStr">
        <is>
          <t>Sea View / Tower</t>
        </is>
      </c>
      <c r="G292" t="inlineStr">
        <is>
          <t>1.6M</t>
        </is>
      </c>
      <c r="H292" t="inlineStr">
        <is>
          <t>1900</t>
        </is>
      </c>
      <c r="I292" t="inlineStr">
        <is>
          <t>20</t>
        </is>
      </c>
      <c r="J292" t="inlineStr">
        <is>
          <t>60/40</t>
        </is>
      </c>
      <c r="K292" t="inlineStr">
        <is>
          <t>2023</t>
        </is>
      </c>
      <c r="L292" t="inlineStr">
        <is>
          <t>6.5-7.0</t>
        </is>
      </c>
      <c r="M292" t="inlineStr">
        <is>
          <t>8-10</t>
        </is>
      </c>
      <c r="N292" t="inlineStr">
        <is>
          <t>14.5-17.0</t>
        </is>
      </c>
      <c r="O292" s="7" t="inlineStr">
        <is>
          <t>New Academy School</t>
        </is>
      </c>
      <c r="P292" s="7" t="inlineStr">
        <is>
          <t>Aster Hospital Mankhool</t>
        </is>
      </c>
      <c r="Q292" s="7" t="inlineStr">
        <is>
          <t>Dubai Mall</t>
        </is>
      </c>
      <c r="R292" s="7" t="inlineStr">
        <is>
          <t>Al Khaleej / E11</t>
        </is>
      </c>
      <c r="S292" t="inlineStr">
        <is>
          <t>15</t>
        </is>
      </c>
      <c r="T292" t="inlineStr">
        <is>
          <t>25</t>
        </is>
      </c>
      <c r="U292" t="inlineStr">
        <is>
          <t>15</t>
        </is>
      </c>
      <c r="V292" t="inlineStr">
        <is>
          <t>45</t>
        </is>
      </c>
      <c r="W292" t="n">
        <v>2</v>
      </c>
      <c r="X292" s="12" t="n">
        <v>1600000</v>
      </c>
      <c r="Y292" s="12" t="n">
        <v>1600000</v>
      </c>
      <c r="Z292" s="9" t="n">
        <v>6.5</v>
      </c>
      <c r="AA292" s="9" t="n">
        <v>7</v>
      </c>
      <c r="AB292" s="9" t="n">
        <v>8</v>
      </c>
      <c r="AC292" s="9" t="n">
        <v>10</v>
      </c>
      <c r="AD292" s="9" t="n">
        <v>14.5</v>
      </c>
      <c r="AE292" s="9" t="n">
        <v>17</v>
      </c>
      <c r="AF292" t="n">
        <v>2023</v>
      </c>
      <c r="AH292" t="inlineStr">
        <is>
          <t>Apartment</t>
        </is>
      </c>
      <c r="AI292" t="inlineStr">
        <is>
          <t>MainstreamSelective</t>
        </is>
      </c>
      <c r="AJ292" t="inlineStr">
        <is>
          <t>Established</t>
        </is>
      </c>
      <c r="AK292" t="inlineStr">
        <is>
          <t>Balanced / selective</t>
        </is>
      </c>
      <c r="AL292" s="7" t="inlineStr">
        <is>
          <t>Market remains active but increasingly differentiated by developer, micro-location, livability, and pricing discipline.</t>
        </is>
      </c>
      <c r="AM292" s="9" t="n">
        <v>9</v>
      </c>
      <c r="AN292" s="9" t="n">
        <v>6.75</v>
      </c>
      <c r="AO292" s="10" t="n">
        <v>0.55</v>
      </c>
      <c r="AP292" s="13" t="n">
        <v>0</v>
      </c>
      <c r="AQ292" s="13" t="n">
        <v>0</v>
      </c>
      <c r="AR292" s="13" t="n">
        <v>0</v>
      </c>
      <c r="AS292" s="13" t="n">
        <v>0.01</v>
      </c>
      <c r="AT292" s="13" t="n">
        <v>0</v>
      </c>
      <c r="AU292" s="13" t="n">
        <v>0.0025</v>
      </c>
      <c r="AV292" s="13" t="n">
        <v>-0.005</v>
      </c>
      <c r="AW292" s="13">
        <f>IF(X292="","",(AM292/100*AO292)+AP292+AQ292+AR292)</f>
        <v/>
      </c>
      <c r="AX292" s="13">
        <f>IF(X292="","",AS292+AT292+AU292+AV292)</f>
        <v/>
      </c>
      <c r="AY292" s="12">
        <f>IF(AZ292="","",ROUND(AZ292*(1+Assumptions!$B$10),0))</f>
        <v/>
      </c>
      <c r="AZ292" s="12">
        <f>IF(X292="","",ROUND(X292*(1+AW292),0))</f>
        <v/>
      </c>
      <c r="BA292" s="12">
        <f>IF(AZ292="","",ROUND(AZ292*(1+Assumptions!$B$11),0))</f>
        <v/>
      </c>
      <c r="BB292" s="12">
        <f>IF(AZ292="","",ROUND(AZ292*(1+AX292+Assumptions!$B$10),0))</f>
        <v/>
      </c>
      <c r="BC292" s="12">
        <f>IF(AZ292="","",ROUND(AZ292*(1+AX292),0))</f>
        <v/>
      </c>
      <c r="BD292" s="12">
        <f>IF(AZ292="","",ROUND(AZ292*(1+AX292+Assumptions!$B$11),0))</f>
        <v/>
      </c>
      <c r="BE292" s="12">
        <f>IF(AZ292="","",ROUND(AZ292*(1+AX292)*(1+AX292),0))</f>
        <v/>
      </c>
      <c r="BF292" s="7" t="inlineStr">
        <is>
          <t>Rules-based enrichment using launch-price anchor, cap-app realization, and 2026 segment conditions.</t>
        </is>
      </c>
      <c r="BG292" t="inlineStr">
        <is>
          <t>2026-03-17</t>
        </is>
      </c>
      <c r="BH292" s="7" t="inlineStr">
        <is>
          <t>DLD / Digital Dubai / CBUAE / Savills / Knight Frank-Moody’s / Reuters</t>
        </is>
      </c>
    </row>
    <row r="293">
      <c r="A293" t="n">
        <v>292</v>
      </c>
      <c r="B293" s="7" t="inlineStr">
        <is>
          <t>Nautica Two</t>
        </is>
      </c>
      <c r="C293" t="inlineStr">
        <is>
          <t>Select Group</t>
        </is>
      </c>
      <c r="D293" t="inlineStr">
        <is>
          <t>Dubai Maritime City</t>
        </is>
      </c>
      <c r="E293" t="inlineStr">
        <is>
          <t>Apartments</t>
        </is>
      </c>
      <c r="F293" s="7" t="inlineStr">
        <is>
          <t>Sea View / Tower</t>
        </is>
      </c>
      <c r="G293" t="inlineStr">
        <is>
          <t>1.6M</t>
        </is>
      </c>
      <c r="H293" t="inlineStr">
        <is>
          <t>1900</t>
        </is>
      </c>
      <c r="I293" t="inlineStr">
        <is>
          <t>20</t>
        </is>
      </c>
      <c r="J293" t="inlineStr">
        <is>
          <t>60/40</t>
        </is>
      </c>
      <c r="K293" t="inlineStr">
        <is>
          <t>2023</t>
        </is>
      </c>
      <c r="L293" t="inlineStr">
        <is>
          <t>6.5-7.0</t>
        </is>
      </c>
      <c r="M293" t="inlineStr">
        <is>
          <t>8-10</t>
        </is>
      </c>
      <c r="N293" t="inlineStr">
        <is>
          <t>14.5-17.0</t>
        </is>
      </c>
      <c r="O293" s="7" t="inlineStr">
        <is>
          <t>New Academy School</t>
        </is>
      </c>
      <c r="P293" s="7" t="inlineStr">
        <is>
          <t>Aster Hospital Mankhool</t>
        </is>
      </c>
      <c r="Q293" s="7" t="inlineStr">
        <is>
          <t>Dubai Mall</t>
        </is>
      </c>
      <c r="R293" s="7" t="inlineStr">
        <is>
          <t>Al Khaleej / E11</t>
        </is>
      </c>
      <c r="S293" t="inlineStr">
        <is>
          <t>15</t>
        </is>
      </c>
      <c r="T293" t="inlineStr">
        <is>
          <t>25</t>
        </is>
      </c>
      <c r="U293" t="inlineStr">
        <is>
          <t>15</t>
        </is>
      </c>
      <c r="V293" t="inlineStr">
        <is>
          <t>45</t>
        </is>
      </c>
      <c r="W293" t="n">
        <v>2</v>
      </c>
      <c r="X293" s="12" t="n">
        <v>1600000</v>
      </c>
      <c r="Y293" s="12" t="n">
        <v>1600000</v>
      </c>
      <c r="Z293" s="9" t="n">
        <v>6.5</v>
      </c>
      <c r="AA293" s="9" t="n">
        <v>7</v>
      </c>
      <c r="AB293" s="9" t="n">
        <v>8</v>
      </c>
      <c r="AC293" s="9" t="n">
        <v>10</v>
      </c>
      <c r="AD293" s="9" t="n">
        <v>14.5</v>
      </c>
      <c r="AE293" s="9" t="n">
        <v>17</v>
      </c>
      <c r="AF293" t="n">
        <v>2023</v>
      </c>
      <c r="AH293" t="inlineStr">
        <is>
          <t>Apartment</t>
        </is>
      </c>
      <c r="AI293" t="inlineStr">
        <is>
          <t>MainstreamSelective</t>
        </is>
      </c>
      <c r="AJ293" t="inlineStr">
        <is>
          <t>Established</t>
        </is>
      </c>
      <c r="AK293" t="inlineStr">
        <is>
          <t>Balanced / selective</t>
        </is>
      </c>
      <c r="AL293" s="7" t="inlineStr">
        <is>
          <t>Market remains active but increasingly differentiated by developer, micro-location, livability, and pricing discipline.</t>
        </is>
      </c>
      <c r="AM293" s="9" t="n">
        <v>9</v>
      </c>
      <c r="AN293" s="9" t="n">
        <v>6.75</v>
      </c>
      <c r="AO293" s="10" t="n">
        <v>0.55</v>
      </c>
      <c r="AP293" s="13" t="n">
        <v>0</v>
      </c>
      <c r="AQ293" s="13" t="n">
        <v>0</v>
      </c>
      <c r="AR293" s="13" t="n">
        <v>0</v>
      </c>
      <c r="AS293" s="13" t="n">
        <v>0.01</v>
      </c>
      <c r="AT293" s="13" t="n">
        <v>0</v>
      </c>
      <c r="AU293" s="13" t="n">
        <v>0.0025</v>
      </c>
      <c r="AV293" s="13" t="n">
        <v>-0.005</v>
      </c>
      <c r="AW293" s="13">
        <f>IF(X293="","",(AM293/100*AO293)+AP293+AQ293+AR293)</f>
        <v/>
      </c>
      <c r="AX293" s="13">
        <f>IF(X293="","",AS293+AT293+AU293+AV293)</f>
        <v/>
      </c>
      <c r="AY293" s="12">
        <f>IF(AZ293="","",ROUND(AZ293*(1+Assumptions!$B$10),0))</f>
        <v/>
      </c>
      <c r="AZ293" s="12">
        <f>IF(X293="","",ROUND(X293*(1+AW293),0))</f>
        <v/>
      </c>
      <c r="BA293" s="12">
        <f>IF(AZ293="","",ROUND(AZ293*(1+Assumptions!$B$11),0))</f>
        <v/>
      </c>
      <c r="BB293" s="12">
        <f>IF(AZ293="","",ROUND(AZ293*(1+AX293+Assumptions!$B$10),0))</f>
        <v/>
      </c>
      <c r="BC293" s="12">
        <f>IF(AZ293="","",ROUND(AZ293*(1+AX293),0))</f>
        <v/>
      </c>
      <c r="BD293" s="12">
        <f>IF(AZ293="","",ROUND(AZ293*(1+AX293+Assumptions!$B$11),0))</f>
        <v/>
      </c>
      <c r="BE293" s="12">
        <f>IF(AZ293="","",ROUND(AZ293*(1+AX293)*(1+AX293),0))</f>
        <v/>
      </c>
      <c r="BF293" s="7" t="inlineStr">
        <is>
          <t>Rules-based enrichment using launch-price anchor, cap-app realization, and 2026 segment conditions.</t>
        </is>
      </c>
      <c r="BG293" t="inlineStr">
        <is>
          <t>2026-03-17</t>
        </is>
      </c>
      <c r="BH293" s="7" t="inlineStr">
        <is>
          <t>DLD / Digital Dubai / CBUAE / Savills / Knight Frank-Moody’s / Reuters</t>
        </is>
      </c>
    </row>
    <row r="294">
      <c r="A294" t="n">
        <v>293</v>
      </c>
      <c r="B294" s="7" t="inlineStr">
        <is>
          <t>Vela</t>
        </is>
      </c>
      <c r="C294" t="inlineStr">
        <is>
          <t>Omniyat</t>
        </is>
      </c>
      <c r="D294" t="inlineStr">
        <is>
          <t>Business Bay (Marasi)</t>
        </is>
      </c>
      <c r="E294" t="inlineStr">
        <is>
          <t>Ultra-Luxury Apts</t>
        </is>
      </c>
      <c r="F294" s="7" t="inlineStr">
        <is>
          <t>Dorchester Collection</t>
        </is>
      </c>
      <c r="G294" t="inlineStr">
        <is>
          <t>30M+</t>
        </is>
      </c>
      <c r="H294" t="inlineStr">
        <is>
          <t>5000+</t>
        </is>
      </c>
      <c r="I294" t="inlineStr">
        <is>
          <t>50+</t>
        </is>
      </c>
      <c r="J294" t="inlineStr">
        <is>
          <t>60/40</t>
        </is>
      </c>
      <c r="K294" t="inlineStr">
        <is>
          <t>2023</t>
        </is>
      </c>
      <c r="L294" t="inlineStr">
        <is>
          <t>3.5-4.5</t>
        </is>
      </c>
      <c r="M294" t="inlineStr">
        <is>
          <t>8-12</t>
        </is>
      </c>
      <c r="N294" t="inlineStr">
        <is>
          <t>11.5-16.5</t>
        </is>
      </c>
      <c r="O294" s="7" t="inlineStr">
        <is>
          <t>Hartland Intl</t>
        </is>
      </c>
      <c r="P294" s="7" t="inlineStr">
        <is>
          <t>Emirates Hospital BB</t>
        </is>
      </c>
      <c r="Q294" s="7" t="inlineStr">
        <is>
          <t>Dubai Mall</t>
        </is>
      </c>
      <c r="R294" s="7" t="inlineStr">
        <is>
          <t>Al Khail E44</t>
        </is>
      </c>
      <c r="S294" t="inlineStr">
        <is>
          <t>5</t>
        </is>
      </c>
      <c r="T294" t="inlineStr">
        <is>
          <t>20</t>
        </is>
      </c>
      <c r="U294" t="inlineStr">
        <is>
          <t>15</t>
        </is>
      </c>
      <c r="V294" t="inlineStr">
        <is>
          <t>35</t>
        </is>
      </c>
      <c r="W294" t="n">
        <v>2</v>
      </c>
      <c r="X294" s="12" t="n">
        <v>30000000</v>
      </c>
      <c r="Y294" s="12" t="n">
        <v>30000000</v>
      </c>
      <c r="Z294" s="9" t="n">
        <v>3.5</v>
      </c>
      <c r="AA294" s="9" t="n">
        <v>4.5</v>
      </c>
      <c r="AB294" s="9" t="n">
        <v>8</v>
      </c>
      <c r="AC294" s="9" t="n">
        <v>12</v>
      </c>
      <c r="AD294" s="9" t="n">
        <v>11.5</v>
      </c>
      <c r="AE294" s="9" t="n">
        <v>16.5</v>
      </c>
      <c r="AF294" t="n">
        <v>2023</v>
      </c>
      <c r="AH294" t="inlineStr">
        <is>
          <t>Apartment</t>
        </is>
      </c>
      <c r="AI294" t="inlineStr">
        <is>
          <t>MainstreamSelective</t>
        </is>
      </c>
      <c r="AJ294" t="inlineStr">
        <is>
          <t>Established</t>
        </is>
      </c>
      <c r="AK294" t="inlineStr">
        <is>
          <t>Balanced / selective</t>
        </is>
      </c>
      <c r="AL294" s="7" t="inlineStr">
        <is>
          <t>Market remains active but increasingly differentiated by developer, micro-location, livability, and pricing discipline.</t>
        </is>
      </c>
      <c r="AM294" s="9" t="n">
        <v>10</v>
      </c>
      <c r="AN294" s="9" t="n">
        <v>4</v>
      </c>
      <c r="AO294" s="10" t="n">
        <v>0.55</v>
      </c>
      <c r="AP294" s="13" t="n">
        <v>0</v>
      </c>
      <c r="AQ294" s="13" t="n">
        <v>0</v>
      </c>
      <c r="AR294" s="13" t="n">
        <v>0</v>
      </c>
      <c r="AS294" s="13" t="n">
        <v>0.01</v>
      </c>
      <c r="AT294" s="13" t="n">
        <v>0</v>
      </c>
      <c r="AU294" s="13" t="n">
        <v>0</v>
      </c>
      <c r="AV294" s="13" t="n">
        <v>-0.005</v>
      </c>
      <c r="AW294" s="13">
        <f>IF(X294="","",(AM294/100*AO294)+AP294+AQ294+AR294)</f>
        <v/>
      </c>
      <c r="AX294" s="13">
        <f>IF(X294="","",AS294+AT294+AU294+AV294)</f>
        <v/>
      </c>
      <c r="AY294" s="12">
        <f>IF(AZ294="","",ROUND(AZ294*(1+Assumptions!$B$10),0))</f>
        <v/>
      </c>
      <c r="AZ294" s="12">
        <f>IF(X294="","",ROUND(X294*(1+AW294),0))</f>
        <v/>
      </c>
      <c r="BA294" s="12">
        <f>IF(AZ294="","",ROUND(AZ294*(1+Assumptions!$B$11),0))</f>
        <v/>
      </c>
      <c r="BB294" s="12">
        <f>IF(AZ294="","",ROUND(AZ294*(1+AX294+Assumptions!$B$10),0))</f>
        <v/>
      </c>
      <c r="BC294" s="12">
        <f>IF(AZ294="","",ROUND(AZ294*(1+AX294),0))</f>
        <v/>
      </c>
      <c r="BD294" s="12">
        <f>IF(AZ294="","",ROUND(AZ294*(1+AX294+Assumptions!$B$11),0))</f>
        <v/>
      </c>
      <c r="BE294" s="12">
        <f>IF(AZ294="","",ROUND(AZ294*(1+AX294)*(1+AX294),0))</f>
        <v/>
      </c>
      <c r="BF294" s="7" t="inlineStr">
        <is>
          <t>Rules-based enrichment using launch-price anchor, cap-app realization, and 2026 segment conditions.</t>
        </is>
      </c>
      <c r="BG294" t="inlineStr">
        <is>
          <t>2026-03-17</t>
        </is>
      </c>
      <c r="BH294" s="7" t="inlineStr">
        <is>
          <t>DLD / Digital Dubai / CBUAE / Savills / Knight Frank-Moody’s / Reuters</t>
        </is>
      </c>
    </row>
    <row r="295">
      <c r="A295" t="n">
        <v>294</v>
      </c>
      <c r="B295" s="7" t="inlineStr">
        <is>
          <t>Vela Viento</t>
        </is>
      </c>
      <c r="C295" t="inlineStr">
        <is>
          <t>Omniyat</t>
        </is>
      </c>
      <c r="D295" t="inlineStr">
        <is>
          <t>Business Bay (Marasi)</t>
        </is>
      </c>
      <c r="E295" t="inlineStr">
        <is>
          <t>Ultra-Luxury Apts</t>
        </is>
      </c>
      <c r="F295" s="7" t="inlineStr">
        <is>
          <t>Dorchester Collection</t>
        </is>
      </c>
      <c r="G295" t="inlineStr">
        <is>
          <t>35M+</t>
        </is>
      </c>
      <c r="H295" t="inlineStr">
        <is>
          <t>5500+</t>
        </is>
      </c>
      <c r="I295" t="inlineStr">
        <is>
          <t>50+</t>
        </is>
      </c>
      <c r="J295" t="inlineStr">
        <is>
          <t>60/40</t>
        </is>
      </c>
      <c r="K295" t="inlineStr">
        <is>
          <t>2023</t>
        </is>
      </c>
      <c r="L295" t="inlineStr">
        <is>
          <t>3.5-4.5</t>
        </is>
      </c>
      <c r="M295" t="inlineStr">
        <is>
          <t>8-12</t>
        </is>
      </c>
      <c r="N295" t="inlineStr">
        <is>
          <t>11.5-16.5</t>
        </is>
      </c>
      <c r="O295" s="7" t="inlineStr">
        <is>
          <t>Hartland Intl</t>
        </is>
      </c>
      <c r="P295" s="7" t="inlineStr">
        <is>
          <t>Emirates Hospital BB</t>
        </is>
      </c>
      <c r="Q295" s="7" t="inlineStr">
        <is>
          <t>Dubai Mall</t>
        </is>
      </c>
      <c r="R295" s="7" t="inlineStr">
        <is>
          <t>Al Khail E44</t>
        </is>
      </c>
      <c r="S295" t="inlineStr">
        <is>
          <t>5</t>
        </is>
      </c>
      <c r="T295" t="inlineStr">
        <is>
          <t>20</t>
        </is>
      </c>
      <c r="U295" t="inlineStr">
        <is>
          <t>15</t>
        </is>
      </c>
      <c r="V295" t="inlineStr">
        <is>
          <t>35</t>
        </is>
      </c>
      <c r="W295" t="n">
        <v>2</v>
      </c>
      <c r="X295" s="12" t="n">
        <v>35000000</v>
      </c>
      <c r="Y295" s="12" t="n">
        <v>35000000</v>
      </c>
      <c r="Z295" s="9" t="n">
        <v>3.5</v>
      </c>
      <c r="AA295" s="9" t="n">
        <v>4.5</v>
      </c>
      <c r="AB295" s="9" t="n">
        <v>8</v>
      </c>
      <c r="AC295" s="9" t="n">
        <v>12</v>
      </c>
      <c r="AD295" s="9" t="n">
        <v>11.5</v>
      </c>
      <c r="AE295" s="9" t="n">
        <v>16.5</v>
      </c>
      <c r="AF295" t="n">
        <v>2023</v>
      </c>
      <c r="AH295" t="inlineStr">
        <is>
          <t>Apartment</t>
        </is>
      </c>
      <c r="AI295" t="inlineStr">
        <is>
          <t>MainstreamSelective</t>
        </is>
      </c>
      <c r="AJ295" t="inlineStr">
        <is>
          <t>Established</t>
        </is>
      </c>
      <c r="AK295" t="inlineStr">
        <is>
          <t>Balanced / selective</t>
        </is>
      </c>
      <c r="AL295" s="7" t="inlineStr">
        <is>
          <t>Market remains active but increasingly differentiated by developer, micro-location, livability, and pricing discipline.</t>
        </is>
      </c>
      <c r="AM295" s="9" t="n">
        <v>10</v>
      </c>
      <c r="AN295" s="9" t="n">
        <v>4</v>
      </c>
      <c r="AO295" s="10" t="n">
        <v>0.55</v>
      </c>
      <c r="AP295" s="13" t="n">
        <v>0</v>
      </c>
      <c r="AQ295" s="13" t="n">
        <v>0</v>
      </c>
      <c r="AR295" s="13" t="n">
        <v>0</v>
      </c>
      <c r="AS295" s="13" t="n">
        <v>0.01</v>
      </c>
      <c r="AT295" s="13" t="n">
        <v>0</v>
      </c>
      <c r="AU295" s="13" t="n">
        <v>0</v>
      </c>
      <c r="AV295" s="13" t="n">
        <v>-0.005</v>
      </c>
      <c r="AW295" s="13">
        <f>IF(X295="","",(AM295/100*AO295)+AP295+AQ295+AR295)</f>
        <v/>
      </c>
      <c r="AX295" s="13">
        <f>IF(X295="","",AS295+AT295+AU295+AV295)</f>
        <v/>
      </c>
      <c r="AY295" s="12">
        <f>IF(AZ295="","",ROUND(AZ295*(1+Assumptions!$B$10),0))</f>
        <v/>
      </c>
      <c r="AZ295" s="12">
        <f>IF(X295="","",ROUND(X295*(1+AW295),0))</f>
        <v/>
      </c>
      <c r="BA295" s="12">
        <f>IF(AZ295="","",ROUND(AZ295*(1+Assumptions!$B$11),0))</f>
        <v/>
      </c>
      <c r="BB295" s="12">
        <f>IF(AZ295="","",ROUND(AZ295*(1+AX295+Assumptions!$B$10),0))</f>
        <v/>
      </c>
      <c r="BC295" s="12">
        <f>IF(AZ295="","",ROUND(AZ295*(1+AX295),0))</f>
        <v/>
      </c>
      <c r="BD295" s="12">
        <f>IF(AZ295="","",ROUND(AZ295*(1+AX295+Assumptions!$B$11),0))</f>
        <v/>
      </c>
      <c r="BE295" s="12">
        <f>IF(AZ295="","",ROUND(AZ295*(1+AX295)*(1+AX295),0))</f>
        <v/>
      </c>
      <c r="BF295" s="7" t="inlineStr">
        <is>
          <t>Rules-based enrichment using launch-price anchor, cap-app realization, and 2026 segment conditions.</t>
        </is>
      </c>
      <c r="BG295" t="inlineStr">
        <is>
          <t>2026-03-17</t>
        </is>
      </c>
      <c r="BH295" s="7" t="inlineStr">
        <is>
          <t>DLD / Digital Dubai / CBUAE / Savills / Knight Frank-Moody’s / Reuters</t>
        </is>
      </c>
    </row>
    <row r="296">
      <c r="A296" t="n">
        <v>295</v>
      </c>
      <c r="B296" s="7" t="inlineStr">
        <is>
          <t>The Lana</t>
        </is>
      </c>
      <c r="C296" t="inlineStr">
        <is>
          <t>Omniyat</t>
        </is>
      </c>
      <c r="D296" t="inlineStr">
        <is>
          <t>Business Bay</t>
        </is>
      </c>
      <c r="E296" t="inlineStr">
        <is>
          <t>Hotel/Residences</t>
        </is>
      </c>
      <c r="F296" s="7" t="inlineStr">
        <is>
          <t>Dorchester / Icon</t>
        </is>
      </c>
      <c r="I296" t="inlineStr">
        <is>
          <t>50+</t>
        </is>
      </c>
      <c r="J296" t="inlineStr">
        <is>
          <t>Completed</t>
        </is>
      </c>
      <c r="K296" t="inlineStr">
        <is>
          <t>2023</t>
        </is>
      </c>
      <c r="L296" t="inlineStr">
        <is>
          <t>3.5-4.5</t>
        </is>
      </c>
      <c r="M296" t="inlineStr">
        <is>
          <t>5-8</t>
        </is>
      </c>
      <c r="N296" t="inlineStr">
        <is>
          <t>8.5-12.5</t>
        </is>
      </c>
      <c r="O296" s="7" t="inlineStr">
        <is>
          <t>Hartland Intl</t>
        </is>
      </c>
      <c r="P296" s="7" t="inlineStr">
        <is>
          <t>Emirates Hospital BB</t>
        </is>
      </c>
      <c r="Q296" s="7" t="inlineStr">
        <is>
          <t>Dubai Mall</t>
        </is>
      </c>
      <c r="R296" s="7" t="inlineStr">
        <is>
          <t>Al Khail E44</t>
        </is>
      </c>
      <c r="S296" t="inlineStr">
        <is>
          <t>5</t>
        </is>
      </c>
      <c r="T296" t="inlineStr">
        <is>
          <t>20</t>
        </is>
      </c>
      <c r="U296" t="inlineStr">
        <is>
          <t>15</t>
        </is>
      </c>
      <c r="V296" t="inlineStr">
        <is>
          <t>35</t>
        </is>
      </c>
      <c r="W296" t="n">
        <v>2</v>
      </c>
      <c r="X296" s="12" t="n"/>
      <c r="Y296" s="12" t="n"/>
      <c r="Z296" s="9" t="n">
        <v>3.5</v>
      </c>
      <c r="AA296" s="9" t="n">
        <v>4.5</v>
      </c>
      <c r="AB296" s="9" t="n">
        <v>5</v>
      </c>
      <c r="AC296" s="9" t="n">
        <v>8</v>
      </c>
      <c r="AD296" s="9" t="n">
        <v>8.5</v>
      </c>
      <c r="AE296" s="9" t="n">
        <v>12.5</v>
      </c>
      <c r="AF296" t="n">
        <v>2023</v>
      </c>
      <c r="AH296" t="inlineStr">
        <is>
          <t>Apartment</t>
        </is>
      </c>
      <c r="AI296" t="inlineStr">
        <is>
          <t>Prime</t>
        </is>
      </c>
      <c r="AJ296" t="inlineStr">
        <is>
          <t>Established</t>
        </is>
      </c>
      <c r="AK296" t="inlineStr">
        <is>
          <t>Prime resilient / selective</t>
        </is>
      </c>
      <c r="AL296" s="7" t="inlineStr">
        <is>
          <t>Better support from quality, branding, and scarcer prime stock; still entry-price sensitive.</t>
        </is>
      </c>
      <c r="AM296" s="9" t="n">
        <v>6.5</v>
      </c>
      <c r="AN296" s="9" t="n">
        <v>4</v>
      </c>
      <c r="AO296" s="10" t="n">
        <v>0.55</v>
      </c>
      <c r="AP296" s="13" t="n">
        <v>0.02</v>
      </c>
      <c r="AQ296" s="13" t="n">
        <v>0</v>
      </c>
      <c r="AR296" s="13" t="n">
        <v>0</v>
      </c>
      <c r="AS296" s="13" t="n">
        <v>0.03</v>
      </c>
      <c r="AT296" s="13" t="n">
        <v>0</v>
      </c>
      <c r="AU296" s="13" t="n">
        <v>0</v>
      </c>
      <c r="AV296" s="13" t="n">
        <v>-0.005</v>
      </c>
      <c r="AW296" s="13">
        <f>IF(X296="","",(AM296/100*AO296)+AP296+AQ296+AR296)</f>
        <v/>
      </c>
      <c r="AX296" s="13">
        <f>IF(X296="","",AS296+AT296+AU296+AV296)</f>
        <v/>
      </c>
      <c r="AY296" s="12">
        <f>IF(AZ296="","",ROUND(AZ296*(1+Assumptions!$B$10),0))</f>
        <v/>
      </c>
      <c r="AZ296" s="12">
        <f>IF(X296="","",ROUND(X296*(1+AW296),0))</f>
        <v/>
      </c>
      <c r="BA296" s="12">
        <f>IF(AZ296="","",ROUND(AZ296*(1+Assumptions!$B$11),0))</f>
        <v/>
      </c>
      <c r="BB296" s="12">
        <f>IF(AZ296="","",ROUND(AZ296*(1+AX296+Assumptions!$B$10),0))</f>
        <v/>
      </c>
      <c r="BC296" s="12">
        <f>IF(AZ296="","",ROUND(AZ296*(1+AX296),0))</f>
        <v/>
      </c>
      <c r="BD296" s="12">
        <f>IF(AZ296="","",ROUND(AZ296*(1+AX296+Assumptions!$B$11),0))</f>
        <v/>
      </c>
      <c r="BE296" s="12">
        <f>IF(AZ296="","",ROUND(AZ296*(1+AX296)*(1+AX296),0))</f>
        <v/>
      </c>
      <c r="BF296" s="7" t="inlineStr">
        <is>
          <t>Rules-based enrichment using launch-price anchor, cap-app realization, and 2026 segment conditions.</t>
        </is>
      </c>
      <c r="BG296" t="inlineStr">
        <is>
          <t>2026-03-17</t>
        </is>
      </c>
      <c r="BH296" s="7" t="inlineStr">
        <is>
          <t>DLD / Digital Dubai / CBUAE / Savills / Knight Frank-Moody’s / Reuters</t>
        </is>
      </c>
    </row>
    <row r="297">
      <c r="A297" t="n">
        <v>296</v>
      </c>
      <c r="B297" s="7" t="inlineStr">
        <is>
          <t>The Opus</t>
        </is>
      </c>
      <c r="C297" t="inlineStr">
        <is>
          <t>Omniyat</t>
        </is>
      </c>
      <c r="D297" t="inlineStr">
        <is>
          <t>Business Bay</t>
        </is>
      </c>
      <c r="E297" t="inlineStr">
        <is>
          <t>Apartments/Office</t>
        </is>
      </c>
      <c r="F297" s="7" t="inlineStr">
        <is>
          <t>Zaha Hadid / Icon</t>
        </is>
      </c>
      <c r="G297" t="inlineStr">
        <is>
          <t>Resale (3M+)</t>
        </is>
      </c>
      <c r="H297" t="inlineStr">
        <is>
          <t>2500</t>
        </is>
      </c>
      <c r="I297" t="inlineStr">
        <is>
          <t>35</t>
        </is>
      </c>
      <c r="J297" t="inlineStr">
        <is>
          <t>Completed</t>
        </is>
      </c>
      <c r="K297" t="inlineStr">
        <is>
          <t>2018</t>
        </is>
      </c>
      <c r="L297" t="inlineStr">
        <is>
          <t>5.0-5.5</t>
        </is>
      </c>
      <c r="M297" t="inlineStr">
        <is>
          <t>5-7</t>
        </is>
      </c>
      <c r="N297" t="inlineStr">
        <is>
          <t>10.0-12.5</t>
        </is>
      </c>
      <c r="O297" s="7" t="inlineStr">
        <is>
          <t>Hartland Intl</t>
        </is>
      </c>
      <c r="P297" s="7" t="inlineStr">
        <is>
          <t>Emirates Hospital BB</t>
        </is>
      </c>
      <c r="Q297" s="7" t="inlineStr">
        <is>
          <t>Bay Avenue</t>
        </is>
      </c>
      <c r="R297" s="7" t="inlineStr">
        <is>
          <t>Sheikh Zayed E11</t>
        </is>
      </c>
      <c r="S297" t="inlineStr">
        <is>
          <t>5</t>
        </is>
      </c>
      <c r="T297" t="inlineStr">
        <is>
          <t>20</t>
        </is>
      </c>
      <c r="U297" t="inlineStr">
        <is>
          <t>15</t>
        </is>
      </c>
      <c r="V297" t="inlineStr">
        <is>
          <t>35</t>
        </is>
      </c>
      <c r="W297" t="n">
        <v>2</v>
      </c>
      <c r="X297" s="12" t="n">
        <v>3000000</v>
      </c>
      <c r="Y297" s="12" t="n">
        <v>3000000</v>
      </c>
      <c r="Z297" s="9" t="n">
        <v>5</v>
      </c>
      <c r="AA297" s="9" t="n">
        <v>5.5</v>
      </c>
      <c r="AB297" s="9" t="n">
        <v>5</v>
      </c>
      <c r="AC297" s="9" t="n">
        <v>7</v>
      </c>
      <c r="AD297" s="9" t="n">
        <v>10</v>
      </c>
      <c r="AE297" s="9" t="n">
        <v>12.5</v>
      </c>
      <c r="AF297" t="n">
        <v>2018</v>
      </c>
      <c r="AH297" t="inlineStr">
        <is>
          <t>Apartment</t>
        </is>
      </c>
      <c r="AI297" t="inlineStr">
        <is>
          <t>Prime</t>
        </is>
      </c>
      <c r="AJ297" t="inlineStr">
        <is>
          <t>Established</t>
        </is>
      </c>
      <c r="AK297" t="inlineStr">
        <is>
          <t>Prime resilient / selective</t>
        </is>
      </c>
      <c r="AL297" s="7" t="inlineStr">
        <is>
          <t>Better support from quality, branding, and scarcer prime stock; still entry-price sensitive.</t>
        </is>
      </c>
      <c r="AM297" s="9" t="n">
        <v>6</v>
      </c>
      <c r="AN297" s="9" t="n">
        <v>5.25</v>
      </c>
      <c r="AO297" s="10" t="n">
        <v>0.55</v>
      </c>
      <c r="AP297" s="13" t="n">
        <v>0.02</v>
      </c>
      <c r="AQ297" s="13" t="n">
        <v>0</v>
      </c>
      <c r="AR297" s="13" t="n">
        <v>0</v>
      </c>
      <c r="AS297" s="13" t="n">
        <v>0.03</v>
      </c>
      <c r="AT297" s="13" t="n">
        <v>0</v>
      </c>
      <c r="AU297" s="13" t="n">
        <v>0</v>
      </c>
      <c r="AV297" s="13" t="n">
        <v>-0.005</v>
      </c>
      <c r="AW297" s="13">
        <f>IF(X297="","",(AM297/100*AO297)+AP297+AQ297+AR297)</f>
        <v/>
      </c>
      <c r="AX297" s="13">
        <f>IF(X297="","",AS297+AT297+AU297+AV297)</f>
        <v/>
      </c>
      <c r="AY297" s="12">
        <f>IF(AZ297="","",ROUND(AZ297*(1+Assumptions!$B$10),0))</f>
        <v/>
      </c>
      <c r="AZ297" s="12">
        <f>IF(X297="","",ROUND(X297*(1+AW297),0))</f>
        <v/>
      </c>
      <c r="BA297" s="12">
        <f>IF(AZ297="","",ROUND(AZ297*(1+Assumptions!$B$11),0))</f>
        <v/>
      </c>
      <c r="BB297" s="12">
        <f>IF(AZ297="","",ROUND(AZ297*(1+AX297+Assumptions!$B$10),0))</f>
        <v/>
      </c>
      <c r="BC297" s="12">
        <f>IF(AZ297="","",ROUND(AZ297*(1+AX297),0))</f>
        <v/>
      </c>
      <c r="BD297" s="12">
        <f>IF(AZ297="","",ROUND(AZ297*(1+AX297+Assumptions!$B$11),0))</f>
        <v/>
      </c>
      <c r="BE297" s="12">
        <f>IF(AZ297="","",ROUND(AZ297*(1+AX297)*(1+AX297),0))</f>
        <v/>
      </c>
      <c r="BF297" s="7" t="inlineStr">
        <is>
          <t>Rules-based enrichment using launch-price anchor, cap-app realization, and 2026 segment conditions.</t>
        </is>
      </c>
      <c r="BG297" t="inlineStr">
        <is>
          <t>2026-03-17</t>
        </is>
      </c>
      <c r="BH297" s="7" t="inlineStr">
        <is>
          <t>DLD / Digital Dubai / CBUAE / Savills / Knight Frank-Moody’s / Reuters</t>
        </is>
      </c>
    </row>
    <row r="298">
      <c r="A298" t="n">
        <v>297</v>
      </c>
      <c r="B298" s="7" t="inlineStr">
        <is>
          <t>Orla</t>
        </is>
      </c>
      <c r="C298" t="inlineStr">
        <is>
          <t>Omniyat</t>
        </is>
      </c>
      <c r="D298" t="inlineStr">
        <is>
          <t>Palm Jumeirah</t>
        </is>
      </c>
      <c r="E298" t="inlineStr">
        <is>
          <t>Ultra-Luxury Apts</t>
        </is>
      </c>
      <c r="F298" s="7" t="inlineStr">
        <is>
          <t>Dorchester / Beach</t>
        </is>
      </c>
      <c r="G298" t="inlineStr">
        <is>
          <t>25M+</t>
        </is>
      </c>
      <c r="H298" t="inlineStr">
        <is>
          <t>6000+</t>
        </is>
      </c>
      <c r="I298" t="inlineStr">
        <is>
          <t>50+</t>
        </is>
      </c>
      <c r="J298" t="inlineStr">
        <is>
          <t>60/40</t>
        </is>
      </c>
      <c r="K298" t="inlineStr">
        <is>
          <t>2022</t>
        </is>
      </c>
      <c r="L298" t="inlineStr">
        <is>
          <t>3.0-3.5</t>
        </is>
      </c>
      <c r="M298" t="inlineStr">
        <is>
          <t>8-12</t>
        </is>
      </c>
      <c r="N298" t="inlineStr">
        <is>
          <t>11.0-15.5</t>
        </is>
      </c>
      <c r="O298" s="7" t="inlineStr">
        <is>
          <t>Chevalier College</t>
        </is>
      </c>
      <c r="P298" s="7" t="inlineStr">
        <is>
          <t>Emirates Hospital</t>
        </is>
      </c>
      <c r="Q298" s="7" t="inlineStr">
        <is>
          <t>Nakheel Mall</t>
        </is>
      </c>
      <c r="R298" s="7" t="inlineStr">
        <is>
          <t>Sheikh Zayed E11</t>
        </is>
      </c>
      <c r="S298" t="inlineStr">
        <is>
          <t>20</t>
        </is>
      </c>
      <c r="T298" t="inlineStr">
        <is>
          <t>10</t>
        </is>
      </c>
      <c r="U298" t="inlineStr">
        <is>
          <t>25</t>
        </is>
      </c>
      <c r="V298" t="inlineStr">
        <is>
          <t>35</t>
        </is>
      </c>
      <c r="W298" t="n">
        <v>2</v>
      </c>
      <c r="X298" s="12" t="n">
        <v>25000000</v>
      </c>
      <c r="Y298" s="12" t="n">
        <v>25000000</v>
      </c>
      <c r="Z298" s="9" t="n">
        <v>3</v>
      </c>
      <c r="AA298" s="9" t="n">
        <v>3.5</v>
      </c>
      <c r="AB298" s="9" t="n">
        <v>8</v>
      </c>
      <c r="AC298" s="9" t="n">
        <v>12</v>
      </c>
      <c r="AD298" s="9" t="n">
        <v>11</v>
      </c>
      <c r="AE298" s="9" t="n">
        <v>15.5</v>
      </c>
      <c r="AF298" t="n">
        <v>2022</v>
      </c>
      <c r="AH298" t="inlineStr">
        <is>
          <t>Apartment</t>
        </is>
      </c>
      <c r="AI298" t="inlineStr">
        <is>
          <t>Prime</t>
        </is>
      </c>
      <c r="AJ298" t="inlineStr">
        <is>
          <t>Established</t>
        </is>
      </c>
      <c r="AK298" t="inlineStr">
        <is>
          <t>Prime resilient / selective</t>
        </is>
      </c>
      <c r="AL298" s="7" t="inlineStr">
        <is>
          <t>Better support from quality, branding, and scarcer prime stock; still entry-price sensitive.</t>
        </is>
      </c>
      <c r="AM298" s="9" t="n">
        <v>10</v>
      </c>
      <c r="AN298" s="9" t="n">
        <v>3.25</v>
      </c>
      <c r="AO298" s="10" t="n">
        <v>0.55</v>
      </c>
      <c r="AP298" s="13" t="n">
        <v>0.02</v>
      </c>
      <c r="AQ298" s="13" t="n">
        <v>0</v>
      </c>
      <c r="AR298" s="13" t="n">
        <v>0</v>
      </c>
      <c r="AS298" s="13" t="n">
        <v>0.03</v>
      </c>
      <c r="AT298" s="13" t="n">
        <v>0</v>
      </c>
      <c r="AU298" s="13" t="n">
        <v>0</v>
      </c>
      <c r="AV298" s="13" t="n">
        <v>-0.005</v>
      </c>
      <c r="AW298" s="13">
        <f>IF(X298="","",(AM298/100*AO298)+AP298+AQ298+AR298)</f>
        <v/>
      </c>
      <c r="AX298" s="13">
        <f>IF(X298="","",AS298+AT298+AU298+AV298)</f>
        <v/>
      </c>
      <c r="AY298" s="12">
        <f>IF(AZ298="","",ROUND(AZ298*(1+Assumptions!$B$10),0))</f>
        <v/>
      </c>
      <c r="AZ298" s="12">
        <f>IF(X298="","",ROUND(X298*(1+AW298),0))</f>
        <v/>
      </c>
      <c r="BA298" s="12">
        <f>IF(AZ298="","",ROUND(AZ298*(1+Assumptions!$B$11),0))</f>
        <v/>
      </c>
      <c r="BB298" s="12">
        <f>IF(AZ298="","",ROUND(AZ298*(1+AX298+Assumptions!$B$10),0))</f>
        <v/>
      </c>
      <c r="BC298" s="12">
        <f>IF(AZ298="","",ROUND(AZ298*(1+AX298),0))</f>
        <v/>
      </c>
      <c r="BD298" s="12">
        <f>IF(AZ298="","",ROUND(AZ298*(1+AX298+Assumptions!$B$11),0))</f>
        <v/>
      </c>
      <c r="BE298" s="12">
        <f>IF(AZ298="","",ROUND(AZ298*(1+AX298)*(1+AX298),0))</f>
        <v/>
      </c>
      <c r="BF298" s="7" t="inlineStr">
        <is>
          <t>Rules-based enrichment using launch-price anchor, cap-app realization, and 2026 segment conditions.</t>
        </is>
      </c>
      <c r="BG298" t="inlineStr">
        <is>
          <t>2026-03-17</t>
        </is>
      </c>
      <c r="BH298" s="7" t="inlineStr">
        <is>
          <t>DLD / Digital Dubai / CBUAE / Savills / Knight Frank-Moody’s / Reuters</t>
        </is>
      </c>
    </row>
    <row r="299">
      <c r="A299" t="n">
        <v>298</v>
      </c>
      <c r="B299" s="7" t="inlineStr">
        <is>
          <t>Orla Infinity</t>
        </is>
      </c>
      <c r="C299" t="inlineStr">
        <is>
          <t>Omniyat</t>
        </is>
      </c>
      <c r="D299" t="inlineStr">
        <is>
          <t>Palm Jumeirah</t>
        </is>
      </c>
      <c r="E299" t="inlineStr">
        <is>
          <t>Ultra-Luxury Apts</t>
        </is>
      </c>
      <c r="F299" s="7" t="inlineStr">
        <is>
          <t>Dorchester / Beach</t>
        </is>
      </c>
      <c r="G299" t="inlineStr">
        <is>
          <t>30M+</t>
        </is>
      </c>
      <c r="H299" t="inlineStr">
        <is>
          <t>6500+</t>
        </is>
      </c>
      <c r="I299" t="inlineStr">
        <is>
          <t>50+</t>
        </is>
      </c>
      <c r="J299" t="inlineStr">
        <is>
          <t>60/40</t>
        </is>
      </c>
      <c r="K299" t="inlineStr">
        <is>
          <t>2023</t>
        </is>
      </c>
      <c r="L299" t="inlineStr">
        <is>
          <t>3.0-3.5</t>
        </is>
      </c>
      <c r="M299" t="inlineStr">
        <is>
          <t>8-12</t>
        </is>
      </c>
      <c r="N299" t="inlineStr">
        <is>
          <t>11.0-15.5</t>
        </is>
      </c>
      <c r="O299" s="7" t="inlineStr">
        <is>
          <t>Chevalier College</t>
        </is>
      </c>
      <c r="P299" s="7" t="inlineStr">
        <is>
          <t>Emirates Hospital</t>
        </is>
      </c>
      <c r="Q299" s="7" t="inlineStr">
        <is>
          <t>Nakheel Mall</t>
        </is>
      </c>
      <c r="R299" s="7" t="inlineStr">
        <is>
          <t>Sheikh Zayed E11</t>
        </is>
      </c>
      <c r="S299" t="inlineStr">
        <is>
          <t>20</t>
        </is>
      </c>
      <c r="T299" t="inlineStr">
        <is>
          <t>10</t>
        </is>
      </c>
      <c r="U299" t="inlineStr">
        <is>
          <t>25</t>
        </is>
      </c>
      <c r="V299" t="inlineStr">
        <is>
          <t>35</t>
        </is>
      </c>
      <c r="W299" t="n">
        <v>2</v>
      </c>
      <c r="X299" s="12" t="n">
        <v>30000000</v>
      </c>
      <c r="Y299" s="12" t="n">
        <v>30000000</v>
      </c>
      <c r="Z299" s="9" t="n">
        <v>3</v>
      </c>
      <c r="AA299" s="9" t="n">
        <v>3.5</v>
      </c>
      <c r="AB299" s="9" t="n">
        <v>8</v>
      </c>
      <c r="AC299" s="9" t="n">
        <v>12</v>
      </c>
      <c r="AD299" s="9" t="n">
        <v>11</v>
      </c>
      <c r="AE299" s="9" t="n">
        <v>15.5</v>
      </c>
      <c r="AF299" t="n">
        <v>2023</v>
      </c>
      <c r="AH299" t="inlineStr">
        <is>
          <t>Apartment</t>
        </is>
      </c>
      <c r="AI299" t="inlineStr">
        <is>
          <t>Prime</t>
        </is>
      </c>
      <c r="AJ299" t="inlineStr">
        <is>
          <t>Established</t>
        </is>
      </c>
      <c r="AK299" t="inlineStr">
        <is>
          <t>Prime resilient / selective</t>
        </is>
      </c>
      <c r="AL299" s="7" t="inlineStr">
        <is>
          <t>Better support from quality, branding, and scarcer prime stock; still entry-price sensitive.</t>
        </is>
      </c>
      <c r="AM299" s="9" t="n">
        <v>10</v>
      </c>
      <c r="AN299" s="9" t="n">
        <v>3.25</v>
      </c>
      <c r="AO299" s="10" t="n">
        <v>0.55</v>
      </c>
      <c r="AP299" s="13" t="n">
        <v>0.02</v>
      </c>
      <c r="AQ299" s="13" t="n">
        <v>0</v>
      </c>
      <c r="AR299" s="13" t="n">
        <v>0</v>
      </c>
      <c r="AS299" s="13" t="n">
        <v>0.03</v>
      </c>
      <c r="AT299" s="13" t="n">
        <v>0</v>
      </c>
      <c r="AU299" s="13" t="n">
        <v>0</v>
      </c>
      <c r="AV299" s="13" t="n">
        <v>-0.005</v>
      </c>
      <c r="AW299" s="13">
        <f>IF(X299="","",(AM299/100*AO299)+AP299+AQ299+AR299)</f>
        <v/>
      </c>
      <c r="AX299" s="13">
        <f>IF(X299="","",AS299+AT299+AU299+AV299)</f>
        <v/>
      </c>
      <c r="AY299" s="12">
        <f>IF(AZ299="","",ROUND(AZ299*(1+Assumptions!$B$10),0))</f>
        <v/>
      </c>
      <c r="AZ299" s="12">
        <f>IF(X299="","",ROUND(X299*(1+AW299),0))</f>
        <v/>
      </c>
      <c r="BA299" s="12">
        <f>IF(AZ299="","",ROUND(AZ299*(1+Assumptions!$B$11),0))</f>
        <v/>
      </c>
      <c r="BB299" s="12">
        <f>IF(AZ299="","",ROUND(AZ299*(1+AX299+Assumptions!$B$10),0))</f>
        <v/>
      </c>
      <c r="BC299" s="12">
        <f>IF(AZ299="","",ROUND(AZ299*(1+AX299),0))</f>
        <v/>
      </c>
      <c r="BD299" s="12">
        <f>IF(AZ299="","",ROUND(AZ299*(1+AX299+Assumptions!$B$11),0))</f>
        <v/>
      </c>
      <c r="BE299" s="12">
        <f>IF(AZ299="","",ROUND(AZ299*(1+AX299)*(1+AX299),0))</f>
        <v/>
      </c>
      <c r="BF299" s="7" t="inlineStr">
        <is>
          <t>Rules-based enrichment using launch-price anchor, cap-app realization, and 2026 segment conditions.</t>
        </is>
      </c>
      <c r="BG299" t="inlineStr">
        <is>
          <t>2026-03-17</t>
        </is>
      </c>
      <c r="BH299" s="7" t="inlineStr">
        <is>
          <t>DLD / Digital Dubai / CBUAE / Savills / Knight Frank-Moody’s / Reuters</t>
        </is>
      </c>
    </row>
    <row r="300">
      <c r="A300" t="n">
        <v>299</v>
      </c>
      <c r="B300" s="7" t="inlineStr">
        <is>
          <t>One at Palm Jumeirah</t>
        </is>
      </c>
      <c r="C300" t="inlineStr">
        <is>
          <t>Omniyat</t>
        </is>
      </c>
      <c r="D300" t="inlineStr">
        <is>
          <t>Palm Jumeirah</t>
        </is>
      </c>
      <c r="E300" t="inlineStr">
        <is>
          <t>Ultra-Luxury Apts</t>
        </is>
      </c>
      <c r="F300" s="7" t="inlineStr">
        <is>
          <t>Dorchester / Beach</t>
        </is>
      </c>
      <c r="G300" t="inlineStr">
        <is>
          <t>Resale (20M+)</t>
        </is>
      </c>
      <c r="H300" t="inlineStr">
        <is>
          <t>5000+</t>
        </is>
      </c>
      <c r="I300" t="inlineStr">
        <is>
          <t>50+</t>
        </is>
      </c>
      <c r="J300" t="inlineStr">
        <is>
          <t>Completed</t>
        </is>
      </c>
      <c r="K300" t="inlineStr">
        <is>
          <t>2017</t>
        </is>
      </c>
      <c r="L300" t="inlineStr">
        <is>
          <t>4.0-4.5</t>
        </is>
      </c>
      <c r="M300" t="inlineStr">
        <is>
          <t>5-7</t>
        </is>
      </c>
      <c r="N300" t="inlineStr">
        <is>
          <t>9.0-11.5</t>
        </is>
      </c>
      <c r="O300" s="7" t="inlineStr">
        <is>
          <t>Chevalier College</t>
        </is>
      </c>
      <c r="P300" s="7" t="inlineStr">
        <is>
          <t>Emirates Hospital</t>
        </is>
      </c>
      <c r="Q300" s="7" t="inlineStr">
        <is>
          <t>Nakheel Mall</t>
        </is>
      </c>
      <c r="R300" s="7" t="inlineStr">
        <is>
          <t>Sheikh Zayed E11</t>
        </is>
      </c>
      <c r="S300" t="inlineStr">
        <is>
          <t>20</t>
        </is>
      </c>
      <c r="T300" t="inlineStr">
        <is>
          <t>10</t>
        </is>
      </c>
      <c r="U300" t="inlineStr">
        <is>
          <t>25</t>
        </is>
      </c>
      <c r="V300" t="inlineStr">
        <is>
          <t>35</t>
        </is>
      </c>
      <c r="W300" t="n">
        <v>2</v>
      </c>
      <c r="X300" s="12" t="n">
        <v>20000000</v>
      </c>
      <c r="Y300" s="12" t="n">
        <v>20000000</v>
      </c>
      <c r="Z300" s="9" t="n">
        <v>4</v>
      </c>
      <c r="AA300" s="9" t="n">
        <v>4.5</v>
      </c>
      <c r="AB300" s="9" t="n">
        <v>5</v>
      </c>
      <c r="AC300" s="9" t="n">
        <v>7</v>
      </c>
      <c r="AD300" s="9" t="n">
        <v>9</v>
      </c>
      <c r="AE300" s="9" t="n">
        <v>11.5</v>
      </c>
      <c r="AF300" t="n">
        <v>2017</v>
      </c>
      <c r="AH300" t="inlineStr">
        <is>
          <t>Apartment</t>
        </is>
      </c>
      <c r="AI300" t="inlineStr">
        <is>
          <t>Prime</t>
        </is>
      </c>
      <c r="AJ300" t="inlineStr">
        <is>
          <t>Established</t>
        </is>
      </c>
      <c r="AK300" t="inlineStr">
        <is>
          <t>Prime resilient / selective</t>
        </is>
      </c>
      <c r="AL300" s="7" t="inlineStr">
        <is>
          <t>Better support from quality, branding, and scarcer prime stock; still entry-price sensitive.</t>
        </is>
      </c>
      <c r="AM300" s="9" t="n">
        <v>6</v>
      </c>
      <c r="AN300" s="9" t="n">
        <v>4.25</v>
      </c>
      <c r="AO300" s="10" t="n">
        <v>0.55</v>
      </c>
      <c r="AP300" s="13" t="n">
        <v>0.02</v>
      </c>
      <c r="AQ300" s="13" t="n">
        <v>0</v>
      </c>
      <c r="AR300" s="13" t="n">
        <v>0</v>
      </c>
      <c r="AS300" s="13" t="n">
        <v>0.03</v>
      </c>
      <c r="AT300" s="13" t="n">
        <v>0</v>
      </c>
      <c r="AU300" s="13" t="n">
        <v>0</v>
      </c>
      <c r="AV300" s="13" t="n">
        <v>-0.005</v>
      </c>
      <c r="AW300" s="13">
        <f>IF(X300="","",(AM300/100*AO300)+AP300+AQ300+AR300)</f>
        <v/>
      </c>
      <c r="AX300" s="13">
        <f>IF(X300="","",AS300+AT300+AU300+AV300)</f>
        <v/>
      </c>
      <c r="AY300" s="12">
        <f>IF(AZ300="","",ROUND(AZ300*(1+Assumptions!$B$10),0))</f>
        <v/>
      </c>
      <c r="AZ300" s="12">
        <f>IF(X300="","",ROUND(X300*(1+AW300),0))</f>
        <v/>
      </c>
      <c r="BA300" s="12">
        <f>IF(AZ300="","",ROUND(AZ300*(1+Assumptions!$B$11),0))</f>
        <v/>
      </c>
      <c r="BB300" s="12">
        <f>IF(AZ300="","",ROUND(AZ300*(1+AX300+Assumptions!$B$10),0))</f>
        <v/>
      </c>
      <c r="BC300" s="12">
        <f>IF(AZ300="","",ROUND(AZ300*(1+AX300),0))</f>
        <v/>
      </c>
      <c r="BD300" s="12">
        <f>IF(AZ300="","",ROUND(AZ300*(1+AX300+Assumptions!$B$11),0))</f>
        <v/>
      </c>
      <c r="BE300" s="12">
        <f>IF(AZ300="","",ROUND(AZ300*(1+AX300)*(1+AX300),0))</f>
        <v/>
      </c>
      <c r="BF300" s="7" t="inlineStr">
        <is>
          <t>Rules-based enrichment using launch-price anchor, cap-app realization, and 2026 segment conditions.</t>
        </is>
      </c>
      <c r="BG300" t="inlineStr">
        <is>
          <t>2026-03-17</t>
        </is>
      </c>
      <c r="BH300" s="7" t="inlineStr">
        <is>
          <t>DLD / Digital Dubai / CBUAE / Savills / Knight Frank-Moody’s / Reuters</t>
        </is>
      </c>
    </row>
    <row r="301">
      <c r="A301" t="n">
        <v>300</v>
      </c>
      <c r="B301" s="7" t="inlineStr">
        <is>
          <t>Ava at Palm Jumeirah</t>
        </is>
      </c>
      <c r="C301" t="inlineStr">
        <is>
          <t>Omniyat</t>
        </is>
      </c>
      <c r="D301" t="inlineStr">
        <is>
          <t>Palm Jumeirah</t>
        </is>
      </c>
      <c r="E301" t="inlineStr">
        <is>
          <t>Ultra-Luxury Apts</t>
        </is>
      </c>
      <c r="F301" s="7" t="inlineStr">
        <is>
          <t>Dorchester / Private</t>
        </is>
      </c>
      <c r="G301" t="inlineStr">
        <is>
          <t>40M+</t>
        </is>
      </c>
      <c r="H301" t="inlineStr">
        <is>
          <t>6000+</t>
        </is>
      </c>
      <c r="I301" t="inlineStr">
        <is>
          <t>50+</t>
        </is>
      </c>
      <c r="J301" t="inlineStr">
        <is>
          <t>60/40</t>
        </is>
      </c>
      <c r="K301" t="inlineStr">
        <is>
          <t>2022</t>
        </is>
      </c>
      <c r="L301" t="inlineStr">
        <is>
          <t>3.0-3.5</t>
        </is>
      </c>
      <c r="M301" t="inlineStr">
        <is>
          <t>8-12</t>
        </is>
      </c>
      <c r="N301" t="inlineStr">
        <is>
          <t>11.0-15.5</t>
        </is>
      </c>
      <c r="O301" s="7" t="inlineStr">
        <is>
          <t>Chevalier College</t>
        </is>
      </c>
      <c r="P301" s="7" t="inlineStr">
        <is>
          <t>Emirates Hospital</t>
        </is>
      </c>
      <c r="Q301" s="7" t="inlineStr">
        <is>
          <t>Nakheel Mall</t>
        </is>
      </c>
      <c r="R301" s="7" t="inlineStr">
        <is>
          <t>Sheikh Zayed E11</t>
        </is>
      </c>
      <c r="S301" t="inlineStr">
        <is>
          <t>20</t>
        </is>
      </c>
      <c r="T301" t="inlineStr">
        <is>
          <t>10</t>
        </is>
      </c>
      <c r="U301" t="inlineStr">
        <is>
          <t>25</t>
        </is>
      </c>
      <c r="V301" t="inlineStr">
        <is>
          <t>35</t>
        </is>
      </c>
      <c r="W301" t="n">
        <v>2</v>
      </c>
      <c r="X301" s="12" t="n">
        <v>40000000</v>
      </c>
      <c r="Y301" s="12" t="n">
        <v>40000000</v>
      </c>
      <c r="Z301" s="9" t="n">
        <v>3</v>
      </c>
      <c r="AA301" s="9" t="n">
        <v>3.5</v>
      </c>
      <c r="AB301" s="9" t="n">
        <v>8</v>
      </c>
      <c r="AC301" s="9" t="n">
        <v>12</v>
      </c>
      <c r="AD301" s="9" t="n">
        <v>11</v>
      </c>
      <c r="AE301" s="9" t="n">
        <v>15.5</v>
      </c>
      <c r="AF301" t="n">
        <v>2022</v>
      </c>
      <c r="AH301" t="inlineStr">
        <is>
          <t>Apartment</t>
        </is>
      </c>
      <c r="AI301" t="inlineStr">
        <is>
          <t>Prime</t>
        </is>
      </c>
      <c r="AJ301" t="inlineStr">
        <is>
          <t>Established</t>
        </is>
      </c>
      <c r="AK301" t="inlineStr">
        <is>
          <t>Prime resilient / selective</t>
        </is>
      </c>
      <c r="AL301" s="7" t="inlineStr">
        <is>
          <t>Better support from quality, branding, and scarcer prime stock; still entry-price sensitive.</t>
        </is>
      </c>
      <c r="AM301" s="9" t="n">
        <v>10</v>
      </c>
      <c r="AN301" s="9" t="n">
        <v>3.25</v>
      </c>
      <c r="AO301" s="10" t="n">
        <v>0.55</v>
      </c>
      <c r="AP301" s="13" t="n">
        <v>0.02</v>
      </c>
      <c r="AQ301" s="13" t="n">
        <v>0</v>
      </c>
      <c r="AR301" s="13" t="n">
        <v>0</v>
      </c>
      <c r="AS301" s="13" t="n">
        <v>0.03</v>
      </c>
      <c r="AT301" s="13" t="n">
        <v>0</v>
      </c>
      <c r="AU301" s="13" t="n">
        <v>0</v>
      </c>
      <c r="AV301" s="13" t="n">
        <v>-0.005</v>
      </c>
      <c r="AW301" s="13">
        <f>IF(X301="","",(AM301/100*AO301)+AP301+AQ301+AR301)</f>
        <v/>
      </c>
      <c r="AX301" s="13">
        <f>IF(X301="","",AS301+AT301+AU301+AV301)</f>
        <v/>
      </c>
      <c r="AY301" s="12">
        <f>IF(AZ301="","",ROUND(AZ301*(1+Assumptions!$B$10),0))</f>
        <v/>
      </c>
      <c r="AZ301" s="12">
        <f>IF(X301="","",ROUND(X301*(1+AW301),0))</f>
        <v/>
      </c>
      <c r="BA301" s="12">
        <f>IF(AZ301="","",ROUND(AZ301*(1+Assumptions!$B$11),0))</f>
        <v/>
      </c>
      <c r="BB301" s="12">
        <f>IF(AZ301="","",ROUND(AZ301*(1+AX301+Assumptions!$B$10),0))</f>
        <v/>
      </c>
      <c r="BC301" s="12">
        <f>IF(AZ301="","",ROUND(AZ301*(1+AX301),0))</f>
        <v/>
      </c>
      <c r="BD301" s="12">
        <f>IF(AZ301="","",ROUND(AZ301*(1+AX301+Assumptions!$B$11),0))</f>
        <v/>
      </c>
      <c r="BE301" s="12">
        <f>IF(AZ301="","",ROUND(AZ301*(1+AX301)*(1+AX301),0))</f>
        <v/>
      </c>
      <c r="BF301" s="7" t="inlineStr">
        <is>
          <t>Rules-based enrichment using launch-price anchor, cap-app realization, and 2026 segment conditions.</t>
        </is>
      </c>
      <c r="BG301" t="inlineStr">
        <is>
          <t>2026-03-17</t>
        </is>
      </c>
      <c r="BH301" s="7" t="inlineStr">
        <is>
          <t>DLD / Digital Dubai / CBUAE / Savills / Knight Frank-Moody’s / Reuters</t>
        </is>
      </c>
    </row>
    <row r="302">
      <c r="A302" t="n">
        <v>301</v>
      </c>
      <c r="B302" s="7" t="inlineStr">
        <is>
          <t>Anwa</t>
        </is>
      </c>
      <c r="C302" t="inlineStr">
        <is>
          <t>Omniyat</t>
        </is>
      </c>
      <c r="D302" t="inlineStr">
        <is>
          <t>Dubai Maritime City</t>
        </is>
      </c>
      <c r="E302" t="inlineStr">
        <is>
          <t>Apartments</t>
        </is>
      </c>
      <c r="F302" s="7" t="inlineStr">
        <is>
          <t>Sea View / Luxury</t>
        </is>
      </c>
      <c r="G302" t="inlineStr">
        <is>
          <t>Resale (2M+)</t>
        </is>
      </c>
      <c r="H302" t="inlineStr">
        <is>
          <t>1800</t>
        </is>
      </c>
      <c r="I302" t="inlineStr">
        <is>
          <t>25</t>
        </is>
      </c>
      <c r="J302" t="inlineStr">
        <is>
          <t>Completed</t>
        </is>
      </c>
      <c r="K302" t="inlineStr">
        <is>
          <t>2021</t>
        </is>
      </c>
      <c r="L302" t="inlineStr">
        <is>
          <t>6.0-6.5</t>
        </is>
      </c>
      <c r="M302" t="inlineStr">
        <is>
          <t>6-8</t>
        </is>
      </c>
      <c r="N302" t="inlineStr">
        <is>
          <t>12.0-14.5</t>
        </is>
      </c>
      <c r="O302" s="7" t="inlineStr">
        <is>
          <t>New Academy School</t>
        </is>
      </c>
      <c r="P302" s="7" t="inlineStr">
        <is>
          <t>Aster Hospital Mankhool</t>
        </is>
      </c>
      <c r="Q302" s="7" t="inlineStr">
        <is>
          <t>Dubai Mall</t>
        </is>
      </c>
      <c r="R302" s="7" t="inlineStr">
        <is>
          <t>Al Khaleej / E11</t>
        </is>
      </c>
      <c r="S302" t="inlineStr">
        <is>
          <t>15</t>
        </is>
      </c>
      <c r="T302" t="inlineStr">
        <is>
          <t>25</t>
        </is>
      </c>
      <c r="U302" t="inlineStr">
        <is>
          <t>15</t>
        </is>
      </c>
      <c r="V302" t="inlineStr">
        <is>
          <t>45</t>
        </is>
      </c>
      <c r="W302" t="n">
        <v>2</v>
      </c>
      <c r="X302" s="12" t="n">
        <v>2000000</v>
      </c>
      <c r="Y302" s="12" t="n">
        <v>2000000</v>
      </c>
      <c r="Z302" s="9" t="n">
        <v>6</v>
      </c>
      <c r="AA302" s="9" t="n">
        <v>6.5</v>
      </c>
      <c r="AB302" s="9" t="n">
        <v>6</v>
      </c>
      <c r="AC302" s="9" t="n">
        <v>8</v>
      </c>
      <c r="AD302" s="9" t="n">
        <v>12</v>
      </c>
      <c r="AE302" s="9" t="n">
        <v>14.5</v>
      </c>
      <c r="AF302" t="n">
        <v>2021</v>
      </c>
      <c r="AH302" t="inlineStr">
        <is>
          <t>Apartment</t>
        </is>
      </c>
      <c r="AI302" t="inlineStr">
        <is>
          <t>MainstreamSelective</t>
        </is>
      </c>
      <c r="AJ302" t="inlineStr">
        <is>
          <t>Established</t>
        </is>
      </c>
      <c r="AK302" t="inlineStr">
        <is>
          <t>Balanced / selective</t>
        </is>
      </c>
      <c r="AL302" s="7" t="inlineStr">
        <is>
          <t>Market remains active but increasingly differentiated by developer, micro-location, livability, and pricing discipline.</t>
        </is>
      </c>
      <c r="AM302" s="9" t="n">
        <v>7</v>
      </c>
      <c r="AN302" s="9" t="n">
        <v>6.25</v>
      </c>
      <c r="AO302" s="10" t="n">
        <v>0.55</v>
      </c>
      <c r="AP302" s="13" t="n">
        <v>0</v>
      </c>
      <c r="AQ302" s="13" t="n">
        <v>0</v>
      </c>
      <c r="AR302" s="13" t="n">
        <v>0</v>
      </c>
      <c r="AS302" s="13" t="n">
        <v>0.01</v>
      </c>
      <c r="AT302" s="13" t="n">
        <v>0</v>
      </c>
      <c r="AU302" s="13" t="n">
        <v>0.0025</v>
      </c>
      <c r="AV302" s="13" t="n">
        <v>-0.005</v>
      </c>
      <c r="AW302" s="13">
        <f>IF(X302="","",(AM302/100*AO302)+AP302+AQ302+AR302)</f>
        <v/>
      </c>
      <c r="AX302" s="13">
        <f>IF(X302="","",AS302+AT302+AU302+AV302)</f>
        <v/>
      </c>
      <c r="AY302" s="12">
        <f>IF(AZ302="","",ROUND(AZ302*(1+Assumptions!$B$10),0))</f>
        <v/>
      </c>
      <c r="AZ302" s="12">
        <f>IF(X302="","",ROUND(X302*(1+AW302),0))</f>
        <v/>
      </c>
      <c r="BA302" s="12">
        <f>IF(AZ302="","",ROUND(AZ302*(1+Assumptions!$B$11),0))</f>
        <v/>
      </c>
      <c r="BB302" s="12">
        <f>IF(AZ302="","",ROUND(AZ302*(1+AX302+Assumptions!$B$10),0))</f>
        <v/>
      </c>
      <c r="BC302" s="12">
        <f>IF(AZ302="","",ROUND(AZ302*(1+AX302),0))</f>
        <v/>
      </c>
      <c r="BD302" s="12">
        <f>IF(AZ302="","",ROUND(AZ302*(1+AX302+Assumptions!$B$11),0))</f>
        <v/>
      </c>
      <c r="BE302" s="12">
        <f>IF(AZ302="","",ROUND(AZ302*(1+AX302)*(1+AX302),0))</f>
        <v/>
      </c>
      <c r="BF302" s="7" t="inlineStr">
        <is>
          <t>Rules-based enrichment using launch-price anchor, cap-app realization, and 2026 segment conditions.</t>
        </is>
      </c>
      <c r="BG302" t="inlineStr">
        <is>
          <t>2026-03-17</t>
        </is>
      </c>
      <c r="BH302" s="7" t="inlineStr">
        <is>
          <t>DLD / Digital Dubai / CBUAE / Savills / Knight Frank-Moody’s / Reuters</t>
        </is>
      </c>
    </row>
    <row r="303">
      <c r="A303" t="n">
        <v>302</v>
      </c>
      <c r="B303" s="7" t="inlineStr">
        <is>
          <t>Anwa Aria</t>
        </is>
      </c>
      <c r="C303" t="inlineStr">
        <is>
          <t>Omniyat</t>
        </is>
      </c>
      <c r="D303" t="inlineStr">
        <is>
          <t>Dubai Maritime City</t>
        </is>
      </c>
      <c r="E303" t="inlineStr">
        <is>
          <t>Apartments</t>
        </is>
      </c>
      <c r="F303" s="7" t="inlineStr">
        <is>
          <t>Sea View / Luxury</t>
        </is>
      </c>
      <c r="G303" t="inlineStr">
        <is>
          <t>2.2M</t>
        </is>
      </c>
      <c r="H303" t="inlineStr">
        <is>
          <t>2000</t>
        </is>
      </c>
      <c r="I303" t="inlineStr">
        <is>
          <t>25</t>
        </is>
      </c>
      <c r="J303" t="inlineStr">
        <is>
          <t>60/40</t>
        </is>
      </c>
      <c r="K303" t="inlineStr">
        <is>
          <t>2023</t>
        </is>
      </c>
      <c r="L303" t="inlineStr">
        <is>
          <t>6.0-6.5</t>
        </is>
      </c>
      <c r="M303" t="inlineStr">
        <is>
          <t>8-10</t>
        </is>
      </c>
      <c r="N303" t="inlineStr">
        <is>
          <t>14.0-16.5</t>
        </is>
      </c>
      <c r="O303" s="7" t="inlineStr">
        <is>
          <t>New Academy School</t>
        </is>
      </c>
      <c r="P303" s="7" t="inlineStr">
        <is>
          <t>Aster Hospital Mankhool</t>
        </is>
      </c>
      <c r="Q303" s="7" t="inlineStr">
        <is>
          <t>Dubai Mall</t>
        </is>
      </c>
      <c r="R303" s="7" t="inlineStr">
        <is>
          <t>Al Khaleej / E11</t>
        </is>
      </c>
      <c r="S303" t="inlineStr">
        <is>
          <t>15</t>
        </is>
      </c>
      <c r="T303" t="inlineStr">
        <is>
          <t>25</t>
        </is>
      </c>
      <c r="U303" t="inlineStr">
        <is>
          <t>15</t>
        </is>
      </c>
      <c r="V303" t="inlineStr">
        <is>
          <t>45</t>
        </is>
      </c>
      <c r="W303" t="n">
        <v>2</v>
      </c>
      <c r="X303" s="12" t="n">
        <v>2200000</v>
      </c>
      <c r="Y303" s="12" t="n">
        <v>2200000</v>
      </c>
      <c r="Z303" s="9" t="n">
        <v>6</v>
      </c>
      <c r="AA303" s="9" t="n">
        <v>6.5</v>
      </c>
      <c r="AB303" s="9" t="n">
        <v>8</v>
      </c>
      <c r="AC303" s="9" t="n">
        <v>10</v>
      </c>
      <c r="AD303" s="9" t="n">
        <v>14</v>
      </c>
      <c r="AE303" s="9" t="n">
        <v>16.5</v>
      </c>
      <c r="AF303" t="n">
        <v>2023</v>
      </c>
      <c r="AH303" t="inlineStr">
        <is>
          <t>Apartment</t>
        </is>
      </c>
      <c r="AI303" t="inlineStr">
        <is>
          <t>MainstreamSelective</t>
        </is>
      </c>
      <c r="AJ303" t="inlineStr">
        <is>
          <t>Established</t>
        </is>
      </c>
      <c r="AK303" t="inlineStr">
        <is>
          <t>Balanced / selective</t>
        </is>
      </c>
      <c r="AL303" s="7" t="inlineStr">
        <is>
          <t>Market remains active but increasingly differentiated by developer, micro-location, livability, and pricing discipline.</t>
        </is>
      </c>
      <c r="AM303" s="9" t="n">
        <v>9</v>
      </c>
      <c r="AN303" s="9" t="n">
        <v>6.25</v>
      </c>
      <c r="AO303" s="10" t="n">
        <v>0.55</v>
      </c>
      <c r="AP303" s="13" t="n">
        <v>0</v>
      </c>
      <c r="AQ303" s="13" t="n">
        <v>0</v>
      </c>
      <c r="AR303" s="13" t="n">
        <v>0</v>
      </c>
      <c r="AS303" s="13" t="n">
        <v>0.01</v>
      </c>
      <c r="AT303" s="13" t="n">
        <v>0</v>
      </c>
      <c r="AU303" s="13" t="n">
        <v>0.0025</v>
      </c>
      <c r="AV303" s="13" t="n">
        <v>-0.005</v>
      </c>
      <c r="AW303" s="13">
        <f>IF(X303="","",(AM303/100*AO303)+AP303+AQ303+AR303)</f>
        <v/>
      </c>
      <c r="AX303" s="13">
        <f>IF(X303="","",AS303+AT303+AU303+AV303)</f>
        <v/>
      </c>
      <c r="AY303" s="12">
        <f>IF(AZ303="","",ROUND(AZ303*(1+Assumptions!$B$10),0))</f>
        <v/>
      </c>
      <c r="AZ303" s="12">
        <f>IF(X303="","",ROUND(X303*(1+AW303),0))</f>
        <v/>
      </c>
      <c r="BA303" s="12">
        <f>IF(AZ303="","",ROUND(AZ303*(1+Assumptions!$B$11),0))</f>
        <v/>
      </c>
      <c r="BB303" s="12">
        <f>IF(AZ303="","",ROUND(AZ303*(1+AX303+Assumptions!$B$10),0))</f>
        <v/>
      </c>
      <c r="BC303" s="12">
        <f>IF(AZ303="","",ROUND(AZ303*(1+AX303),0))</f>
        <v/>
      </c>
      <c r="BD303" s="12">
        <f>IF(AZ303="","",ROUND(AZ303*(1+AX303+Assumptions!$B$11),0))</f>
        <v/>
      </c>
      <c r="BE303" s="12">
        <f>IF(AZ303="","",ROUND(AZ303*(1+AX303)*(1+AX303),0))</f>
        <v/>
      </c>
      <c r="BF303" s="7" t="inlineStr">
        <is>
          <t>Rules-based enrichment using launch-price anchor, cap-app realization, and 2026 segment conditions.</t>
        </is>
      </c>
      <c r="BG303" t="inlineStr">
        <is>
          <t>2026-03-17</t>
        </is>
      </c>
      <c r="BH303" s="7" t="inlineStr">
        <is>
          <t>DLD / Digital Dubai / CBUAE / Savills / Knight Frank-Moody’s / Reuters</t>
        </is>
      </c>
    </row>
    <row r="304">
      <c r="A304" t="n">
        <v>303</v>
      </c>
      <c r="B304" s="7" t="inlineStr">
        <is>
          <t>Armani Beach Residences</t>
        </is>
      </c>
      <c r="C304" t="inlineStr">
        <is>
          <t>Arada</t>
        </is>
      </c>
      <c r="D304" t="inlineStr">
        <is>
          <t>Palm Jumeirah</t>
        </is>
      </c>
      <c r="E304" t="inlineStr">
        <is>
          <t>Branded Apts</t>
        </is>
      </c>
      <c r="F304" s="7" t="inlineStr">
        <is>
          <t>Ultra-Luxury / Design</t>
        </is>
      </c>
      <c r="G304" t="inlineStr">
        <is>
          <t>20M+</t>
        </is>
      </c>
      <c r="H304" t="inlineStr">
        <is>
          <t>6000</t>
        </is>
      </c>
      <c r="I304" t="inlineStr">
        <is>
          <t>45+</t>
        </is>
      </c>
      <c r="J304" t="inlineStr">
        <is>
          <t>60/40</t>
        </is>
      </c>
      <c r="K304" t="inlineStr">
        <is>
          <t>2023</t>
        </is>
      </c>
      <c r="L304" t="inlineStr">
        <is>
          <t>3.5-4.0</t>
        </is>
      </c>
      <c r="M304" t="inlineStr">
        <is>
          <t>8-12</t>
        </is>
      </c>
      <c r="N304" t="inlineStr">
        <is>
          <t>11.5-16.0</t>
        </is>
      </c>
      <c r="O304" s="7" t="inlineStr">
        <is>
          <t>Chevalier College</t>
        </is>
      </c>
      <c r="P304" s="7" t="inlineStr">
        <is>
          <t>Emirates Hospital</t>
        </is>
      </c>
      <c r="Q304" s="7" t="inlineStr">
        <is>
          <t>Nakheel Mall</t>
        </is>
      </c>
      <c r="R304" s="7" t="inlineStr">
        <is>
          <t>Sheikh Zayed E11</t>
        </is>
      </c>
      <c r="S304" t="inlineStr">
        <is>
          <t>20</t>
        </is>
      </c>
      <c r="T304" t="inlineStr">
        <is>
          <t>10</t>
        </is>
      </c>
      <c r="U304" t="inlineStr">
        <is>
          <t>25</t>
        </is>
      </c>
      <c r="V304" t="inlineStr">
        <is>
          <t>35</t>
        </is>
      </c>
      <c r="W304" t="n">
        <v>2</v>
      </c>
      <c r="X304" s="12" t="n">
        <v>20000000</v>
      </c>
      <c r="Y304" s="12" t="n">
        <v>20000000</v>
      </c>
      <c r="Z304" s="9" t="n">
        <v>3.5</v>
      </c>
      <c r="AA304" s="9" t="n">
        <v>4</v>
      </c>
      <c r="AB304" s="9" t="n">
        <v>8</v>
      </c>
      <c r="AC304" s="9" t="n">
        <v>12</v>
      </c>
      <c r="AD304" s="9" t="n">
        <v>11.5</v>
      </c>
      <c r="AE304" s="9" t="n">
        <v>16</v>
      </c>
      <c r="AF304" t="n">
        <v>2023</v>
      </c>
      <c r="AH304" t="inlineStr">
        <is>
          <t>Apartment</t>
        </is>
      </c>
      <c r="AI304" t="inlineStr">
        <is>
          <t>Prime</t>
        </is>
      </c>
      <c r="AJ304" t="inlineStr">
        <is>
          <t>Established</t>
        </is>
      </c>
      <c r="AK304" t="inlineStr">
        <is>
          <t>Prime resilient / selective</t>
        </is>
      </c>
      <c r="AL304" s="7" t="inlineStr">
        <is>
          <t>Better support from quality, branding, and scarcer prime stock; still entry-price sensitive.</t>
        </is>
      </c>
      <c r="AM304" s="9" t="n">
        <v>10</v>
      </c>
      <c r="AN304" s="9" t="n">
        <v>3.75</v>
      </c>
      <c r="AO304" s="10" t="n">
        <v>0.55</v>
      </c>
      <c r="AP304" s="13" t="n">
        <v>0.02</v>
      </c>
      <c r="AQ304" s="13" t="n">
        <v>0</v>
      </c>
      <c r="AR304" s="13" t="n">
        <v>0</v>
      </c>
      <c r="AS304" s="13" t="n">
        <v>0.03</v>
      </c>
      <c r="AT304" s="13" t="n">
        <v>0</v>
      </c>
      <c r="AU304" s="13" t="n">
        <v>0</v>
      </c>
      <c r="AV304" s="13" t="n">
        <v>-0.005</v>
      </c>
      <c r="AW304" s="13">
        <f>IF(X304="","",(AM304/100*AO304)+AP304+AQ304+AR304)</f>
        <v/>
      </c>
      <c r="AX304" s="13">
        <f>IF(X304="","",AS304+AT304+AU304+AV304)</f>
        <v/>
      </c>
      <c r="AY304" s="12">
        <f>IF(AZ304="","",ROUND(AZ304*(1+Assumptions!$B$10),0))</f>
        <v/>
      </c>
      <c r="AZ304" s="12">
        <f>IF(X304="","",ROUND(X304*(1+AW304),0))</f>
        <v/>
      </c>
      <c r="BA304" s="12">
        <f>IF(AZ304="","",ROUND(AZ304*(1+Assumptions!$B$11),0))</f>
        <v/>
      </c>
      <c r="BB304" s="12">
        <f>IF(AZ304="","",ROUND(AZ304*(1+AX304+Assumptions!$B$10),0))</f>
        <v/>
      </c>
      <c r="BC304" s="12">
        <f>IF(AZ304="","",ROUND(AZ304*(1+AX304),0))</f>
        <v/>
      </c>
      <c r="BD304" s="12">
        <f>IF(AZ304="","",ROUND(AZ304*(1+AX304+Assumptions!$B$11),0))</f>
        <v/>
      </c>
      <c r="BE304" s="12">
        <f>IF(AZ304="","",ROUND(AZ304*(1+AX304)*(1+AX304),0))</f>
        <v/>
      </c>
      <c r="BF304" s="7" t="inlineStr">
        <is>
          <t>Rules-based enrichment using launch-price anchor, cap-app realization, and 2026 segment conditions.</t>
        </is>
      </c>
      <c r="BG304" t="inlineStr">
        <is>
          <t>2026-03-17</t>
        </is>
      </c>
      <c r="BH304" s="7" t="inlineStr">
        <is>
          <t>DLD / Digital Dubai / CBUAE / Savills / Knight Frank-Moody’s / Reuters</t>
        </is>
      </c>
    </row>
    <row r="305">
      <c r="A305" t="n">
        <v>304</v>
      </c>
      <c r="B305" s="7" t="inlineStr">
        <is>
          <t>W Residences Dubai Harbour</t>
        </is>
      </c>
      <c r="C305" t="inlineStr">
        <is>
          <t>Arada</t>
        </is>
      </c>
      <c r="D305" t="inlineStr">
        <is>
          <t>Dubai Harbour</t>
        </is>
      </c>
      <c r="E305" t="inlineStr">
        <is>
          <t>Branded Apts</t>
        </is>
      </c>
      <c r="F305" s="7" t="inlineStr">
        <is>
          <t>Luxury / Hotel</t>
        </is>
      </c>
      <c r="G305" t="inlineStr">
        <is>
          <t>4.5M</t>
        </is>
      </c>
      <c r="H305" t="inlineStr">
        <is>
          <t>3500</t>
        </is>
      </c>
      <c r="I305" t="inlineStr">
        <is>
          <t>35+</t>
        </is>
      </c>
      <c r="J305" t="inlineStr">
        <is>
          <t>60/40</t>
        </is>
      </c>
      <c r="K305" t="inlineStr">
        <is>
          <t>2024</t>
        </is>
      </c>
      <c r="L305" t="inlineStr">
        <is>
          <t>5.0-5.5</t>
        </is>
      </c>
      <c r="M305" t="inlineStr">
        <is>
          <t>10-12</t>
        </is>
      </c>
      <c r="N305" t="inlineStr">
        <is>
          <t>15.0-17.5</t>
        </is>
      </c>
      <c r="O305" s="7" t="inlineStr">
        <is>
          <t>American Univ. Dubai</t>
        </is>
      </c>
      <c r="P305" s="7" t="inlineStr">
        <is>
          <t>Saudi German Hospital</t>
        </is>
      </c>
      <c r="Q305" s="7" t="inlineStr">
        <is>
          <t>Dubai Marina Mall</t>
        </is>
      </c>
      <c r="R305" s="7" t="inlineStr">
        <is>
          <t>Sheikh Zayed E11</t>
        </is>
      </c>
      <c r="S305" t="inlineStr">
        <is>
          <t>20</t>
        </is>
      </c>
      <c r="T305" t="inlineStr">
        <is>
          <t>5</t>
        </is>
      </c>
      <c r="U305" t="inlineStr">
        <is>
          <t>25</t>
        </is>
      </c>
      <c r="V305" t="inlineStr">
        <is>
          <t>30</t>
        </is>
      </c>
      <c r="W305" t="n">
        <v>2</v>
      </c>
      <c r="X305" s="12" t="n">
        <v>4500000</v>
      </c>
      <c r="Y305" s="12" t="n">
        <v>4500000</v>
      </c>
      <c r="Z305" s="9" t="n">
        <v>5</v>
      </c>
      <c r="AA305" s="9" t="n">
        <v>5.5</v>
      </c>
      <c r="AB305" s="9" t="n">
        <v>10</v>
      </c>
      <c r="AC305" s="9" t="n">
        <v>12</v>
      </c>
      <c r="AD305" s="9" t="n">
        <v>15</v>
      </c>
      <c r="AE305" s="9" t="n">
        <v>17.5</v>
      </c>
      <c r="AF305" t="n">
        <v>2024</v>
      </c>
      <c r="AH305" t="inlineStr">
        <is>
          <t>Apartment</t>
        </is>
      </c>
      <c r="AI305" t="inlineStr">
        <is>
          <t>MainstreamSelective</t>
        </is>
      </c>
      <c r="AJ305" t="inlineStr">
        <is>
          <t>Established</t>
        </is>
      </c>
      <c r="AK305" t="inlineStr">
        <is>
          <t>Balanced / selective</t>
        </is>
      </c>
      <c r="AL305" s="7" t="inlineStr">
        <is>
          <t>Market remains active but increasingly differentiated by developer, micro-location, livability, and pricing discipline.</t>
        </is>
      </c>
      <c r="AM305" s="9" t="n">
        <v>11</v>
      </c>
      <c r="AN305" s="9" t="n">
        <v>5.25</v>
      </c>
      <c r="AO305" s="10" t="n">
        <v>0.55</v>
      </c>
      <c r="AP305" s="13" t="n">
        <v>0</v>
      </c>
      <c r="AQ305" s="13" t="n">
        <v>0</v>
      </c>
      <c r="AR305" s="13" t="n">
        <v>0</v>
      </c>
      <c r="AS305" s="13" t="n">
        <v>0.01</v>
      </c>
      <c r="AT305" s="13" t="n">
        <v>0</v>
      </c>
      <c r="AU305" s="13" t="n">
        <v>0</v>
      </c>
      <c r="AV305" s="13" t="n">
        <v>-0.005</v>
      </c>
      <c r="AW305" s="13">
        <f>IF(X305="","",(AM305/100*AO305)+AP305+AQ305+AR305)</f>
        <v/>
      </c>
      <c r="AX305" s="13">
        <f>IF(X305="","",AS305+AT305+AU305+AV305)</f>
        <v/>
      </c>
      <c r="AY305" s="12">
        <f>IF(AZ305="","",ROUND(AZ305*(1+Assumptions!$B$10),0))</f>
        <v/>
      </c>
      <c r="AZ305" s="12">
        <f>IF(X305="","",ROUND(X305*(1+AW305),0))</f>
        <v/>
      </c>
      <c r="BA305" s="12">
        <f>IF(AZ305="","",ROUND(AZ305*(1+Assumptions!$B$11),0))</f>
        <v/>
      </c>
      <c r="BB305" s="12">
        <f>IF(AZ305="","",ROUND(AZ305*(1+AX305+Assumptions!$B$10),0))</f>
        <v/>
      </c>
      <c r="BC305" s="12">
        <f>IF(AZ305="","",ROUND(AZ305*(1+AX305),0))</f>
        <v/>
      </c>
      <c r="BD305" s="12">
        <f>IF(AZ305="","",ROUND(AZ305*(1+AX305+Assumptions!$B$11),0))</f>
        <v/>
      </c>
      <c r="BE305" s="12">
        <f>IF(AZ305="","",ROUND(AZ305*(1+AX305)*(1+AX305),0))</f>
        <v/>
      </c>
      <c r="BF305" s="7" t="inlineStr">
        <is>
          <t>Rules-based enrichment using launch-price anchor, cap-app realization, and 2026 segment conditions.</t>
        </is>
      </c>
      <c r="BG305" t="inlineStr">
        <is>
          <t>2026-03-17</t>
        </is>
      </c>
      <c r="BH305" s="7" t="inlineStr">
        <is>
          <t>DLD / Digital Dubai / CBUAE / Savills / Knight Frank-Moody’s / Reuters</t>
        </is>
      </c>
    </row>
    <row r="306">
      <c r="A306" t="n">
        <v>305</v>
      </c>
      <c r="B306" s="7" t="inlineStr">
        <is>
          <t>Jouri Hills</t>
        </is>
      </c>
      <c r="C306" t="inlineStr">
        <is>
          <t>Arada</t>
        </is>
      </c>
      <c r="D306" t="inlineStr">
        <is>
          <t>Jumeirah Golf Estates</t>
        </is>
      </c>
      <c r="E306" t="inlineStr">
        <is>
          <t>Villas</t>
        </is>
      </c>
      <c r="F306" s="7" t="inlineStr">
        <is>
          <t>Golf / Luxury</t>
        </is>
      </c>
      <c r="G306" t="inlineStr">
        <is>
          <t>4.5M</t>
        </is>
      </c>
      <c r="H306" t="inlineStr">
        <is>
          <t>1800</t>
        </is>
      </c>
      <c r="I306" t="inlineStr">
        <is>
          <t>20</t>
        </is>
      </c>
      <c r="J306" t="inlineStr">
        <is>
          <t>60/40</t>
        </is>
      </c>
      <c r="K306" t="inlineStr">
        <is>
          <t>2022</t>
        </is>
      </c>
      <c r="L306" t="inlineStr">
        <is>
          <t>5.5-6.0</t>
        </is>
      </c>
      <c r="M306" t="inlineStr">
        <is>
          <t>6-9</t>
        </is>
      </c>
      <c r="N306" t="inlineStr">
        <is>
          <t>11.5-15.0</t>
        </is>
      </c>
      <c r="O306" s="7" t="inlineStr">
        <is>
          <t>Victory Heights</t>
        </is>
      </c>
      <c r="P306" s="7" t="inlineStr">
        <is>
          <t>NMC Royal DIP</t>
        </is>
      </c>
      <c r="Q306" s="7" t="inlineStr">
        <is>
          <t>City Centre Me'aisem</t>
        </is>
      </c>
      <c r="R306" s="7" t="inlineStr">
        <is>
          <t>E311 / Yalayis</t>
        </is>
      </c>
      <c r="S306" t="inlineStr">
        <is>
          <t>25</t>
        </is>
      </c>
      <c r="T306" t="inlineStr">
        <is>
          <t>20</t>
        </is>
      </c>
      <c r="U306" t="inlineStr">
        <is>
          <t>30</t>
        </is>
      </c>
      <c r="V306" t="inlineStr">
        <is>
          <t>20</t>
        </is>
      </c>
      <c r="W306" t="n">
        <v>2</v>
      </c>
      <c r="X306" s="12" t="n">
        <v>4500000</v>
      </c>
      <c r="Y306" s="12" t="n">
        <v>4500000</v>
      </c>
      <c r="Z306" s="9" t="n">
        <v>5.5</v>
      </c>
      <c r="AA306" s="9" t="n">
        <v>6</v>
      </c>
      <c r="AB306" s="9" t="n">
        <v>6</v>
      </c>
      <c r="AC306" s="9" t="n">
        <v>9</v>
      </c>
      <c r="AD306" s="9" t="n">
        <v>11.5</v>
      </c>
      <c r="AE306" s="9" t="n">
        <v>15</v>
      </c>
      <c r="AF306" t="n">
        <v>2022</v>
      </c>
      <c r="AH306" t="inlineStr">
        <is>
          <t>Villa</t>
        </is>
      </c>
      <c r="AI306" t="inlineStr">
        <is>
          <t>MainstreamSelective</t>
        </is>
      </c>
      <c r="AJ306" t="inlineStr">
        <is>
          <t>Established</t>
        </is>
      </c>
      <c r="AK306" t="inlineStr">
        <is>
          <t>Family-villa resilient</t>
        </is>
      </c>
      <c r="AL306" s="7" t="inlineStr">
        <is>
          <t>Villa/townhouse demand remains relatively firmer, though growth should be slower than the post-2020 surge.</t>
        </is>
      </c>
      <c r="AM306" s="9" t="n">
        <v>7.5</v>
      </c>
      <c r="AN306" s="9" t="n">
        <v>5.75</v>
      </c>
      <c r="AO306" s="10" t="n">
        <v>0.55</v>
      </c>
      <c r="AP306" s="13" t="n">
        <v>0</v>
      </c>
      <c r="AQ306" s="13" t="n">
        <v>0.015</v>
      </c>
      <c r="AR306" s="13" t="n">
        <v>0</v>
      </c>
      <c r="AS306" s="13" t="n">
        <v>0.025</v>
      </c>
      <c r="AT306" s="13" t="n">
        <v>0</v>
      </c>
      <c r="AU306" s="13" t="n">
        <v>0</v>
      </c>
      <c r="AV306" s="13" t="n">
        <v>-0.005</v>
      </c>
      <c r="AW306" s="13">
        <f>IF(X306="","",(AM306/100*AO306)+AP306+AQ306+AR306)</f>
        <v/>
      </c>
      <c r="AX306" s="13">
        <f>IF(X306="","",AS306+AT306+AU306+AV306)</f>
        <v/>
      </c>
      <c r="AY306" s="12">
        <f>IF(AZ306="","",ROUND(AZ306*(1+Assumptions!$B$10),0))</f>
        <v/>
      </c>
      <c r="AZ306" s="12">
        <f>IF(X306="","",ROUND(X306*(1+AW306),0))</f>
        <v/>
      </c>
      <c r="BA306" s="12">
        <f>IF(AZ306="","",ROUND(AZ306*(1+Assumptions!$B$11),0))</f>
        <v/>
      </c>
      <c r="BB306" s="12">
        <f>IF(AZ306="","",ROUND(AZ306*(1+AX306+Assumptions!$B$10),0))</f>
        <v/>
      </c>
      <c r="BC306" s="12">
        <f>IF(AZ306="","",ROUND(AZ306*(1+AX306),0))</f>
        <v/>
      </c>
      <c r="BD306" s="12">
        <f>IF(AZ306="","",ROUND(AZ306*(1+AX306+Assumptions!$B$11),0))</f>
        <v/>
      </c>
      <c r="BE306" s="12">
        <f>IF(AZ306="","",ROUND(AZ306*(1+AX306)*(1+AX306),0))</f>
        <v/>
      </c>
      <c r="BF306" s="7" t="inlineStr">
        <is>
          <t>Rules-based enrichment using launch-price anchor, cap-app realization, and 2026 segment conditions.</t>
        </is>
      </c>
      <c r="BG306" t="inlineStr">
        <is>
          <t>2026-03-17</t>
        </is>
      </c>
      <c r="BH306" s="7" t="inlineStr">
        <is>
          <t>DLD / Digital Dubai / CBUAE / Savills / Knight Frank-Moody’s / Reuters</t>
        </is>
      </c>
    </row>
    <row r="307">
      <c r="A307" t="n">
        <v>306</v>
      </c>
      <c r="B307" s="7" t="inlineStr">
        <is>
          <t>South Garden</t>
        </is>
      </c>
      <c r="C307" t="inlineStr">
        <is>
          <t>Wasl Asset Management</t>
        </is>
      </c>
      <c r="D307" t="inlineStr">
        <is>
          <t>Wasl Gate (Jebel Ali)</t>
        </is>
      </c>
      <c r="E307" t="inlineStr">
        <is>
          <t>Apartments</t>
        </is>
      </c>
      <c r="F307" s="7" t="inlineStr">
        <is>
          <t>Community / Garden</t>
        </is>
      </c>
      <c r="G307" t="inlineStr">
        <is>
          <t>TBA</t>
        </is>
      </c>
      <c r="H307" t="inlineStr">
        <is>
          <t>TBA</t>
        </is>
      </c>
      <c r="I307" t="inlineStr">
        <is>
          <t>15</t>
        </is>
      </c>
      <c r="J307" t="inlineStr">
        <is>
          <t>TBA</t>
        </is>
      </c>
      <c r="K307" t="inlineStr">
        <is>
          <t>2024</t>
        </is>
      </c>
      <c r="L307" t="inlineStr">
        <is>
          <t>7.0-7.5</t>
        </is>
      </c>
      <c r="M307" t="inlineStr">
        <is>
          <t>8-10</t>
        </is>
      </c>
      <c r="N307" t="inlineStr">
        <is>
          <t>15.0-17.5</t>
        </is>
      </c>
      <c r="O307" s="7" t="inlineStr">
        <is>
          <t>The Arbor School</t>
        </is>
      </c>
      <c r="P307" s="7" t="inlineStr">
        <is>
          <t>Aster Cedars Jebel Ali</t>
        </is>
      </c>
      <c r="Q307" s="7" t="inlineStr">
        <is>
          <t>Ibn Battuta Mall</t>
        </is>
      </c>
      <c r="R307" s="7" t="inlineStr">
        <is>
          <t>Sheikh Zayed E11</t>
        </is>
      </c>
      <c r="S307" t="inlineStr">
        <is>
          <t>25</t>
        </is>
      </c>
      <c r="T307" t="inlineStr">
        <is>
          <t>10</t>
        </is>
      </c>
      <c r="U307" t="inlineStr">
        <is>
          <t>35</t>
        </is>
      </c>
      <c r="V307" t="inlineStr">
        <is>
          <t>20</t>
        </is>
      </c>
      <c r="W307" t="n">
        <v>2</v>
      </c>
      <c r="X307" s="12" t="n"/>
      <c r="Y307" s="12" t="n"/>
      <c r="Z307" s="9" t="n">
        <v>7</v>
      </c>
      <c r="AA307" s="9" t="n">
        <v>7.5</v>
      </c>
      <c r="AB307" s="9" t="n">
        <v>8</v>
      </c>
      <c r="AC307" s="9" t="n">
        <v>10</v>
      </c>
      <c r="AD307" s="9" t="n">
        <v>15</v>
      </c>
      <c r="AE307" s="9" t="n">
        <v>17.5</v>
      </c>
      <c r="AF307" t="n">
        <v>2024</v>
      </c>
      <c r="AH307" t="inlineStr">
        <is>
          <t>Apartment</t>
        </is>
      </c>
      <c r="AI307" t="inlineStr">
        <is>
          <t>MainstreamSelective</t>
        </is>
      </c>
      <c r="AJ307" t="inlineStr">
        <is>
          <t>Established</t>
        </is>
      </c>
      <c r="AK307" t="inlineStr">
        <is>
          <t>Balanced / selective</t>
        </is>
      </c>
      <c r="AL307" s="7" t="inlineStr">
        <is>
          <t>Market remains active but increasingly differentiated by developer, micro-location, livability, and pricing discipline.</t>
        </is>
      </c>
      <c r="AM307" s="9" t="n">
        <v>9</v>
      </c>
      <c r="AN307" s="9" t="n">
        <v>7.25</v>
      </c>
      <c r="AO307" s="10" t="n">
        <v>0.55</v>
      </c>
      <c r="AP307" s="13" t="n">
        <v>0</v>
      </c>
      <c r="AQ307" s="13" t="n">
        <v>0</v>
      </c>
      <c r="AR307" s="13" t="n">
        <v>0</v>
      </c>
      <c r="AS307" s="13" t="n">
        <v>0.01</v>
      </c>
      <c r="AT307" s="13" t="n">
        <v>0</v>
      </c>
      <c r="AU307" s="13" t="n">
        <v>0.0025</v>
      </c>
      <c r="AV307" s="13" t="n">
        <v>-0.005</v>
      </c>
      <c r="AW307" s="13">
        <f>IF(X307="","",(AM307/100*AO307)+AP307+AQ307+AR307)</f>
        <v/>
      </c>
      <c r="AX307" s="13">
        <f>IF(X307="","",AS307+AT307+AU307+AV307)</f>
        <v/>
      </c>
      <c r="AY307" s="12">
        <f>IF(AZ307="","",ROUND(AZ307*(1+Assumptions!$B$10),0))</f>
        <v/>
      </c>
      <c r="AZ307" s="12">
        <f>IF(X307="","",ROUND(X307*(1+AW307),0))</f>
        <v/>
      </c>
      <c r="BA307" s="12">
        <f>IF(AZ307="","",ROUND(AZ307*(1+Assumptions!$B$11),0))</f>
        <v/>
      </c>
      <c r="BB307" s="12">
        <f>IF(AZ307="","",ROUND(AZ307*(1+AX307+Assumptions!$B$10),0))</f>
        <v/>
      </c>
      <c r="BC307" s="12">
        <f>IF(AZ307="","",ROUND(AZ307*(1+AX307),0))</f>
        <v/>
      </c>
      <c r="BD307" s="12">
        <f>IF(AZ307="","",ROUND(AZ307*(1+AX307+Assumptions!$B$11),0))</f>
        <v/>
      </c>
      <c r="BE307" s="12">
        <f>IF(AZ307="","",ROUND(AZ307*(1+AX307)*(1+AX307),0))</f>
        <v/>
      </c>
      <c r="BF307" s="7" t="inlineStr">
        <is>
          <t>Rules-based enrichment using launch-price anchor, cap-app realization, and 2026 segment conditions.</t>
        </is>
      </c>
      <c r="BG307" t="inlineStr">
        <is>
          <t>2026-03-17</t>
        </is>
      </c>
      <c r="BH307" s="7" t="inlineStr">
        <is>
          <t>DLD / Digital Dubai / CBUAE / Savills / Knight Frank-Moody’s / Reuters</t>
        </is>
      </c>
    </row>
    <row r="308">
      <c r="A308" t="n">
        <v>307</v>
      </c>
      <c r="B308" s="7" t="inlineStr">
        <is>
          <t>Hillside Residences</t>
        </is>
      </c>
      <c r="C308" t="inlineStr">
        <is>
          <t>Wasl Asset Management</t>
        </is>
      </c>
      <c r="D308" t="inlineStr">
        <is>
          <t>Wasl Gate</t>
        </is>
      </c>
      <c r="E308" t="inlineStr">
        <is>
          <t>Apartments</t>
        </is>
      </c>
      <c r="F308" s="7" t="inlineStr">
        <is>
          <t>Community / Hill</t>
        </is>
      </c>
      <c r="G308" t="inlineStr">
        <is>
          <t>1.2M</t>
        </is>
      </c>
      <c r="H308" t="inlineStr">
        <is>
          <t>1100</t>
        </is>
      </c>
      <c r="I308" t="inlineStr">
        <is>
          <t>15</t>
        </is>
      </c>
      <c r="J308" t="inlineStr">
        <is>
          <t>60/40</t>
        </is>
      </c>
      <c r="K308" t="inlineStr">
        <is>
          <t>2023</t>
        </is>
      </c>
      <c r="L308" t="inlineStr">
        <is>
          <t>7.0-7.5</t>
        </is>
      </c>
      <c r="M308" t="inlineStr">
        <is>
          <t>8-10</t>
        </is>
      </c>
      <c r="N308" t="inlineStr">
        <is>
          <t>15.0-17.5</t>
        </is>
      </c>
      <c r="O308" s="7" t="inlineStr">
        <is>
          <t>The Arbor School</t>
        </is>
      </c>
      <c r="P308" s="7" t="inlineStr">
        <is>
          <t>Aster Cedars Jebel Ali</t>
        </is>
      </c>
      <c r="Q308" s="7" t="inlineStr">
        <is>
          <t>Ibn Battuta Mall</t>
        </is>
      </c>
      <c r="R308" s="7" t="inlineStr">
        <is>
          <t>Sheikh Zayed E11</t>
        </is>
      </c>
      <c r="S308" t="inlineStr">
        <is>
          <t>25</t>
        </is>
      </c>
      <c r="T308" t="inlineStr">
        <is>
          <t>10</t>
        </is>
      </c>
      <c r="U308" t="inlineStr">
        <is>
          <t>35</t>
        </is>
      </c>
      <c r="V308" t="inlineStr">
        <is>
          <t>20</t>
        </is>
      </c>
      <c r="W308" t="n">
        <v>2</v>
      </c>
      <c r="X308" s="12" t="n">
        <v>1200000</v>
      </c>
      <c r="Y308" s="12" t="n">
        <v>1200000</v>
      </c>
      <c r="Z308" s="9" t="n">
        <v>7</v>
      </c>
      <c r="AA308" s="9" t="n">
        <v>7.5</v>
      </c>
      <c r="AB308" s="9" t="n">
        <v>8</v>
      </c>
      <c r="AC308" s="9" t="n">
        <v>10</v>
      </c>
      <c r="AD308" s="9" t="n">
        <v>15</v>
      </c>
      <c r="AE308" s="9" t="n">
        <v>17.5</v>
      </c>
      <c r="AF308" t="n">
        <v>2023</v>
      </c>
      <c r="AH308" t="inlineStr">
        <is>
          <t>Apartment</t>
        </is>
      </c>
      <c r="AI308" t="inlineStr">
        <is>
          <t>MainstreamSelective</t>
        </is>
      </c>
      <c r="AJ308" t="inlineStr">
        <is>
          <t>Established</t>
        </is>
      </c>
      <c r="AK308" t="inlineStr">
        <is>
          <t>Balanced / selective</t>
        </is>
      </c>
      <c r="AL308" s="7" t="inlineStr">
        <is>
          <t>Market remains active but increasingly differentiated by developer, micro-location, livability, and pricing discipline.</t>
        </is>
      </c>
      <c r="AM308" s="9" t="n">
        <v>9</v>
      </c>
      <c r="AN308" s="9" t="n">
        <v>7.25</v>
      </c>
      <c r="AO308" s="10" t="n">
        <v>0.55</v>
      </c>
      <c r="AP308" s="13" t="n">
        <v>0</v>
      </c>
      <c r="AQ308" s="13" t="n">
        <v>0</v>
      </c>
      <c r="AR308" s="13" t="n">
        <v>0</v>
      </c>
      <c r="AS308" s="13" t="n">
        <v>0.01</v>
      </c>
      <c r="AT308" s="13" t="n">
        <v>0</v>
      </c>
      <c r="AU308" s="13" t="n">
        <v>0.0025</v>
      </c>
      <c r="AV308" s="13" t="n">
        <v>-0.005</v>
      </c>
      <c r="AW308" s="13">
        <f>IF(X308="","",(AM308/100*AO308)+AP308+AQ308+AR308)</f>
        <v/>
      </c>
      <c r="AX308" s="13">
        <f>IF(X308="","",AS308+AT308+AU308+AV308)</f>
        <v/>
      </c>
      <c r="AY308" s="12">
        <f>IF(AZ308="","",ROUND(AZ308*(1+Assumptions!$B$10),0))</f>
        <v/>
      </c>
      <c r="AZ308" s="12">
        <f>IF(X308="","",ROUND(X308*(1+AW308),0))</f>
        <v/>
      </c>
      <c r="BA308" s="12">
        <f>IF(AZ308="","",ROUND(AZ308*(1+Assumptions!$B$11),0))</f>
        <v/>
      </c>
      <c r="BB308" s="12">
        <f>IF(AZ308="","",ROUND(AZ308*(1+AX308+Assumptions!$B$10),0))</f>
        <v/>
      </c>
      <c r="BC308" s="12">
        <f>IF(AZ308="","",ROUND(AZ308*(1+AX308),0))</f>
        <v/>
      </c>
      <c r="BD308" s="12">
        <f>IF(AZ308="","",ROUND(AZ308*(1+AX308+Assumptions!$B$11),0))</f>
        <v/>
      </c>
      <c r="BE308" s="12">
        <f>IF(AZ308="","",ROUND(AZ308*(1+AX308)*(1+AX308),0))</f>
        <v/>
      </c>
      <c r="BF308" s="7" t="inlineStr">
        <is>
          <t>Rules-based enrichment using launch-price anchor, cap-app realization, and 2026 segment conditions.</t>
        </is>
      </c>
      <c r="BG308" t="inlineStr">
        <is>
          <t>2026-03-17</t>
        </is>
      </c>
      <c r="BH308" s="7" t="inlineStr">
        <is>
          <t>DLD / Digital Dubai / CBUAE / Savills / Knight Frank-Moody’s / Reuters</t>
        </is>
      </c>
    </row>
    <row r="309">
      <c r="A309" t="n">
        <v>308</v>
      </c>
      <c r="B309" s="7" t="inlineStr">
        <is>
          <t>Gardenia Townhomes</t>
        </is>
      </c>
      <c r="C309" t="inlineStr">
        <is>
          <t>Wasl Asset Management</t>
        </is>
      </c>
      <c r="D309" t="inlineStr">
        <is>
          <t>Wasl Gate</t>
        </is>
      </c>
      <c r="E309" t="inlineStr">
        <is>
          <t>Townhouses</t>
        </is>
      </c>
      <c r="F309" s="7" t="inlineStr">
        <is>
          <t>Family / Gated</t>
        </is>
      </c>
      <c r="G309" t="inlineStr">
        <is>
          <t>Resale (1.8M+)</t>
        </is>
      </c>
      <c r="H309" t="inlineStr">
        <is>
          <t>1000</t>
        </is>
      </c>
      <c r="I309" t="inlineStr">
        <is>
          <t>12</t>
        </is>
      </c>
      <c r="J309" t="inlineStr">
        <is>
          <t>Completed</t>
        </is>
      </c>
      <c r="K309" t="inlineStr">
        <is>
          <t>2021</t>
        </is>
      </c>
      <c r="L309" t="inlineStr">
        <is>
          <t>6.5-7.0</t>
        </is>
      </c>
      <c r="M309" t="inlineStr">
        <is>
          <t>5-7</t>
        </is>
      </c>
      <c r="N309" t="inlineStr">
        <is>
          <t>11.5-14.0</t>
        </is>
      </c>
      <c r="O309" s="7" t="inlineStr">
        <is>
          <t>The Arbor School</t>
        </is>
      </c>
      <c r="P309" s="7" t="inlineStr">
        <is>
          <t>Aster Cedars Jebel Ali</t>
        </is>
      </c>
      <c r="Q309" s="7" t="inlineStr">
        <is>
          <t>Ibn Battuta Mall</t>
        </is>
      </c>
      <c r="R309" s="7" t="inlineStr">
        <is>
          <t>Sheikh Zayed E11</t>
        </is>
      </c>
      <c r="S309" t="inlineStr">
        <is>
          <t>25</t>
        </is>
      </c>
      <c r="T309" t="inlineStr">
        <is>
          <t>10</t>
        </is>
      </c>
      <c r="U309" t="inlineStr">
        <is>
          <t>35</t>
        </is>
      </c>
      <c r="V309" t="inlineStr">
        <is>
          <t>20</t>
        </is>
      </c>
      <c r="W309" t="n">
        <v>2</v>
      </c>
      <c r="X309" s="12" t="n">
        <v>1800000</v>
      </c>
      <c r="Y309" s="12" t="n">
        <v>1800000</v>
      </c>
      <c r="Z309" s="9" t="n">
        <v>6.5</v>
      </c>
      <c r="AA309" s="9" t="n">
        <v>7</v>
      </c>
      <c r="AB309" s="9" t="n">
        <v>5</v>
      </c>
      <c r="AC309" s="9" t="n">
        <v>7</v>
      </c>
      <c r="AD309" s="9" t="n">
        <v>11.5</v>
      </c>
      <c r="AE309" s="9" t="n">
        <v>14</v>
      </c>
      <c r="AF309" t="n">
        <v>2021</v>
      </c>
      <c r="AH309" t="inlineStr">
        <is>
          <t>Townhouse</t>
        </is>
      </c>
      <c r="AI309" t="inlineStr">
        <is>
          <t>MainstreamSelective</t>
        </is>
      </c>
      <c r="AJ309" t="inlineStr">
        <is>
          <t>Established</t>
        </is>
      </c>
      <c r="AK309" t="inlineStr">
        <is>
          <t>Family-villa resilient</t>
        </is>
      </c>
      <c r="AL309" s="7" t="inlineStr">
        <is>
          <t>Villa/townhouse demand remains relatively firmer, though growth should be slower than the post-2020 surge.</t>
        </is>
      </c>
      <c r="AM309" s="9" t="n">
        <v>6</v>
      </c>
      <c r="AN309" s="9" t="n">
        <v>6.75</v>
      </c>
      <c r="AO309" s="10" t="n">
        <v>0.55</v>
      </c>
      <c r="AP309" s="13" t="n">
        <v>0</v>
      </c>
      <c r="AQ309" s="13" t="n">
        <v>0.015</v>
      </c>
      <c r="AR309" s="13" t="n">
        <v>0</v>
      </c>
      <c r="AS309" s="13" t="n">
        <v>0.025</v>
      </c>
      <c r="AT309" s="13" t="n">
        <v>0</v>
      </c>
      <c r="AU309" s="13" t="n">
        <v>0.0025</v>
      </c>
      <c r="AV309" s="13" t="n">
        <v>-0.005</v>
      </c>
      <c r="AW309" s="13">
        <f>IF(X309="","",(AM309/100*AO309)+AP309+AQ309+AR309)</f>
        <v/>
      </c>
      <c r="AX309" s="13">
        <f>IF(X309="","",AS309+AT309+AU309+AV309)</f>
        <v/>
      </c>
      <c r="AY309" s="12">
        <f>IF(AZ309="","",ROUND(AZ309*(1+Assumptions!$B$10),0))</f>
        <v/>
      </c>
      <c r="AZ309" s="12">
        <f>IF(X309="","",ROUND(X309*(1+AW309),0))</f>
        <v/>
      </c>
      <c r="BA309" s="12">
        <f>IF(AZ309="","",ROUND(AZ309*(1+Assumptions!$B$11),0))</f>
        <v/>
      </c>
      <c r="BB309" s="12">
        <f>IF(AZ309="","",ROUND(AZ309*(1+AX309+Assumptions!$B$10),0))</f>
        <v/>
      </c>
      <c r="BC309" s="12">
        <f>IF(AZ309="","",ROUND(AZ309*(1+AX309),0))</f>
        <v/>
      </c>
      <c r="BD309" s="12">
        <f>IF(AZ309="","",ROUND(AZ309*(1+AX309+Assumptions!$B$11),0))</f>
        <v/>
      </c>
      <c r="BE309" s="12">
        <f>IF(AZ309="","",ROUND(AZ309*(1+AX309)*(1+AX309),0))</f>
        <v/>
      </c>
      <c r="BF309" s="7" t="inlineStr">
        <is>
          <t>Rules-based enrichment using launch-price anchor, cap-app realization, and 2026 segment conditions.</t>
        </is>
      </c>
      <c r="BG309" t="inlineStr">
        <is>
          <t>2026-03-17</t>
        </is>
      </c>
      <c r="BH309" s="7" t="inlineStr">
        <is>
          <t>DLD / Digital Dubai / CBUAE / Savills / Knight Frank-Moody’s / Reuters</t>
        </is>
      </c>
    </row>
    <row r="310">
      <c r="A310" t="n">
        <v>309</v>
      </c>
      <c r="B310" s="7" t="inlineStr">
        <is>
          <t>The Nook</t>
        </is>
      </c>
      <c r="C310" t="inlineStr">
        <is>
          <t>Wasl Asset Management</t>
        </is>
      </c>
      <c r="D310" t="inlineStr">
        <is>
          <t>Wasl Gate</t>
        </is>
      </c>
      <c r="E310" t="inlineStr">
        <is>
          <t>Apartments</t>
        </is>
      </c>
      <c r="F310" s="7" t="inlineStr">
        <is>
          <t>Budget</t>
        </is>
      </c>
      <c r="G310" t="inlineStr">
        <is>
          <t>Resale (500k+)</t>
        </is>
      </c>
      <c r="H310" t="inlineStr">
        <is>
          <t>800</t>
        </is>
      </c>
      <c r="I310" t="inlineStr">
        <is>
          <t>12</t>
        </is>
      </c>
      <c r="J310" t="inlineStr">
        <is>
          <t>Completed</t>
        </is>
      </c>
      <c r="K310" t="inlineStr">
        <is>
          <t>2020</t>
        </is>
      </c>
      <c r="L310" t="inlineStr">
        <is>
          <t>7.5-8.0</t>
        </is>
      </c>
      <c r="M310" t="inlineStr">
        <is>
          <t>5-7</t>
        </is>
      </c>
      <c r="N310" t="inlineStr">
        <is>
          <t>12.5-15.0</t>
        </is>
      </c>
      <c r="O310" s="7" t="inlineStr">
        <is>
          <t>The Arbor School</t>
        </is>
      </c>
      <c r="P310" s="7" t="inlineStr">
        <is>
          <t>Aster Cedars Jebel Ali</t>
        </is>
      </c>
      <c r="Q310" s="7" t="inlineStr">
        <is>
          <t>Ibn Battuta Mall</t>
        </is>
      </c>
      <c r="R310" s="7" t="inlineStr">
        <is>
          <t>Sheikh Zayed E11</t>
        </is>
      </c>
      <c r="S310" t="inlineStr">
        <is>
          <t>25</t>
        </is>
      </c>
      <c r="T310" t="inlineStr">
        <is>
          <t>10</t>
        </is>
      </c>
      <c r="U310" t="inlineStr">
        <is>
          <t>35</t>
        </is>
      </c>
      <c r="V310" t="inlineStr">
        <is>
          <t>20</t>
        </is>
      </c>
      <c r="W310" t="n">
        <v>2</v>
      </c>
      <c r="X310" s="12" t="n">
        <v>500000</v>
      </c>
      <c r="Y310" s="12" t="n">
        <v>500000</v>
      </c>
      <c r="Z310" s="9" t="n">
        <v>7.5</v>
      </c>
      <c r="AA310" s="9" t="n">
        <v>8</v>
      </c>
      <c r="AB310" s="9" t="n">
        <v>5</v>
      </c>
      <c r="AC310" s="9" t="n">
        <v>7</v>
      </c>
      <c r="AD310" s="9" t="n">
        <v>12.5</v>
      </c>
      <c r="AE310" s="9" t="n">
        <v>15</v>
      </c>
      <c r="AF310" t="n">
        <v>2020</v>
      </c>
      <c r="AH310" t="inlineStr">
        <is>
          <t>Apartment</t>
        </is>
      </c>
      <c r="AI310" t="inlineStr">
        <is>
          <t>MainstreamSelective</t>
        </is>
      </c>
      <c r="AJ310" t="inlineStr">
        <is>
          <t>Established</t>
        </is>
      </c>
      <c r="AK310" t="inlineStr">
        <is>
          <t>Balanced / selective</t>
        </is>
      </c>
      <c r="AL310" s="7" t="inlineStr">
        <is>
          <t>Market remains active but increasingly differentiated by developer, micro-location, livability, and pricing discipline.</t>
        </is>
      </c>
      <c r="AM310" s="9" t="n">
        <v>6</v>
      </c>
      <c r="AN310" s="9" t="n">
        <v>7.75</v>
      </c>
      <c r="AO310" s="10" t="n">
        <v>0.55</v>
      </c>
      <c r="AP310" s="13" t="n">
        <v>0</v>
      </c>
      <c r="AQ310" s="13" t="n">
        <v>0</v>
      </c>
      <c r="AR310" s="13" t="n">
        <v>0</v>
      </c>
      <c r="AS310" s="13" t="n">
        <v>0.01</v>
      </c>
      <c r="AT310" s="13" t="n">
        <v>0</v>
      </c>
      <c r="AU310" s="13" t="n">
        <v>0.0025</v>
      </c>
      <c r="AV310" s="13" t="n">
        <v>-0.005</v>
      </c>
      <c r="AW310" s="13">
        <f>IF(X310="","",(AM310/100*AO310)+AP310+AQ310+AR310)</f>
        <v/>
      </c>
      <c r="AX310" s="13">
        <f>IF(X310="","",AS310+AT310+AU310+AV310)</f>
        <v/>
      </c>
      <c r="AY310" s="12">
        <f>IF(AZ310="","",ROUND(AZ310*(1+Assumptions!$B$10),0))</f>
        <v/>
      </c>
      <c r="AZ310" s="12">
        <f>IF(X310="","",ROUND(X310*(1+AW310),0))</f>
        <v/>
      </c>
      <c r="BA310" s="12">
        <f>IF(AZ310="","",ROUND(AZ310*(1+Assumptions!$B$11),0))</f>
        <v/>
      </c>
      <c r="BB310" s="12">
        <f>IF(AZ310="","",ROUND(AZ310*(1+AX310+Assumptions!$B$10),0))</f>
        <v/>
      </c>
      <c r="BC310" s="12">
        <f>IF(AZ310="","",ROUND(AZ310*(1+AX310),0))</f>
        <v/>
      </c>
      <c r="BD310" s="12">
        <f>IF(AZ310="","",ROUND(AZ310*(1+AX310+Assumptions!$B$11),0))</f>
        <v/>
      </c>
      <c r="BE310" s="12">
        <f>IF(AZ310="","",ROUND(AZ310*(1+AX310)*(1+AX310),0))</f>
        <v/>
      </c>
      <c r="BF310" s="7" t="inlineStr">
        <is>
          <t>Rules-based enrichment using launch-price anchor, cap-app realization, and 2026 segment conditions.</t>
        </is>
      </c>
      <c r="BG310" t="inlineStr">
        <is>
          <t>2026-03-17</t>
        </is>
      </c>
      <c r="BH310" s="7" t="inlineStr">
        <is>
          <t>DLD / Digital Dubai / CBUAE / Savills / Knight Frank-Moody’s / Reuters</t>
        </is>
      </c>
    </row>
    <row r="311">
      <c r="A311" t="n">
        <v>310</v>
      </c>
      <c r="B311" s="7" t="inlineStr">
        <is>
          <t>Park Gate Residences</t>
        </is>
      </c>
      <c r="C311" t="inlineStr">
        <is>
          <t>Wasl Asset Management</t>
        </is>
      </c>
      <c r="D311" t="inlineStr">
        <is>
          <t>Zabeel (Wasl 1)</t>
        </is>
      </c>
      <c r="E311" t="inlineStr">
        <is>
          <t>Apartments</t>
        </is>
      </c>
      <c r="F311" s="7" t="inlineStr">
        <is>
          <t>Park View / City</t>
        </is>
      </c>
      <c r="G311" t="inlineStr">
        <is>
          <t>Resale (2M+)</t>
        </is>
      </c>
      <c r="H311" t="inlineStr">
        <is>
          <t>1800</t>
        </is>
      </c>
      <c r="I311" t="inlineStr">
        <is>
          <t>20</t>
        </is>
      </c>
      <c r="J311" t="inlineStr">
        <is>
          <t>Completed</t>
        </is>
      </c>
      <c r="K311" t="inlineStr">
        <is>
          <t>2020</t>
        </is>
      </c>
      <c r="L311" t="inlineStr">
        <is>
          <t>6.0-6.5</t>
        </is>
      </c>
      <c r="M311" t="inlineStr">
        <is>
          <t>5-7</t>
        </is>
      </c>
      <c r="N311" t="inlineStr">
        <is>
          <t>11.0-13.5</t>
        </is>
      </c>
      <c r="O311" s="7" t="inlineStr">
        <is>
          <t>Dubai English Speaking</t>
        </is>
      </c>
      <c r="P311" s="7" t="inlineStr">
        <is>
          <t>American Hospital</t>
        </is>
      </c>
      <c r="Q311" s="7" t="inlineStr">
        <is>
          <t>WAFI Mall</t>
        </is>
      </c>
      <c r="R311" s="7" t="inlineStr">
        <is>
          <t>Sheikh Zayed E11</t>
        </is>
      </c>
      <c r="S311" t="inlineStr">
        <is>
          <t>10</t>
        </is>
      </c>
      <c r="T311" t="inlineStr">
        <is>
          <t>25</t>
        </is>
      </c>
      <c r="U311" t="inlineStr">
        <is>
          <t>10</t>
        </is>
      </c>
      <c r="V311" t="inlineStr">
        <is>
          <t>40</t>
        </is>
      </c>
      <c r="W311" t="n">
        <v>2</v>
      </c>
      <c r="X311" s="12" t="n">
        <v>2000000</v>
      </c>
      <c r="Y311" s="12" t="n">
        <v>2000000</v>
      </c>
      <c r="Z311" s="9" t="n">
        <v>6</v>
      </c>
      <c r="AA311" s="9" t="n">
        <v>6.5</v>
      </c>
      <c r="AB311" s="9" t="n">
        <v>5</v>
      </c>
      <c r="AC311" s="9" t="n">
        <v>7</v>
      </c>
      <c r="AD311" s="9" t="n">
        <v>11</v>
      </c>
      <c r="AE311" s="9" t="n">
        <v>13.5</v>
      </c>
      <c r="AF311" t="n">
        <v>2020</v>
      </c>
      <c r="AH311" t="inlineStr">
        <is>
          <t>Apartment</t>
        </is>
      </c>
      <c r="AI311" t="inlineStr">
        <is>
          <t>MainstreamSelective</t>
        </is>
      </c>
      <c r="AJ311" t="inlineStr">
        <is>
          <t>Established</t>
        </is>
      </c>
      <c r="AK311" t="inlineStr">
        <is>
          <t>Balanced / selective</t>
        </is>
      </c>
      <c r="AL311" s="7" t="inlineStr">
        <is>
          <t>Market remains active but increasingly differentiated by developer, micro-location, livability, and pricing discipline.</t>
        </is>
      </c>
      <c r="AM311" s="9" t="n">
        <v>6</v>
      </c>
      <c r="AN311" s="9" t="n">
        <v>6.25</v>
      </c>
      <c r="AO311" s="10" t="n">
        <v>0.55</v>
      </c>
      <c r="AP311" s="13" t="n">
        <v>0</v>
      </c>
      <c r="AQ311" s="13" t="n">
        <v>0</v>
      </c>
      <c r="AR311" s="13" t="n">
        <v>0</v>
      </c>
      <c r="AS311" s="13" t="n">
        <v>0.01</v>
      </c>
      <c r="AT311" s="13" t="n">
        <v>0</v>
      </c>
      <c r="AU311" s="13" t="n">
        <v>0.0025</v>
      </c>
      <c r="AV311" s="13" t="n">
        <v>-0.005</v>
      </c>
      <c r="AW311" s="13">
        <f>IF(X311="","",(AM311/100*AO311)+AP311+AQ311+AR311)</f>
        <v/>
      </c>
      <c r="AX311" s="13">
        <f>IF(X311="","",AS311+AT311+AU311+AV311)</f>
        <v/>
      </c>
      <c r="AY311" s="12">
        <f>IF(AZ311="","",ROUND(AZ311*(1+Assumptions!$B$10),0))</f>
        <v/>
      </c>
      <c r="AZ311" s="12">
        <f>IF(X311="","",ROUND(X311*(1+AW311),0))</f>
        <v/>
      </c>
      <c r="BA311" s="12">
        <f>IF(AZ311="","",ROUND(AZ311*(1+Assumptions!$B$11),0))</f>
        <v/>
      </c>
      <c r="BB311" s="12">
        <f>IF(AZ311="","",ROUND(AZ311*(1+AX311+Assumptions!$B$10),0))</f>
        <v/>
      </c>
      <c r="BC311" s="12">
        <f>IF(AZ311="","",ROUND(AZ311*(1+AX311),0))</f>
        <v/>
      </c>
      <c r="BD311" s="12">
        <f>IF(AZ311="","",ROUND(AZ311*(1+AX311+Assumptions!$B$11),0))</f>
        <v/>
      </c>
      <c r="BE311" s="12">
        <f>IF(AZ311="","",ROUND(AZ311*(1+AX311)*(1+AX311),0))</f>
        <v/>
      </c>
      <c r="BF311" s="7" t="inlineStr">
        <is>
          <t>Rules-based enrichment using launch-price anchor, cap-app realization, and 2026 segment conditions.</t>
        </is>
      </c>
      <c r="BG311" t="inlineStr">
        <is>
          <t>2026-03-17</t>
        </is>
      </c>
      <c r="BH311" s="7" t="inlineStr">
        <is>
          <t>DLD / Digital Dubai / CBUAE / Savills / Knight Frank-Moody’s / Reuters</t>
        </is>
      </c>
    </row>
    <row r="312">
      <c r="A312" t="n">
        <v>311</v>
      </c>
      <c r="B312" s="7" t="inlineStr">
        <is>
          <t>1 Residences</t>
        </is>
      </c>
      <c r="C312" t="inlineStr">
        <is>
          <t>Wasl Asset Management</t>
        </is>
      </c>
      <c r="D312" t="inlineStr">
        <is>
          <t>Zabeel (Wasl 1)</t>
        </is>
      </c>
      <c r="E312" t="inlineStr">
        <is>
          <t>Apartments</t>
        </is>
      </c>
      <c r="F312" s="7" t="inlineStr">
        <is>
          <t>Park View / City</t>
        </is>
      </c>
      <c r="G312" t="inlineStr">
        <is>
          <t>1.8M</t>
        </is>
      </c>
      <c r="H312" t="inlineStr">
        <is>
          <t>1900</t>
        </is>
      </c>
      <c r="I312" t="inlineStr">
        <is>
          <t>20</t>
        </is>
      </c>
      <c r="J312" t="inlineStr">
        <is>
          <t>Completed</t>
        </is>
      </c>
      <c r="K312" t="inlineStr">
        <is>
          <t>2022</t>
        </is>
      </c>
      <c r="L312" t="inlineStr">
        <is>
          <t>6.0-6.5</t>
        </is>
      </c>
      <c r="M312" t="inlineStr">
        <is>
          <t>6-8</t>
        </is>
      </c>
      <c r="N312" t="inlineStr">
        <is>
          <t>12.0-14.5</t>
        </is>
      </c>
      <c r="O312" s="7" t="inlineStr">
        <is>
          <t>Dubai English Speaking</t>
        </is>
      </c>
      <c r="P312" s="7" t="inlineStr">
        <is>
          <t>American Hospital</t>
        </is>
      </c>
      <c r="Q312" s="7" t="inlineStr">
        <is>
          <t>WAFI Mall</t>
        </is>
      </c>
      <c r="R312" s="7" t="inlineStr">
        <is>
          <t>Sheikh Zayed E11</t>
        </is>
      </c>
      <c r="S312" t="inlineStr">
        <is>
          <t>10</t>
        </is>
      </c>
      <c r="T312" t="inlineStr">
        <is>
          <t>25</t>
        </is>
      </c>
      <c r="U312" t="inlineStr">
        <is>
          <t>10</t>
        </is>
      </c>
      <c r="V312" t="inlineStr">
        <is>
          <t>40</t>
        </is>
      </c>
      <c r="W312" t="n">
        <v>2</v>
      </c>
      <c r="X312" s="12" t="n">
        <v>1800000</v>
      </c>
      <c r="Y312" s="12" t="n">
        <v>1800000</v>
      </c>
      <c r="Z312" s="9" t="n">
        <v>6</v>
      </c>
      <c r="AA312" s="9" t="n">
        <v>6.5</v>
      </c>
      <c r="AB312" s="9" t="n">
        <v>6</v>
      </c>
      <c r="AC312" s="9" t="n">
        <v>8</v>
      </c>
      <c r="AD312" s="9" t="n">
        <v>12</v>
      </c>
      <c r="AE312" s="9" t="n">
        <v>14.5</v>
      </c>
      <c r="AF312" t="n">
        <v>2022</v>
      </c>
      <c r="AH312" t="inlineStr">
        <is>
          <t>Apartment</t>
        </is>
      </c>
      <c r="AI312" t="inlineStr">
        <is>
          <t>MainstreamSelective</t>
        </is>
      </c>
      <c r="AJ312" t="inlineStr">
        <is>
          <t>Established</t>
        </is>
      </c>
      <c r="AK312" t="inlineStr">
        <is>
          <t>Balanced / selective</t>
        </is>
      </c>
      <c r="AL312" s="7" t="inlineStr">
        <is>
          <t>Market remains active but increasingly differentiated by developer, micro-location, livability, and pricing discipline.</t>
        </is>
      </c>
      <c r="AM312" s="9" t="n">
        <v>7</v>
      </c>
      <c r="AN312" s="9" t="n">
        <v>6.25</v>
      </c>
      <c r="AO312" s="10" t="n">
        <v>0.55</v>
      </c>
      <c r="AP312" s="13" t="n">
        <v>0</v>
      </c>
      <c r="AQ312" s="13" t="n">
        <v>0</v>
      </c>
      <c r="AR312" s="13" t="n">
        <v>0</v>
      </c>
      <c r="AS312" s="13" t="n">
        <v>0.01</v>
      </c>
      <c r="AT312" s="13" t="n">
        <v>0</v>
      </c>
      <c r="AU312" s="13" t="n">
        <v>0.0025</v>
      </c>
      <c r="AV312" s="13" t="n">
        <v>-0.005</v>
      </c>
      <c r="AW312" s="13">
        <f>IF(X312="","",(AM312/100*AO312)+AP312+AQ312+AR312)</f>
        <v/>
      </c>
      <c r="AX312" s="13">
        <f>IF(X312="","",AS312+AT312+AU312+AV312)</f>
        <v/>
      </c>
      <c r="AY312" s="12">
        <f>IF(AZ312="","",ROUND(AZ312*(1+Assumptions!$B$10),0))</f>
        <v/>
      </c>
      <c r="AZ312" s="12">
        <f>IF(X312="","",ROUND(X312*(1+AW312),0))</f>
        <v/>
      </c>
      <c r="BA312" s="12">
        <f>IF(AZ312="","",ROUND(AZ312*(1+Assumptions!$B$11),0))</f>
        <v/>
      </c>
      <c r="BB312" s="12">
        <f>IF(AZ312="","",ROUND(AZ312*(1+AX312+Assumptions!$B$10),0))</f>
        <v/>
      </c>
      <c r="BC312" s="12">
        <f>IF(AZ312="","",ROUND(AZ312*(1+AX312),0))</f>
        <v/>
      </c>
      <c r="BD312" s="12">
        <f>IF(AZ312="","",ROUND(AZ312*(1+AX312+Assumptions!$B$11),0))</f>
        <v/>
      </c>
      <c r="BE312" s="12">
        <f>IF(AZ312="","",ROUND(AZ312*(1+AX312)*(1+AX312),0))</f>
        <v/>
      </c>
      <c r="BF312" s="7" t="inlineStr">
        <is>
          <t>Rules-based enrichment using launch-price anchor, cap-app realization, and 2026 segment conditions.</t>
        </is>
      </c>
      <c r="BG312" t="inlineStr">
        <is>
          <t>2026-03-17</t>
        </is>
      </c>
      <c r="BH312" s="7" t="inlineStr">
        <is>
          <t>DLD / Digital Dubai / CBUAE / Savills / Knight Frank-Moody’s / Reuters</t>
        </is>
      </c>
    </row>
    <row r="313">
      <c r="A313" t="n">
        <v>312</v>
      </c>
      <c r="B313" s="7" t="inlineStr">
        <is>
          <t>One B Tower</t>
        </is>
      </c>
      <c r="C313" t="inlineStr">
        <is>
          <t>Wasl Asset Management</t>
        </is>
      </c>
      <c r="D313" t="inlineStr">
        <is>
          <t>Sheikh Zayed Road</t>
        </is>
      </c>
      <c r="E313" t="inlineStr">
        <is>
          <t>Apartments</t>
        </is>
      </c>
      <c r="F313" s="7" t="inlineStr">
        <is>
          <t>High-Rise / Luxury</t>
        </is>
      </c>
      <c r="G313" t="inlineStr">
        <is>
          <t>2.5M</t>
        </is>
      </c>
      <c r="H313" t="inlineStr">
        <is>
          <t>2200</t>
        </is>
      </c>
      <c r="I313" t="inlineStr">
        <is>
          <t>22</t>
        </is>
      </c>
      <c r="J313" t="inlineStr">
        <is>
          <t>60/40</t>
        </is>
      </c>
      <c r="K313" t="inlineStr">
        <is>
          <t>2024</t>
        </is>
      </c>
      <c r="L313" t="inlineStr">
        <is>
          <t>6.0-6.5</t>
        </is>
      </c>
      <c r="M313" t="inlineStr">
        <is>
          <t>8-10</t>
        </is>
      </c>
      <c r="N313" t="inlineStr">
        <is>
          <t>14.0-16.5</t>
        </is>
      </c>
      <c r="O313" s="7" t="inlineStr">
        <is>
          <t>Hartland Intl</t>
        </is>
      </c>
      <c r="P313" s="7" t="inlineStr">
        <is>
          <t>Mediclinic Dubai Mall</t>
        </is>
      </c>
      <c r="Q313" s="7" t="inlineStr">
        <is>
          <t>Dubai Mall</t>
        </is>
      </c>
      <c r="R313" s="7" t="inlineStr">
        <is>
          <t>Sheikh Zayed E11</t>
        </is>
      </c>
      <c r="S313" t="inlineStr">
        <is>
          <t>5</t>
        </is>
      </c>
      <c r="T313" t="inlineStr">
        <is>
          <t>15</t>
        </is>
      </c>
      <c r="U313" t="inlineStr">
        <is>
          <t>15</t>
        </is>
      </c>
      <c r="V313" t="inlineStr">
        <is>
          <t>35</t>
        </is>
      </c>
      <c r="W313" t="n">
        <v>2</v>
      </c>
      <c r="X313" s="12" t="n">
        <v>2500000</v>
      </c>
      <c r="Y313" s="12" t="n">
        <v>2500000</v>
      </c>
      <c r="Z313" s="9" t="n">
        <v>6</v>
      </c>
      <c r="AA313" s="9" t="n">
        <v>6.5</v>
      </c>
      <c r="AB313" s="9" t="n">
        <v>8</v>
      </c>
      <c r="AC313" s="9" t="n">
        <v>10</v>
      </c>
      <c r="AD313" s="9" t="n">
        <v>14</v>
      </c>
      <c r="AE313" s="9" t="n">
        <v>16.5</v>
      </c>
      <c r="AF313" t="n">
        <v>2024</v>
      </c>
      <c r="AH313" t="inlineStr">
        <is>
          <t>Apartment</t>
        </is>
      </c>
      <c r="AI313" t="inlineStr">
        <is>
          <t>MainstreamSelective</t>
        </is>
      </c>
      <c r="AJ313" t="inlineStr">
        <is>
          <t>Established</t>
        </is>
      </c>
      <c r="AK313" t="inlineStr">
        <is>
          <t>Balanced / selective</t>
        </is>
      </c>
      <c r="AL313" s="7" t="inlineStr">
        <is>
          <t>Market remains active but increasingly differentiated by developer, micro-location, livability, and pricing discipline.</t>
        </is>
      </c>
      <c r="AM313" s="9" t="n">
        <v>9</v>
      </c>
      <c r="AN313" s="9" t="n">
        <v>6.25</v>
      </c>
      <c r="AO313" s="10" t="n">
        <v>0.55</v>
      </c>
      <c r="AP313" s="13" t="n">
        <v>0</v>
      </c>
      <c r="AQ313" s="13" t="n">
        <v>0</v>
      </c>
      <c r="AR313" s="13" t="n">
        <v>0</v>
      </c>
      <c r="AS313" s="13" t="n">
        <v>0.01</v>
      </c>
      <c r="AT313" s="13" t="n">
        <v>0</v>
      </c>
      <c r="AU313" s="13" t="n">
        <v>0.0025</v>
      </c>
      <c r="AV313" s="13" t="n">
        <v>-0.005</v>
      </c>
      <c r="AW313" s="13">
        <f>IF(X313="","",(AM313/100*AO313)+AP313+AQ313+AR313)</f>
        <v/>
      </c>
      <c r="AX313" s="13">
        <f>IF(X313="","",AS313+AT313+AU313+AV313)</f>
        <v/>
      </c>
      <c r="AY313" s="12">
        <f>IF(AZ313="","",ROUND(AZ313*(1+Assumptions!$B$10),0))</f>
        <v/>
      </c>
      <c r="AZ313" s="12">
        <f>IF(X313="","",ROUND(X313*(1+AW313),0))</f>
        <v/>
      </c>
      <c r="BA313" s="12">
        <f>IF(AZ313="","",ROUND(AZ313*(1+Assumptions!$B$11),0))</f>
        <v/>
      </c>
      <c r="BB313" s="12">
        <f>IF(AZ313="","",ROUND(AZ313*(1+AX313+Assumptions!$B$10),0))</f>
        <v/>
      </c>
      <c r="BC313" s="12">
        <f>IF(AZ313="","",ROUND(AZ313*(1+AX313),0))</f>
        <v/>
      </c>
      <c r="BD313" s="12">
        <f>IF(AZ313="","",ROUND(AZ313*(1+AX313+Assumptions!$B$11),0))</f>
        <v/>
      </c>
      <c r="BE313" s="12">
        <f>IF(AZ313="","",ROUND(AZ313*(1+AX313)*(1+AX313),0))</f>
        <v/>
      </c>
      <c r="BF313" s="7" t="inlineStr">
        <is>
          <t>Rules-based enrichment using launch-price anchor, cap-app realization, and 2026 segment conditions.</t>
        </is>
      </c>
      <c r="BG313" t="inlineStr">
        <is>
          <t>2026-03-17</t>
        </is>
      </c>
      <c r="BH313" s="7" t="inlineStr">
        <is>
          <t>DLD / Digital Dubai / CBUAE / Savills / Knight Frank-Moody’s / Reuters</t>
        </is>
      </c>
    </row>
    <row r="314">
      <c r="A314" t="n">
        <v>313</v>
      </c>
      <c r="B314" s="7" t="inlineStr">
        <is>
          <t>Wasl Tower</t>
        </is>
      </c>
      <c r="C314" t="inlineStr">
        <is>
          <t>Wasl Asset Management</t>
        </is>
      </c>
      <c r="D314" t="inlineStr">
        <is>
          <t>Sheikh Zayed Road</t>
        </is>
      </c>
      <c r="E314" t="inlineStr">
        <is>
          <t>Mixed/Hotel</t>
        </is>
      </c>
      <c r="F314" s="7" t="inlineStr">
        <is>
          <t>Mandarin Oriental</t>
        </is>
      </c>
      <c r="I314" t="inlineStr">
        <is>
          <t>TBA</t>
        </is>
      </c>
      <c r="J314" t="inlineStr">
        <is>
          <t>Under Const</t>
        </is>
      </c>
      <c r="K314" t="inlineStr">
        <is>
          <t>2024</t>
        </is>
      </c>
      <c r="L314" t="inlineStr">
        <is>
          <t>4.5-5.5</t>
        </is>
      </c>
      <c r="M314" t="inlineStr">
        <is>
          <t>8-10</t>
        </is>
      </c>
      <c r="N314" t="inlineStr">
        <is>
          <t>12.5-15.5</t>
        </is>
      </c>
      <c r="O314" s="7" t="inlineStr">
        <is>
          <t>Hartland Intl</t>
        </is>
      </c>
      <c r="P314" s="7" t="inlineStr">
        <is>
          <t>Mediclinic Dubai Mall</t>
        </is>
      </c>
      <c r="Q314" s="7" t="inlineStr">
        <is>
          <t>Dubai Mall</t>
        </is>
      </c>
      <c r="R314" s="7" t="inlineStr">
        <is>
          <t>Sheikh Zayed E11</t>
        </is>
      </c>
      <c r="S314" t="inlineStr">
        <is>
          <t>5</t>
        </is>
      </c>
      <c r="T314" t="inlineStr">
        <is>
          <t>15</t>
        </is>
      </c>
      <c r="U314" t="inlineStr">
        <is>
          <t>15</t>
        </is>
      </c>
      <c r="V314" t="inlineStr">
        <is>
          <t>35</t>
        </is>
      </c>
      <c r="W314" t="n">
        <v>2</v>
      </c>
      <c r="X314" s="12" t="n"/>
      <c r="Y314" s="12" t="n"/>
      <c r="Z314" s="9" t="n">
        <v>4.5</v>
      </c>
      <c r="AA314" s="9" t="n">
        <v>5.5</v>
      </c>
      <c r="AB314" s="9" t="n">
        <v>8</v>
      </c>
      <c r="AC314" s="9" t="n">
        <v>10</v>
      </c>
      <c r="AD314" s="9" t="n">
        <v>12.5</v>
      </c>
      <c r="AE314" s="9" t="n">
        <v>15.5</v>
      </c>
      <c r="AF314" t="n">
        <v>2024</v>
      </c>
      <c r="AH314" t="inlineStr">
        <is>
          <t>Mixed/Other</t>
        </is>
      </c>
      <c r="AI314" t="inlineStr">
        <is>
          <t>MainstreamSelective</t>
        </is>
      </c>
      <c r="AJ314" t="inlineStr">
        <is>
          <t>Established</t>
        </is>
      </c>
      <c r="AK314" t="inlineStr">
        <is>
          <t>Balanced / selective</t>
        </is>
      </c>
      <c r="AL314" s="7" t="inlineStr">
        <is>
          <t>Market remains active but increasingly differentiated by developer, micro-location, livability, and pricing discipline.</t>
        </is>
      </c>
      <c r="AM314" s="9" t="n">
        <v>9</v>
      </c>
      <c r="AN314" s="9" t="n">
        <v>5</v>
      </c>
      <c r="AO314" s="10" t="n">
        <v>0.55</v>
      </c>
      <c r="AP314" s="13" t="n">
        <v>0</v>
      </c>
      <c r="AQ314" s="13" t="n">
        <v>0</v>
      </c>
      <c r="AR314" s="13" t="n">
        <v>0</v>
      </c>
      <c r="AS314" s="13" t="n">
        <v>0.01</v>
      </c>
      <c r="AT314" s="13" t="n">
        <v>0</v>
      </c>
      <c r="AU314" s="13" t="n">
        <v>0</v>
      </c>
      <c r="AV314" s="13" t="n">
        <v>-0.005</v>
      </c>
      <c r="AW314" s="13">
        <f>IF(X314="","",(AM314/100*AO314)+AP314+AQ314+AR314)</f>
        <v/>
      </c>
      <c r="AX314" s="13">
        <f>IF(X314="","",AS314+AT314+AU314+AV314)</f>
        <v/>
      </c>
      <c r="AY314" s="12">
        <f>IF(AZ314="","",ROUND(AZ314*(1+Assumptions!$B$10),0))</f>
        <v/>
      </c>
      <c r="AZ314" s="12">
        <f>IF(X314="","",ROUND(X314*(1+AW314),0))</f>
        <v/>
      </c>
      <c r="BA314" s="12">
        <f>IF(AZ314="","",ROUND(AZ314*(1+Assumptions!$B$11),0))</f>
        <v/>
      </c>
      <c r="BB314" s="12">
        <f>IF(AZ314="","",ROUND(AZ314*(1+AX314+Assumptions!$B$10),0))</f>
        <v/>
      </c>
      <c r="BC314" s="12">
        <f>IF(AZ314="","",ROUND(AZ314*(1+AX314),0))</f>
        <v/>
      </c>
      <c r="BD314" s="12">
        <f>IF(AZ314="","",ROUND(AZ314*(1+AX314+Assumptions!$B$11),0))</f>
        <v/>
      </c>
      <c r="BE314" s="12">
        <f>IF(AZ314="","",ROUND(AZ314*(1+AX314)*(1+AX314),0))</f>
        <v/>
      </c>
      <c r="BF314" s="7" t="inlineStr">
        <is>
          <t>Rules-based enrichment using launch-price anchor, cap-app realization, and 2026 segment conditions.</t>
        </is>
      </c>
      <c r="BG314" t="inlineStr">
        <is>
          <t>2026-03-17</t>
        </is>
      </c>
      <c r="BH314" s="7" t="inlineStr">
        <is>
          <t>DLD / Digital Dubai / CBUAE / Savills / Knight Frank-Moody’s / Reuters</t>
        </is>
      </c>
    </row>
    <row r="315">
      <c r="A315" t="n">
        <v>314</v>
      </c>
      <c r="B315" s="7" t="inlineStr">
        <is>
          <t>Riviera Heights</t>
        </is>
      </c>
      <c r="C315" t="inlineStr">
        <is>
          <t>Wasl Asset Management</t>
        </is>
      </c>
      <c r="D315" t="inlineStr">
        <is>
          <t>MBR City</t>
        </is>
      </c>
      <c r="E315" t="inlineStr">
        <is>
          <t>Apartments</t>
        </is>
      </c>
      <c r="F315" s="7" t="inlineStr">
        <is>
          <t>Mid-Rise</t>
        </is>
      </c>
      <c r="G315" t="inlineStr">
        <is>
          <t>TBA</t>
        </is>
      </c>
      <c r="H315" t="inlineStr">
        <is>
          <t>TBA</t>
        </is>
      </c>
      <c r="I315" t="inlineStr">
        <is>
          <t>18</t>
        </is>
      </c>
      <c r="J315" t="inlineStr">
        <is>
          <t>TBA</t>
        </is>
      </c>
      <c r="K315" t="inlineStr">
        <is>
          <t>2024</t>
        </is>
      </c>
      <c r="L315" t="inlineStr">
        <is>
          <t>6.5-7.0</t>
        </is>
      </c>
      <c r="M315" t="inlineStr">
        <is>
          <t>8-10</t>
        </is>
      </c>
      <c r="N315" t="inlineStr">
        <is>
          <t>14.5-17.0</t>
        </is>
      </c>
      <c r="O315" s="7" t="inlineStr">
        <is>
          <t>Hartland Intl</t>
        </is>
      </c>
      <c r="P315" s="7" t="inlineStr">
        <is>
          <t>American Hospital</t>
        </is>
      </c>
      <c r="Q315" s="7" t="inlineStr">
        <is>
          <t>Dubai Mall</t>
        </is>
      </c>
      <c r="R315" s="7" t="inlineStr">
        <is>
          <t>Ras Al Khor / E44</t>
        </is>
      </c>
      <c r="S315" t="inlineStr">
        <is>
          <t>12</t>
        </is>
      </c>
      <c r="T315" t="inlineStr">
        <is>
          <t>25</t>
        </is>
      </c>
      <c r="U315" t="inlineStr">
        <is>
          <t>15</t>
        </is>
      </c>
      <c r="V315" t="inlineStr">
        <is>
          <t>40</t>
        </is>
      </c>
      <c r="W315" t="n">
        <v>2</v>
      </c>
      <c r="X315" s="12" t="n"/>
      <c r="Y315" s="12" t="n"/>
      <c r="Z315" s="9" t="n">
        <v>6.5</v>
      </c>
      <c r="AA315" s="9" t="n">
        <v>7</v>
      </c>
      <c r="AB315" s="9" t="n">
        <v>8</v>
      </c>
      <c r="AC315" s="9" t="n">
        <v>10</v>
      </c>
      <c r="AD315" s="9" t="n">
        <v>14.5</v>
      </c>
      <c r="AE315" s="9" t="n">
        <v>17</v>
      </c>
      <c r="AF315" t="n">
        <v>2024</v>
      </c>
      <c r="AH315" t="inlineStr">
        <is>
          <t>Apartment</t>
        </is>
      </c>
      <c r="AI315" t="inlineStr">
        <is>
          <t>MainstreamSelective</t>
        </is>
      </c>
      <c r="AJ315" t="inlineStr">
        <is>
          <t>Established</t>
        </is>
      </c>
      <c r="AK315" t="inlineStr">
        <is>
          <t>Balanced / selective</t>
        </is>
      </c>
      <c r="AL315" s="7" t="inlineStr">
        <is>
          <t>Market remains active but increasingly differentiated by developer, micro-location, livability, and pricing discipline.</t>
        </is>
      </c>
      <c r="AM315" s="9" t="n">
        <v>9</v>
      </c>
      <c r="AN315" s="9" t="n">
        <v>6.75</v>
      </c>
      <c r="AO315" s="10" t="n">
        <v>0.55</v>
      </c>
      <c r="AP315" s="13" t="n">
        <v>0</v>
      </c>
      <c r="AQ315" s="13" t="n">
        <v>0</v>
      </c>
      <c r="AR315" s="13" t="n">
        <v>0</v>
      </c>
      <c r="AS315" s="13" t="n">
        <v>0.01</v>
      </c>
      <c r="AT315" s="13" t="n">
        <v>0</v>
      </c>
      <c r="AU315" s="13" t="n">
        <v>0.0025</v>
      </c>
      <c r="AV315" s="13" t="n">
        <v>-0.005</v>
      </c>
      <c r="AW315" s="13">
        <f>IF(X315="","",(AM315/100*AO315)+AP315+AQ315+AR315)</f>
        <v/>
      </c>
      <c r="AX315" s="13">
        <f>IF(X315="","",AS315+AT315+AU315+AV315)</f>
        <v/>
      </c>
      <c r="AY315" s="12">
        <f>IF(AZ315="","",ROUND(AZ315*(1+Assumptions!$B$10),0))</f>
        <v/>
      </c>
      <c r="AZ315" s="12">
        <f>IF(X315="","",ROUND(X315*(1+AW315),0))</f>
        <v/>
      </c>
      <c r="BA315" s="12">
        <f>IF(AZ315="","",ROUND(AZ315*(1+Assumptions!$B$11),0))</f>
        <v/>
      </c>
      <c r="BB315" s="12">
        <f>IF(AZ315="","",ROUND(AZ315*(1+AX315+Assumptions!$B$10),0))</f>
        <v/>
      </c>
      <c r="BC315" s="12">
        <f>IF(AZ315="","",ROUND(AZ315*(1+AX315),0))</f>
        <v/>
      </c>
      <c r="BD315" s="12">
        <f>IF(AZ315="","",ROUND(AZ315*(1+AX315+Assumptions!$B$11),0))</f>
        <v/>
      </c>
      <c r="BE315" s="12">
        <f>IF(AZ315="","",ROUND(AZ315*(1+AX315)*(1+AX315),0))</f>
        <v/>
      </c>
      <c r="BF315" s="7" t="inlineStr">
        <is>
          <t>Rules-based enrichment using launch-price anchor, cap-app realization, and 2026 segment conditions.</t>
        </is>
      </c>
      <c r="BG315" t="inlineStr">
        <is>
          <t>2026-03-17</t>
        </is>
      </c>
      <c r="BH315" s="7" t="inlineStr">
        <is>
          <t>DLD / Digital Dubai / CBUAE / Savills / Knight Frank-Moody’s / Reuters</t>
        </is>
      </c>
    </row>
    <row r="316">
      <c r="A316" t="n">
        <v>315</v>
      </c>
      <c r="B316" s="7" t="inlineStr">
        <is>
          <t>Wasl 51</t>
        </is>
      </c>
      <c r="C316" t="inlineStr">
        <is>
          <t>Wasl Asset Management</t>
        </is>
      </c>
      <c r="D316" t="inlineStr">
        <is>
          <t>Jumeirah 1</t>
        </is>
      </c>
      <c r="E316" t="inlineStr">
        <is>
          <t>Villas/Apts</t>
        </is>
      </c>
      <c r="F316" s="7" t="inlineStr">
        <is>
          <t>Luxury / Boutique</t>
        </is>
      </c>
      <c r="G316" t="inlineStr">
        <is>
          <t>Rental Only</t>
        </is>
      </c>
      <c r="J316" t="inlineStr">
        <is>
          <t>Completed</t>
        </is>
      </c>
      <c r="K316" t="inlineStr">
        <is>
          <t>2019</t>
        </is>
      </c>
      <c r="O316" s="7" t="inlineStr">
        <is>
          <t>Jumeirah Baccalaureate</t>
        </is>
      </c>
      <c r="P316" s="7" t="inlineStr">
        <is>
          <t>Valiant Clinic</t>
        </is>
      </c>
      <c r="Q316" s="7" t="inlineStr">
        <is>
          <t>Mercato Mall</t>
        </is>
      </c>
      <c r="R316" s="7" t="inlineStr">
        <is>
          <t>Jumeirah St / D94</t>
        </is>
      </c>
      <c r="S316" t="inlineStr">
        <is>
          <t>15</t>
        </is>
      </c>
      <c r="T316" t="inlineStr">
        <is>
          <t>20</t>
        </is>
      </c>
      <c r="U316" t="inlineStr">
        <is>
          <t>20</t>
        </is>
      </c>
      <c r="V316" t="inlineStr">
        <is>
          <t>40</t>
        </is>
      </c>
      <c r="W316" t="n">
        <v>2</v>
      </c>
      <c r="X316" s="12" t="n"/>
      <c r="Y316" s="12" t="n"/>
      <c r="Z316" s="9" t="n"/>
      <c r="AA316" s="9" t="n"/>
      <c r="AB316" s="9" t="n"/>
      <c r="AC316" s="9" t="n"/>
      <c r="AD316" s="9" t="n"/>
      <c r="AE316" s="9" t="n"/>
      <c r="AF316" t="n">
        <v>2019</v>
      </c>
      <c r="AH316" t="inlineStr">
        <is>
          <t>Villa</t>
        </is>
      </c>
      <c r="AI316" t="inlineStr">
        <is>
          <t>MainstreamSelective</t>
        </is>
      </c>
      <c r="AJ316" t="inlineStr">
        <is>
          <t>Established</t>
        </is>
      </c>
      <c r="AK316" t="inlineStr">
        <is>
          <t>Family-villa resilient</t>
        </is>
      </c>
      <c r="AL316" s="7" t="inlineStr">
        <is>
          <t>Villa/townhouse demand remains relatively firmer, though growth should be slower than the post-2020 surge.</t>
        </is>
      </c>
      <c r="AM316" s="9" t="n">
        <v>0</v>
      </c>
      <c r="AN316" s="9" t="n">
        <v>0</v>
      </c>
      <c r="AO316" s="10" t="n">
        <v>0.55</v>
      </c>
      <c r="AP316" s="13" t="n">
        <v>0</v>
      </c>
      <c r="AQ316" s="13" t="n">
        <v>0.015</v>
      </c>
      <c r="AR316" s="13" t="n">
        <v>0</v>
      </c>
      <c r="AS316" s="13" t="n">
        <v>0.025</v>
      </c>
      <c r="AT316" s="13" t="n">
        <v>0</v>
      </c>
      <c r="AU316" s="13" t="n">
        <v>0</v>
      </c>
      <c r="AV316" s="13" t="n">
        <v>-0.005</v>
      </c>
      <c r="AW316" s="13">
        <f>IF(X316="","",(AM316/100*AO316)+AP316+AQ316+AR316)</f>
        <v/>
      </c>
      <c r="AX316" s="13">
        <f>IF(X316="","",AS316+AT316+AU316+AV316)</f>
        <v/>
      </c>
      <c r="AY316" s="12">
        <f>IF(AZ316="","",ROUND(AZ316*(1+Assumptions!$B$10),0))</f>
        <v/>
      </c>
      <c r="AZ316" s="12">
        <f>IF(X316="","",ROUND(X316*(1+AW316),0))</f>
        <v/>
      </c>
      <c r="BA316" s="12">
        <f>IF(AZ316="","",ROUND(AZ316*(1+Assumptions!$B$11),0))</f>
        <v/>
      </c>
      <c r="BB316" s="12">
        <f>IF(AZ316="","",ROUND(AZ316*(1+AX316+Assumptions!$B$10),0))</f>
        <v/>
      </c>
      <c r="BC316" s="12">
        <f>IF(AZ316="","",ROUND(AZ316*(1+AX316),0))</f>
        <v/>
      </c>
      <c r="BD316" s="12">
        <f>IF(AZ316="","",ROUND(AZ316*(1+AX316+Assumptions!$B$11),0))</f>
        <v/>
      </c>
      <c r="BE316" s="12">
        <f>IF(AZ316="","",ROUND(AZ316*(1+AX316)*(1+AX316),0))</f>
        <v/>
      </c>
      <c r="BF316" s="7" t="inlineStr">
        <is>
          <t>Rules-based enrichment using launch-price anchor, cap-app realization, and 2026 segment conditions.</t>
        </is>
      </c>
      <c r="BG316" t="inlineStr">
        <is>
          <t>2026-03-17</t>
        </is>
      </c>
      <c r="BH316" s="7" t="inlineStr">
        <is>
          <t>DLD / Digital Dubai / CBUAE / Savills / Knight Frank-Moody’s / Reuters</t>
        </is>
      </c>
    </row>
    <row r="317">
      <c r="A317" t="n">
        <v>316</v>
      </c>
      <c r="B317" s="7" t="inlineStr">
        <is>
          <t>Diamondz</t>
        </is>
      </c>
      <c r="C317" t="inlineStr">
        <is>
          <t>Danube Properties</t>
        </is>
      </c>
      <c r="D317" t="inlineStr">
        <is>
          <t>JLT</t>
        </is>
      </c>
      <c r="E317" t="inlineStr">
        <is>
          <t>Apartments</t>
        </is>
      </c>
      <c r="F317" s="7" t="inlineStr">
        <is>
          <t>Luxury / High-Rise</t>
        </is>
      </c>
      <c r="G317" t="inlineStr">
        <is>
          <t>1.1M</t>
        </is>
      </c>
      <c r="H317" t="inlineStr">
        <is>
          <t>1800</t>
        </is>
      </c>
      <c r="I317" t="inlineStr">
        <is>
          <t>18</t>
        </is>
      </c>
      <c r="J317" t="inlineStr">
        <is>
          <t>1% Monthly</t>
        </is>
      </c>
      <c r="K317" t="inlineStr">
        <is>
          <t>2024</t>
        </is>
      </c>
      <c r="L317" t="inlineStr">
        <is>
          <t>6.5-7.0</t>
        </is>
      </c>
      <c r="M317" t="inlineStr">
        <is>
          <t>6-9</t>
        </is>
      </c>
      <c r="N317" t="inlineStr">
        <is>
          <t>12.5-16.0</t>
        </is>
      </c>
      <c r="O317" s="7" t="inlineStr">
        <is>
          <t>Emirates Intl School</t>
        </is>
      </c>
      <c r="P317" s="7" t="inlineStr">
        <is>
          <t>Saudi German Hospital</t>
        </is>
      </c>
      <c r="Q317" s="7" t="inlineStr">
        <is>
          <t>Dubai Marina Mall</t>
        </is>
      </c>
      <c r="R317" s="7" t="inlineStr">
        <is>
          <t>Sheikh Zayed E11</t>
        </is>
      </c>
      <c r="S317" t="inlineStr">
        <is>
          <t>20</t>
        </is>
      </c>
      <c r="T317" t="inlineStr">
        <is>
          <t>5</t>
        </is>
      </c>
      <c r="U317" t="inlineStr">
        <is>
          <t>25</t>
        </is>
      </c>
      <c r="V317" t="inlineStr">
        <is>
          <t>30</t>
        </is>
      </c>
      <c r="W317" t="n">
        <v>2</v>
      </c>
      <c r="X317" s="12" t="n">
        <v>1100000</v>
      </c>
      <c r="Y317" s="12" t="n">
        <v>1100000</v>
      </c>
      <c r="Z317" s="9" t="n">
        <v>6.5</v>
      </c>
      <c r="AA317" s="9" t="n">
        <v>7</v>
      </c>
      <c r="AB317" s="9" t="n">
        <v>6</v>
      </c>
      <c r="AC317" s="9" t="n">
        <v>9</v>
      </c>
      <c r="AD317" s="9" t="n">
        <v>12.5</v>
      </c>
      <c r="AE317" s="9" t="n">
        <v>16</v>
      </c>
      <c r="AF317" t="n">
        <v>2024</v>
      </c>
      <c r="AH317" t="inlineStr">
        <is>
          <t>Apartment</t>
        </is>
      </c>
      <c r="AI317" t="inlineStr">
        <is>
          <t>MainstreamSelective</t>
        </is>
      </c>
      <c r="AJ317" t="inlineStr">
        <is>
          <t>MidTier</t>
        </is>
      </c>
      <c r="AK317" t="inlineStr">
        <is>
          <t>Balanced / selective</t>
        </is>
      </c>
      <c r="AL317" s="7" t="inlineStr">
        <is>
          <t>Market remains active but increasingly differentiated by developer, micro-location, livability, and pricing discipline.</t>
        </is>
      </c>
      <c r="AM317" s="9" t="n">
        <v>7.5</v>
      </c>
      <c r="AN317" s="9" t="n">
        <v>6.75</v>
      </c>
      <c r="AO317" s="10" t="n">
        <v>0.55</v>
      </c>
      <c r="AP317" s="13" t="n">
        <v>0</v>
      </c>
      <c r="AQ317" s="13" t="n">
        <v>0</v>
      </c>
      <c r="AR317" s="13" t="n">
        <v>0</v>
      </c>
      <c r="AS317" s="13" t="n">
        <v>0.01</v>
      </c>
      <c r="AT317" s="13" t="n">
        <v>-0.005</v>
      </c>
      <c r="AU317" s="13" t="n">
        <v>0.0025</v>
      </c>
      <c r="AV317" s="13" t="n">
        <v>-0.005</v>
      </c>
      <c r="AW317" s="13">
        <f>IF(X317="","",(AM317/100*AO317)+AP317+AQ317+AR317)</f>
        <v/>
      </c>
      <c r="AX317" s="13">
        <f>IF(X317="","",AS317+AT317+AU317+AV317)</f>
        <v/>
      </c>
      <c r="AY317" s="12">
        <f>IF(AZ317="","",ROUND(AZ317*(1+Assumptions!$B$10),0))</f>
        <v/>
      </c>
      <c r="AZ317" s="12">
        <f>IF(X317="","",ROUND(X317*(1+AW317),0))</f>
        <v/>
      </c>
      <c r="BA317" s="12">
        <f>IF(AZ317="","",ROUND(AZ317*(1+Assumptions!$B$11),0))</f>
        <v/>
      </c>
      <c r="BB317" s="12">
        <f>IF(AZ317="","",ROUND(AZ317*(1+AX317+Assumptions!$B$10),0))</f>
        <v/>
      </c>
      <c r="BC317" s="12">
        <f>IF(AZ317="","",ROUND(AZ317*(1+AX317),0))</f>
        <v/>
      </c>
      <c r="BD317" s="12">
        <f>IF(AZ317="","",ROUND(AZ317*(1+AX317+Assumptions!$B$11),0))</f>
        <v/>
      </c>
      <c r="BE317" s="12">
        <f>IF(AZ317="","",ROUND(AZ317*(1+AX317)*(1+AX317),0))</f>
        <v/>
      </c>
      <c r="BF317" s="7" t="inlineStr">
        <is>
          <t>Rules-based enrichment using launch-price anchor, cap-app realization, and 2026 segment conditions.</t>
        </is>
      </c>
      <c r="BG317" t="inlineStr">
        <is>
          <t>2026-03-17</t>
        </is>
      </c>
      <c r="BH317" s="7" t="inlineStr">
        <is>
          <t>DLD / Digital Dubai / CBUAE / Savills / Knight Frank-Moody’s / Reuters</t>
        </is>
      </c>
    </row>
    <row r="318">
      <c r="A318" t="n">
        <v>317</v>
      </c>
      <c r="B318" s="7" t="inlineStr">
        <is>
          <t>Viewz</t>
        </is>
      </c>
      <c r="C318" t="inlineStr">
        <is>
          <t>Danube Properties</t>
        </is>
      </c>
      <c r="D318" t="inlineStr">
        <is>
          <t>JLT</t>
        </is>
      </c>
      <c r="E318" t="inlineStr">
        <is>
          <t>Branded Apts (Aston Martin)</t>
        </is>
      </c>
      <c r="F318" s="7" t="inlineStr">
        <is>
          <t>Luxury / View</t>
        </is>
      </c>
      <c r="G318" t="inlineStr">
        <is>
          <t>1.2M</t>
        </is>
      </c>
      <c r="H318" t="inlineStr">
        <is>
          <t>1900</t>
        </is>
      </c>
      <c r="I318" t="inlineStr">
        <is>
          <t>18</t>
        </is>
      </c>
      <c r="J318" t="inlineStr">
        <is>
          <t>1% Monthly</t>
        </is>
      </c>
      <c r="K318" t="inlineStr">
        <is>
          <t>2023</t>
        </is>
      </c>
      <c r="L318" t="inlineStr">
        <is>
          <t>6.5-7.0</t>
        </is>
      </c>
      <c r="M318" t="inlineStr">
        <is>
          <t>6-9</t>
        </is>
      </c>
      <c r="N318" t="inlineStr">
        <is>
          <t>12.5-16.0</t>
        </is>
      </c>
      <c r="O318" s="7" t="inlineStr">
        <is>
          <t>Emirates Intl School</t>
        </is>
      </c>
      <c r="P318" s="7" t="inlineStr">
        <is>
          <t>Saudi German Hospital</t>
        </is>
      </c>
      <c r="Q318" s="7" t="inlineStr">
        <is>
          <t>Dubai Marina Mall</t>
        </is>
      </c>
      <c r="R318" s="7" t="inlineStr">
        <is>
          <t>Sheikh Zayed E11</t>
        </is>
      </c>
      <c r="S318" t="inlineStr">
        <is>
          <t>20</t>
        </is>
      </c>
      <c r="T318" t="inlineStr">
        <is>
          <t>5</t>
        </is>
      </c>
      <c r="U318" t="inlineStr">
        <is>
          <t>25</t>
        </is>
      </c>
      <c r="V318" t="inlineStr">
        <is>
          <t>30</t>
        </is>
      </c>
      <c r="W318" t="n">
        <v>2</v>
      </c>
      <c r="X318" s="12" t="n">
        <v>1200000</v>
      </c>
      <c r="Y318" s="12" t="n">
        <v>1200000</v>
      </c>
      <c r="Z318" s="9" t="n">
        <v>6.5</v>
      </c>
      <c r="AA318" s="9" t="n">
        <v>7</v>
      </c>
      <c r="AB318" s="9" t="n">
        <v>6</v>
      </c>
      <c r="AC318" s="9" t="n">
        <v>9</v>
      </c>
      <c r="AD318" s="9" t="n">
        <v>12.5</v>
      </c>
      <c r="AE318" s="9" t="n">
        <v>16</v>
      </c>
      <c r="AF318" t="n">
        <v>2023</v>
      </c>
      <c r="AH318" t="inlineStr">
        <is>
          <t>Apartment</t>
        </is>
      </c>
      <c r="AI318" t="inlineStr">
        <is>
          <t>MainstreamSelective</t>
        </is>
      </c>
      <c r="AJ318" t="inlineStr">
        <is>
          <t>MidTier</t>
        </is>
      </c>
      <c r="AK318" t="inlineStr">
        <is>
          <t>Balanced / selective</t>
        </is>
      </c>
      <c r="AL318" s="7" t="inlineStr">
        <is>
          <t>Market remains active but increasingly differentiated by developer, micro-location, livability, and pricing discipline.</t>
        </is>
      </c>
      <c r="AM318" s="9" t="n">
        <v>7.5</v>
      </c>
      <c r="AN318" s="9" t="n">
        <v>6.75</v>
      </c>
      <c r="AO318" s="10" t="n">
        <v>0.55</v>
      </c>
      <c r="AP318" s="13" t="n">
        <v>0</v>
      </c>
      <c r="AQ318" s="13" t="n">
        <v>0</v>
      </c>
      <c r="AR318" s="13" t="n">
        <v>0</v>
      </c>
      <c r="AS318" s="13" t="n">
        <v>0.01</v>
      </c>
      <c r="AT318" s="13" t="n">
        <v>-0.005</v>
      </c>
      <c r="AU318" s="13" t="n">
        <v>0.0025</v>
      </c>
      <c r="AV318" s="13" t="n">
        <v>-0.005</v>
      </c>
      <c r="AW318" s="13">
        <f>IF(X318="","",(AM318/100*AO318)+AP318+AQ318+AR318)</f>
        <v/>
      </c>
      <c r="AX318" s="13">
        <f>IF(X318="","",AS318+AT318+AU318+AV318)</f>
        <v/>
      </c>
      <c r="AY318" s="12">
        <f>IF(AZ318="","",ROUND(AZ318*(1+Assumptions!$B$10),0))</f>
        <v/>
      </c>
      <c r="AZ318" s="12">
        <f>IF(X318="","",ROUND(X318*(1+AW318),0))</f>
        <v/>
      </c>
      <c r="BA318" s="12">
        <f>IF(AZ318="","",ROUND(AZ318*(1+Assumptions!$B$11),0))</f>
        <v/>
      </c>
      <c r="BB318" s="12">
        <f>IF(AZ318="","",ROUND(AZ318*(1+AX318+Assumptions!$B$10),0))</f>
        <v/>
      </c>
      <c r="BC318" s="12">
        <f>IF(AZ318="","",ROUND(AZ318*(1+AX318),0))</f>
        <v/>
      </c>
      <c r="BD318" s="12">
        <f>IF(AZ318="","",ROUND(AZ318*(1+AX318+Assumptions!$B$11),0))</f>
        <v/>
      </c>
      <c r="BE318" s="12">
        <f>IF(AZ318="","",ROUND(AZ318*(1+AX318)*(1+AX318),0))</f>
        <v/>
      </c>
      <c r="BF318" s="7" t="inlineStr">
        <is>
          <t>Rules-based enrichment using launch-price anchor, cap-app realization, and 2026 segment conditions.</t>
        </is>
      </c>
      <c r="BG318" t="inlineStr">
        <is>
          <t>2026-03-17</t>
        </is>
      </c>
      <c r="BH318" s="7" t="inlineStr">
        <is>
          <t>DLD / Digital Dubai / CBUAE / Savills / Knight Frank-Moody’s / Reuters</t>
        </is>
      </c>
    </row>
    <row r="319">
      <c r="A319" t="n">
        <v>318</v>
      </c>
      <c r="B319" s="7" t="inlineStr">
        <is>
          <t>Bayz 101</t>
        </is>
      </c>
      <c r="C319" t="inlineStr">
        <is>
          <t>Danube Properties</t>
        </is>
      </c>
      <c r="D319" t="inlineStr">
        <is>
          <t>Business Bay</t>
        </is>
      </c>
      <c r="E319" t="inlineStr">
        <is>
          <t>Apartments</t>
        </is>
      </c>
      <c r="F319" s="7" t="inlineStr">
        <is>
          <t>High-Rise / City</t>
        </is>
      </c>
      <c r="G319" t="inlineStr">
        <is>
          <t>1.3M</t>
        </is>
      </c>
      <c r="H319" t="inlineStr">
        <is>
          <t>2000</t>
        </is>
      </c>
      <c r="I319" t="inlineStr">
        <is>
          <t>18</t>
        </is>
      </c>
      <c r="J319" t="inlineStr">
        <is>
          <t>1% Monthly</t>
        </is>
      </c>
      <c r="K319" t="inlineStr">
        <is>
          <t>2024</t>
        </is>
      </c>
      <c r="L319" t="inlineStr">
        <is>
          <t>6.5-7.0</t>
        </is>
      </c>
      <c r="M319" t="inlineStr">
        <is>
          <t>6-9</t>
        </is>
      </c>
      <c r="N319" t="inlineStr">
        <is>
          <t>12.5-16.0</t>
        </is>
      </c>
      <c r="O319" s="7" t="inlineStr">
        <is>
          <t>Hartland Intl</t>
        </is>
      </c>
      <c r="P319" s="7" t="inlineStr">
        <is>
          <t>Emirates Hospital BB</t>
        </is>
      </c>
      <c r="Q319" s="7" t="inlineStr">
        <is>
          <t>Dubai Mall</t>
        </is>
      </c>
      <c r="R319" s="7" t="inlineStr">
        <is>
          <t>Al Khail E44</t>
        </is>
      </c>
      <c r="S319" t="inlineStr">
        <is>
          <t>5</t>
        </is>
      </c>
      <c r="T319" t="inlineStr">
        <is>
          <t>20</t>
        </is>
      </c>
      <c r="U319" t="inlineStr">
        <is>
          <t>15</t>
        </is>
      </c>
      <c r="V319" t="inlineStr">
        <is>
          <t>35</t>
        </is>
      </c>
      <c r="W319" t="n">
        <v>2</v>
      </c>
      <c r="X319" s="12" t="n">
        <v>1300000</v>
      </c>
      <c r="Y319" s="12" t="n">
        <v>1300000</v>
      </c>
      <c r="Z319" s="9" t="n">
        <v>6.5</v>
      </c>
      <c r="AA319" s="9" t="n">
        <v>7</v>
      </c>
      <c r="AB319" s="9" t="n">
        <v>6</v>
      </c>
      <c r="AC319" s="9" t="n">
        <v>9</v>
      </c>
      <c r="AD319" s="9" t="n">
        <v>12.5</v>
      </c>
      <c r="AE319" s="9" t="n">
        <v>16</v>
      </c>
      <c r="AF319" t="n">
        <v>2024</v>
      </c>
      <c r="AH319" t="inlineStr">
        <is>
          <t>Apartment</t>
        </is>
      </c>
      <c r="AI319" t="inlineStr">
        <is>
          <t>Prime</t>
        </is>
      </c>
      <c r="AJ319" t="inlineStr">
        <is>
          <t>MidTier</t>
        </is>
      </c>
      <c r="AK319" t="inlineStr">
        <is>
          <t>Prime resilient / selective</t>
        </is>
      </c>
      <c r="AL319" s="7" t="inlineStr">
        <is>
          <t>Better support from quality, branding, and scarcer prime stock; still entry-price sensitive.</t>
        </is>
      </c>
      <c r="AM319" s="9" t="n">
        <v>7.5</v>
      </c>
      <c r="AN319" s="9" t="n">
        <v>6.75</v>
      </c>
      <c r="AO319" s="10" t="n">
        <v>0.55</v>
      </c>
      <c r="AP319" s="13" t="n">
        <v>0.02</v>
      </c>
      <c r="AQ319" s="13" t="n">
        <v>0</v>
      </c>
      <c r="AR319" s="13" t="n">
        <v>0</v>
      </c>
      <c r="AS319" s="13" t="n">
        <v>0.03</v>
      </c>
      <c r="AT319" s="13" t="n">
        <v>-0.005</v>
      </c>
      <c r="AU319" s="13" t="n">
        <v>0.0025</v>
      </c>
      <c r="AV319" s="13" t="n">
        <v>-0.005</v>
      </c>
      <c r="AW319" s="13">
        <f>IF(X319="","",(AM319/100*AO319)+AP319+AQ319+AR319)</f>
        <v/>
      </c>
      <c r="AX319" s="13">
        <f>IF(X319="","",AS319+AT319+AU319+AV319)</f>
        <v/>
      </c>
      <c r="AY319" s="12">
        <f>IF(AZ319="","",ROUND(AZ319*(1+Assumptions!$B$10),0))</f>
        <v/>
      </c>
      <c r="AZ319" s="12">
        <f>IF(X319="","",ROUND(X319*(1+AW319),0))</f>
        <v/>
      </c>
      <c r="BA319" s="12">
        <f>IF(AZ319="","",ROUND(AZ319*(1+Assumptions!$B$11),0))</f>
        <v/>
      </c>
      <c r="BB319" s="12">
        <f>IF(AZ319="","",ROUND(AZ319*(1+AX319+Assumptions!$B$10),0))</f>
        <v/>
      </c>
      <c r="BC319" s="12">
        <f>IF(AZ319="","",ROUND(AZ319*(1+AX319),0))</f>
        <v/>
      </c>
      <c r="BD319" s="12">
        <f>IF(AZ319="","",ROUND(AZ319*(1+AX319+Assumptions!$B$11),0))</f>
        <v/>
      </c>
      <c r="BE319" s="12">
        <f>IF(AZ319="","",ROUND(AZ319*(1+AX319)*(1+AX319),0))</f>
        <v/>
      </c>
      <c r="BF319" s="7" t="inlineStr">
        <is>
          <t>Rules-based enrichment using launch-price anchor, cap-app realization, and 2026 segment conditions.</t>
        </is>
      </c>
      <c r="BG319" t="inlineStr">
        <is>
          <t>2026-03-17</t>
        </is>
      </c>
      <c r="BH319" s="7" t="inlineStr">
        <is>
          <t>DLD / Digital Dubai / CBUAE / Savills / Knight Frank-Moody’s / Reuters</t>
        </is>
      </c>
    </row>
    <row r="320">
      <c r="A320" t="n">
        <v>319</v>
      </c>
      <c r="B320" s="7" t="inlineStr">
        <is>
          <t>Bayz 102</t>
        </is>
      </c>
      <c r="C320" t="inlineStr">
        <is>
          <t>Danube Properties</t>
        </is>
      </c>
      <c r="D320" t="inlineStr">
        <is>
          <t>Business Bay</t>
        </is>
      </c>
      <c r="E320" t="inlineStr">
        <is>
          <t>Apartments</t>
        </is>
      </c>
      <c r="F320" s="7" t="inlineStr">
        <is>
          <t>High-Rise / City</t>
        </is>
      </c>
      <c r="G320" t="inlineStr">
        <is>
          <t>1.35M</t>
        </is>
      </c>
      <c r="H320" t="inlineStr">
        <is>
          <t>2000</t>
        </is>
      </c>
      <c r="I320" t="inlineStr">
        <is>
          <t>18</t>
        </is>
      </c>
      <c r="J320" t="inlineStr">
        <is>
          <t>1% Monthly</t>
        </is>
      </c>
      <c r="K320" t="inlineStr">
        <is>
          <t>2024</t>
        </is>
      </c>
      <c r="L320" t="inlineStr">
        <is>
          <t>6.5-7.0</t>
        </is>
      </c>
      <c r="M320" t="inlineStr">
        <is>
          <t>6-9</t>
        </is>
      </c>
      <c r="N320" t="inlineStr">
        <is>
          <t>12.5-16.0</t>
        </is>
      </c>
      <c r="O320" s="7" t="inlineStr">
        <is>
          <t>Hartland Intl</t>
        </is>
      </c>
      <c r="P320" s="7" t="inlineStr">
        <is>
          <t>Emirates Hospital BB</t>
        </is>
      </c>
      <c r="Q320" s="7" t="inlineStr">
        <is>
          <t>Dubai Mall</t>
        </is>
      </c>
      <c r="R320" s="7" t="inlineStr">
        <is>
          <t>Al Khail E44</t>
        </is>
      </c>
      <c r="S320" t="inlineStr">
        <is>
          <t>5</t>
        </is>
      </c>
      <c r="T320" t="inlineStr">
        <is>
          <t>20</t>
        </is>
      </c>
      <c r="U320" t="inlineStr">
        <is>
          <t>15</t>
        </is>
      </c>
      <c r="V320" t="inlineStr">
        <is>
          <t>35</t>
        </is>
      </c>
      <c r="W320" t="n">
        <v>2</v>
      </c>
      <c r="X320" s="12" t="n">
        <v>1350000</v>
      </c>
      <c r="Y320" s="12" t="n">
        <v>1350000</v>
      </c>
      <c r="Z320" s="9" t="n">
        <v>6.5</v>
      </c>
      <c r="AA320" s="9" t="n">
        <v>7</v>
      </c>
      <c r="AB320" s="9" t="n">
        <v>6</v>
      </c>
      <c r="AC320" s="9" t="n">
        <v>9</v>
      </c>
      <c r="AD320" s="9" t="n">
        <v>12.5</v>
      </c>
      <c r="AE320" s="9" t="n">
        <v>16</v>
      </c>
      <c r="AF320" t="n">
        <v>2024</v>
      </c>
      <c r="AH320" t="inlineStr">
        <is>
          <t>Apartment</t>
        </is>
      </c>
      <c r="AI320" t="inlineStr">
        <is>
          <t>Prime</t>
        </is>
      </c>
      <c r="AJ320" t="inlineStr">
        <is>
          <t>MidTier</t>
        </is>
      </c>
      <c r="AK320" t="inlineStr">
        <is>
          <t>Prime resilient / selective</t>
        </is>
      </c>
      <c r="AL320" s="7" t="inlineStr">
        <is>
          <t>Better support from quality, branding, and scarcer prime stock; still entry-price sensitive.</t>
        </is>
      </c>
      <c r="AM320" s="9" t="n">
        <v>7.5</v>
      </c>
      <c r="AN320" s="9" t="n">
        <v>6.75</v>
      </c>
      <c r="AO320" s="10" t="n">
        <v>0.55</v>
      </c>
      <c r="AP320" s="13" t="n">
        <v>0.02</v>
      </c>
      <c r="AQ320" s="13" t="n">
        <v>0</v>
      </c>
      <c r="AR320" s="13" t="n">
        <v>0</v>
      </c>
      <c r="AS320" s="13" t="n">
        <v>0.03</v>
      </c>
      <c r="AT320" s="13" t="n">
        <v>-0.005</v>
      </c>
      <c r="AU320" s="13" t="n">
        <v>0.0025</v>
      </c>
      <c r="AV320" s="13" t="n">
        <v>-0.005</v>
      </c>
      <c r="AW320" s="13">
        <f>IF(X320="","",(AM320/100*AO320)+AP320+AQ320+AR320)</f>
        <v/>
      </c>
      <c r="AX320" s="13">
        <f>IF(X320="","",AS320+AT320+AU320+AV320)</f>
        <v/>
      </c>
      <c r="AY320" s="12">
        <f>IF(AZ320="","",ROUND(AZ320*(1+Assumptions!$B$10),0))</f>
        <v/>
      </c>
      <c r="AZ320" s="12">
        <f>IF(X320="","",ROUND(X320*(1+AW320),0))</f>
        <v/>
      </c>
      <c r="BA320" s="12">
        <f>IF(AZ320="","",ROUND(AZ320*(1+Assumptions!$B$11),0))</f>
        <v/>
      </c>
      <c r="BB320" s="12">
        <f>IF(AZ320="","",ROUND(AZ320*(1+AX320+Assumptions!$B$10),0))</f>
        <v/>
      </c>
      <c r="BC320" s="12">
        <f>IF(AZ320="","",ROUND(AZ320*(1+AX320),0))</f>
        <v/>
      </c>
      <c r="BD320" s="12">
        <f>IF(AZ320="","",ROUND(AZ320*(1+AX320+Assumptions!$B$11),0))</f>
        <v/>
      </c>
      <c r="BE320" s="12">
        <f>IF(AZ320="","",ROUND(AZ320*(1+AX320)*(1+AX320),0))</f>
        <v/>
      </c>
      <c r="BF320" s="7" t="inlineStr">
        <is>
          <t>Rules-based enrichment using launch-price anchor, cap-app realization, and 2026 segment conditions.</t>
        </is>
      </c>
      <c r="BG320" t="inlineStr">
        <is>
          <t>2026-03-17</t>
        </is>
      </c>
      <c r="BH320" s="7" t="inlineStr">
        <is>
          <t>DLD / Digital Dubai / CBUAE / Savills / Knight Frank-Moody’s / Reuters</t>
        </is>
      </c>
    </row>
    <row r="321">
      <c r="A321" t="n">
        <v>320</v>
      </c>
      <c r="B321" s="7" t="inlineStr">
        <is>
          <t>Oceanz</t>
        </is>
      </c>
      <c r="C321" t="inlineStr">
        <is>
          <t>Danube Properties</t>
        </is>
      </c>
      <c r="D321" t="inlineStr">
        <is>
          <t>Dubai Maritime City</t>
        </is>
      </c>
      <c r="E321" t="inlineStr">
        <is>
          <t>Apartments</t>
        </is>
      </c>
      <c r="F321" s="7" t="inlineStr">
        <is>
          <t>Sea View</t>
        </is>
      </c>
      <c r="G321" t="inlineStr">
        <is>
          <t>1.1M</t>
        </is>
      </c>
      <c r="H321" t="inlineStr">
        <is>
          <t>1800</t>
        </is>
      </c>
      <c r="I321" t="inlineStr">
        <is>
          <t>18</t>
        </is>
      </c>
      <c r="J321" t="inlineStr">
        <is>
          <t>1% Monthly</t>
        </is>
      </c>
      <c r="K321" t="inlineStr">
        <is>
          <t>2023</t>
        </is>
      </c>
      <c r="L321" t="inlineStr">
        <is>
          <t>6.5-7.0</t>
        </is>
      </c>
      <c r="M321" t="inlineStr">
        <is>
          <t>8-10</t>
        </is>
      </c>
      <c r="N321" t="inlineStr">
        <is>
          <t>14.5-17.0</t>
        </is>
      </c>
      <c r="O321" s="7" t="inlineStr">
        <is>
          <t>New Academy School</t>
        </is>
      </c>
      <c r="P321" s="7" t="inlineStr">
        <is>
          <t>Aster Hospital Mankhool</t>
        </is>
      </c>
      <c r="Q321" s="7" t="inlineStr">
        <is>
          <t>Dubai Mall</t>
        </is>
      </c>
      <c r="R321" s="7" t="inlineStr">
        <is>
          <t>Al Khaleej / E11</t>
        </is>
      </c>
      <c r="S321" t="inlineStr">
        <is>
          <t>15</t>
        </is>
      </c>
      <c r="T321" t="inlineStr">
        <is>
          <t>25</t>
        </is>
      </c>
      <c r="U321" t="inlineStr">
        <is>
          <t>15</t>
        </is>
      </c>
      <c r="V321" t="inlineStr">
        <is>
          <t>45</t>
        </is>
      </c>
      <c r="W321" t="n">
        <v>2</v>
      </c>
      <c r="X321" s="12" t="n">
        <v>1100000</v>
      </c>
      <c r="Y321" s="12" t="n">
        <v>1100000</v>
      </c>
      <c r="Z321" s="9" t="n">
        <v>6.5</v>
      </c>
      <c r="AA321" s="9" t="n">
        <v>7</v>
      </c>
      <c r="AB321" s="9" t="n">
        <v>8</v>
      </c>
      <c r="AC321" s="9" t="n">
        <v>10</v>
      </c>
      <c r="AD321" s="9" t="n">
        <v>14.5</v>
      </c>
      <c r="AE321" s="9" t="n">
        <v>17</v>
      </c>
      <c r="AF321" t="n">
        <v>2023</v>
      </c>
      <c r="AH321" t="inlineStr">
        <is>
          <t>Apartment</t>
        </is>
      </c>
      <c r="AI321" t="inlineStr">
        <is>
          <t>MainstreamSelective</t>
        </is>
      </c>
      <c r="AJ321" t="inlineStr">
        <is>
          <t>MidTier</t>
        </is>
      </c>
      <c r="AK321" t="inlineStr">
        <is>
          <t>Balanced / selective</t>
        </is>
      </c>
      <c r="AL321" s="7" t="inlineStr">
        <is>
          <t>Market remains active but increasingly differentiated by developer, micro-location, livability, and pricing discipline.</t>
        </is>
      </c>
      <c r="AM321" s="9" t="n">
        <v>9</v>
      </c>
      <c r="AN321" s="9" t="n">
        <v>6.75</v>
      </c>
      <c r="AO321" s="10" t="n">
        <v>0.55</v>
      </c>
      <c r="AP321" s="13" t="n">
        <v>0</v>
      </c>
      <c r="AQ321" s="13" t="n">
        <v>0</v>
      </c>
      <c r="AR321" s="13" t="n">
        <v>0</v>
      </c>
      <c r="AS321" s="13" t="n">
        <v>0.01</v>
      </c>
      <c r="AT321" s="13" t="n">
        <v>-0.005</v>
      </c>
      <c r="AU321" s="13" t="n">
        <v>0.0025</v>
      </c>
      <c r="AV321" s="13" t="n">
        <v>-0.005</v>
      </c>
      <c r="AW321" s="13">
        <f>IF(X321="","",(AM321/100*AO321)+AP321+AQ321+AR321)</f>
        <v/>
      </c>
      <c r="AX321" s="13">
        <f>IF(X321="","",AS321+AT321+AU321+AV321)</f>
        <v/>
      </c>
      <c r="AY321" s="12">
        <f>IF(AZ321="","",ROUND(AZ321*(1+Assumptions!$B$10),0))</f>
        <v/>
      </c>
      <c r="AZ321" s="12">
        <f>IF(X321="","",ROUND(X321*(1+AW321),0))</f>
        <v/>
      </c>
      <c r="BA321" s="12">
        <f>IF(AZ321="","",ROUND(AZ321*(1+Assumptions!$B$11),0))</f>
        <v/>
      </c>
      <c r="BB321" s="12">
        <f>IF(AZ321="","",ROUND(AZ321*(1+AX321+Assumptions!$B$10),0))</f>
        <v/>
      </c>
      <c r="BC321" s="12">
        <f>IF(AZ321="","",ROUND(AZ321*(1+AX321),0))</f>
        <v/>
      </c>
      <c r="BD321" s="12">
        <f>IF(AZ321="","",ROUND(AZ321*(1+AX321+Assumptions!$B$11),0))</f>
        <v/>
      </c>
      <c r="BE321" s="12">
        <f>IF(AZ321="","",ROUND(AZ321*(1+AX321)*(1+AX321),0))</f>
        <v/>
      </c>
      <c r="BF321" s="7" t="inlineStr">
        <is>
          <t>Rules-based enrichment using launch-price anchor, cap-app realization, and 2026 segment conditions.</t>
        </is>
      </c>
      <c r="BG321" t="inlineStr">
        <is>
          <t>2026-03-17</t>
        </is>
      </c>
      <c r="BH321" s="7" t="inlineStr">
        <is>
          <t>DLD / Digital Dubai / CBUAE / Savills / Knight Frank-Moody’s / Reuters</t>
        </is>
      </c>
    </row>
    <row r="322">
      <c r="A322" t="n">
        <v>321</v>
      </c>
      <c r="B322" s="7" t="inlineStr">
        <is>
          <t>Sportz</t>
        </is>
      </c>
      <c r="C322" t="inlineStr">
        <is>
          <t>Danube Properties</t>
        </is>
      </c>
      <c r="D322" t="inlineStr">
        <is>
          <t>Dubai Sports City</t>
        </is>
      </c>
      <c r="E322" t="inlineStr">
        <is>
          <t>Apartments</t>
        </is>
      </c>
      <c r="F322" s="7" t="inlineStr">
        <is>
          <t>Sports Amenities</t>
        </is>
      </c>
      <c r="G322" t="inlineStr">
        <is>
          <t>900k</t>
        </is>
      </c>
      <c r="H322" t="inlineStr">
        <is>
          <t>1300</t>
        </is>
      </c>
      <c r="I322" t="inlineStr">
        <is>
          <t>15</t>
        </is>
      </c>
      <c r="J322" t="inlineStr">
        <is>
          <t>1% Monthly</t>
        </is>
      </c>
      <c r="K322" t="inlineStr">
        <is>
          <t>2023</t>
        </is>
      </c>
      <c r="L322" t="inlineStr">
        <is>
          <t>7.5-8.0</t>
        </is>
      </c>
      <c r="M322" t="inlineStr">
        <is>
          <t>6-8</t>
        </is>
      </c>
      <c r="N322" t="inlineStr">
        <is>
          <t>13.5-16.0</t>
        </is>
      </c>
      <c r="O322" s="7" t="inlineStr">
        <is>
          <t>Victory Heights</t>
        </is>
      </c>
      <c r="P322" s="7" t="inlineStr">
        <is>
          <t>NMC Royal DIP</t>
        </is>
      </c>
      <c r="Q322" s="7" t="inlineStr">
        <is>
          <t>City Centre Me'aisem</t>
        </is>
      </c>
      <c r="R322" s="7" t="inlineStr">
        <is>
          <t>E311 / Hessa St</t>
        </is>
      </c>
      <c r="S322" t="inlineStr">
        <is>
          <t>20</t>
        </is>
      </c>
      <c r="T322" t="inlineStr">
        <is>
          <t>15</t>
        </is>
      </c>
      <c r="U322" t="inlineStr">
        <is>
          <t>25</t>
        </is>
      </c>
      <c r="V322" t="inlineStr">
        <is>
          <t>25</t>
        </is>
      </c>
      <c r="W322" t="n">
        <v>2</v>
      </c>
      <c r="X322" s="12" t="n">
        <v>900000</v>
      </c>
      <c r="Y322" s="12" t="n">
        <v>900000</v>
      </c>
      <c r="Z322" s="9" t="n">
        <v>7.5</v>
      </c>
      <c r="AA322" s="9" t="n">
        <v>8</v>
      </c>
      <c r="AB322" s="9" t="n">
        <v>6</v>
      </c>
      <c r="AC322" s="9" t="n">
        <v>8</v>
      </c>
      <c r="AD322" s="9" t="n">
        <v>13.5</v>
      </c>
      <c r="AE322" s="9" t="n">
        <v>16</v>
      </c>
      <c r="AF322" t="n">
        <v>2023</v>
      </c>
      <c r="AH322" t="inlineStr">
        <is>
          <t>Apartment</t>
        </is>
      </c>
      <c r="AI322" t="inlineStr">
        <is>
          <t>MainstreamSelective</t>
        </is>
      </c>
      <c r="AJ322" t="inlineStr">
        <is>
          <t>MidTier</t>
        </is>
      </c>
      <c r="AK322" t="inlineStr">
        <is>
          <t>Balanced / selective</t>
        </is>
      </c>
      <c r="AL322" s="7" t="inlineStr">
        <is>
          <t>Market remains active but increasingly differentiated by developer, micro-location, livability, and pricing discipline.</t>
        </is>
      </c>
      <c r="AM322" s="9" t="n">
        <v>7</v>
      </c>
      <c r="AN322" s="9" t="n">
        <v>7.75</v>
      </c>
      <c r="AO322" s="10" t="n">
        <v>0.55</v>
      </c>
      <c r="AP322" s="13" t="n">
        <v>0</v>
      </c>
      <c r="AQ322" s="13" t="n">
        <v>0</v>
      </c>
      <c r="AR322" s="13" t="n">
        <v>0</v>
      </c>
      <c r="AS322" s="13" t="n">
        <v>0.01</v>
      </c>
      <c r="AT322" s="13" t="n">
        <v>-0.005</v>
      </c>
      <c r="AU322" s="13" t="n">
        <v>0.0025</v>
      </c>
      <c r="AV322" s="13" t="n">
        <v>-0.005</v>
      </c>
      <c r="AW322" s="13">
        <f>IF(X322="","",(AM322/100*AO322)+AP322+AQ322+AR322)</f>
        <v/>
      </c>
      <c r="AX322" s="13">
        <f>IF(X322="","",AS322+AT322+AU322+AV322)</f>
        <v/>
      </c>
      <c r="AY322" s="12">
        <f>IF(AZ322="","",ROUND(AZ322*(1+Assumptions!$B$10),0))</f>
        <v/>
      </c>
      <c r="AZ322" s="12">
        <f>IF(X322="","",ROUND(X322*(1+AW322),0))</f>
        <v/>
      </c>
      <c r="BA322" s="12">
        <f>IF(AZ322="","",ROUND(AZ322*(1+Assumptions!$B$11),0))</f>
        <v/>
      </c>
      <c r="BB322" s="12">
        <f>IF(AZ322="","",ROUND(AZ322*(1+AX322+Assumptions!$B$10),0))</f>
        <v/>
      </c>
      <c r="BC322" s="12">
        <f>IF(AZ322="","",ROUND(AZ322*(1+AX322),0))</f>
        <v/>
      </c>
      <c r="BD322" s="12">
        <f>IF(AZ322="","",ROUND(AZ322*(1+AX322+Assumptions!$B$11),0))</f>
        <v/>
      </c>
      <c r="BE322" s="12">
        <f>IF(AZ322="","",ROUND(AZ322*(1+AX322)*(1+AX322),0))</f>
        <v/>
      </c>
      <c r="BF322" s="7" t="inlineStr">
        <is>
          <t>Rules-based enrichment using launch-price anchor, cap-app realization, and 2026 segment conditions.</t>
        </is>
      </c>
      <c r="BG322" t="inlineStr">
        <is>
          <t>2026-03-17</t>
        </is>
      </c>
      <c r="BH322" s="7" t="inlineStr">
        <is>
          <t>DLD / Digital Dubai / CBUAE / Savills / Knight Frank-Moody’s / Reuters</t>
        </is>
      </c>
    </row>
    <row r="323">
      <c r="A323" t="n">
        <v>322</v>
      </c>
      <c r="B323" s="7" t="inlineStr">
        <is>
          <t>Eleganz</t>
        </is>
      </c>
      <c r="C323" t="inlineStr">
        <is>
          <t>Danube Properties</t>
        </is>
      </c>
      <c r="D323" t="inlineStr">
        <is>
          <t>JVC</t>
        </is>
      </c>
      <c r="E323" t="inlineStr">
        <is>
          <t>Apartments</t>
        </is>
      </c>
      <c r="F323" s="7" t="inlineStr">
        <is>
          <t>Ready to Move</t>
        </is>
      </c>
      <c r="G323" t="inlineStr">
        <is>
          <t>1.1M</t>
        </is>
      </c>
      <c r="H323" t="inlineStr">
        <is>
          <t>1400</t>
        </is>
      </c>
      <c r="I323" t="inlineStr">
        <is>
          <t>15</t>
        </is>
      </c>
      <c r="J323" t="inlineStr">
        <is>
          <t>1% Monthly</t>
        </is>
      </c>
      <c r="K323" t="inlineStr">
        <is>
          <t>2023</t>
        </is>
      </c>
      <c r="L323" t="inlineStr">
        <is>
          <t>7.5-8.0</t>
        </is>
      </c>
      <c r="M323" t="inlineStr">
        <is>
          <t>5-7</t>
        </is>
      </c>
      <c r="N323" t="inlineStr">
        <is>
          <t>12.5-15.0</t>
        </is>
      </c>
      <c r="O323" s="7" t="inlineStr">
        <is>
          <t>JSS International</t>
        </is>
      </c>
      <c r="P323" s="7" t="inlineStr">
        <is>
          <t>Saudi German Hospital</t>
        </is>
      </c>
      <c r="Q323" s="7" t="inlineStr">
        <is>
          <t>Circle Mall</t>
        </is>
      </c>
      <c r="R323" s="7" t="inlineStr">
        <is>
          <t>Hessa St / E44</t>
        </is>
      </c>
      <c r="S323" t="inlineStr">
        <is>
          <t>20</t>
        </is>
      </c>
      <c r="T323" t="inlineStr">
        <is>
          <t>15</t>
        </is>
      </c>
      <c r="U323" t="inlineStr">
        <is>
          <t>25</t>
        </is>
      </c>
      <c r="V323" t="inlineStr">
        <is>
          <t>30</t>
        </is>
      </c>
      <c r="W323" t="n">
        <v>2</v>
      </c>
      <c r="X323" s="12" t="n">
        <v>1100000</v>
      </c>
      <c r="Y323" s="12" t="n">
        <v>1100000</v>
      </c>
      <c r="Z323" s="9" t="n">
        <v>7.5</v>
      </c>
      <c r="AA323" s="9" t="n">
        <v>8</v>
      </c>
      <c r="AB323" s="9" t="n">
        <v>5</v>
      </c>
      <c r="AC323" s="9" t="n">
        <v>7</v>
      </c>
      <c r="AD323" s="9" t="n">
        <v>12.5</v>
      </c>
      <c r="AE323" s="9" t="n">
        <v>15</v>
      </c>
      <c r="AF323" t="n">
        <v>2023</v>
      </c>
      <c r="AH323" t="inlineStr">
        <is>
          <t>Apartment</t>
        </is>
      </c>
      <c r="AI323" t="inlineStr">
        <is>
          <t>SupplySensitiveApartment</t>
        </is>
      </c>
      <c r="AJ323" t="inlineStr">
        <is>
          <t>MidTier</t>
        </is>
      </c>
      <c r="AK323" t="inlineStr">
        <is>
          <t>Supply-sensitive / selective</t>
        </is>
      </c>
      <c r="AL323" s="7" t="inlineStr">
        <is>
          <t>Higher delivery risk in more price-sensitive apartment clusters; building selection and exit liquidity matter.</t>
        </is>
      </c>
      <c r="AM323" s="9" t="n">
        <v>6</v>
      </c>
      <c r="AN323" s="9" t="n">
        <v>7.75</v>
      </c>
      <c r="AO323" s="10" t="n">
        <v>0.55</v>
      </c>
      <c r="AP323" s="13" t="n">
        <v>0</v>
      </c>
      <c r="AQ323" s="13" t="n">
        <v>0</v>
      </c>
      <c r="AR323" s="13" t="n">
        <v>-0.01</v>
      </c>
      <c r="AS323" s="13" t="n">
        <v>-0.01</v>
      </c>
      <c r="AT323" s="13" t="n">
        <v>-0.005</v>
      </c>
      <c r="AU323" s="13" t="n">
        <v>0.0025</v>
      </c>
      <c r="AV323" s="13" t="n">
        <v>-0.005</v>
      </c>
      <c r="AW323" s="13">
        <f>IF(X323="","",(AM323/100*AO323)+AP323+AQ323+AR323)</f>
        <v/>
      </c>
      <c r="AX323" s="13">
        <f>IF(X323="","",AS323+AT323+AU323+AV323)</f>
        <v/>
      </c>
      <c r="AY323" s="12">
        <f>IF(AZ323="","",ROUND(AZ323*(1+Assumptions!$B$10),0))</f>
        <v/>
      </c>
      <c r="AZ323" s="12">
        <f>IF(X323="","",ROUND(X323*(1+AW323),0))</f>
        <v/>
      </c>
      <c r="BA323" s="12">
        <f>IF(AZ323="","",ROUND(AZ323*(1+Assumptions!$B$11),0))</f>
        <v/>
      </c>
      <c r="BB323" s="12">
        <f>IF(AZ323="","",ROUND(AZ323*(1+AX323+Assumptions!$B$10),0))</f>
        <v/>
      </c>
      <c r="BC323" s="12">
        <f>IF(AZ323="","",ROUND(AZ323*(1+AX323),0))</f>
        <v/>
      </c>
      <c r="BD323" s="12">
        <f>IF(AZ323="","",ROUND(AZ323*(1+AX323+Assumptions!$B$11),0))</f>
        <v/>
      </c>
      <c r="BE323" s="12">
        <f>IF(AZ323="","",ROUND(AZ323*(1+AX323)*(1+AX323),0))</f>
        <v/>
      </c>
      <c r="BF323" s="7" t="inlineStr">
        <is>
          <t>Rules-based enrichment using launch-price anchor, cap-app realization, and 2026 segment conditions.</t>
        </is>
      </c>
      <c r="BG323" t="inlineStr">
        <is>
          <t>2026-03-17</t>
        </is>
      </c>
      <c r="BH323" s="7" t="inlineStr">
        <is>
          <t>DLD / Digital Dubai / CBUAE / Savills / Knight Frank-Moody’s / Reuters</t>
        </is>
      </c>
    </row>
    <row r="324">
      <c r="A324" t="n">
        <v>323</v>
      </c>
      <c r="B324" s="7" t="inlineStr">
        <is>
          <t>Elitz 1</t>
        </is>
      </c>
      <c r="C324" t="inlineStr">
        <is>
          <t>Danube Properties</t>
        </is>
      </c>
      <c r="D324" t="inlineStr">
        <is>
          <t>JVC</t>
        </is>
      </c>
      <c r="E324" t="inlineStr">
        <is>
          <t>Apartments</t>
        </is>
      </c>
      <c r="F324" s="7" t="inlineStr">
        <is>
          <t>High-Rise</t>
        </is>
      </c>
      <c r="G324" t="inlineStr">
        <is>
          <t>1.0M</t>
        </is>
      </c>
      <c r="H324" t="inlineStr">
        <is>
          <t>1400</t>
        </is>
      </c>
      <c r="I324" t="inlineStr">
        <is>
          <t>15</t>
        </is>
      </c>
      <c r="J324" t="inlineStr">
        <is>
          <t>1% Monthly</t>
        </is>
      </c>
      <c r="K324" t="inlineStr">
        <is>
          <t>2022</t>
        </is>
      </c>
      <c r="L324" t="inlineStr">
        <is>
          <t>7.5-8.0</t>
        </is>
      </c>
      <c r="M324" t="inlineStr">
        <is>
          <t>6-8</t>
        </is>
      </c>
      <c r="N324" t="inlineStr">
        <is>
          <t>13.5-16.0</t>
        </is>
      </c>
      <c r="O324" s="7" t="inlineStr">
        <is>
          <t>JSS International</t>
        </is>
      </c>
      <c r="P324" s="7" t="inlineStr">
        <is>
          <t>Saudi German Hospital</t>
        </is>
      </c>
      <c r="Q324" s="7" t="inlineStr">
        <is>
          <t>Circle Mall</t>
        </is>
      </c>
      <c r="R324" s="7" t="inlineStr">
        <is>
          <t>Hessa St / E44</t>
        </is>
      </c>
      <c r="S324" t="inlineStr">
        <is>
          <t>20</t>
        </is>
      </c>
      <c r="T324" t="inlineStr">
        <is>
          <t>15</t>
        </is>
      </c>
      <c r="U324" t="inlineStr">
        <is>
          <t>25</t>
        </is>
      </c>
      <c r="V324" t="inlineStr">
        <is>
          <t>30</t>
        </is>
      </c>
      <c r="W324" t="n">
        <v>2</v>
      </c>
      <c r="X324" s="12" t="n">
        <v>1000000</v>
      </c>
      <c r="Y324" s="12" t="n">
        <v>1000000</v>
      </c>
      <c r="Z324" s="9" t="n">
        <v>7.5</v>
      </c>
      <c r="AA324" s="9" t="n">
        <v>8</v>
      </c>
      <c r="AB324" s="9" t="n">
        <v>6</v>
      </c>
      <c r="AC324" s="9" t="n">
        <v>8</v>
      </c>
      <c r="AD324" s="9" t="n">
        <v>13.5</v>
      </c>
      <c r="AE324" s="9" t="n">
        <v>16</v>
      </c>
      <c r="AF324" t="n">
        <v>2022</v>
      </c>
      <c r="AH324" t="inlineStr">
        <is>
          <t>Apartment</t>
        </is>
      </c>
      <c r="AI324" t="inlineStr">
        <is>
          <t>SupplySensitiveApartment</t>
        </is>
      </c>
      <c r="AJ324" t="inlineStr">
        <is>
          <t>MidTier</t>
        </is>
      </c>
      <c r="AK324" t="inlineStr">
        <is>
          <t>Supply-sensitive / selective</t>
        </is>
      </c>
      <c r="AL324" s="7" t="inlineStr">
        <is>
          <t>Higher delivery risk in more price-sensitive apartment clusters; building selection and exit liquidity matter.</t>
        </is>
      </c>
      <c r="AM324" s="9" t="n">
        <v>7</v>
      </c>
      <c r="AN324" s="9" t="n">
        <v>7.75</v>
      </c>
      <c r="AO324" s="10" t="n">
        <v>0.55</v>
      </c>
      <c r="AP324" s="13" t="n">
        <v>0</v>
      </c>
      <c r="AQ324" s="13" t="n">
        <v>0</v>
      </c>
      <c r="AR324" s="13" t="n">
        <v>-0.01</v>
      </c>
      <c r="AS324" s="13" t="n">
        <v>-0.01</v>
      </c>
      <c r="AT324" s="13" t="n">
        <v>-0.005</v>
      </c>
      <c r="AU324" s="13" t="n">
        <v>0.0025</v>
      </c>
      <c r="AV324" s="13" t="n">
        <v>-0.005</v>
      </c>
      <c r="AW324" s="13">
        <f>IF(X324="","",(AM324/100*AO324)+AP324+AQ324+AR324)</f>
        <v/>
      </c>
      <c r="AX324" s="13">
        <f>IF(X324="","",AS324+AT324+AU324+AV324)</f>
        <v/>
      </c>
      <c r="AY324" s="12">
        <f>IF(AZ324="","",ROUND(AZ324*(1+Assumptions!$B$10),0))</f>
        <v/>
      </c>
      <c r="AZ324" s="12">
        <f>IF(X324="","",ROUND(X324*(1+AW324),0))</f>
        <v/>
      </c>
      <c r="BA324" s="12">
        <f>IF(AZ324="","",ROUND(AZ324*(1+Assumptions!$B$11),0))</f>
        <v/>
      </c>
      <c r="BB324" s="12">
        <f>IF(AZ324="","",ROUND(AZ324*(1+AX324+Assumptions!$B$10),0))</f>
        <v/>
      </c>
      <c r="BC324" s="12">
        <f>IF(AZ324="","",ROUND(AZ324*(1+AX324),0))</f>
        <v/>
      </c>
      <c r="BD324" s="12">
        <f>IF(AZ324="","",ROUND(AZ324*(1+AX324+Assumptions!$B$11),0))</f>
        <v/>
      </c>
      <c r="BE324" s="12">
        <f>IF(AZ324="","",ROUND(AZ324*(1+AX324)*(1+AX324),0))</f>
        <v/>
      </c>
      <c r="BF324" s="7" t="inlineStr">
        <is>
          <t>Rules-based enrichment using launch-price anchor, cap-app realization, and 2026 segment conditions.</t>
        </is>
      </c>
      <c r="BG324" t="inlineStr">
        <is>
          <t>2026-03-17</t>
        </is>
      </c>
      <c r="BH324" s="7" t="inlineStr">
        <is>
          <t>DLD / Digital Dubai / CBUAE / Savills / Knight Frank-Moody’s / Reuters</t>
        </is>
      </c>
    </row>
    <row r="325">
      <c r="A325" t="n">
        <v>324</v>
      </c>
      <c r="B325" s="7" t="inlineStr">
        <is>
          <t>Elitz 2</t>
        </is>
      </c>
      <c r="C325" t="inlineStr">
        <is>
          <t>Danube Properties</t>
        </is>
      </c>
      <c r="D325" t="inlineStr">
        <is>
          <t>JVC</t>
        </is>
      </c>
      <c r="E325" t="inlineStr">
        <is>
          <t>Apartments</t>
        </is>
      </c>
      <c r="F325" s="7" t="inlineStr">
        <is>
          <t>High-Rise</t>
        </is>
      </c>
      <c r="G325" t="inlineStr">
        <is>
          <t>1.0M</t>
        </is>
      </c>
      <c r="H325" t="inlineStr">
        <is>
          <t>1400</t>
        </is>
      </c>
      <c r="I325" t="inlineStr">
        <is>
          <t>15</t>
        </is>
      </c>
      <c r="J325" t="inlineStr">
        <is>
          <t>1% Monthly</t>
        </is>
      </c>
      <c r="K325" t="inlineStr">
        <is>
          <t>2023</t>
        </is>
      </c>
      <c r="L325" t="inlineStr">
        <is>
          <t>7.5-8.0</t>
        </is>
      </c>
      <c r="M325" t="inlineStr">
        <is>
          <t>6-8</t>
        </is>
      </c>
      <c r="N325" t="inlineStr">
        <is>
          <t>13.5-16.0</t>
        </is>
      </c>
      <c r="O325" s="7" t="inlineStr">
        <is>
          <t>JSS International</t>
        </is>
      </c>
      <c r="P325" s="7" t="inlineStr">
        <is>
          <t>Saudi German Hospital</t>
        </is>
      </c>
      <c r="Q325" s="7" t="inlineStr">
        <is>
          <t>Circle Mall</t>
        </is>
      </c>
      <c r="R325" s="7" t="inlineStr">
        <is>
          <t>Hessa St / E44</t>
        </is>
      </c>
      <c r="S325" t="inlineStr">
        <is>
          <t>20</t>
        </is>
      </c>
      <c r="T325" t="inlineStr">
        <is>
          <t>15</t>
        </is>
      </c>
      <c r="U325" t="inlineStr">
        <is>
          <t>25</t>
        </is>
      </c>
      <c r="V325" t="inlineStr">
        <is>
          <t>30</t>
        </is>
      </c>
      <c r="W325" t="n">
        <v>2</v>
      </c>
      <c r="X325" s="12" t="n">
        <v>1000000</v>
      </c>
      <c r="Y325" s="12" t="n">
        <v>1000000</v>
      </c>
      <c r="Z325" s="9" t="n">
        <v>7.5</v>
      </c>
      <c r="AA325" s="9" t="n">
        <v>8</v>
      </c>
      <c r="AB325" s="9" t="n">
        <v>6</v>
      </c>
      <c r="AC325" s="9" t="n">
        <v>8</v>
      </c>
      <c r="AD325" s="9" t="n">
        <v>13.5</v>
      </c>
      <c r="AE325" s="9" t="n">
        <v>16</v>
      </c>
      <c r="AF325" t="n">
        <v>2023</v>
      </c>
      <c r="AH325" t="inlineStr">
        <is>
          <t>Apartment</t>
        </is>
      </c>
      <c r="AI325" t="inlineStr">
        <is>
          <t>SupplySensitiveApartment</t>
        </is>
      </c>
      <c r="AJ325" t="inlineStr">
        <is>
          <t>MidTier</t>
        </is>
      </c>
      <c r="AK325" t="inlineStr">
        <is>
          <t>Supply-sensitive / selective</t>
        </is>
      </c>
      <c r="AL325" s="7" t="inlineStr">
        <is>
          <t>Higher delivery risk in more price-sensitive apartment clusters; building selection and exit liquidity matter.</t>
        </is>
      </c>
      <c r="AM325" s="9" t="n">
        <v>7</v>
      </c>
      <c r="AN325" s="9" t="n">
        <v>7.75</v>
      </c>
      <c r="AO325" s="10" t="n">
        <v>0.55</v>
      </c>
      <c r="AP325" s="13" t="n">
        <v>0</v>
      </c>
      <c r="AQ325" s="13" t="n">
        <v>0</v>
      </c>
      <c r="AR325" s="13" t="n">
        <v>-0.01</v>
      </c>
      <c r="AS325" s="13" t="n">
        <v>-0.01</v>
      </c>
      <c r="AT325" s="13" t="n">
        <v>-0.005</v>
      </c>
      <c r="AU325" s="13" t="n">
        <v>0.0025</v>
      </c>
      <c r="AV325" s="13" t="n">
        <v>-0.005</v>
      </c>
      <c r="AW325" s="13">
        <f>IF(X325="","",(AM325/100*AO325)+AP325+AQ325+AR325)</f>
        <v/>
      </c>
      <c r="AX325" s="13">
        <f>IF(X325="","",AS325+AT325+AU325+AV325)</f>
        <v/>
      </c>
      <c r="AY325" s="12">
        <f>IF(AZ325="","",ROUND(AZ325*(1+Assumptions!$B$10),0))</f>
        <v/>
      </c>
      <c r="AZ325" s="12">
        <f>IF(X325="","",ROUND(X325*(1+AW325),0))</f>
        <v/>
      </c>
      <c r="BA325" s="12">
        <f>IF(AZ325="","",ROUND(AZ325*(1+Assumptions!$B$11),0))</f>
        <v/>
      </c>
      <c r="BB325" s="12">
        <f>IF(AZ325="","",ROUND(AZ325*(1+AX325+Assumptions!$B$10),0))</f>
        <v/>
      </c>
      <c r="BC325" s="12">
        <f>IF(AZ325="","",ROUND(AZ325*(1+AX325),0))</f>
        <v/>
      </c>
      <c r="BD325" s="12">
        <f>IF(AZ325="","",ROUND(AZ325*(1+AX325+Assumptions!$B$11),0))</f>
        <v/>
      </c>
      <c r="BE325" s="12">
        <f>IF(AZ325="","",ROUND(AZ325*(1+AX325)*(1+AX325),0))</f>
        <v/>
      </c>
      <c r="BF325" s="7" t="inlineStr">
        <is>
          <t>Rules-based enrichment using launch-price anchor, cap-app realization, and 2026 segment conditions.</t>
        </is>
      </c>
      <c r="BG325" t="inlineStr">
        <is>
          <t>2026-03-17</t>
        </is>
      </c>
      <c r="BH325" s="7" t="inlineStr">
        <is>
          <t>DLD / Digital Dubai / CBUAE / Savills / Knight Frank-Moody’s / Reuters</t>
        </is>
      </c>
    </row>
    <row r="326">
      <c r="A326" t="n">
        <v>325</v>
      </c>
      <c r="B326" s="7" t="inlineStr">
        <is>
          <t>Elitz 3</t>
        </is>
      </c>
      <c r="C326" t="inlineStr">
        <is>
          <t>Danube Properties</t>
        </is>
      </c>
      <c r="D326" t="inlineStr">
        <is>
          <t>JVC</t>
        </is>
      </c>
      <c r="E326" t="inlineStr">
        <is>
          <t>Apartments</t>
        </is>
      </c>
      <c r="F326" s="7" t="inlineStr">
        <is>
          <t>High-Rise</t>
        </is>
      </c>
      <c r="G326" t="inlineStr">
        <is>
          <t>1.0M</t>
        </is>
      </c>
      <c r="H326" t="inlineStr">
        <is>
          <t>1400</t>
        </is>
      </c>
      <c r="I326" t="inlineStr">
        <is>
          <t>15</t>
        </is>
      </c>
      <c r="J326" t="inlineStr">
        <is>
          <t>1% Monthly</t>
        </is>
      </c>
      <c r="K326" t="inlineStr">
        <is>
          <t>2023</t>
        </is>
      </c>
      <c r="L326" t="inlineStr">
        <is>
          <t>7.5-8.0</t>
        </is>
      </c>
      <c r="M326" t="inlineStr">
        <is>
          <t>6-8</t>
        </is>
      </c>
      <c r="N326" t="inlineStr">
        <is>
          <t>13.5-16.0</t>
        </is>
      </c>
      <c r="O326" s="7" t="inlineStr">
        <is>
          <t>JSS International</t>
        </is>
      </c>
      <c r="P326" s="7" t="inlineStr">
        <is>
          <t>Saudi German Hospital</t>
        </is>
      </c>
      <c r="Q326" s="7" t="inlineStr">
        <is>
          <t>Circle Mall</t>
        </is>
      </c>
      <c r="R326" s="7" t="inlineStr">
        <is>
          <t>Hessa St / E44</t>
        </is>
      </c>
      <c r="S326" t="inlineStr">
        <is>
          <t>20</t>
        </is>
      </c>
      <c r="T326" t="inlineStr">
        <is>
          <t>15</t>
        </is>
      </c>
      <c r="U326" t="inlineStr">
        <is>
          <t>25</t>
        </is>
      </c>
      <c r="V326" t="inlineStr">
        <is>
          <t>30</t>
        </is>
      </c>
      <c r="W326" t="n">
        <v>2</v>
      </c>
      <c r="X326" s="12" t="n">
        <v>1000000</v>
      </c>
      <c r="Y326" s="12" t="n">
        <v>1000000</v>
      </c>
      <c r="Z326" s="9" t="n">
        <v>7.5</v>
      </c>
      <c r="AA326" s="9" t="n">
        <v>8</v>
      </c>
      <c r="AB326" s="9" t="n">
        <v>6</v>
      </c>
      <c r="AC326" s="9" t="n">
        <v>8</v>
      </c>
      <c r="AD326" s="9" t="n">
        <v>13.5</v>
      </c>
      <c r="AE326" s="9" t="n">
        <v>16</v>
      </c>
      <c r="AF326" t="n">
        <v>2023</v>
      </c>
      <c r="AH326" t="inlineStr">
        <is>
          <t>Apartment</t>
        </is>
      </c>
      <c r="AI326" t="inlineStr">
        <is>
          <t>SupplySensitiveApartment</t>
        </is>
      </c>
      <c r="AJ326" t="inlineStr">
        <is>
          <t>MidTier</t>
        </is>
      </c>
      <c r="AK326" t="inlineStr">
        <is>
          <t>Supply-sensitive / selective</t>
        </is>
      </c>
      <c r="AL326" s="7" t="inlineStr">
        <is>
          <t>Higher delivery risk in more price-sensitive apartment clusters; building selection and exit liquidity matter.</t>
        </is>
      </c>
      <c r="AM326" s="9" t="n">
        <v>7</v>
      </c>
      <c r="AN326" s="9" t="n">
        <v>7.75</v>
      </c>
      <c r="AO326" s="10" t="n">
        <v>0.55</v>
      </c>
      <c r="AP326" s="13" t="n">
        <v>0</v>
      </c>
      <c r="AQ326" s="13" t="n">
        <v>0</v>
      </c>
      <c r="AR326" s="13" t="n">
        <v>-0.01</v>
      </c>
      <c r="AS326" s="13" t="n">
        <v>-0.01</v>
      </c>
      <c r="AT326" s="13" t="n">
        <v>-0.005</v>
      </c>
      <c r="AU326" s="13" t="n">
        <v>0.0025</v>
      </c>
      <c r="AV326" s="13" t="n">
        <v>-0.005</v>
      </c>
      <c r="AW326" s="13">
        <f>IF(X326="","",(AM326/100*AO326)+AP326+AQ326+AR326)</f>
        <v/>
      </c>
      <c r="AX326" s="13">
        <f>IF(X326="","",AS326+AT326+AU326+AV326)</f>
        <v/>
      </c>
      <c r="AY326" s="12">
        <f>IF(AZ326="","",ROUND(AZ326*(1+Assumptions!$B$10),0))</f>
        <v/>
      </c>
      <c r="AZ326" s="12">
        <f>IF(X326="","",ROUND(X326*(1+AW326),0))</f>
        <v/>
      </c>
      <c r="BA326" s="12">
        <f>IF(AZ326="","",ROUND(AZ326*(1+Assumptions!$B$11),0))</f>
        <v/>
      </c>
      <c r="BB326" s="12">
        <f>IF(AZ326="","",ROUND(AZ326*(1+AX326+Assumptions!$B$10),0))</f>
        <v/>
      </c>
      <c r="BC326" s="12">
        <f>IF(AZ326="","",ROUND(AZ326*(1+AX326),0))</f>
        <v/>
      </c>
      <c r="BD326" s="12">
        <f>IF(AZ326="","",ROUND(AZ326*(1+AX326+Assumptions!$B$11),0))</f>
        <v/>
      </c>
      <c r="BE326" s="12">
        <f>IF(AZ326="","",ROUND(AZ326*(1+AX326)*(1+AX326),0))</f>
        <v/>
      </c>
      <c r="BF326" s="7" t="inlineStr">
        <is>
          <t>Rules-based enrichment using launch-price anchor, cap-app realization, and 2026 segment conditions.</t>
        </is>
      </c>
      <c r="BG326" t="inlineStr">
        <is>
          <t>2026-03-17</t>
        </is>
      </c>
      <c r="BH326" s="7" t="inlineStr">
        <is>
          <t>DLD / Digital Dubai / CBUAE / Savills / Knight Frank-Moody’s / Reuters</t>
        </is>
      </c>
    </row>
    <row r="327">
      <c r="A327" t="n">
        <v>326</v>
      </c>
      <c r="B327" s="7" t="inlineStr">
        <is>
          <t>Fashionz</t>
        </is>
      </c>
      <c r="C327" t="inlineStr">
        <is>
          <t>Danube Properties</t>
        </is>
      </c>
      <c r="D327" t="inlineStr">
        <is>
          <t>JVT</t>
        </is>
      </c>
      <c r="E327" t="inlineStr">
        <is>
          <t>Branded Apts (Fashion TV)</t>
        </is>
      </c>
      <c r="F327" s="7" t="inlineStr">
        <is>
          <t>Style / Tower</t>
        </is>
      </c>
      <c r="G327" t="inlineStr">
        <is>
          <t>900k</t>
        </is>
      </c>
      <c r="H327" t="inlineStr">
        <is>
          <t>1300</t>
        </is>
      </c>
      <c r="I327" t="inlineStr">
        <is>
          <t>15</t>
        </is>
      </c>
      <c r="J327" t="inlineStr">
        <is>
          <t>1% Monthly</t>
        </is>
      </c>
      <c r="K327" t="inlineStr">
        <is>
          <t>2023</t>
        </is>
      </c>
      <c r="L327" t="inlineStr">
        <is>
          <t>7.0-7.5</t>
        </is>
      </c>
      <c r="M327" t="inlineStr">
        <is>
          <t>6-8</t>
        </is>
      </c>
      <c r="N327" t="inlineStr">
        <is>
          <t>13.0-15.5</t>
        </is>
      </c>
      <c r="O327" s="7" t="inlineStr">
        <is>
          <t>Sunmarke School</t>
        </is>
      </c>
      <c r="P327" s="7" t="inlineStr">
        <is>
          <t>NMC Royal DIP</t>
        </is>
      </c>
      <c r="Q327" s="7" t="inlineStr">
        <is>
          <t>Circle Mall</t>
        </is>
      </c>
      <c r="R327" s="7" t="inlineStr">
        <is>
          <t>E311 / Yalayis</t>
        </is>
      </c>
      <c r="S327" t="inlineStr">
        <is>
          <t>20</t>
        </is>
      </c>
      <c r="T327" t="inlineStr">
        <is>
          <t>15</t>
        </is>
      </c>
      <c r="U327" t="inlineStr">
        <is>
          <t>30</t>
        </is>
      </c>
      <c r="V327" t="inlineStr">
        <is>
          <t>20</t>
        </is>
      </c>
      <c r="W327" t="n">
        <v>2</v>
      </c>
      <c r="X327" s="12" t="n">
        <v>900000</v>
      </c>
      <c r="Y327" s="12" t="n">
        <v>900000</v>
      </c>
      <c r="Z327" s="9" t="n">
        <v>7</v>
      </c>
      <c r="AA327" s="9" t="n">
        <v>7.5</v>
      </c>
      <c r="AB327" s="9" t="n">
        <v>6</v>
      </c>
      <c r="AC327" s="9" t="n">
        <v>8</v>
      </c>
      <c r="AD327" s="9" t="n">
        <v>13</v>
      </c>
      <c r="AE327" s="9" t="n">
        <v>15.5</v>
      </c>
      <c r="AF327" t="n">
        <v>2023</v>
      </c>
      <c r="AH327" t="inlineStr">
        <is>
          <t>Apartment</t>
        </is>
      </c>
      <c r="AI327" t="inlineStr">
        <is>
          <t>SupplySensitiveApartment</t>
        </is>
      </c>
      <c r="AJ327" t="inlineStr">
        <is>
          <t>MidTier</t>
        </is>
      </c>
      <c r="AK327" t="inlineStr">
        <is>
          <t>Supply-sensitive / selective</t>
        </is>
      </c>
      <c r="AL327" s="7" t="inlineStr">
        <is>
          <t>Higher delivery risk in more price-sensitive apartment clusters; building selection and exit liquidity matter.</t>
        </is>
      </c>
      <c r="AM327" s="9" t="n">
        <v>7</v>
      </c>
      <c r="AN327" s="9" t="n">
        <v>7.25</v>
      </c>
      <c r="AO327" s="10" t="n">
        <v>0.55</v>
      </c>
      <c r="AP327" s="13" t="n">
        <v>0</v>
      </c>
      <c r="AQ327" s="13" t="n">
        <v>0</v>
      </c>
      <c r="AR327" s="13" t="n">
        <v>-0.01</v>
      </c>
      <c r="AS327" s="13" t="n">
        <v>-0.01</v>
      </c>
      <c r="AT327" s="13" t="n">
        <v>-0.005</v>
      </c>
      <c r="AU327" s="13" t="n">
        <v>0.0025</v>
      </c>
      <c r="AV327" s="13" t="n">
        <v>-0.005</v>
      </c>
      <c r="AW327" s="13">
        <f>IF(X327="","",(AM327/100*AO327)+AP327+AQ327+AR327)</f>
        <v/>
      </c>
      <c r="AX327" s="13">
        <f>IF(X327="","",AS327+AT327+AU327+AV327)</f>
        <v/>
      </c>
      <c r="AY327" s="12">
        <f>IF(AZ327="","",ROUND(AZ327*(1+Assumptions!$B$10),0))</f>
        <v/>
      </c>
      <c r="AZ327" s="12">
        <f>IF(X327="","",ROUND(X327*(1+AW327),0))</f>
        <v/>
      </c>
      <c r="BA327" s="12">
        <f>IF(AZ327="","",ROUND(AZ327*(1+Assumptions!$B$11),0))</f>
        <v/>
      </c>
      <c r="BB327" s="12">
        <f>IF(AZ327="","",ROUND(AZ327*(1+AX327+Assumptions!$B$10),0))</f>
        <v/>
      </c>
      <c r="BC327" s="12">
        <f>IF(AZ327="","",ROUND(AZ327*(1+AX327),0))</f>
        <v/>
      </c>
      <c r="BD327" s="12">
        <f>IF(AZ327="","",ROUND(AZ327*(1+AX327+Assumptions!$B$11),0))</f>
        <v/>
      </c>
      <c r="BE327" s="12">
        <f>IF(AZ327="","",ROUND(AZ327*(1+AX327)*(1+AX327),0))</f>
        <v/>
      </c>
      <c r="BF327" s="7" t="inlineStr">
        <is>
          <t>Rules-based enrichment using launch-price anchor, cap-app realization, and 2026 segment conditions.</t>
        </is>
      </c>
      <c r="BG327" t="inlineStr">
        <is>
          <t>2026-03-17</t>
        </is>
      </c>
      <c r="BH327" s="7" t="inlineStr">
        <is>
          <t>DLD / Digital Dubai / CBUAE / Savills / Knight Frank-Moody’s / Reuters</t>
        </is>
      </c>
    </row>
    <row r="328">
      <c r="A328" t="n">
        <v>327</v>
      </c>
      <c r="B328" s="7" t="inlineStr">
        <is>
          <t>Gemz</t>
        </is>
      </c>
      <c r="C328" t="inlineStr">
        <is>
          <t>Danube Properties</t>
        </is>
      </c>
      <c r="D328" t="inlineStr">
        <is>
          <t>Al Furjan</t>
        </is>
      </c>
      <c r="E328" t="inlineStr">
        <is>
          <t>Apartments</t>
        </is>
      </c>
      <c r="F328" s="7" t="inlineStr">
        <is>
          <t>Pyramid Design</t>
        </is>
      </c>
      <c r="G328" t="inlineStr">
        <is>
          <t>900k</t>
        </is>
      </c>
      <c r="H328" t="inlineStr">
        <is>
          <t>1200</t>
        </is>
      </c>
      <c r="I328" t="inlineStr">
        <is>
          <t>12</t>
        </is>
      </c>
      <c r="J328" t="inlineStr">
        <is>
          <t>1% Monthly</t>
        </is>
      </c>
      <c r="K328" t="inlineStr">
        <is>
          <t>2022</t>
        </is>
      </c>
      <c r="L328" t="inlineStr">
        <is>
          <t>7.0-7.5</t>
        </is>
      </c>
      <c r="M328" t="inlineStr">
        <is>
          <t>6-8</t>
        </is>
      </c>
      <c r="N328" t="inlineStr">
        <is>
          <t>13.0-15.5</t>
        </is>
      </c>
      <c r="O328" s="7" t="inlineStr">
        <is>
          <t>The Arbor School</t>
        </is>
      </c>
      <c r="P328" s="7" t="inlineStr">
        <is>
          <t>NMC Royal DIP</t>
        </is>
      </c>
      <c r="Q328" s="7" t="inlineStr">
        <is>
          <t>Ibn Battuta Mall</t>
        </is>
      </c>
      <c r="R328" s="7" t="inlineStr">
        <is>
          <t>Yalayis / E311</t>
        </is>
      </c>
      <c r="S328" t="inlineStr">
        <is>
          <t>25</t>
        </is>
      </c>
      <c r="T328" t="inlineStr">
        <is>
          <t>15</t>
        </is>
      </c>
      <c r="U328" t="inlineStr">
        <is>
          <t>30</t>
        </is>
      </c>
      <c r="V328" t="inlineStr">
        <is>
          <t>20</t>
        </is>
      </c>
      <c r="W328" t="n">
        <v>2</v>
      </c>
      <c r="X328" s="12" t="n">
        <v>900000</v>
      </c>
      <c r="Y328" s="12" t="n">
        <v>900000</v>
      </c>
      <c r="Z328" s="9" t="n">
        <v>7</v>
      </c>
      <c r="AA328" s="9" t="n">
        <v>7.5</v>
      </c>
      <c r="AB328" s="9" t="n">
        <v>6</v>
      </c>
      <c r="AC328" s="9" t="n">
        <v>8</v>
      </c>
      <c r="AD328" s="9" t="n">
        <v>13</v>
      </c>
      <c r="AE328" s="9" t="n">
        <v>15.5</v>
      </c>
      <c r="AF328" t="n">
        <v>2022</v>
      </c>
      <c r="AH328" t="inlineStr">
        <is>
          <t>Apartment</t>
        </is>
      </c>
      <c r="AI328" t="inlineStr">
        <is>
          <t>SupplySensitiveApartment</t>
        </is>
      </c>
      <c r="AJ328" t="inlineStr">
        <is>
          <t>MidTier</t>
        </is>
      </c>
      <c r="AK328" t="inlineStr">
        <is>
          <t>Supply-sensitive / selective</t>
        </is>
      </c>
      <c r="AL328" s="7" t="inlineStr">
        <is>
          <t>Higher delivery risk in more price-sensitive apartment clusters; building selection and exit liquidity matter.</t>
        </is>
      </c>
      <c r="AM328" s="9" t="n">
        <v>7</v>
      </c>
      <c r="AN328" s="9" t="n">
        <v>7.25</v>
      </c>
      <c r="AO328" s="10" t="n">
        <v>0.55</v>
      </c>
      <c r="AP328" s="13" t="n">
        <v>0</v>
      </c>
      <c r="AQ328" s="13" t="n">
        <v>0</v>
      </c>
      <c r="AR328" s="13" t="n">
        <v>-0.01</v>
      </c>
      <c r="AS328" s="13" t="n">
        <v>-0.01</v>
      </c>
      <c r="AT328" s="13" t="n">
        <v>-0.005</v>
      </c>
      <c r="AU328" s="13" t="n">
        <v>0.0025</v>
      </c>
      <c r="AV328" s="13" t="n">
        <v>-0.005</v>
      </c>
      <c r="AW328" s="13">
        <f>IF(X328="","",(AM328/100*AO328)+AP328+AQ328+AR328)</f>
        <v/>
      </c>
      <c r="AX328" s="13">
        <f>IF(X328="","",AS328+AT328+AU328+AV328)</f>
        <v/>
      </c>
      <c r="AY328" s="12">
        <f>IF(AZ328="","",ROUND(AZ328*(1+Assumptions!$B$10),0))</f>
        <v/>
      </c>
      <c r="AZ328" s="12">
        <f>IF(X328="","",ROUND(X328*(1+AW328),0))</f>
        <v/>
      </c>
      <c r="BA328" s="12">
        <f>IF(AZ328="","",ROUND(AZ328*(1+Assumptions!$B$11),0))</f>
        <v/>
      </c>
      <c r="BB328" s="12">
        <f>IF(AZ328="","",ROUND(AZ328*(1+AX328+Assumptions!$B$10),0))</f>
        <v/>
      </c>
      <c r="BC328" s="12">
        <f>IF(AZ328="","",ROUND(AZ328*(1+AX328),0))</f>
        <v/>
      </c>
      <c r="BD328" s="12">
        <f>IF(AZ328="","",ROUND(AZ328*(1+AX328+Assumptions!$B$11),0))</f>
        <v/>
      </c>
      <c r="BE328" s="12">
        <f>IF(AZ328="","",ROUND(AZ328*(1+AX328)*(1+AX328),0))</f>
        <v/>
      </c>
      <c r="BF328" s="7" t="inlineStr">
        <is>
          <t>Rules-based enrichment using launch-price anchor, cap-app realization, and 2026 segment conditions.</t>
        </is>
      </c>
      <c r="BG328" t="inlineStr">
        <is>
          <t>2026-03-17</t>
        </is>
      </c>
      <c r="BH328" s="7" t="inlineStr">
        <is>
          <t>DLD / Digital Dubai / CBUAE / Savills / Knight Frank-Moody’s / Reuters</t>
        </is>
      </c>
    </row>
    <row r="329">
      <c r="A329" t="n">
        <v>328</v>
      </c>
      <c r="B329" s="7" t="inlineStr">
        <is>
          <t>Pearlz</t>
        </is>
      </c>
      <c r="C329" t="inlineStr">
        <is>
          <t>Danube Properties</t>
        </is>
      </c>
      <c r="D329" t="inlineStr">
        <is>
          <t>Al Furjan</t>
        </is>
      </c>
      <c r="E329" t="inlineStr">
        <is>
          <t>Apartments</t>
        </is>
      </c>
      <c r="F329" s="7" t="inlineStr">
        <is>
          <t>Budget / Family</t>
        </is>
      </c>
      <c r="G329" t="inlineStr">
        <is>
          <t>850k</t>
        </is>
      </c>
      <c r="H329" t="inlineStr">
        <is>
          <t>1100</t>
        </is>
      </c>
      <c r="I329" t="inlineStr">
        <is>
          <t>12</t>
        </is>
      </c>
      <c r="J329" t="inlineStr">
        <is>
          <t>1% Monthly</t>
        </is>
      </c>
      <c r="K329" t="inlineStr">
        <is>
          <t>2022</t>
        </is>
      </c>
      <c r="L329" t="inlineStr">
        <is>
          <t>7.0-7.5</t>
        </is>
      </c>
      <c r="M329" t="inlineStr">
        <is>
          <t>6-8</t>
        </is>
      </c>
      <c r="N329" t="inlineStr">
        <is>
          <t>13.0-15.5</t>
        </is>
      </c>
      <c r="O329" s="7" t="inlineStr">
        <is>
          <t>The Arbor School</t>
        </is>
      </c>
      <c r="P329" s="7" t="inlineStr">
        <is>
          <t>NMC Royal DIP</t>
        </is>
      </c>
      <c r="Q329" s="7" t="inlineStr">
        <is>
          <t>Ibn Battuta Mall</t>
        </is>
      </c>
      <c r="R329" s="7" t="inlineStr">
        <is>
          <t>Yalayis / E311</t>
        </is>
      </c>
      <c r="S329" t="inlineStr">
        <is>
          <t>25</t>
        </is>
      </c>
      <c r="T329" t="inlineStr">
        <is>
          <t>15</t>
        </is>
      </c>
      <c r="U329" t="inlineStr">
        <is>
          <t>30</t>
        </is>
      </c>
      <c r="V329" t="inlineStr">
        <is>
          <t>20</t>
        </is>
      </c>
      <c r="W329" t="n">
        <v>2</v>
      </c>
      <c r="X329" s="12" t="n">
        <v>850000</v>
      </c>
      <c r="Y329" s="12" t="n">
        <v>850000</v>
      </c>
      <c r="Z329" s="9" t="n">
        <v>7</v>
      </c>
      <c r="AA329" s="9" t="n">
        <v>7.5</v>
      </c>
      <c r="AB329" s="9" t="n">
        <v>6</v>
      </c>
      <c r="AC329" s="9" t="n">
        <v>8</v>
      </c>
      <c r="AD329" s="9" t="n">
        <v>13</v>
      </c>
      <c r="AE329" s="9" t="n">
        <v>15.5</v>
      </c>
      <c r="AF329" t="n">
        <v>2022</v>
      </c>
      <c r="AH329" t="inlineStr">
        <is>
          <t>Apartment</t>
        </is>
      </c>
      <c r="AI329" t="inlineStr">
        <is>
          <t>SupplySensitiveApartment</t>
        </is>
      </c>
      <c r="AJ329" t="inlineStr">
        <is>
          <t>MidTier</t>
        </is>
      </c>
      <c r="AK329" t="inlineStr">
        <is>
          <t>Supply-sensitive / selective</t>
        </is>
      </c>
      <c r="AL329" s="7" t="inlineStr">
        <is>
          <t>Higher delivery risk in more price-sensitive apartment clusters; building selection and exit liquidity matter.</t>
        </is>
      </c>
      <c r="AM329" s="9" t="n">
        <v>7</v>
      </c>
      <c r="AN329" s="9" t="n">
        <v>7.25</v>
      </c>
      <c r="AO329" s="10" t="n">
        <v>0.55</v>
      </c>
      <c r="AP329" s="13" t="n">
        <v>0</v>
      </c>
      <c r="AQ329" s="13" t="n">
        <v>0</v>
      </c>
      <c r="AR329" s="13" t="n">
        <v>-0.01</v>
      </c>
      <c r="AS329" s="13" t="n">
        <v>-0.01</v>
      </c>
      <c r="AT329" s="13" t="n">
        <v>-0.005</v>
      </c>
      <c r="AU329" s="13" t="n">
        <v>0.0025</v>
      </c>
      <c r="AV329" s="13" t="n">
        <v>-0.005</v>
      </c>
      <c r="AW329" s="13">
        <f>IF(X329="","",(AM329/100*AO329)+AP329+AQ329+AR329)</f>
        <v/>
      </c>
      <c r="AX329" s="13">
        <f>IF(X329="","",AS329+AT329+AU329+AV329)</f>
        <v/>
      </c>
      <c r="AY329" s="12">
        <f>IF(AZ329="","",ROUND(AZ329*(1+Assumptions!$B$10),0))</f>
        <v/>
      </c>
      <c r="AZ329" s="12">
        <f>IF(X329="","",ROUND(X329*(1+AW329),0))</f>
        <v/>
      </c>
      <c r="BA329" s="12">
        <f>IF(AZ329="","",ROUND(AZ329*(1+Assumptions!$B$11),0))</f>
        <v/>
      </c>
      <c r="BB329" s="12">
        <f>IF(AZ329="","",ROUND(AZ329*(1+AX329+Assumptions!$B$10),0))</f>
        <v/>
      </c>
      <c r="BC329" s="12">
        <f>IF(AZ329="","",ROUND(AZ329*(1+AX329),0))</f>
        <v/>
      </c>
      <c r="BD329" s="12">
        <f>IF(AZ329="","",ROUND(AZ329*(1+AX329+Assumptions!$B$11),0))</f>
        <v/>
      </c>
      <c r="BE329" s="12">
        <f>IF(AZ329="","",ROUND(AZ329*(1+AX329)*(1+AX329),0))</f>
        <v/>
      </c>
      <c r="BF329" s="7" t="inlineStr">
        <is>
          <t>Rules-based enrichment using launch-price anchor, cap-app realization, and 2026 segment conditions.</t>
        </is>
      </c>
      <c r="BG329" t="inlineStr">
        <is>
          <t>2026-03-17</t>
        </is>
      </c>
      <c r="BH329" s="7" t="inlineStr">
        <is>
          <t>DLD / Digital Dubai / CBUAE / Savills / Knight Frank-Moody’s / Reuters</t>
        </is>
      </c>
    </row>
    <row r="330">
      <c r="A330" t="n">
        <v>329</v>
      </c>
      <c r="B330" s="7" t="inlineStr">
        <is>
          <t>Opalz</t>
        </is>
      </c>
      <c r="C330" t="inlineStr">
        <is>
          <t>Danube Properties</t>
        </is>
      </c>
      <c r="D330" t="inlineStr">
        <is>
          <t>Arjan</t>
        </is>
      </c>
      <c r="E330" t="inlineStr">
        <is>
          <t>Apartments</t>
        </is>
      </c>
      <c r="F330" s="7" t="inlineStr">
        <is>
          <t>High-Rise / Family</t>
        </is>
      </c>
      <c r="G330" t="inlineStr">
        <is>
          <t>900k</t>
        </is>
      </c>
      <c r="H330" t="inlineStr">
        <is>
          <t>1200</t>
        </is>
      </c>
      <c r="I330" t="inlineStr">
        <is>
          <t>14</t>
        </is>
      </c>
      <c r="J330" t="inlineStr">
        <is>
          <t>1% Monthly</t>
        </is>
      </c>
      <c r="K330" t="inlineStr">
        <is>
          <t>2022</t>
        </is>
      </c>
      <c r="L330" t="inlineStr">
        <is>
          <t>7.5-8.0</t>
        </is>
      </c>
      <c r="M330" t="inlineStr">
        <is>
          <t>6-8</t>
        </is>
      </c>
      <c r="N330" t="inlineStr">
        <is>
          <t>13.5-16.0</t>
        </is>
      </c>
      <c r="O330" s="7" t="inlineStr">
        <is>
          <t>Nord Anglia</t>
        </is>
      </c>
      <c r="P330" s="7" t="inlineStr">
        <is>
          <t>Mediclinic Parkview</t>
        </is>
      </c>
      <c r="Q330" s="7" t="inlineStr">
        <is>
          <t>Dubai Hills Mall</t>
        </is>
      </c>
      <c r="R330" s="7" t="inlineStr">
        <is>
          <t>Umm Suqeim / E311</t>
        </is>
      </c>
      <c r="S330" t="inlineStr">
        <is>
          <t>20</t>
        </is>
      </c>
      <c r="T330" t="inlineStr">
        <is>
          <t>20</t>
        </is>
      </c>
      <c r="U330" t="inlineStr">
        <is>
          <t>30</t>
        </is>
      </c>
      <c r="V330" t="inlineStr">
        <is>
          <t>25</t>
        </is>
      </c>
      <c r="W330" t="n">
        <v>2</v>
      </c>
      <c r="X330" s="12" t="n">
        <v>900000</v>
      </c>
      <c r="Y330" s="12" t="n">
        <v>900000</v>
      </c>
      <c r="Z330" s="9" t="n">
        <v>7.5</v>
      </c>
      <c r="AA330" s="9" t="n">
        <v>8</v>
      </c>
      <c r="AB330" s="9" t="n">
        <v>6</v>
      </c>
      <c r="AC330" s="9" t="n">
        <v>8</v>
      </c>
      <c r="AD330" s="9" t="n">
        <v>13.5</v>
      </c>
      <c r="AE330" s="9" t="n">
        <v>16</v>
      </c>
      <c r="AF330" t="n">
        <v>2022</v>
      </c>
      <c r="AH330" t="inlineStr">
        <is>
          <t>Apartment</t>
        </is>
      </c>
      <c r="AI330" t="inlineStr">
        <is>
          <t>SupplySensitiveApartment</t>
        </is>
      </c>
      <c r="AJ330" t="inlineStr">
        <is>
          <t>MidTier</t>
        </is>
      </c>
      <c r="AK330" t="inlineStr">
        <is>
          <t>Supply-sensitive / selective</t>
        </is>
      </c>
      <c r="AL330" s="7" t="inlineStr">
        <is>
          <t>Higher delivery risk in more price-sensitive apartment clusters; building selection and exit liquidity matter.</t>
        </is>
      </c>
      <c r="AM330" s="9" t="n">
        <v>7</v>
      </c>
      <c r="AN330" s="9" t="n">
        <v>7.75</v>
      </c>
      <c r="AO330" s="10" t="n">
        <v>0.55</v>
      </c>
      <c r="AP330" s="13" t="n">
        <v>0</v>
      </c>
      <c r="AQ330" s="13" t="n">
        <v>0</v>
      </c>
      <c r="AR330" s="13" t="n">
        <v>-0.01</v>
      </c>
      <c r="AS330" s="13" t="n">
        <v>-0.01</v>
      </c>
      <c r="AT330" s="13" t="n">
        <v>-0.005</v>
      </c>
      <c r="AU330" s="13" t="n">
        <v>0.0025</v>
      </c>
      <c r="AV330" s="13" t="n">
        <v>-0.005</v>
      </c>
      <c r="AW330" s="13">
        <f>IF(X330="","",(AM330/100*AO330)+AP330+AQ330+AR330)</f>
        <v/>
      </c>
      <c r="AX330" s="13">
        <f>IF(X330="","",AS330+AT330+AU330+AV330)</f>
        <v/>
      </c>
      <c r="AY330" s="12">
        <f>IF(AZ330="","",ROUND(AZ330*(1+Assumptions!$B$10),0))</f>
        <v/>
      </c>
      <c r="AZ330" s="12">
        <f>IF(X330="","",ROUND(X330*(1+AW330),0))</f>
        <v/>
      </c>
      <c r="BA330" s="12">
        <f>IF(AZ330="","",ROUND(AZ330*(1+Assumptions!$B$11),0))</f>
        <v/>
      </c>
      <c r="BB330" s="12">
        <f>IF(AZ330="","",ROUND(AZ330*(1+AX330+Assumptions!$B$10),0))</f>
        <v/>
      </c>
      <c r="BC330" s="12">
        <f>IF(AZ330="","",ROUND(AZ330*(1+AX330),0))</f>
        <v/>
      </c>
      <c r="BD330" s="12">
        <f>IF(AZ330="","",ROUND(AZ330*(1+AX330+Assumptions!$B$11),0))</f>
        <v/>
      </c>
      <c r="BE330" s="12">
        <f>IF(AZ330="","",ROUND(AZ330*(1+AX330)*(1+AX330),0))</f>
        <v/>
      </c>
      <c r="BF330" s="7" t="inlineStr">
        <is>
          <t>Rules-based enrichment using launch-price anchor, cap-app realization, and 2026 segment conditions.</t>
        </is>
      </c>
      <c r="BG330" t="inlineStr">
        <is>
          <t>2026-03-17</t>
        </is>
      </c>
      <c r="BH330" s="7" t="inlineStr">
        <is>
          <t>DLD / Digital Dubai / CBUAE / Savills / Knight Frank-Moody’s / Reuters</t>
        </is>
      </c>
    </row>
    <row r="331">
      <c r="A331" t="n">
        <v>330</v>
      </c>
      <c r="B331" s="7" t="inlineStr">
        <is>
          <t>Petalz</t>
        </is>
      </c>
      <c r="C331" t="inlineStr">
        <is>
          <t>Danube Properties</t>
        </is>
      </c>
      <c r="D331" t="inlineStr">
        <is>
          <t>International City (Warsan)</t>
        </is>
      </c>
      <c r="E331" t="inlineStr">
        <is>
          <t>Apartments</t>
        </is>
      </c>
      <c r="F331" s="7" t="inlineStr">
        <is>
          <t>Budget</t>
        </is>
      </c>
      <c r="G331" t="inlineStr">
        <is>
          <t>700k</t>
        </is>
      </c>
      <c r="H331" t="inlineStr">
        <is>
          <t>1000</t>
        </is>
      </c>
      <c r="I331" t="inlineStr">
        <is>
          <t>12</t>
        </is>
      </c>
      <c r="J331" t="inlineStr">
        <is>
          <t>1% Monthly</t>
        </is>
      </c>
      <c r="K331" t="inlineStr">
        <is>
          <t>2022</t>
        </is>
      </c>
      <c r="L331" t="inlineStr">
        <is>
          <t>8.0-8.5</t>
        </is>
      </c>
      <c r="M331" t="inlineStr">
        <is>
          <t>5-7</t>
        </is>
      </c>
      <c r="N331" t="inlineStr">
        <is>
          <t>13.0-15.5</t>
        </is>
      </c>
      <c r="O331" s="7" t="inlineStr">
        <is>
          <t>Intl School of Arts</t>
        </is>
      </c>
      <c r="P331" s="7" t="inlineStr">
        <is>
          <t>Aster Hospital</t>
        </is>
      </c>
      <c r="Q331" s="7" t="inlineStr">
        <is>
          <t>Dragon Mart</t>
        </is>
      </c>
      <c r="R331" s="7" t="inlineStr">
        <is>
          <t>E44 / E311</t>
        </is>
      </c>
      <c r="S331" t="inlineStr">
        <is>
          <t>20</t>
        </is>
      </c>
      <c r="T331" t="inlineStr">
        <is>
          <t>30</t>
        </is>
      </c>
      <c r="U331" t="inlineStr">
        <is>
          <t>15</t>
        </is>
      </c>
      <c r="V331" t="inlineStr">
        <is>
          <t>35</t>
        </is>
      </c>
      <c r="W331" t="n">
        <v>2</v>
      </c>
      <c r="X331" s="12" t="n">
        <v>700000</v>
      </c>
      <c r="Y331" s="12" t="n">
        <v>700000</v>
      </c>
      <c r="Z331" s="9" t="n">
        <v>8</v>
      </c>
      <c r="AA331" s="9" t="n">
        <v>8.5</v>
      </c>
      <c r="AB331" s="9" t="n">
        <v>5</v>
      </c>
      <c r="AC331" s="9" t="n">
        <v>7</v>
      </c>
      <c r="AD331" s="9" t="n">
        <v>13</v>
      </c>
      <c r="AE331" s="9" t="n">
        <v>15.5</v>
      </c>
      <c r="AF331" t="n">
        <v>2022</v>
      </c>
      <c r="AH331" t="inlineStr">
        <is>
          <t>Apartment</t>
        </is>
      </c>
      <c r="AI331" t="inlineStr">
        <is>
          <t>MainstreamSelective</t>
        </is>
      </c>
      <c r="AJ331" t="inlineStr">
        <is>
          <t>MidTier</t>
        </is>
      </c>
      <c r="AK331" t="inlineStr">
        <is>
          <t>Balanced / selective</t>
        </is>
      </c>
      <c r="AL331" s="7" t="inlineStr">
        <is>
          <t>Market remains active but increasingly differentiated by developer, micro-location, livability, and pricing discipline.</t>
        </is>
      </c>
      <c r="AM331" s="9" t="n">
        <v>6</v>
      </c>
      <c r="AN331" s="9" t="n">
        <v>8.25</v>
      </c>
      <c r="AO331" s="10" t="n">
        <v>0.55</v>
      </c>
      <c r="AP331" s="13" t="n">
        <v>0</v>
      </c>
      <c r="AQ331" s="13" t="n">
        <v>0</v>
      </c>
      <c r="AR331" s="13" t="n">
        <v>0</v>
      </c>
      <c r="AS331" s="13" t="n">
        <v>0.01</v>
      </c>
      <c r="AT331" s="13" t="n">
        <v>-0.005</v>
      </c>
      <c r="AU331" s="13" t="n">
        <v>0.0025</v>
      </c>
      <c r="AV331" s="13" t="n">
        <v>-0.005</v>
      </c>
      <c r="AW331" s="13">
        <f>IF(X331="","",(AM331/100*AO331)+AP331+AQ331+AR331)</f>
        <v/>
      </c>
      <c r="AX331" s="13">
        <f>IF(X331="","",AS331+AT331+AU331+AV331)</f>
        <v/>
      </c>
      <c r="AY331" s="12">
        <f>IF(AZ331="","",ROUND(AZ331*(1+Assumptions!$B$10),0))</f>
        <v/>
      </c>
      <c r="AZ331" s="12">
        <f>IF(X331="","",ROUND(X331*(1+AW331),0))</f>
        <v/>
      </c>
      <c r="BA331" s="12">
        <f>IF(AZ331="","",ROUND(AZ331*(1+Assumptions!$B$11),0))</f>
        <v/>
      </c>
      <c r="BB331" s="12">
        <f>IF(AZ331="","",ROUND(AZ331*(1+AX331+Assumptions!$B$10),0))</f>
        <v/>
      </c>
      <c r="BC331" s="12">
        <f>IF(AZ331="","",ROUND(AZ331*(1+AX331),0))</f>
        <v/>
      </c>
      <c r="BD331" s="12">
        <f>IF(AZ331="","",ROUND(AZ331*(1+AX331+Assumptions!$B$11),0))</f>
        <v/>
      </c>
      <c r="BE331" s="12">
        <f>IF(AZ331="","",ROUND(AZ331*(1+AX331)*(1+AX331),0))</f>
        <v/>
      </c>
      <c r="BF331" s="7" t="inlineStr">
        <is>
          <t>Rules-based enrichment using launch-price anchor, cap-app realization, and 2026 segment conditions.</t>
        </is>
      </c>
      <c r="BG331" t="inlineStr">
        <is>
          <t>2026-03-17</t>
        </is>
      </c>
      <c r="BH331" s="7" t="inlineStr">
        <is>
          <t>DLD / Digital Dubai / CBUAE / Savills / Knight Frank-Moody’s / Reuters</t>
        </is>
      </c>
    </row>
    <row r="332">
      <c r="A332" t="n">
        <v>331</v>
      </c>
      <c r="B332" s="7" t="inlineStr">
        <is>
          <t>Skyz</t>
        </is>
      </c>
      <c r="C332" t="inlineStr">
        <is>
          <t>Danube Properties</t>
        </is>
      </c>
      <c r="D332" t="inlineStr">
        <is>
          <t>Arjan</t>
        </is>
      </c>
      <c r="E332" t="inlineStr">
        <is>
          <t>Apartments</t>
        </is>
      </c>
      <c r="F332" s="7" t="inlineStr">
        <is>
          <t>High-Rise</t>
        </is>
      </c>
      <c r="G332" t="inlineStr">
        <is>
          <t>800k</t>
        </is>
      </c>
      <c r="H332" t="inlineStr">
        <is>
          <t>1100</t>
        </is>
      </c>
      <c r="I332" t="inlineStr">
        <is>
          <t>14</t>
        </is>
      </c>
      <c r="J332" t="inlineStr">
        <is>
          <t>1% Monthly</t>
        </is>
      </c>
      <c r="K332" t="inlineStr">
        <is>
          <t>2021</t>
        </is>
      </c>
      <c r="L332" t="inlineStr">
        <is>
          <t>7.5-8.0</t>
        </is>
      </c>
      <c r="M332" t="inlineStr">
        <is>
          <t>6-8</t>
        </is>
      </c>
      <c r="N332" t="inlineStr">
        <is>
          <t>13.5-16.0</t>
        </is>
      </c>
      <c r="O332" s="7" t="inlineStr">
        <is>
          <t>Nord Anglia</t>
        </is>
      </c>
      <c r="P332" s="7" t="inlineStr">
        <is>
          <t>Mediclinic Parkview</t>
        </is>
      </c>
      <c r="Q332" s="7" t="inlineStr">
        <is>
          <t>Dubai Hills Mall</t>
        </is>
      </c>
      <c r="R332" s="7" t="inlineStr">
        <is>
          <t>Umm Suqeim / E311</t>
        </is>
      </c>
      <c r="S332" t="inlineStr">
        <is>
          <t>20</t>
        </is>
      </c>
      <c r="T332" t="inlineStr">
        <is>
          <t>20</t>
        </is>
      </c>
      <c r="U332" t="inlineStr">
        <is>
          <t>30</t>
        </is>
      </c>
      <c r="V332" t="inlineStr">
        <is>
          <t>25</t>
        </is>
      </c>
      <c r="W332" t="n">
        <v>2</v>
      </c>
      <c r="X332" s="12" t="n">
        <v>800000</v>
      </c>
      <c r="Y332" s="12" t="n">
        <v>800000</v>
      </c>
      <c r="Z332" s="9" t="n">
        <v>7.5</v>
      </c>
      <c r="AA332" s="9" t="n">
        <v>8</v>
      </c>
      <c r="AB332" s="9" t="n">
        <v>6</v>
      </c>
      <c r="AC332" s="9" t="n">
        <v>8</v>
      </c>
      <c r="AD332" s="9" t="n">
        <v>13.5</v>
      </c>
      <c r="AE332" s="9" t="n">
        <v>16</v>
      </c>
      <c r="AF332" t="n">
        <v>2021</v>
      </c>
      <c r="AH332" t="inlineStr">
        <is>
          <t>Apartment</t>
        </is>
      </c>
      <c r="AI332" t="inlineStr">
        <is>
          <t>SupplySensitiveApartment</t>
        </is>
      </c>
      <c r="AJ332" t="inlineStr">
        <is>
          <t>MidTier</t>
        </is>
      </c>
      <c r="AK332" t="inlineStr">
        <is>
          <t>Supply-sensitive / selective</t>
        </is>
      </c>
      <c r="AL332" s="7" t="inlineStr">
        <is>
          <t>Higher delivery risk in more price-sensitive apartment clusters; building selection and exit liquidity matter.</t>
        </is>
      </c>
      <c r="AM332" s="9" t="n">
        <v>7</v>
      </c>
      <c r="AN332" s="9" t="n">
        <v>7.75</v>
      </c>
      <c r="AO332" s="10" t="n">
        <v>0.55</v>
      </c>
      <c r="AP332" s="13" t="n">
        <v>0</v>
      </c>
      <c r="AQ332" s="13" t="n">
        <v>0</v>
      </c>
      <c r="AR332" s="13" t="n">
        <v>-0.01</v>
      </c>
      <c r="AS332" s="13" t="n">
        <v>-0.01</v>
      </c>
      <c r="AT332" s="13" t="n">
        <v>-0.005</v>
      </c>
      <c r="AU332" s="13" t="n">
        <v>0.0025</v>
      </c>
      <c r="AV332" s="13" t="n">
        <v>-0.005</v>
      </c>
      <c r="AW332" s="13">
        <f>IF(X332="","",(AM332/100*AO332)+AP332+AQ332+AR332)</f>
        <v/>
      </c>
      <c r="AX332" s="13">
        <f>IF(X332="","",AS332+AT332+AU332+AV332)</f>
        <v/>
      </c>
      <c r="AY332" s="12">
        <f>IF(AZ332="","",ROUND(AZ332*(1+Assumptions!$B$10),0))</f>
        <v/>
      </c>
      <c r="AZ332" s="12">
        <f>IF(X332="","",ROUND(X332*(1+AW332),0))</f>
        <v/>
      </c>
      <c r="BA332" s="12">
        <f>IF(AZ332="","",ROUND(AZ332*(1+Assumptions!$B$11),0))</f>
        <v/>
      </c>
      <c r="BB332" s="12">
        <f>IF(AZ332="","",ROUND(AZ332*(1+AX332+Assumptions!$B$10),0))</f>
        <v/>
      </c>
      <c r="BC332" s="12">
        <f>IF(AZ332="","",ROUND(AZ332*(1+AX332),0))</f>
        <v/>
      </c>
      <c r="BD332" s="12">
        <f>IF(AZ332="","",ROUND(AZ332*(1+AX332+Assumptions!$B$11),0))</f>
        <v/>
      </c>
      <c r="BE332" s="12">
        <f>IF(AZ332="","",ROUND(AZ332*(1+AX332)*(1+AX332),0))</f>
        <v/>
      </c>
      <c r="BF332" s="7" t="inlineStr">
        <is>
          <t>Rules-based enrichment using launch-price anchor, cap-app realization, and 2026 segment conditions.</t>
        </is>
      </c>
      <c r="BG332" t="inlineStr">
        <is>
          <t>2026-03-17</t>
        </is>
      </c>
      <c r="BH332" s="7" t="inlineStr">
        <is>
          <t>DLD / Digital Dubai / CBUAE / Savills / Knight Frank-Moody’s / Reuters</t>
        </is>
      </c>
    </row>
    <row r="333">
      <c r="A333" t="n">
        <v>332</v>
      </c>
      <c r="B333" s="7" t="inlineStr">
        <is>
          <t>Olivz</t>
        </is>
      </c>
      <c r="C333" t="inlineStr">
        <is>
          <t>Danube Properties</t>
        </is>
      </c>
      <c r="D333" t="inlineStr">
        <is>
          <t>International City (Warsan)</t>
        </is>
      </c>
      <c r="E333" t="inlineStr">
        <is>
          <t>Apartments</t>
        </is>
      </c>
      <c r="F333" s="7" t="inlineStr">
        <is>
          <t>Budget</t>
        </is>
      </c>
      <c r="G333" t="inlineStr">
        <is>
          <t>600k</t>
        </is>
      </c>
      <c r="H333" t="inlineStr">
        <is>
          <t>900</t>
        </is>
      </c>
      <c r="I333" t="inlineStr">
        <is>
          <t>12</t>
        </is>
      </c>
      <c r="J333" t="inlineStr">
        <is>
          <t>1% Monthly</t>
        </is>
      </c>
      <c r="K333" t="inlineStr">
        <is>
          <t>2020</t>
        </is>
      </c>
      <c r="L333" t="inlineStr">
        <is>
          <t>8.0-8.5</t>
        </is>
      </c>
      <c r="M333" t="inlineStr">
        <is>
          <t>5-7</t>
        </is>
      </c>
      <c r="N333" t="inlineStr">
        <is>
          <t>13.0-15.5</t>
        </is>
      </c>
      <c r="O333" s="7" t="inlineStr">
        <is>
          <t>Intl School of Arts</t>
        </is>
      </c>
      <c r="P333" s="7" t="inlineStr">
        <is>
          <t>Aster Hospital</t>
        </is>
      </c>
      <c r="Q333" s="7" t="inlineStr">
        <is>
          <t>Dragon Mart</t>
        </is>
      </c>
      <c r="R333" s="7" t="inlineStr">
        <is>
          <t>E44 / E311</t>
        </is>
      </c>
      <c r="S333" t="inlineStr">
        <is>
          <t>20</t>
        </is>
      </c>
      <c r="T333" t="inlineStr">
        <is>
          <t>30</t>
        </is>
      </c>
      <c r="U333" t="inlineStr">
        <is>
          <t>15</t>
        </is>
      </c>
      <c r="V333" t="inlineStr">
        <is>
          <t>35</t>
        </is>
      </c>
      <c r="W333" t="n">
        <v>2</v>
      </c>
      <c r="X333" s="12" t="n">
        <v>600000</v>
      </c>
      <c r="Y333" s="12" t="n">
        <v>600000</v>
      </c>
      <c r="Z333" s="9" t="n">
        <v>8</v>
      </c>
      <c r="AA333" s="9" t="n">
        <v>8.5</v>
      </c>
      <c r="AB333" s="9" t="n">
        <v>5</v>
      </c>
      <c r="AC333" s="9" t="n">
        <v>7</v>
      </c>
      <c r="AD333" s="9" t="n">
        <v>13</v>
      </c>
      <c r="AE333" s="9" t="n">
        <v>15.5</v>
      </c>
      <c r="AF333" t="n">
        <v>2020</v>
      </c>
      <c r="AH333" t="inlineStr">
        <is>
          <t>Apartment</t>
        </is>
      </c>
      <c r="AI333" t="inlineStr">
        <is>
          <t>MainstreamSelective</t>
        </is>
      </c>
      <c r="AJ333" t="inlineStr">
        <is>
          <t>MidTier</t>
        </is>
      </c>
      <c r="AK333" t="inlineStr">
        <is>
          <t>Balanced / selective</t>
        </is>
      </c>
      <c r="AL333" s="7" t="inlineStr">
        <is>
          <t>Market remains active but increasingly differentiated by developer, micro-location, livability, and pricing discipline.</t>
        </is>
      </c>
      <c r="AM333" s="9" t="n">
        <v>6</v>
      </c>
      <c r="AN333" s="9" t="n">
        <v>8.25</v>
      </c>
      <c r="AO333" s="10" t="n">
        <v>0.55</v>
      </c>
      <c r="AP333" s="13" t="n">
        <v>0</v>
      </c>
      <c r="AQ333" s="13" t="n">
        <v>0</v>
      </c>
      <c r="AR333" s="13" t="n">
        <v>0</v>
      </c>
      <c r="AS333" s="13" t="n">
        <v>0.01</v>
      </c>
      <c r="AT333" s="13" t="n">
        <v>-0.005</v>
      </c>
      <c r="AU333" s="13" t="n">
        <v>0.0025</v>
      </c>
      <c r="AV333" s="13" t="n">
        <v>-0.005</v>
      </c>
      <c r="AW333" s="13">
        <f>IF(X333="","",(AM333/100*AO333)+AP333+AQ333+AR333)</f>
        <v/>
      </c>
      <c r="AX333" s="13">
        <f>IF(X333="","",AS333+AT333+AU333+AV333)</f>
        <v/>
      </c>
      <c r="AY333" s="12">
        <f>IF(AZ333="","",ROUND(AZ333*(1+Assumptions!$B$10),0))</f>
        <v/>
      </c>
      <c r="AZ333" s="12">
        <f>IF(X333="","",ROUND(X333*(1+AW333),0))</f>
        <v/>
      </c>
      <c r="BA333" s="12">
        <f>IF(AZ333="","",ROUND(AZ333*(1+Assumptions!$B$11),0))</f>
        <v/>
      </c>
      <c r="BB333" s="12">
        <f>IF(AZ333="","",ROUND(AZ333*(1+AX333+Assumptions!$B$10),0))</f>
        <v/>
      </c>
      <c r="BC333" s="12">
        <f>IF(AZ333="","",ROUND(AZ333*(1+AX333),0))</f>
        <v/>
      </c>
      <c r="BD333" s="12">
        <f>IF(AZ333="","",ROUND(AZ333*(1+AX333+Assumptions!$B$11),0))</f>
        <v/>
      </c>
      <c r="BE333" s="12">
        <f>IF(AZ333="","",ROUND(AZ333*(1+AX333)*(1+AX333),0))</f>
        <v/>
      </c>
      <c r="BF333" s="7" t="inlineStr">
        <is>
          <t>Rules-based enrichment using launch-price anchor, cap-app realization, and 2026 segment conditions.</t>
        </is>
      </c>
      <c r="BG333" t="inlineStr">
        <is>
          <t>2026-03-17</t>
        </is>
      </c>
      <c r="BH333" s="7" t="inlineStr">
        <is>
          <t>DLD / Digital Dubai / CBUAE / Savills / Knight Frank-Moody’s / Reuters</t>
        </is>
      </c>
    </row>
    <row r="334">
      <c r="A334" t="n">
        <v>333</v>
      </c>
      <c r="B334" s="7" t="inlineStr">
        <is>
          <t>Elz</t>
        </is>
      </c>
      <c r="C334" t="inlineStr">
        <is>
          <t>Danube Properties</t>
        </is>
      </c>
      <c r="D334" t="inlineStr">
        <is>
          <t>Arjan</t>
        </is>
      </c>
      <c r="E334" t="inlineStr">
        <is>
          <t>Apartments</t>
        </is>
      </c>
      <c r="F334" s="7" t="inlineStr">
        <is>
          <t>Budget</t>
        </is>
      </c>
      <c r="G334" t="inlineStr">
        <is>
          <t>650k</t>
        </is>
      </c>
      <c r="H334" t="inlineStr">
        <is>
          <t>1000</t>
        </is>
      </c>
      <c r="I334" t="inlineStr">
        <is>
          <t>14</t>
        </is>
      </c>
      <c r="J334" t="inlineStr">
        <is>
          <t>Completed</t>
        </is>
      </c>
      <c r="K334" t="inlineStr">
        <is>
          <t>2018</t>
        </is>
      </c>
      <c r="L334" t="inlineStr">
        <is>
          <t>7.5-8.0</t>
        </is>
      </c>
      <c r="M334" t="inlineStr">
        <is>
          <t>5-7</t>
        </is>
      </c>
      <c r="N334" t="inlineStr">
        <is>
          <t>12.5-15.0</t>
        </is>
      </c>
      <c r="O334" s="7" t="inlineStr">
        <is>
          <t>Nord Anglia</t>
        </is>
      </c>
      <c r="P334" s="7" t="inlineStr">
        <is>
          <t>Mediclinic Parkview</t>
        </is>
      </c>
      <c r="Q334" s="7" t="inlineStr">
        <is>
          <t>Dubai Hills Mall</t>
        </is>
      </c>
      <c r="R334" s="7" t="inlineStr">
        <is>
          <t>Umm Suqeim / E311</t>
        </is>
      </c>
      <c r="S334" t="inlineStr">
        <is>
          <t>20</t>
        </is>
      </c>
      <c r="T334" t="inlineStr">
        <is>
          <t>20</t>
        </is>
      </c>
      <c r="U334" t="inlineStr">
        <is>
          <t>30</t>
        </is>
      </c>
      <c r="V334" t="inlineStr">
        <is>
          <t>25</t>
        </is>
      </c>
      <c r="W334" t="n">
        <v>2</v>
      </c>
      <c r="X334" s="12" t="n">
        <v>650000</v>
      </c>
      <c r="Y334" s="12" t="n">
        <v>650000</v>
      </c>
      <c r="Z334" s="9" t="n">
        <v>7.5</v>
      </c>
      <c r="AA334" s="9" t="n">
        <v>8</v>
      </c>
      <c r="AB334" s="9" t="n">
        <v>5</v>
      </c>
      <c r="AC334" s="9" t="n">
        <v>7</v>
      </c>
      <c r="AD334" s="9" t="n">
        <v>12.5</v>
      </c>
      <c r="AE334" s="9" t="n">
        <v>15</v>
      </c>
      <c r="AF334" t="n">
        <v>2018</v>
      </c>
      <c r="AH334" t="inlineStr">
        <is>
          <t>Apartment</t>
        </is>
      </c>
      <c r="AI334" t="inlineStr">
        <is>
          <t>SupplySensitiveApartment</t>
        </is>
      </c>
      <c r="AJ334" t="inlineStr">
        <is>
          <t>MidTier</t>
        </is>
      </c>
      <c r="AK334" t="inlineStr">
        <is>
          <t>Supply-sensitive / selective</t>
        </is>
      </c>
      <c r="AL334" s="7" t="inlineStr">
        <is>
          <t>Higher delivery risk in more price-sensitive apartment clusters; building selection and exit liquidity matter.</t>
        </is>
      </c>
      <c r="AM334" s="9" t="n">
        <v>6</v>
      </c>
      <c r="AN334" s="9" t="n">
        <v>7.75</v>
      </c>
      <c r="AO334" s="10" t="n">
        <v>0.55</v>
      </c>
      <c r="AP334" s="13" t="n">
        <v>0</v>
      </c>
      <c r="AQ334" s="13" t="n">
        <v>0</v>
      </c>
      <c r="AR334" s="13" t="n">
        <v>-0.01</v>
      </c>
      <c r="AS334" s="13" t="n">
        <v>-0.01</v>
      </c>
      <c r="AT334" s="13" t="n">
        <v>-0.005</v>
      </c>
      <c r="AU334" s="13" t="n">
        <v>0.0025</v>
      </c>
      <c r="AV334" s="13" t="n">
        <v>-0.005</v>
      </c>
      <c r="AW334" s="13">
        <f>IF(X334="","",(AM334/100*AO334)+AP334+AQ334+AR334)</f>
        <v/>
      </c>
      <c r="AX334" s="13">
        <f>IF(X334="","",AS334+AT334+AU334+AV334)</f>
        <v/>
      </c>
      <c r="AY334" s="12">
        <f>IF(AZ334="","",ROUND(AZ334*(1+Assumptions!$B$10),0))</f>
        <v/>
      </c>
      <c r="AZ334" s="12">
        <f>IF(X334="","",ROUND(X334*(1+AW334),0))</f>
        <v/>
      </c>
      <c r="BA334" s="12">
        <f>IF(AZ334="","",ROUND(AZ334*(1+Assumptions!$B$11),0))</f>
        <v/>
      </c>
      <c r="BB334" s="12">
        <f>IF(AZ334="","",ROUND(AZ334*(1+AX334+Assumptions!$B$10),0))</f>
        <v/>
      </c>
      <c r="BC334" s="12">
        <f>IF(AZ334="","",ROUND(AZ334*(1+AX334),0))</f>
        <v/>
      </c>
      <c r="BD334" s="12">
        <f>IF(AZ334="","",ROUND(AZ334*(1+AX334+Assumptions!$B$11),0))</f>
        <v/>
      </c>
      <c r="BE334" s="12">
        <f>IF(AZ334="","",ROUND(AZ334*(1+AX334)*(1+AX334),0))</f>
        <v/>
      </c>
      <c r="BF334" s="7" t="inlineStr">
        <is>
          <t>Rules-based enrichment using launch-price anchor, cap-app realization, and 2026 segment conditions.</t>
        </is>
      </c>
      <c r="BG334" t="inlineStr">
        <is>
          <t>2026-03-17</t>
        </is>
      </c>
      <c r="BH334" s="7" t="inlineStr">
        <is>
          <t>DLD / Digital Dubai / CBUAE / Savills / Knight Frank-Moody’s / Reuters</t>
        </is>
      </c>
    </row>
    <row r="335">
      <c r="A335" t="n">
        <v>334</v>
      </c>
      <c r="B335" s="7" t="inlineStr">
        <is>
          <t>Lawz</t>
        </is>
      </c>
      <c r="C335" t="inlineStr">
        <is>
          <t>Danube Properties</t>
        </is>
      </c>
      <c r="D335" t="inlineStr">
        <is>
          <t>International City (Warsan)</t>
        </is>
      </c>
      <c r="E335" t="inlineStr">
        <is>
          <t>Apartments</t>
        </is>
      </c>
      <c r="F335" s="7" t="inlineStr">
        <is>
          <t>Budget</t>
        </is>
      </c>
      <c r="G335" t="inlineStr">
        <is>
          <t>600k</t>
        </is>
      </c>
      <c r="H335" t="inlineStr">
        <is>
          <t>900</t>
        </is>
      </c>
      <c r="I335" t="inlineStr">
        <is>
          <t>12</t>
        </is>
      </c>
      <c r="J335" t="inlineStr">
        <is>
          <t>Completed</t>
        </is>
      </c>
      <c r="K335" t="inlineStr">
        <is>
          <t>2018</t>
        </is>
      </c>
      <c r="L335" t="inlineStr">
        <is>
          <t>8.0-8.5</t>
        </is>
      </c>
      <c r="M335" t="inlineStr">
        <is>
          <t>5-7</t>
        </is>
      </c>
      <c r="N335" t="inlineStr">
        <is>
          <t>13.0-15.5</t>
        </is>
      </c>
      <c r="O335" s="7" t="inlineStr">
        <is>
          <t>Intl School of Arts</t>
        </is>
      </c>
      <c r="P335" s="7" t="inlineStr">
        <is>
          <t>Aster Hospital</t>
        </is>
      </c>
      <c r="Q335" s="7" t="inlineStr">
        <is>
          <t>Dragon Mart</t>
        </is>
      </c>
      <c r="R335" s="7" t="inlineStr">
        <is>
          <t>E44 / E311</t>
        </is>
      </c>
      <c r="S335" t="inlineStr">
        <is>
          <t>20</t>
        </is>
      </c>
      <c r="T335" t="inlineStr">
        <is>
          <t>30</t>
        </is>
      </c>
      <c r="U335" t="inlineStr">
        <is>
          <t>15</t>
        </is>
      </c>
      <c r="V335" t="inlineStr">
        <is>
          <t>35</t>
        </is>
      </c>
      <c r="W335" t="n">
        <v>2</v>
      </c>
      <c r="X335" s="12" t="n">
        <v>600000</v>
      </c>
      <c r="Y335" s="12" t="n">
        <v>600000</v>
      </c>
      <c r="Z335" s="9" t="n">
        <v>8</v>
      </c>
      <c r="AA335" s="9" t="n">
        <v>8.5</v>
      </c>
      <c r="AB335" s="9" t="n">
        <v>5</v>
      </c>
      <c r="AC335" s="9" t="n">
        <v>7</v>
      </c>
      <c r="AD335" s="9" t="n">
        <v>13</v>
      </c>
      <c r="AE335" s="9" t="n">
        <v>15.5</v>
      </c>
      <c r="AF335" t="n">
        <v>2018</v>
      </c>
      <c r="AH335" t="inlineStr">
        <is>
          <t>Apartment</t>
        </is>
      </c>
      <c r="AI335" t="inlineStr">
        <is>
          <t>MainstreamSelective</t>
        </is>
      </c>
      <c r="AJ335" t="inlineStr">
        <is>
          <t>MidTier</t>
        </is>
      </c>
      <c r="AK335" t="inlineStr">
        <is>
          <t>Balanced / selective</t>
        </is>
      </c>
      <c r="AL335" s="7" t="inlineStr">
        <is>
          <t>Market remains active but increasingly differentiated by developer, micro-location, livability, and pricing discipline.</t>
        </is>
      </c>
      <c r="AM335" s="9" t="n">
        <v>6</v>
      </c>
      <c r="AN335" s="9" t="n">
        <v>8.25</v>
      </c>
      <c r="AO335" s="10" t="n">
        <v>0.55</v>
      </c>
      <c r="AP335" s="13" t="n">
        <v>0</v>
      </c>
      <c r="AQ335" s="13" t="n">
        <v>0</v>
      </c>
      <c r="AR335" s="13" t="n">
        <v>0</v>
      </c>
      <c r="AS335" s="13" t="n">
        <v>0.01</v>
      </c>
      <c r="AT335" s="13" t="n">
        <v>-0.005</v>
      </c>
      <c r="AU335" s="13" t="n">
        <v>0.0025</v>
      </c>
      <c r="AV335" s="13" t="n">
        <v>-0.005</v>
      </c>
      <c r="AW335" s="13">
        <f>IF(X335="","",(AM335/100*AO335)+AP335+AQ335+AR335)</f>
        <v/>
      </c>
      <c r="AX335" s="13">
        <f>IF(X335="","",AS335+AT335+AU335+AV335)</f>
        <v/>
      </c>
      <c r="AY335" s="12">
        <f>IF(AZ335="","",ROUND(AZ335*(1+Assumptions!$B$10),0))</f>
        <v/>
      </c>
      <c r="AZ335" s="12">
        <f>IF(X335="","",ROUND(X335*(1+AW335),0))</f>
        <v/>
      </c>
      <c r="BA335" s="12">
        <f>IF(AZ335="","",ROUND(AZ335*(1+Assumptions!$B$11),0))</f>
        <v/>
      </c>
      <c r="BB335" s="12">
        <f>IF(AZ335="","",ROUND(AZ335*(1+AX335+Assumptions!$B$10),0))</f>
        <v/>
      </c>
      <c r="BC335" s="12">
        <f>IF(AZ335="","",ROUND(AZ335*(1+AX335),0))</f>
        <v/>
      </c>
      <c r="BD335" s="12">
        <f>IF(AZ335="","",ROUND(AZ335*(1+AX335+Assumptions!$B$11),0))</f>
        <v/>
      </c>
      <c r="BE335" s="12">
        <f>IF(AZ335="","",ROUND(AZ335*(1+AX335)*(1+AX335),0))</f>
        <v/>
      </c>
      <c r="BF335" s="7" t="inlineStr">
        <is>
          <t>Rules-based enrichment using launch-price anchor, cap-app realization, and 2026 segment conditions.</t>
        </is>
      </c>
      <c r="BG335" t="inlineStr">
        <is>
          <t>2026-03-17</t>
        </is>
      </c>
      <c r="BH335" s="7" t="inlineStr">
        <is>
          <t>DLD / Digital Dubai / CBUAE / Savills / Knight Frank-Moody’s / Reuters</t>
        </is>
      </c>
    </row>
    <row r="336">
      <c r="A336" t="n">
        <v>335</v>
      </c>
      <c r="B336" s="7" t="inlineStr">
        <is>
          <t>Jewelz</t>
        </is>
      </c>
      <c r="C336" t="inlineStr">
        <is>
          <t>Danube Properties</t>
        </is>
      </c>
      <c r="D336" t="inlineStr">
        <is>
          <t>Arjan</t>
        </is>
      </c>
      <c r="E336" t="inlineStr">
        <is>
          <t>Apartments</t>
        </is>
      </c>
      <c r="F336" s="7" t="inlineStr">
        <is>
          <t>Budget</t>
        </is>
      </c>
      <c r="G336" t="inlineStr">
        <is>
          <t>700k</t>
        </is>
      </c>
      <c r="H336" t="inlineStr">
        <is>
          <t>1000</t>
        </is>
      </c>
      <c r="I336" t="inlineStr">
        <is>
          <t>14</t>
        </is>
      </c>
      <c r="J336" t="inlineStr">
        <is>
          <t>Completed</t>
        </is>
      </c>
      <c r="K336" t="inlineStr">
        <is>
          <t>2018</t>
        </is>
      </c>
      <c r="L336" t="inlineStr">
        <is>
          <t>7.5-8.0</t>
        </is>
      </c>
      <c r="M336" t="inlineStr">
        <is>
          <t>5-7</t>
        </is>
      </c>
      <c r="N336" t="inlineStr">
        <is>
          <t>12.5-15.0</t>
        </is>
      </c>
      <c r="O336" s="7" t="inlineStr">
        <is>
          <t>Nord Anglia</t>
        </is>
      </c>
      <c r="P336" s="7" t="inlineStr">
        <is>
          <t>Mediclinic Parkview</t>
        </is>
      </c>
      <c r="Q336" s="7" t="inlineStr">
        <is>
          <t>Dubai Hills Mall</t>
        </is>
      </c>
      <c r="R336" s="7" t="inlineStr">
        <is>
          <t>Umm Suqeim / E311</t>
        </is>
      </c>
      <c r="S336" t="inlineStr">
        <is>
          <t>20</t>
        </is>
      </c>
      <c r="T336" t="inlineStr">
        <is>
          <t>20</t>
        </is>
      </c>
      <c r="U336" t="inlineStr">
        <is>
          <t>30</t>
        </is>
      </c>
      <c r="V336" t="inlineStr">
        <is>
          <t>25</t>
        </is>
      </c>
      <c r="W336" t="n">
        <v>2</v>
      </c>
      <c r="X336" s="12" t="n">
        <v>700000</v>
      </c>
      <c r="Y336" s="12" t="n">
        <v>700000</v>
      </c>
      <c r="Z336" s="9" t="n">
        <v>7.5</v>
      </c>
      <c r="AA336" s="9" t="n">
        <v>8</v>
      </c>
      <c r="AB336" s="9" t="n">
        <v>5</v>
      </c>
      <c r="AC336" s="9" t="n">
        <v>7</v>
      </c>
      <c r="AD336" s="9" t="n">
        <v>12.5</v>
      </c>
      <c r="AE336" s="9" t="n">
        <v>15</v>
      </c>
      <c r="AF336" t="n">
        <v>2018</v>
      </c>
      <c r="AH336" t="inlineStr">
        <is>
          <t>Apartment</t>
        </is>
      </c>
      <c r="AI336" t="inlineStr">
        <is>
          <t>SupplySensitiveApartment</t>
        </is>
      </c>
      <c r="AJ336" t="inlineStr">
        <is>
          <t>MidTier</t>
        </is>
      </c>
      <c r="AK336" t="inlineStr">
        <is>
          <t>Supply-sensitive / selective</t>
        </is>
      </c>
      <c r="AL336" s="7" t="inlineStr">
        <is>
          <t>Higher delivery risk in more price-sensitive apartment clusters; building selection and exit liquidity matter.</t>
        </is>
      </c>
      <c r="AM336" s="9" t="n">
        <v>6</v>
      </c>
      <c r="AN336" s="9" t="n">
        <v>7.75</v>
      </c>
      <c r="AO336" s="10" t="n">
        <v>0.55</v>
      </c>
      <c r="AP336" s="13" t="n">
        <v>0</v>
      </c>
      <c r="AQ336" s="13" t="n">
        <v>0</v>
      </c>
      <c r="AR336" s="13" t="n">
        <v>-0.01</v>
      </c>
      <c r="AS336" s="13" t="n">
        <v>-0.01</v>
      </c>
      <c r="AT336" s="13" t="n">
        <v>-0.005</v>
      </c>
      <c r="AU336" s="13" t="n">
        <v>0.0025</v>
      </c>
      <c r="AV336" s="13" t="n">
        <v>-0.005</v>
      </c>
      <c r="AW336" s="13">
        <f>IF(X336="","",(AM336/100*AO336)+AP336+AQ336+AR336)</f>
        <v/>
      </c>
      <c r="AX336" s="13">
        <f>IF(X336="","",AS336+AT336+AU336+AV336)</f>
        <v/>
      </c>
      <c r="AY336" s="12">
        <f>IF(AZ336="","",ROUND(AZ336*(1+Assumptions!$B$10),0))</f>
        <v/>
      </c>
      <c r="AZ336" s="12">
        <f>IF(X336="","",ROUND(X336*(1+AW336),0))</f>
        <v/>
      </c>
      <c r="BA336" s="12">
        <f>IF(AZ336="","",ROUND(AZ336*(1+Assumptions!$B$11),0))</f>
        <v/>
      </c>
      <c r="BB336" s="12">
        <f>IF(AZ336="","",ROUND(AZ336*(1+AX336+Assumptions!$B$10),0))</f>
        <v/>
      </c>
      <c r="BC336" s="12">
        <f>IF(AZ336="","",ROUND(AZ336*(1+AX336),0))</f>
        <v/>
      </c>
      <c r="BD336" s="12">
        <f>IF(AZ336="","",ROUND(AZ336*(1+AX336+Assumptions!$B$11),0))</f>
        <v/>
      </c>
      <c r="BE336" s="12">
        <f>IF(AZ336="","",ROUND(AZ336*(1+AX336)*(1+AX336),0))</f>
        <v/>
      </c>
      <c r="BF336" s="7" t="inlineStr">
        <is>
          <t>Rules-based enrichment using launch-price anchor, cap-app realization, and 2026 segment conditions.</t>
        </is>
      </c>
      <c r="BG336" t="inlineStr">
        <is>
          <t>2026-03-17</t>
        </is>
      </c>
      <c r="BH336" s="7" t="inlineStr">
        <is>
          <t>DLD / Digital Dubai / CBUAE / Savills / Knight Frank-Moody’s / Reuters</t>
        </is>
      </c>
    </row>
    <row r="337">
      <c r="A337" t="n">
        <v>336</v>
      </c>
      <c r="B337" s="7" t="inlineStr">
        <is>
          <t>Wavez</t>
        </is>
      </c>
      <c r="C337" t="inlineStr">
        <is>
          <t>Danube Properties</t>
        </is>
      </c>
      <c r="D337" t="inlineStr">
        <is>
          <t>Liwan</t>
        </is>
      </c>
      <c r="E337" t="inlineStr">
        <is>
          <t>Apartments</t>
        </is>
      </c>
      <c r="F337" s="7" t="inlineStr">
        <is>
          <t>Budget</t>
        </is>
      </c>
      <c r="G337" t="inlineStr">
        <is>
          <t>600k</t>
        </is>
      </c>
      <c r="H337" t="inlineStr">
        <is>
          <t>900</t>
        </is>
      </c>
      <c r="I337" t="inlineStr">
        <is>
          <t>12</t>
        </is>
      </c>
      <c r="J337" t="inlineStr">
        <is>
          <t>Completed</t>
        </is>
      </c>
      <c r="K337" t="inlineStr">
        <is>
          <t>2019</t>
        </is>
      </c>
      <c r="L337" t="inlineStr">
        <is>
          <t>7.5-8.0</t>
        </is>
      </c>
      <c r="M337" t="inlineStr">
        <is>
          <t>5-7</t>
        </is>
      </c>
      <c r="N337" t="inlineStr">
        <is>
          <t>12.5-15.0</t>
        </is>
      </c>
      <c r="O337" s="7" t="inlineStr">
        <is>
          <t>GEMS Winchester</t>
        </is>
      </c>
      <c r="P337" s="7" t="inlineStr">
        <is>
          <t>Fakeeh University Hosp</t>
        </is>
      </c>
      <c r="Q337" s="7" t="inlineStr">
        <is>
          <t>Silicon Central</t>
        </is>
      </c>
      <c r="R337" s="7" t="inlineStr">
        <is>
          <t>E66 / E311</t>
        </is>
      </c>
      <c r="S337" t="inlineStr">
        <is>
          <t>20</t>
        </is>
      </c>
      <c r="T337" t="inlineStr">
        <is>
          <t>30</t>
        </is>
      </c>
      <c r="U337" t="inlineStr">
        <is>
          <t>20</t>
        </is>
      </c>
      <c r="V337" t="inlineStr">
        <is>
          <t>35</t>
        </is>
      </c>
      <c r="W337" t="n">
        <v>2</v>
      </c>
      <c r="X337" s="12" t="n">
        <v>600000</v>
      </c>
      <c r="Y337" s="12" t="n">
        <v>600000</v>
      </c>
      <c r="Z337" s="9" t="n">
        <v>7.5</v>
      </c>
      <c r="AA337" s="9" t="n">
        <v>8</v>
      </c>
      <c r="AB337" s="9" t="n">
        <v>5</v>
      </c>
      <c r="AC337" s="9" t="n">
        <v>7</v>
      </c>
      <c r="AD337" s="9" t="n">
        <v>12.5</v>
      </c>
      <c r="AE337" s="9" t="n">
        <v>15</v>
      </c>
      <c r="AF337" t="n">
        <v>2019</v>
      </c>
      <c r="AH337" t="inlineStr">
        <is>
          <t>Apartment</t>
        </is>
      </c>
      <c r="AI337" t="inlineStr">
        <is>
          <t>MainstreamSelective</t>
        </is>
      </c>
      <c r="AJ337" t="inlineStr">
        <is>
          <t>MidTier</t>
        </is>
      </c>
      <c r="AK337" t="inlineStr">
        <is>
          <t>Balanced / selective</t>
        </is>
      </c>
      <c r="AL337" s="7" t="inlineStr">
        <is>
          <t>Market remains active but increasingly differentiated by developer, micro-location, livability, and pricing discipline.</t>
        </is>
      </c>
      <c r="AM337" s="9" t="n">
        <v>6</v>
      </c>
      <c r="AN337" s="9" t="n">
        <v>7.75</v>
      </c>
      <c r="AO337" s="10" t="n">
        <v>0.55</v>
      </c>
      <c r="AP337" s="13" t="n">
        <v>0</v>
      </c>
      <c r="AQ337" s="13" t="n">
        <v>0</v>
      </c>
      <c r="AR337" s="13" t="n">
        <v>0</v>
      </c>
      <c r="AS337" s="13" t="n">
        <v>0.01</v>
      </c>
      <c r="AT337" s="13" t="n">
        <v>-0.005</v>
      </c>
      <c r="AU337" s="13" t="n">
        <v>0.0025</v>
      </c>
      <c r="AV337" s="13" t="n">
        <v>-0.005</v>
      </c>
      <c r="AW337" s="13">
        <f>IF(X337="","",(AM337/100*AO337)+AP337+AQ337+AR337)</f>
        <v/>
      </c>
      <c r="AX337" s="13">
        <f>IF(X337="","",AS337+AT337+AU337+AV337)</f>
        <v/>
      </c>
      <c r="AY337" s="12">
        <f>IF(AZ337="","",ROUND(AZ337*(1+Assumptions!$B$10),0))</f>
        <v/>
      </c>
      <c r="AZ337" s="12">
        <f>IF(X337="","",ROUND(X337*(1+AW337),0))</f>
        <v/>
      </c>
      <c r="BA337" s="12">
        <f>IF(AZ337="","",ROUND(AZ337*(1+Assumptions!$B$11),0))</f>
        <v/>
      </c>
      <c r="BB337" s="12">
        <f>IF(AZ337="","",ROUND(AZ337*(1+AX337+Assumptions!$B$10),0))</f>
        <v/>
      </c>
      <c r="BC337" s="12">
        <f>IF(AZ337="","",ROUND(AZ337*(1+AX337),0))</f>
        <v/>
      </c>
      <c r="BD337" s="12">
        <f>IF(AZ337="","",ROUND(AZ337*(1+AX337+Assumptions!$B$11),0))</f>
        <v/>
      </c>
      <c r="BE337" s="12">
        <f>IF(AZ337="","",ROUND(AZ337*(1+AX337)*(1+AX337),0))</f>
        <v/>
      </c>
      <c r="BF337" s="7" t="inlineStr">
        <is>
          <t>Rules-based enrichment using launch-price anchor, cap-app realization, and 2026 segment conditions.</t>
        </is>
      </c>
      <c r="BG337" t="inlineStr">
        <is>
          <t>2026-03-17</t>
        </is>
      </c>
      <c r="BH337" s="7" t="inlineStr">
        <is>
          <t>DLD / Digital Dubai / CBUAE / Savills / Knight Frank-Moody’s / Reuters</t>
        </is>
      </c>
    </row>
    <row r="338">
      <c r="A338" t="n">
        <v>337</v>
      </c>
      <c r="B338" s="7" t="inlineStr">
        <is>
          <t>Resortz</t>
        </is>
      </c>
      <c r="C338" t="inlineStr">
        <is>
          <t>Danube Properties</t>
        </is>
      </c>
      <c r="D338" t="inlineStr">
        <is>
          <t>Arjan</t>
        </is>
      </c>
      <c r="E338" t="inlineStr">
        <is>
          <t>Apartments</t>
        </is>
      </c>
      <c r="F338" s="7" t="inlineStr">
        <is>
          <t>Neoclassical</t>
        </is>
      </c>
      <c r="G338" t="inlineStr">
        <is>
          <t>750k</t>
        </is>
      </c>
      <c r="H338" t="inlineStr">
        <is>
          <t>1000</t>
        </is>
      </c>
      <c r="I338" t="inlineStr">
        <is>
          <t>14</t>
        </is>
      </c>
      <c r="J338" t="inlineStr">
        <is>
          <t>Completed</t>
        </is>
      </c>
      <c r="K338" t="inlineStr">
        <is>
          <t>2017</t>
        </is>
      </c>
      <c r="L338" t="inlineStr">
        <is>
          <t>7.0-7.5</t>
        </is>
      </c>
      <c r="M338" t="inlineStr">
        <is>
          <t>5-7</t>
        </is>
      </c>
      <c r="N338" t="inlineStr">
        <is>
          <t>12.0-14.5</t>
        </is>
      </c>
      <c r="O338" s="7" t="inlineStr">
        <is>
          <t>Nord Anglia</t>
        </is>
      </c>
      <c r="P338" s="7" t="inlineStr">
        <is>
          <t>Mediclinic Parkview</t>
        </is>
      </c>
      <c r="Q338" s="7" t="inlineStr">
        <is>
          <t>Dubai Hills Mall</t>
        </is>
      </c>
      <c r="R338" s="7" t="inlineStr">
        <is>
          <t>Umm Suqeim / E311</t>
        </is>
      </c>
      <c r="S338" t="inlineStr">
        <is>
          <t>20</t>
        </is>
      </c>
      <c r="T338" t="inlineStr">
        <is>
          <t>20</t>
        </is>
      </c>
      <c r="U338" t="inlineStr">
        <is>
          <t>30</t>
        </is>
      </c>
      <c r="V338" t="inlineStr">
        <is>
          <t>25</t>
        </is>
      </c>
      <c r="W338" t="n">
        <v>2</v>
      </c>
      <c r="X338" s="12" t="n">
        <v>750000</v>
      </c>
      <c r="Y338" s="12" t="n">
        <v>750000</v>
      </c>
      <c r="Z338" s="9" t="n">
        <v>7</v>
      </c>
      <c r="AA338" s="9" t="n">
        <v>7.5</v>
      </c>
      <c r="AB338" s="9" t="n">
        <v>5</v>
      </c>
      <c r="AC338" s="9" t="n">
        <v>7</v>
      </c>
      <c r="AD338" s="9" t="n">
        <v>12</v>
      </c>
      <c r="AE338" s="9" t="n">
        <v>14.5</v>
      </c>
      <c r="AF338" t="n">
        <v>2017</v>
      </c>
      <c r="AH338" t="inlineStr">
        <is>
          <t>Apartment</t>
        </is>
      </c>
      <c r="AI338" t="inlineStr">
        <is>
          <t>SupplySensitiveApartment</t>
        </is>
      </c>
      <c r="AJ338" t="inlineStr">
        <is>
          <t>MidTier</t>
        </is>
      </c>
      <c r="AK338" t="inlineStr">
        <is>
          <t>Supply-sensitive / selective</t>
        </is>
      </c>
      <c r="AL338" s="7" t="inlineStr">
        <is>
          <t>Higher delivery risk in more price-sensitive apartment clusters; building selection and exit liquidity matter.</t>
        </is>
      </c>
      <c r="AM338" s="9" t="n">
        <v>6</v>
      </c>
      <c r="AN338" s="9" t="n">
        <v>7.25</v>
      </c>
      <c r="AO338" s="10" t="n">
        <v>0.55</v>
      </c>
      <c r="AP338" s="13" t="n">
        <v>0</v>
      </c>
      <c r="AQ338" s="13" t="n">
        <v>0</v>
      </c>
      <c r="AR338" s="13" t="n">
        <v>-0.01</v>
      </c>
      <c r="AS338" s="13" t="n">
        <v>-0.01</v>
      </c>
      <c r="AT338" s="13" t="n">
        <v>-0.005</v>
      </c>
      <c r="AU338" s="13" t="n">
        <v>0.0025</v>
      </c>
      <c r="AV338" s="13" t="n">
        <v>-0.005</v>
      </c>
      <c r="AW338" s="13">
        <f>IF(X338="","",(AM338/100*AO338)+AP338+AQ338+AR338)</f>
        <v/>
      </c>
      <c r="AX338" s="13">
        <f>IF(X338="","",AS338+AT338+AU338+AV338)</f>
        <v/>
      </c>
      <c r="AY338" s="12">
        <f>IF(AZ338="","",ROUND(AZ338*(1+Assumptions!$B$10),0))</f>
        <v/>
      </c>
      <c r="AZ338" s="12">
        <f>IF(X338="","",ROUND(X338*(1+AW338),0))</f>
        <v/>
      </c>
      <c r="BA338" s="12">
        <f>IF(AZ338="","",ROUND(AZ338*(1+Assumptions!$B$11),0))</f>
        <v/>
      </c>
      <c r="BB338" s="12">
        <f>IF(AZ338="","",ROUND(AZ338*(1+AX338+Assumptions!$B$10),0))</f>
        <v/>
      </c>
      <c r="BC338" s="12">
        <f>IF(AZ338="","",ROUND(AZ338*(1+AX338),0))</f>
        <v/>
      </c>
      <c r="BD338" s="12">
        <f>IF(AZ338="","",ROUND(AZ338*(1+AX338+Assumptions!$B$11),0))</f>
        <v/>
      </c>
      <c r="BE338" s="12">
        <f>IF(AZ338="","",ROUND(AZ338*(1+AX338)*(1+AX338),0))</f>
        <v/>
      </c>
      <c r="BF338" s="7" t="inlineStr">
        <is>
          <t>Rules-based enrichment using launch-price anchor, cap-app realization, and 2026 segment conditions.</t>
        </is>
      </c>
      <c r="BG338" t="inlineStr">
        <is>
          <t>2026-03-17</t>
        </is>
      </c>
      <c r="BH338" s="7" t="inlineStr">
        <is>
          <t>DLD / Digital Dubai / CBUAE / Savills / Knight Frank-Moody’s / Reuters</t>
        </is>
      </c>
    </row>
    <row r="339">
      <c r="A339" t="n">
        <v>338</v>
      </c>
      <c r="B339" s="7" t="inlineStr">
        <is>
          <t>Miraclz</t>
        </is>
      </c>
      <c r="C339" t="inlineStr">
        <is>
          <t>Danube Properties</t>
        </is>
      </c>
      <c r="D339" t="inlineStr">
        <is>
          <t>Arjan</t>
        </is>
      </c>
      <c r="E339" t="inlineStr">
        <is>
          <t>Apartments</t>
        </is>
      </c>
      <c r="F339" s="7" t="inlineStr">
        <is>
          <t>High-Rise</t>
        </is>
      </c>
      <c r="G339" t="inlineStr">
        <is>
          <t>750k</t>
        </is>
      </c>
      <c r="H339" t="inlineStr">
        <is>
          <t>1000</t>
        </is>
      </c>
      <c r="I339" t="inlineStr">
        <is>
          <t>14</t>
        </is>
      </c>
      <c r="J339" t="inlineStr">
        <is>
          <t>Completed</t>
        </is>
      </c>
      <c r="K339" t="inlineStr">
        <is>
          <t>2017</t>
        </is>
      </c>
      <c r="L339" t="inlineStr">
        <is>
          <t>7.0-7.5</t>
        </is>
      </c>
      <c r="M339" t="inlineStr">
        <is>
          <t>5-7</t>
        </is>
      </c>
      <c r="N339" t="inlineStr">
        <is>
          <t>12.0-14.5</t>
        </is>
      </c>
      <c r="O339" s="7" t="inlineStr">
        <is>
          <t>Nord Anglia</t>
        </is>
      </c>
      <c r="P339" s="7" t="inlineStr">
        <is>
          <t>Mediclinic Parkview</t>
        </is>
      </c>
      <c r="Q339" s="7" t="inlineStr">
        <is>
          <t>Dubai Hills Mall</t>
        </is>
      </c>
      <c r="R339" s="7" t="inlineStr">
        <is>
          <t>Umm Suqeim / E311</t>
        </is>
      </c>
      <c r="S339" t="inlineStr">
        <is>
          <t>20</t>
        </is>
      </c>
      <c r="T339" t="inlineStr">
        <is>
          <t>20</t>
        </is>
      </c>
      <c r="U339" t="inlineStr">
        <is>
          <t>30</t>
        </is>
      </c>
      <c r="V339" t="inlineStr">
        <is>
          <t>25</t>
        </is>
      </c>
      <c r="W339" t="n">
        <v>2</v>
      </c>
      <c r="X339" s="12" t="n">
        <v>750000</v>
      </c>
      <c r="Y339" s="12" t="n">
        <v>750000</v>
      </c>
      <c r="Z339" s="9" t="n">
        <v>7</v>
      </c>
      <c r="AA339" s="9" t="n">
        <v>7.5</v>
      </c>
      <c r="AB339" s="9" t="n">
        <v>5</v>
      </c>
      <c r="AC339" s="9" t="n">
        <v>7</v>
      </c>
      <c r="AD339" s="9" t="n">
        <v>12</v>
      </c>
      <c r="AE339" s="9" t="n">
        <v>14.5</v>
      </c>
      <c r="AF339" t="n">
        <v>2017</v>
      </c>
      <c r="AH339" t="inlineStr">
        <is>
          <t>Apartment</t>
        </is>
      </c>
      <c r="AI339" t="inlineStr">
        <is>
          <t>SupplySensitiveApartment</t>
        </is>
      </c>
      <c r="AJ339" t="inlineStr">
        <is>
          <t>MidTier</t>
        </is>
      </c>
      <c r="AK339" t="inlineStr">
        <is>
          <t>Supply-sensitive / selective</t>
        </is>
      </c>
      <c r="AL339" s="7" t="inlineStr">
        <is>
          <t>Higher delivery risk in more price-sensitive apartment clusters; building selection and exit liquidity matter.</t>
        </is>
      </c>
      <c r="AM339" s="9" t="n">
        <v>6</v>
      </c>
      <c r="AN339" s="9" t="n">
        <v>7.25</v>
      </c>
      <c r="AO339" s="10" t="n">
        <v>0.55</v>
      </c>
      <c r="AP339" s="13" t="n">
        <v>0</v>
      </c>
      <c r="AQ339" s="13" t="n">
        <v>0</v>
      </c>
      <c r="AR339" s="13" t="n">
        <v>-0.01</v>
      </c>
      <c r="AS339" s="13" t="n">
        <v>-0.01</v>
      </c>
      <c r="AT339" s="13" t="n">
        <v>-0.005</v>
      </c>
      <c r="AU339" s="13" t="n">
        <v>0.0025</v>
      </c>
      <c r="AV339" s="13" t="n">
        <v>-0.005</v>
      </c>
      <c r="AW339" s="13">
        <f>IF(X339="","",(AM339/100*AO339)+AP339+AQ339+AR339)</f>
        <v/>
      </c>
      <c r="AX339" s="13">
        <f>IF(X339="","",AS339+AT339+AU339+AV339)</f>
        <v/>
      </c>
      <c r="AY339" s="12">
        <f>IF(AZ339="","",ROUND(AZ339*(1+Assumptions!$B$10),0))</f>
        <v/>
      </c>
      <c r="AZ339" s="12">
        <f>IF(X339="","",ROUND(X339*(1+AW339),0))</f>
        <v/>
      </c>
      <c r="BA339" s="12">
        <f>IF(AZ339="","",ROUND(AZ339*(1+Assumptions!$B$11),0))</f>
        <v/>
      </c>
      <c r="BB339" s="12">
        <f>IF(AZ339="","",ROUND(AZ339*(1+AX339+Assumptions!$B$10),0))</f>
        <v/>
      </c>
      <c r="BC339" s="12">
        <f>IF(AZ339="","",ROUND(AZ339*(1+AX339),0))</f>
        <v/>
      </c>
      <c r="BD339" s="12">
        <f>IF(AZ339="","",ROUND(AZ339*(1+AX339+Assumptions!$B$11),0))</f>
        <v/>
      </c>
      <c r="BE339" s="12">
        <f>IF(AZ339="","",ROUND(AZ339*(1+AX339)*(1+AX339),0))</f>
        <v/>
      </c>
      <c r="BF339" s="7" t="inlineStr">
        <is>
          <t>Rules-based enrichment using launch-price anchor, cap-app realization, and 2026 segment conditions.</t>
        </is>
      </c>
      <c r="BG339" t="inlineStr">
        <is>
          <t>2026-03-17</t>
        </is>
      </c>
      <c r="BH339" s="7" t="inlineStr">
        <is>
          <t>DLD / Digital Dubai / CBUAE / Savills / Knight Frank-Moody’s / Reuters</t>
        </is>
      </c>
    </row>
    <row r="340">
      <c r="A340" t="n">
        <v>339</v>
      </c>
      <c r="B340" s="7" t="inlineStr">
        <is>
          <t>Binghatti Skyrise</t>
        </is>
      </c>
      <c r="C340" t="inlineStr">
        <is>
          <t>Binghatti Developers</t>
        </is>
      </c>
      <c r="D340" t="inlineStr">
        <is>
          <t>Business Bay</t>
        </is>
      </c>
      <c r="E340" t="inlineStr">
        <is>
          <t>Apartments</t>
        </is>
      </c>
      <c r="F340" s="7" t="inlineStr">
        <is>
          <t>High-Rise / Canal</t>
        </is>
      </c>
      <c r="G340" t="inlineStr">
        <is>
          <t>1.2M</t>
        </is>
      </c>
      <c r="H340" t="inlineStr">
        <is>
          <t>2000</t>
        </is>
      </c>
      <c r="I340" t="inlineStr">
        <is>
          <t>18</t>
        </is>
      </c>
      <c r="J340" t="inlineStr">
        <is>
          <t>70/30</t>
        </is>
      </c>
      <c r="K340" t="inlineStr">
        <is>
          <t>2024</t>
        </is>
      </c>
      <c r="L340" t="inlineStr">
        <is>
          <t>6.0-6.5</t>
        </is>
      </c>
      <c r="M340" t="inlineStr">
        <is>
          <t>8-10</t>
        </is>
      </c>
      <c r="N340" t="inlineStr">
        <is>
          <t>14.0-16.5</t>
        </is>
      </c>
      <c r="O340" s="7" t="inlineStr">
        <is>
          <t>Hartland Intl</t>
        </is>
      </c>
      <c r="P340" s="7" t="inlineStr">
        <is>
          <t>Emirates Hospital BB</t>
        </is>
      </c>
      <c r="Q340" s="7" t="inlineStr">
        <is>
          <t>Dubai Mall</t>
        </is>
      </c>
      <c r="R340" s="7" t="inlineStr">
        <is>
          <t>Al Khail E44</t>
        </is>
      </c>
      <c r="S340" t="inlineStr">
        <is>
          <t>5</t>
        </is>
      </c>
      <c r="T340" t="inlineStr">
        <is>
          <t>20</t>
        </is>
      </c>
      <c r="U340" t="inlineStr">
        <is>
          <t>15</t>
        </is>
      </c>
      <c r="V340" t="inlineStr">
        <is>
          <t>35</t>
        </is>
      </c>
      <c r="W340" t="n">
        <v>2</v>
      </c>
      <c r="X340" s="12" t="n">
        <v>1200000</v>
      </c>
      <c r="Y340" s="12" t="n">
        <v>1200000</v>
      </c>
      <c r="Z340" s="9" t="n">
        <v>6</v>
      </c>
      <c r="AA340" s="9" t="n">
        <v>6.5</v>
      </c>
      <c r="AB340" s="9" t="n">
        <v>8</v>
      </c>
      <c r="AC340" s="9" t="n">
        <v>10</v>
      </c>
      <c r="AD340" s="9" t="n">
        <v>14</v>
      </c>
      <c r="AE340" s="9" t="n">
        <v>16.5</v>
      </c>
      <c r="AF340" t="n">
        <v>2024</v>
      </c>
      <c r="AH340" t="inlineStr">
        <is>
          <t>Apartment</t>
        </is>
      </c>
      <c r="AI340" t="inlineStr">
        <is>
          <t>Prime</t>
        </is>
      </c>
      <c r="AJ340" t="inlineStr">
        <is>
          <t>MidTier</t>
        </is>
      </c>
      <c r="AK340" t="inlineStr">
        <is>
          <t>Prime resilient / selective</t>
        </is>
      </c>
      <c r="AL340" s="7" t="inlineStr">
        <is>
          <t>Better support from quality, branding, and scarcer prime stock; still entry-price sensitive.</t>
        </is>
      </c>
      <c r="AM340" s="9" t="n">
        <v>9</v>
      </c>
      <c r="AN340" s="9" t="n">
        <v>6.25</v>
      </c>
      <c r="AO340" s="10" t="n">
        <v>0.55</v>
      </c>
      <c r="AP340" s="13" t="n">
        <v>0.02</v>
      </c>
      <c r="AQ340" s="13" t="n">
        <v>0</v>
      </c>
      <c r="AR340" s="13" t="n">
        <v>0</v>
      </c>
      <c r="AS340" s="13" t="n">
        <v>0.03</v>
      </c>
      <c r="AT340" s="13" t="n">
        <v>-0.005</v>
      </c>
      <c r="AU340" s="13" t="n">
        <v>0.0025</v>
      </c>
      <c r="AV340" s="13" t="n">
        <v>-0.005</v>
      </c>
      <c r="AW340" s="13">
        <f>IF(X340="","",(AM340/100*AO340)+AP340+AQ340+AR340)</f>
        <v/>
      </c>
      <c r="AX340" s="13">
        <f>IF(X340="","",AS340+AT340+AU340+AV340)</f>
        <v/>
      </c>
      <c r="AY340" s="12">
        <f>IF(AZ340="","",ROUND(AZ340*(1+Assumptions!$B$10),0))</f>
        <v/>
      </c>
      <c r="AZ340" s="12">
        <f>IF(X340="","",ROUND(X340*(1+AW340),0))</f>
        <v/>
      </c>
      <c r="BA340" s="12">
        <f>IF(AZ340="","",ROUND(AZ340*(1+Assumptions!$B$11),0))</f>
        <v/>
      </c>
      <c r="BB340" s="12">
        <f>IF(AZ340="","",ROUND(AZ340*(1+AX340+Assumptions!$B$10),0))</f>
        <v/>
      </c>
      <c r="BC340" s="12">
        <f>IF(AZ340="","",ROUND(AZ340*(1+AX340),0))</f>
        <v/>
      </c>
      <c r="BD340" s="12">
        <f>IF(AZ340="","",ROUND(AZ340*(1+AX340+Assumptions!$B$11),0))</f>
        <v/>
      </c>
      <c r="BE340" s="12">
        <f>IF(AZ340="","",ROUND(AZ340*(1+AX340)*(1+AX340),0))</f>
        <v/>
      </c>
      <c r="BF340" s="7" t="inlineStr">
        <is>
          <t>Rules-based enrichment using launch-price anchor, cap-app realization, and 2026 segment conditions.</t>
        </is>
      </c>
      <c r="BG340" t="inlineStr">
        <is>
          <t>2026-03-17</t>
        </is>
      </c>
      <c r="BH340" s="7" t="inlineStr">
        <is>
          <t>DLD / Digital Dubai / CBUAE / Savills / Knight Frank-Moody’s / Reuters</t>
        </is>
      </c>
    </row>
    <row r="341">
      <c r="A341" t="n">
        <v>340</v>
      </c>
      <c r="B341" s="7" t="inlineStr">
        <is>
          <t>Binghatti Aquarise</t>
        </is>
      </c>
      <c r="C341" t="inlineStr">
        <is>
          <t>Binghatti Developers</t>
        </is>
      </c>
      <c r="D341" t="inlineStr">
        <is>
          <t>Business Bay</t>
        </is>
      </c>
      <c r="E341" t="inlineStr">
        <is>
          <t>Apartments</t>
        </is>
      </c>
      <c r="F341" s="7" t="inlineStr">
        <is>
          <t>Canal / Modern</t>
        </is>
      </c>
      <c r="G341" t="inlineStr">
        <is>
          <t>1.3M</t>
        </is>
      </c>
      <c r="H341" t="inlineStr">
        <is>
          <t>2100</t>
        </is>
      </c>
      <c r="I341" t="inlineStr">
        <is>
          <t>18</t>
        </is>
      </c>
      <c r="J341" t="inlineStr">
        <is>
          <t>70/30</t>
        </is>
      </c>
      <c r="K341" t="inlineStr">
        <is>
          <t>2024</t>
        </is>
      </c>
      <c r="L341" t="inlineStr">
        <is>
          <t>6.0-6.5</t>
        </is>
      </c>
      <c r="M341" t="inlineStr">
        <is>
          <t>8-10</t>
        </is>
      </c>
      <c r="N341" t="inlineStr">
        <is>
          <t>14.0-16.5</t>
        </is>
      </c>
      <c r="O341" s="7" t="inlineStr">
        <is>
          <t>Hartland Intl</t>
        </is>
      </c>
      <c r="P341" s="7" t="inlineStr">
        <is>
          <t>Emirates Hospital BB</t>
        </is>
      </c>
      <c r="Q341" s="7" t="inlineStr">
        <is>
          <t>Dubai Mall</t>
        </is>
      </c>
      <c r="R341" s="7" t="inlineStr">
        <is>
          <t>Al Khail E44</t>
        </is>
      </c>
      <c r="S341" t="inlineStr">
        <is>
          <t>5</t>
        </is>
      </c>
      <c r="T341" t="inlineStr">
        <is>
          <t>20</t>
        </is>
      </c>
      <c r="U341" t="inlineStr">
        <is>
          <t>15</t>
        </is>
      </c>
      <c r="V341" t="inlineStr">
        <is>
          <t>35</t>
        </is>
      </c>
      <c r="W341" t="n">
        <v>2</v>
      </c>
      <c r="X341" s="12" t="n">
        <v>1300000</v>
      </c>
      <c r="Y341" s="12" t="n">
        <v>1300000</v>
      </c>
      <c r="Z341" s="9" t="n">
        <v>6</v>
      </c>
      <c r="AA341" s="9" t="n">
        <v>6.5</v>
      </c>
      <c r="AB341" s="9" t="n">
        <v>8</v>
      </c>
      <c r="AC341" s="9" t="n">
        <v>10</v>
      </c>
      <c r="AD341" s="9" t="n">
        <v>14</v>
      </c>
      <c r="AE341" s="9" t="n">
        <v>16.5</v>
      </c>
      <c r="AF341" t="n">
        <v>2024</v>
      </c>
      <c r="AH341" t="inlineStr">
        <is>
          <t>Apartment</t>
        </is>
      </c>
      <c r="AI341" t="inlineStr">
        <is>
          <t>Prime</t>
        </is>
      </c>
      <c r="AJ341" t="inlineStr">
        <is>
          <t>MidTier</t>
        </is>
      </c>
      <c r="AK341" t="inlineStr">
        <is>
          <t>Prime resilient / selective</t>
        </is>
      </c>
      <c r="AL341" s="7" t="inlineStr">
        <is>
          <t>Better support from quality, branding, and scarcer prime stock; still entry-price sensitive.</t>
        </is>
      </c>
      <c r="AM341" s="9" t="n">
        <v>9</v>
      </c>
      <c r="AN341" s="9" t="n">
        <v>6.25</v>
      </c>
      <c r="AO341" s="10" t="n">
        <v>0.55</v>
      </c>
      <c r="AP341" s="13" t="n">
        <v>0.02</v>
      </c>
      <c r="AQ341" s="13" t="n">
        <v>0</v>
      </c>
      <c r="AR341" s="13" t="n">
        <v>0</v>
      </c>
      <c r="AS341" s="13" t="n">
        <v>0.03</v>
      </c>
      <c r="AT341" s="13" t="n">
        <v>-0.005</v>
      </c>
      <c r="AU341" s="13" t="n">
        <v>0.0025</v>
      </c>
      <c r="AV341" s="13" t="n">
        <v>-0.005</v>
      </c>
      <c r="AW341" s="13">
        <f>IF(X341="","",(AM341/100*AO341)+AP341+AQ341+AR341)</f>
        <v/>
      </c>
      <c r="AX341" s="13">
        <f>IF(X341="","",AS341+AT341+AU341+AV341)</f>
        <v/>
      </c>
      <c r="AY341" s="12">
        <f>IF(AZ341="","",ROUND(AZ341*(1+Assumptions!$B$10),0))</f>
        <v/>
      </c>
      <c r="AZ341" s="12">
        <f>IF(X341="","",ROUND(X341*(1+AW341),0))</f>
        <v/>
      </c>
      <c r="BA341" s="12">
        <f>IF(AZ341="","",ROUND(AZ341*(1+Assumptions!$B$11),0))</f>
        <v/>
      </c>
      <c r="BB341" s="12">
        <f>IF(AZ341="","",ROUND(AZ341*(1+AX341+Assumptions!$B$10),0))</f>
        <v/>
      </c>
      <c r="BC341" s="12">
        <f>IF(AZ341="","",ROUND(AZ341*(1+AX341),0))</f>
        <v/>
      </c>
      <c r="BD341" s="12">
        <f>IF(AZ341="","",ROUND(AZ341*(1+AX341+Assumptions!$B$11),0))</f>
        <v/>
      </c>
      <c r="BE341" s="12">
        <f>IF(AZ341="","",ROUND(AZ341*(1+AX341)*(1+AX341),0))</f>
        <v/>
      </c>
      <c r="BF341" s="7" t="inlineStr">
        <is>
          <t>Rules-based enrichment using launch-price anchor, cap-app realization, and 2026 segment conditions.</t>
        </is>
      </c>
      <c r="BG341" t="inlineStr">
        <is>
          <t>2026-03-17</t>
        </is>
      </c>
      <c r="BH341" s="7" t="inlineStr">
        <is>
          <t>DLD / Digital Dubai / CBUAE / Savills / Knight Frank-Moody’s / Reuters</t>
        </is>
      </c>
    </row>
    <row r="342">
      <c r="A342" t="n">
        <v>341</v>
      </c>
      <c r="B342" s="7" t="inlineStr">
        <is>
          <t>Binghatti Ghost</t>
        </is>
      </c>
      <c r="C342" t="inlineStr">
        <is>
          <t>Binghatti Developers</t>
        </is>
      </c>
      <c r="D342" t="inlineStr">
        <is>
          <t>Al Jaddaf</t>
        </is>
      </c>
      <c r="E342" t="inlineStr">
        <is>
          <t>Apartments</t>
        </is>
      </c>
      <c r="F342" s="7" t="inlineStr">
        <is>
          <t>Modern / Budget</t>
        </is>
      </c>
      <c r="G342" t="inlineStr">
        <is>
          <t>800k</t>
        </is>
      </c>
      <c r="H342" t="inlineStr">
        <is>
          <t>1400</t>
        </is>
      </c>
      <c r="I342" t="inlineStr">
        <is>
          <t>15</t>
        </is>
      </c>
      <c r="J342" t="inlineStr">
        <is>
          <t>70/30</t>
        </is>
      </c>
      <c r="K342" t="inlineStr">
        <is>
          <t>2024</t>
        </is>
      </c>
      <c r="L342" t="inlineStr">
        <is>
          <t>7.0-7.5</t>
        </is>
      </c>
      <c r="M342" t="inlineStr">
        <is>
          <t>6-8</t>
        </is>
      </c>
      <c r="N342" t="inlineStr">
        <is>
          <t>13.0-15.5</t>
        </is>
      </c>
      <c r="O342" s="7" t="inlineStr">
        <is>
          <t>Swiss Intl School</t>
        </is>
      </c>
      <c r="P342" s="7" t="inlineStr">
        <is>
          <t>American Hospital</t>
        </is>
      </c>
      <c r="Q342" s="7" t="inlineStr">
        <is>
          <t>Dubai Festival City</t>
        </is>
      </c>
      <c r="R342" s="7" t="inlineStr">
        <is>
          <t>Al Khail E44</t>
        </is>
      </c>
      <c r="S342" t="inlineStr">
        <is>
          <t>10</t>
        </is>
      </c>
      <c r="T342" t="inlineStr">
        <is>
          <t>25</t>
        </is>
      </c>
      <c r="U342" t="inlineStr">
        <is>
          <t>10</t>
        </is>
      </c>
      <c r="V342" t="inlineStr">
        <is>
          <t>40</t>
        </is>
      </c>
      <c r="W342" t="n">
        <v>2</v>
      </c>
      <c r="X342" s="12" t="n">
        <v>800000</v>
      </c>
      <c r="Y342" s="12" t="n">
        <v>800000</v>
      </c>
      <c r="Z342" s="9" t="n">
        <v>7</v>
      </c>
      <c r="AA342" s="9" t="n">
        <v>7.5</v>
      </c>
      <c r="AB342" s="9" t="n">
        <v>6</v>
      </c>
      <c r="AC342" s="9" t="n">
        <v>8</v>
      </c>
      <c r="AD342" s="9" t="n">
        <v>13</v>
      </c>
      <c r="AE342" s="9" t="n">
        <v>15.5</v>
      </c>
      <c r="AF342" t="n">
        <v>2024</v>
      </c>
      <c r="AH342" t="inlineStr">
        <is>
          <t>Apartment</t>
        </is>
      </c>
      <c r="AI342" t="inlineStr">
        <is>
          <t>MainstreamSelective</t>
        </is>
      </c>
      <c r="AJ342" t="inlineStr">
        <is>
          <t>MidTier</t>
        </is>
      </c>
      <c r="AK342" t="inlineStr">
        <is>
          <t>Balanced / selective</t>
        </is>
      </c>
      <c r="AL342" s="7" t="inlineStr">
        <is>
          <t>Market remains active but increasingly differentiated by developer, micro-location, livability, and pricing discipline.</t>
        </is>
      </c>
      <c r="AM342" s="9" t="n">
        <v>7</v>
      </c>
      <c r="AN342" s="9" t="n">
        <v>7.25</v>
      </c>
      <c r="AO342" s="10" t="n">
        <v>0.55</v>
      </c>
      <c r="AP342" s="13" t="n">
        <v>0</v>
      </c>
      <c r="AQ342" s="13" t="n">
        <v>0</v>
      </c>
      <c r="AR342" s="13" t="n">
        <v>0</v>
      </c>
      <c r="AS342" s="13" t="n">
        <v>0.01</v>
      </c>
      <c r="AT342" s="13" t="n">
        <v>-0.005</v>
      </c>
      <c r="AU342" s="13" t="n">
        <v>0.0025</v>
      </c>
      <c r="AV342" s="13" t="n">
        <v>-0.005</v>
      </c>
      <c r="AW342" s="13">
        <f>IF(X342="","",(AM342/100*AO342)+AP342+AQ342+AR342)</f>
        <v/>
      </c>
      <c r="AX342" s="13">
        <f>IF(X342="","",AS342+AT342+AU342+AV342)</f>
        <v/>
      </c>
      <c r="AY342" s="12">
        <f>IF(AZ342="","",ROUND(AZ342*(1+Assumptions!$B$10),0))</f>
        <v/>
      </c>
      <c r="AZ342" s="12">
        <f>IF(X342="","",ROUND(X342*(1+AW342),0))</f>
        <v/>
      </c>
      <c r="BA342" s="12">
        <f>IF(AZ342="","",ROUND(AZ342*(1+Assumptions!$B$11),0))</f>
        <v/>
      </c>
      <c r="BB342" s="12">
        <f>IF(AZ342="","",ROUND(AZ342*(1+AX342+Assumptions!$B$10),0))</f>
        <v/>
      </c>
      <c r="BC342" s="12">
        <f>IF(AZ342="","",ROUND(AZ342*(1+AX342),0))</f>
        <v/>
      </c>
      <c r="BD342" s="12">
        <f>IF(AZ342="","",ROUND(AZ342*(1+AX342+Assumptions!$B$11),0))</f>
        <v/>
      </c>
      <c r="BE342" s="12">
        <f>IF(AZ342="","",ROUND(AZ342*(1+AX342)*(1+AX342),0))</f>
        <v/>
      </c>
      <c r="BF342" s="7" t="inlineStr">
        <is>
          <t>Rules-based enrichment using launch-price anchor, cap-app realization, and 2026 segment conditions.</t>
        </is>
      </c>
      <c r="BG342" t="inlineStr">
        <is>
          <t>2026-03-17</t>
        </is>
      </c>
      <c r="BH342" s="7" t="inlineStr">
        <is>
          <t>DLD / Digital Dubai / CBUAE / Savills / Knight Frank-Moody’s / Reuters</t>
        </is>
      </c>
    </row>
    <row r="343">
      <c r="A343" t="n">
        <v>342</v>
      </c>
      <c r="B343" s="7" t="inlineStr">
        <is>
          <t>One by Binghatti</t>
        </is>
      </c>
      <c r="C343" t="inlineStr">
        <is>
          <t>Binghatti Developers</t>
        </is>
      </c>
      <c r="D343" t="inlineStr">
        <is>
          <t>Business Bay</t>
        </is>
      </c>
      <c r="E343" t="inlineStr">
        <is>
          <t>Apartments</t>
        </is>
      </c>
      <c r="F343" s="7" t="inlineStr">
        <is>
          <t>Luxury / Waterfront</t>
        </is>
      </c>
      <c r="G343" t="inlineStr">
        <is>
          <t>1.5M</t>
        </is>
      </c>
      <c r="H343" t="inlineStr">
        <is>
          <t>2200</t>
        </is>
      </c>
      <c r="I343" t="inlineStr">
        <is>
          <t>18</t>
        </is>
      </c>
      <c r="J343" t="inlineStr">
        <is>
          <t>70/30</t>
        </is>
      </c>
      <c r="K343" t="inlineStr">
        <is>
          <t>2024</t>
        </is>
      </c>
      <c r="L343" t="inlineStr">
        <is>
          <t>6.0-6.5</t>
        </is>
      </c>
      <c r="M343" t="inlineStr">
        <is>
          <t>8-10</t>
        </is>
      </c>
      <c r="N343" t="inlineStr">
        <is>
          <t>14.0-16.5</t>
        </is>
      </c>
      <c r="O343" s="7" t="inlineStr">
        <is>
          <t>Hartland Intl</t>
        </is>
      </c>
      <c r="P343" s="7" t="inlineStr">
        <is>
          <t>Emirates Hospital BB</t>
        </is>
      </c>
      <c r="Q343" s="7" t="inlineStr">
        <is>
          <t>Dubai Mall</t>
        </is>
      </c>
      <c r="R343" s="7" t="inlineStr">
        <is>
          <t>Al Khail E44</t>
        </is>
      </c>
      <c r="S343" t="inlineStr">
        <is>
          <t>5</t>
        </is>
      </c>
      <c r="T343" t="inlineStr">
        <is>
          <t>20</t>
        </is>
      </c>
      <c r="U343" t="inlineStr">
        <is>
          <t>15</t>
        </is>
      </c>
      <c r="V343" t="inlineStr">
        <is>
          <t>35</t>
        </is>
      </c>
      <c r="W343" t="n">
        <v>2</v>
      </c>
      <c r="X343" s="12" t="n">
        <v>1500000</v>
      </c>
      <c r="Y343" s="12" t="n">
        <v>1500000</v>
      </c>
      <c r="Z343" s="9" t="n">
        <v>6</v>
      </c>
      <c r="AA343" s="9" t="n">
        <v>6.5</v>
      </c>
      <c r="AB343" s="9" t="n">
        <v>8</v>
      </c>
      <c r="AC343" s="9" t="n">
        <v>10</v>
      </c>
      <c r="AD343" s="9" t="n">
        <v>14</v>
      </c>
      <c r="AE343" s="9" t="n">
        <v>16.5</v>
      </c>
      <c r="AF343" t="n">
        <v>2024</v>
      </c>
      <c r="AH343" t="inlineStr">
        <is>
          <t>Apartment</t>
        </is>
      </c>
      <c r="AI343" t="inlineStr">
        <is>
          <t>Prime</t>
        </is>
      </c>
      <c r="AJ343" t="inlineStr">
        <is>
          <t>MidTier</t>
        </is>
      </c>
      <c r="AK343" t="inlineStr">
        <is>
          <t>Prime resilient / selective</t>
        </is>
      </c>
      <c r="AL343" s="7" t="inlineStr">
        <is>
          <t>Better support from quality, branding, and scarcer prime stock; still entry-price sensitive.</t>
        </is>
      </c>
      <c r="AM343" s="9" t="n">
        <v>9</v>
      </c>
      <c r="AN343" s="9" t="n">
        <v>6.25</v>
      </c>
      <c r="AO343" s="10" t="n">
        <v>0.55</v>
      </c>
      <c r="AP343" s="13" t="n">
        <v>0.02</v>
      </c>
      <c r="AQ343" s="13" t="n">
        <v>0</v>
      </c>
      <c r="AR343" s="13" t="n">
        <v>0</v>
      </c>
      <c r="AS343" s="13" t="n">
        <v>0.03</v>
      </c>
      <c r="AT343" s="13" t="n">
        <v>-0.005</v>
      </c>
      <c r="AU343" s="13" t="n">
        <v>0.0025</v>
      </c>
      <c r="AV343" s="13" t="n">
        <v>-0.005</v>
      </c>
      <c r="AW343" s="13">
        <f>IF(X343="","",(AM343/100*AO343)+AP343+AQ343+AR343)</f>
        <v/>
      </c>
      <c r="AX343" s="13">
        <f>IF(X343="","",AS343+AT343+AU343+AV343)</f>
        <v/>
      </c>
      <c r="AY343" s="12">
        <f>IF(AZ343="","",ROUND(AZ343*(1+Assumptions!$B$10),0))</f>
        <v/>
      </c>
      <c r="AZ343" s="12">
        <f>IF(X343="","",ROUND(X343*(1+AW343),0))</f>
        <v/>
      </c>
      <c r="BA343" s="12">
        <f>IF(AZ343="","",ROUND(AZ343*(1+Assumptions!$B$11),0))</f>
        <v/>
      </c>
      <c r="BB343" s="12">
        <f>IF(AZ343="","",ROUND(AZ343*(1+AX343+Assumptions!$B$10),0))</f>
        <v/>
      </c>
      <c r="BC343" s="12">
        <f>IF(AZ343="","",ROUND(AZ343*(1+AX343),0))</f>
        <v/>
      </c>
      <c r="BD343" s="12">
        <f>IF(AZ343="","",ROUND(AZ343*(1+AX343+Assumptions!$B$11),0))</f>
        <v/>
      </c>
      <c r="BE343" s="12">
        <f>IF(AZ343="","",ROUND(AZ343*(1+AX343)*(1+AX343),0))</f>
        <v/>
      </c>
      <c r="BF343" s="7" t="inlineStr">
        <is>
          <t>Rules-based enrichment using launch-price anchor, cap-app realization, and 2026 segment conditions.</t>
        </is>
      </c>
      <c r="BG343" t="inlineStr">
        <is>
          <t>2026-03-17</t>
        </is>
      </c>
      <c r="BH343" s="7" t="inlineStr">
        <is>
          <t>DLD / Digital Dubai / CBUAE / Savills / Knight Frank-Moody’s / Reuters</t>
        </is>
      </c>
    </row>
    <row r="344">
      <c r="A344" t="n">
        <v>343</v>
      </c>
      <c r="B344" s="7" t="inlineStr">
        <is>
          <t>Bugatti Residences</t>
        </is>
      </c>
      <c r="C344" t="inlineStr">
        <is>
          <t>Binghatti Developers</t>
        </is>
      </c>
      <c r="D344" t="inlineStr">
        <is>
          <t>Business Bay</t>
        </is>
      </c>
      <c r="E344" t="inlineStr">
        <is>
          <t>Branded Apts</t>
        </is>
      </c>
      <c r="F344" s="7" t="inlineStr">
        <is>
          <t>Ultra-Luxury / Car Lift</t>
        </is>
      </c>
      <c r="G344" t="inlineStr">
        <is>
          <t>19M+</t>
        </is>
      </c>
      <c r="H344" t="inlineStr">
        <is>
          <t>5000+</t>
        </is>
      </c>
      <c r="I344" t="inlineStr">
        <is>
          <t>40+</t>
        </is>
      </c>
      <c r="J344" t="inlineStr">
        <is>
          <t>70/30</t>
        </is>
      </c>
      <c r="K344" t="inlineStr">
        <is>
          <t>2023</t>
        </is>
      </c>
      <c r="L344" t="inlineStr">
        <is>
          <t>4.0-4.5</t>
        </is>
      </c>
      <c r="M344" t="inlineStr">
        <is>
          <t>8-12</t>
        </is>
      </c>
      <c r="N344" t="inlineStr">
        <is>
          <t>12.0-16.5</t>
        </is>
      </c>
      <c r="O344" s="7" t="inlineStr">
        <is>
          <t>Hartland Intl</t>
        </is>
      </c>
      <c r="P344" s="7" t="inlineStr">
        <is>
          <t>Emirates Hospital BB</t>
        </is>
      </c>
      <c r="Q344" s="7" t="inlineStr">
        <is>
          <t>Dubai Mall</t>
        </is>
      </c>
      <c r="R344" s="7" t="inlineStr">
        <is>
          <t>Al Khail E44</t>
        </is>
      </c>
      <c r="S344" t="inlineStr">
        <is>
          <t>5</t>
        </is>
      </c>
      <c r="T344" t="inlineStr">
        <is>
          <t>20</t>
        </is>
      </c>
      <c r="U344" t="inlineStr">
        <is>
          <t>15</t>
        </is>
      </c>
      <c r="V344" t="inlineStr">
        <is>
          <t>35</t>
        </is>
      </c>
      <c r="W344" t="n">
        <v>2</v>
      </c>
      <c r="X344" s="12" t="n">
        <v>19000000</v>
      </c>
      <c r="Y344" s="12" t="n">
        <v>19000000</v>
      </c>
      <c r="Z344" s="9" t="n">
        <v>4</v>
      </c>
      <c r="AA344" s="9" t="n">
        <v>4.5</v>
      </c>
      <c r="AB344" s="9" t="n">
        <v>8</v>
      </c>
      <c r="AC344" s="9" t="n">
        <v>12</v>
      </c>
      <c r="AD344" s="9" t="n">
        <v>12</v>
      </c>
      <c r="AE344" s="9" t="n">
        <v>16.5</v>
      </c>
      <c r="AF344" t="n">
        <v>2023</v>
      </c>
      <c r="AH344" t="inlineStr">
        <is>
          <t>Apartment</t>
        </is>
      </c>
      <c r="AI344" t="inlineStr">
        <is>
          <t>Prime</t>
        </is>
      </c>
      <c r="AJ344" t="inlineStr">
        <is>
          <t>MidTier</t>
        </is>
      </c>
      <c r="AK344" t="inlineStr">
        <is>
          <t>Prime resilient / selective</t>
        </is>
      </c>
      <c r="AL344" s="7" t="inlineStr">
        <is>
          <t>Better support from quality, branding, and scarcer prime stock; still entry-price sensitive.</t>
        </is>
      </c>
      <c r="AM344" s="9" t="n">
        <v>10</v>
      </c>
      <c r="AN344" s="9" t="n">
        <v>4.25</v>
      </c>
      <c r="AO344" s="10" t="n">
        <v>0.55</v>
      </c>
      <c r="AP344" s="13" t="n">
        <v>0.02</v>
      </c>
      <c r="AQ344" s="13" t="n">
        <v>0</v>
      </c>
      <c r="AR344" s="13" t="n">
        <v>0</v>
      </c>
      <c r="AS344" s="13" t="n">
        <v>0.03</v>
      </c>
      <c r="AT344" s="13" t="n">
        <v>-0.005</v>
      </c>
      <c r="AU344" s="13" t="n">
        <v>0</v>
      </c>
      <c r="AV344" s="13" t="n">
        <v>-0.005</v>
      </c>
      <c r="AW344" s="13">
        <f>IF(X344="","",(AM344/100*AO344)+AP344+AQ344+AR344)</f>
        <v/>
      </c>
      <c r="AX344" s="13">
        <f>IF(X344="","",AS344+AT344+AU344+AV344)</f>
        <v/>
      </c>
      <c r="AY344" s="12">
        <f>IF(AZ344="","",ROUND(AZ344*(1+Assumptions!$B$10),0))</f>
        <v/>
      </c>
      <c r="AZ344" s="12">
        <f>IF(X344="","",ROUND(X344*(1+AW344),0))</f>
        <v/>
      </c>
      <c r="BA344" s="12">
        <f>IF(AZ344="","",ROUND(AZ344*(1+Assumptions!$B$11),0))</f>
        <v/>
      </c>
      <c r="BB344" s="12">
        <f>IF(AZ344="","",ROUND(AZ344*(1+AX344+Assumptions!$B$10),0))</f>
        <v/>
      </c>
      <c r="BC344" s="12">
        <f>IF(AZ344="","",ROUND(AZ344*(1+AX344),0))</f>
        <v/>
      </c>
      <c r="BD344" s="12">
        <f>IF(AZ344="","",ROUND(AZ344*(1+AX344+Assumptions!$B$11),0))</f>
        <v/>
      </c>
      <c r="BE344" s="12">
        <f>IF(AZ344="","",ROUND(AZ344*(1+AX344)*(1+AX344),0))</f>
        <v/>
      </c>
      <c r="BF344" s="7" t="inlineStr">
        <is>
          <t>Rules-based enrichment using launch-price anchor, cap-app realization, and 2026 segment conditions.</t>
        </is>
      </c>
      <c r="BG344" t="inlineStr">
        <is>
          <t>2026-03-17</t>
        </is>
      </c>
      <c r="BH344" s="7" t="inlineStr">
        <is>
          <t>DLD / Digital Dubai / CBUAE / Savills / Knight Frank-Moody’s / Reuters</t>
        </is>
      </c>
    </row>
    <row r="345">
      <c r="A345" t="n">
        <v>344</v>
      </c>
      <c r="B345" s="7" t="inlineStr">
        <is>
          <t>Burj Binghatti Jacob &amp; Co</t>
        </is>
      </c>
      <c r="C345" t="inlineStr">
        <is>
          <t>Binghatti Developers</t>
        </is>
      </c>
      <c r="D345" t="inlineStr">
        <is>
          <t>Business Bay</t>
        </is>
      </c>
      <c r="E345" t="inlineStr">
        <is>
          <t>Branded Apts</t>
        </is>
      </c>
      <c r="F345" s="7" t="inlineStr">
        <is>
          <t>Hyper-Tower / Jewel</t>
        </is>
      </c>
      <c r="G345" t="inlineStr">
        <is>
          <t>8M+</t>
        </is>
      </c>
      <c r="H345" t="inlineStr">
        <is>
          <t>4500</t>
        </is>
      </c>
      <c r="I345" t="inlineStr">
        <is>
          <t>35+</t>
        </is>
      </c>
      <c r="J345" t="inlineStr">
        <is>
          <t>70/30</t>
        </is>
      </c>
      <c r="K345" t="inlineStr">
        <is>
          <t>2022</t>
        </is>
      </c>
      <c r="L345" t="inlineStr">
        <is>
          <t>4.0-4.5</t>
        </is>
      </c>
      <c r="M345" t="inlineStr">
        <is>
          <t>8-12</t>
        </is>
      </c>
      <c r="N345" t="inlineStr">
        <is>
          <t>12.0-16.5</t>
        </is>
      </c>
      <c r="O345" s="7" t="inlineStr">
        <is>
          <t>Hartland Intl</t>
        </is>
      </c>
      <c r="P345" s="7" t="inlineStr">
        <is>
          <t>Emirates Hospital BB</t>
        </is>
      </c>
      <c r="Q345" s="7" t="inlineStr">
        <is>
          <t>Dubai Mall</t>
        </is>
      </c>
      <c r="R345" s="7" t="inlineStr">
        <is>
          <t>Al Khail E44</t>
        </is>
      </c>
      <c r="S345" t="inlineStr">
        <is>
          <t>5</t>
        </is>
      </c>
      <c r="T345" t="inlineStr">
        <is>
          <t>20</t>
        </is>
      </c>
      <c r="U345" t="inlineStr">
        <is>
          <t>15</t>
        </is>
      </c>
      <c r="V345" t="inlineStr">
        <is>
          <t>35</t>
        </is>
      </c>
      <c r="W345" t="n">
        <v>2</v>
      </c>
      <c r="X345" s="12" t="n">
        <v>8000000</v>
      </c>
      <c r="Y345" s="12" t="n">
        <v>8000000</v>
      </c>
      <c r="Z345" s="9" t="n">
        <v>4</v>
      </c>
      <c r="AA345" s="9" t="n">
        <v>4.5</v>
      </c>
      <c r="AB345" s="9" t="n">
        <v>8</v>
      </c>
      <c r="AC345" s="9" t="n">
        <v>12</v>
      </c>
      <c r="AD345" s="9" t="n">
        <v>12</v>
      </c>
      <c r="AE345" s="9" t="n">
        <v>16.5</v>
      </c>
      <c r="AF345" t="n">
        <v>2022</v>
      </c>
      <c r="AH345" t="inlineStr">
        <is>
          <t>Apartment</t>
        </is>
      </c>
      <c r="AI345" t="inlineStr">
        <is>
          <t>Prime</t>
        </is>
      </c>
      <c r="AJ345" t="inlineStr">
        <is>
          <t>MidTier</t>
        </is>
      </c>
      <c r="AK345" t="inlineStr">
        <is>
          <t>Prime resilient / selective</t>
        </is>
      </c>
      <c r="AL345" s="7" t="inlineStr">
        <is>
          <t>Better support from quality, branding, and scarcer prime stock; still entry-price sensitive.</t>
        </is>
      </c>
      <c r="AM345" s="9" t="n">
        <v>10</v>
      </c>
      <c r="AN345" s="9" t="n">
        <v>4.25</v>
      </c>
      <c r="AO345" s="10" t="n">
        <v>0.55</v>
      </c>
      <c r="AP345" s="13" t="n">
        <v>0.02</v>
      </c>
      <c r="AQ345" s="13" t="n">
        <v>0</v>
      </c>
      <c r="AR345" s="13" t="n">
        <v>0</v>
      </c>
      <c r="AS345" s="13" t="n">
        <v>0.03</v>
      </c>
      <c r="AT345" s="13" t="n">
        <v>-0.005</v>
      </c>
      <c r="AU345" s="13" t="n">
        <v>0</v>
      </c>
      <c r="AV345" s="13" t="n">
        <v>-0.005</v>
      </c>
      <c r="AW345" s="13">
        <f>IF(X345="","",(AM345/100*AO345)+AP345+AQ345+AR345)</f>
        <v/>
      </c>
      <c r="AX345" s="13">
        <f>IF(X345="","",AS345+AT345+AU345+AV345)</f>
        <v/>
      </c>
      <c r="AY345" s="12">
        <f>IF(AZ345="","",ROUND(AZ345*(1+Assumptions!$B$10),0))</f>
        <v/>
      </c>
      <c r="AZ345" s="12">
        <f>IF(X345="","",ROUND(X345*(1+AW345),0))</f>
        <v/>
      </c>
      <c r="BA345" s="12">
        <f>IF(AZ345="","",ROUND(AZ345*(1+Assumptions!$B$11),0))</f>
        <v/>
      </c>
      <c r="BB345" s="12">
        <f>IF(AZ345="","",ROUND(AZ345*(1+AX345+Assumptions!$B$10),0))</f>
        <v/>
      </c>
      <c r="BC345" s="12">
        <f>IF(AZ345="","",ROUND(AZ345*(1+AX345),0))</f>
        <v/>
      </c>
      <c r="BD345" s="12">
        <f>IF(AZ345="","",ROUND(AZ345*(1+AX345+Assumptions!$B$11),0))</f>
        <v/>
      </c>
      <c r="BE345" s="12">
        <f>IF(AZ345="","",ROUND(AZ345*(1+AX345)*(1+AX345),0))</f>
        <v/>
      </c>
      <c r="BF345" s="7" t="inlineStr">
        <is>
          <t>Rules-based enrichment using launch-price anchor, cap-app realization, and 2026 segment conditions.</t>
        </is>
      </c>
      <c r="BG345" t="inlineStr">
        <is>
          <t>2026-03-17</t>
        </is>
      </c>
      <c r="BH345" s="7" t="inlineStr">
        <is>
          <t>DLD / Digital Dubai / CBUAE / Savills / Knight Frank-Moody’s / Reuters</t>
        </is>
      </c>
    </row>
    <row r="346">
      <c r="A346" t="n">
        <v>345</v>
      </c>
      <c r="B346" s="7" t="inlineStr">
        <is>
          <t>Binghatti Trillionaire</t>
        </is>
      </c>
      <c r="C346" t="inlineStr">
        <is>
          <t>Binghatti Developers</t>
        </is>
      </c>
      <c r="D346" t="inlineStr">
        <is>
          <t>Business Bay</t>
        </is>
      </c>
      <c r="E346" t="inlineStr">
        <is>
          <t>Apartments</t>
        </is>
      </c>
      <c r="F346" s="7" t="inlineStr">
        <is>
          <t>Waterfront / Luxury</t>
        </is>
      </c>
      <c r="G346" t="inlineStr">
        <is>
          <t>1.8M</t>
        </is>
      </c>
      <c r="H346" t="inlineStr">
        <is>
          <t>2300</t>
        </is>
      </c>
      <c r="I346" t="inlineStr">
        <is>
          <t>18</t>
        </is>
      </c>
      <c r="J346" t="inlineStr">
        <is>
          <t>70/30</t>
        </is>
      </c>
      <c r="K346" t="inlineStr">
        <is>
          <t>2023</t>
        </is>
      </c>
      <c r="L346" t="inlineStr">
        <is>
          <t>6.0-6.5</t>
        </is>
      </c>
      <c r="M346" t="inlineStr">
        <is>
          <t>7-9</t>
        </is>
      </c>
      <c r="N346" t="inlineStr">
        <is>
          <t>13.0-15.5</t>
        </is>
      </c>
      <c r="O346" s="7" t="inlineStr">
        <is>
          <t>Hartland Intl</t>
        </is>
      </c>
      <c r="P346" s="7" t="inlineStr">
        <is>
          <t>Emirates Hospital BB</t>
        </is>
      </c>
      <c r="Q346" s="7" t="inlineStr">
        <is>
          <t>Dubai Mall</t>
        </is>
      </c>
      <c r="R346" s="7" t="inlineStr">
        <is>
          <t>Al Khail E44</t>
        </is>
      </c>
      <c r="S346" t="inlineStr">
        <is>
          <t>5</t>
        </is>
      </c>
      <c r="T346" t="inlineStr">
        <is>
          <t>20</t>
        </is>
      </c>
      <c r="U346" t="inlineStr">
        <is>
          <t>15</t>
        </is>
      </c>
      <c r="V346" t="inlineStr">
        <is>
          <t>35</t>
        </is>
      </c>
      <c r="W346" t="n">
        <v>2</v>
      </c>
      <c r="X346" s="12" t="n">
        <v>1800000</v>
      </c>
      <c r="Y346" s="12" t="n">
        <v>1800000</v>
      </c>
      <c r="Z346" s="9" t="n">
        <v>6</v>
      </c>
      <c r="AA346" s="9" t="n">
        <v>6.5</v>
      </c>
      <c r="AB346" s="9" t="n">
        <v>7</v>
      </c>
      <c r="AC346" s="9" t="n">
        <v>9</v>
      </c>
      <c r="AD346" s="9" t="n">
        <v>13</v>
      </c>
      <c r="AE346" s="9" t="n">
        <v>15.5</v>
      </c>
      <c r="AF346" t="n">
        <v>2023</v>
      </c>
      <c r="AH346" t="inlineStr">
        <is>
          <t>Apartment</t>
        </is>
      </c>
      <c r="AI346" t="inlineStr">
        <is>
          <t>Prime</t>
        </is>
      </c>
      <c r="AJ346" t="inlineStr">
        <is>
          <t>MidTier</t>
        </is>
      </c>
      <c r="AK346" t="inlineStr">
        <is>
          <t>Prime resilient / selective</t>
        </is>
      </c>
      <c r="AL346" s="7" t="inlineStr">
        <is>
          <t>Better support from quality, branding, and scarcer prime stock; still entry-price sensitive.</t>
        </is>
      </c>
      <c r="AM346" s="9" t="n">
        <v>8</v>
      </c>
      <c r="AN346" s="9" t="n">
        <v>6.25</v>
      </c>
      <c r="AO346" s="10" t="n">
        <v>0.55</v>
      </c>
      <c r="AP346" s="13" t="n">
        <v>0.02</v>
      </c>
      <c r="AQ346" s="13" t="n">
        <v>0</v>
      </c>
      <c r="AR346" s="13" t="n">
        <v>0</v>
      </c>
      <c r="AS346" s="13" t="n">
        <v>0.03</v>
      </c>
      <c r="AT346" s="13" t="n">
        <v>-0.005</v>
      </c>
      <c r="AU346" s="13" t="n">
        <v>0.0025</v>
      </c>
      <c r="AV346" s="13" t="n">
        <v>-0.005</v>
      </c>
      <c r="AW346" s="13">
        <f>IF(X346="","",(AM346/100*AO346)+AP346+AQ346+AR346)</f>
        <v/>
      </c>
      <c r="AX346" s="13">
        <f>IF(X346="","",AS346+AT346+AU346+AV346)</f>
        <v/>
      </c>
      <c r="AY346" s="12">
        <f>IF(AZ346="","",ROUND(AZ346*(1+Assumptions!$B$10),0))</f>
        <v/>
      </c>
      <c r="AZ346" s="12">
        <f>IF(X346="","",ROUND(X346*(1+AW346),0))</f>
        <v/>
      </c>
      <c r="BA346" s="12">
        <f>IF(AZ346="","",ROUND(AZ346*(1+Assumptions!$B$11),0))</f>
        <v/>
      </c>
      <c r="BB346" s="12">
        <f>IF(AZ346="","",ROUND(AZ346*(1+AX346+Assumptions!$B$10),0))</f>
        <v/>
      </c>
      <c r="BC346" s="12">
        <f>IF(AZ346="","",ROUND(AZ346*(1+AX346),0))</f>
        <v/>
      </c>
      <c r="BD346" s="12">
        <f>IF(AZ346="","",ROUND(AZ346*(1+AX346+Assumptions!$B$11),0))</f>
        <v/>
      </c>
      <c r="BE346" s="12">
        <f>IF(AZ346="","",ROUND(AZ346*(1+AX346)*(1+AX346),0))</f>
        <v/>
      </c>
      <c r="BF346" s="7" t="inlineStr">
        <is>
          <t>Rules-based enrichment using launch-price anchor, cap-app realization, and 2026 segment conditions.</t>
        </is>
      </c>
      <c r="BG346" t="inlineStr">
        <is>
          <t>2026-03-17</t>
        </is>
      </c>
      <c r="BH346" s="7" t="inlineStr">
        <is>
          <t>DLD / Digital Dubai / CBUAE / Savills / Knight Frank-Moody’s / Reuters</t>
        </is>
      </c>
    </row>
    <row r="347">
      <c r="A347" t="n">
        <v>346</v>
      </c>
      <c r="B347" s="7" t="inlineStr">
        <is>
          <t>Binghatti Mercedes-Benz Places</t>
        </is>
      </c>
      <c r="C347" t="inlineStr">
        <is>
          <t>Binghatti Developers</t>
        </is>
      </c>
      <c r="D347" t="inlineStr">
        <is>
          <t>Downtown Dubai</t>
        </is>
      </c>
      <c r="E347" t="inlineStr">
        <is>
          <t>Branded Apts</t>
        </is>
      </c>
      <c r="F347" s="7" t="inlineStr">
        <is>
          <t>Iconic Tower</t>
        </is>
      </c>
      <c r="G347" t="inlineStr">
        <is>
          <t>8.8M</t>
        </is>
      </c>
      <c r="H347" t="inlineStr">
        <is>
          <t>3500</t>
        </is>
      </c>
      <c r="I347" t="inlineStr">
        <is>
          <t>35+</t>
        </is>
      </c>
      <c r="J347" t="inlineStr">
        <is>
          <t>70/30</t>
        </is>
      </c>
      <c r="K347" t="inlineStr">
        <is>
          <t>Q4 2026</t>
        </is>
      </c>
      <c r="L347" t="inlineStr">
        <is>
          <t>4.0-4.5</t>
        </is>
      </c>
      <c r="M347" t="inlineStr">
        <is>
          <t>10-15</t>
        </is>
      </c>
      <c r="N347" t="inlineStr">
        <is>
          <t>14.0-19.5</t>
        </is>
      </c>
      <c r="O347" s="7" t="inlineStr">
        <is>
          <t>Hartland Intl</t>
        </is>
      </c>
      <c r="P347" s="7" t="inlineStr">
        <is>
          <t>Mediclinic Dubai Mall</t>
        </is>
      </c>
      <c r="Q347" s="7" t="inlineStr">
        <is>
          <t>Dubai Mall</t>
        </is>
      </c>
      <c r="R347" s="7" t="inlineStr">
        <is>
          <t>Financial Ctr Rd</t>
        </is>
      </c>
      <c r="S347" t="inlineStr">
        <is>
          <t>5</t>
        </is>
      </c>
      <c r="T347" t="inlineStr">
        <is>
          <t>20</t>
        </is>
      </c>
      <c r="U347" t="inlineStr">
        <is>
          <t>15</t>
        </is>
      </c>
      <c r="V347" t="inlineStr">
        <is>
          <t>35</t>
        </is>
      </c>
      <c r="W347" t="n">
        <v>2</v>
      </c>
      <c r="X347" s="12" t="n">
        <v>8800000</v>
      </c>
      <c r="Y347" s="12" t="n">
        <v>8800000</v>
      </c>
      <c r="Z347" s="9" t="n">
        <v>4</v>
      </c>
      <c r="AA347" s="9" t="n">
        <v>4.5</v>
      </c>
      <c r="AB347" s="9" t="n">
        <v>10</v>
      </c>
      <c r="AC347" s="9" t="n">
        <v>15</v>
      </c>
      <c r="AD347" s="9" t="n">
        <v>14</v>
      </c>
      <c r="AE347" s="9" t="n">
        <v>19.5</v>
      </c>
      <c r="AF347" t="n">
        <v>2026</v>
      </c>
      <c r="AG347" t="n">
        <v>4</v>
      </c>
      <c r="AH347" t="inlineStr">
        <is>
          <t>Apartment</t>
        </is>
      </c>
      <c r="AI347" t="inlineStr">
        <is>
          <t>Prime</t>
        </is>
      </c>
      <c r="AJ347" t="inlineStr">
        <is>
          <t>MidTier</t>
        </is>
      </c>
      <c r="AK347" t="inlineStr">
        <is>
          <t>Prime resilient / selective</t>
        </is>
      </c>
      <c r="AL347" s="7" t="inlineStr">
        <is>
          <t>Better support from quality, branding, and scarcer prime stock; still entry-price sensitive.</t>
        </is>
      </c>
      <c r="AM347" s="9" t="n">
        <v>12.5</v>
      </c>
      <c r="AN347" s="9" t="n">
        <v>4.25</v>
      </c>
      <c r="AO347" s="10" t="n">
        <v>0.25</v>
      </c>
      <c r="AP347" s="13" t="n">
        <v>0.02</v>
      </c>
      <c r="AQ347" s="13" t="n">
        <v>0</v>
      </c>
      <c r="AR347" s="13" t="n">
        <v>0</v>
      </c>
      <c r="AS347" s="13" t="n">
        <v>0.03</v>
      </c>
      <c r="AT347" s="13" t="n">
        <v>-0.005</v>
      </c>
      <c r="AU347" s="13" t="n">
        <v>0</v>
      </c>
      <c r="AV347" s="13" t="n">
        <v>-0.005</v>
      </c>
      <c r="AW347" s="13">
        <f>IF(X347="","",(AM347/100*AO347)+AP347+AQ347+AR347)</f>
        <v/>
      </c>
      <c r="AX347" s="13">
        <f>IF(X347="","",AS347+AT347+AU347+AV347)</f>
        <v/>
      </c>
      <c r="AY347" s="12">
        <f>IF(AZ347="","",ROUND(AZ347*(1+Assumptions!$B$10),0))</f>
        <v/>
      </c>
      <c r="AZ347" s="12">
        <f>IF(X347="","",ROUND(X347*(1+AW347),0))</f>
        <v/>
      </c>
      <c r="BA347" s="12">
        <f>IF(AZ347="","",ROUND(AZ347*(1+Assumptions!$B$11),0))</f>
        <v/>
      </c>
      <c r="BB347" s="12">
        <f>IF(AZ347="","",ROUND(AZ347*(1+AX347+Assumptions!$B$10),0))</f>
        <v/>
      </c>
      <c r="BC347" s="12">
        <f>IF(AZ347="","",ROUND(AZ347*(1+AX347),0))</f>
        <v/>
      </c>
      <c r="BD347" s="12">
        <f>IF(AZ347="","",ROUND(AZ347*(1+AX347+Assumptions!$B$11),0))</f>
        <v/>
      </c>
      <c r="BE347" s="12">
        <f>IF(AZ347="","",ROUND(AZ347*(1+AX347)*(1+AX347),0))</f>
        <v/>
      </c>
      <c r="BF347" s="7" t="inlineStr">
        <is>
          <t>Rules-based enrichment using launch-price anchor, cap-app realization, and 2026 segment conditions.</t>
        </is>
      </c>
      <c r="BG347" t="inlineStr">
        <is>
          <t>2026-03-17</t>
        </is>
      </c>
      <c r="BH347" s="7" t="inlineStr">
        <is>
          <t>DLD / Digital Dubai / CBUAE / Savills / Knight Frank-Moody’s / Reuters</t>
        </is>
      </c>
    </row>
    <row r="348">
      <c r="A348" t="n">
        <v>347</v>
      </c>
      <c r="B348" s="7" t="inlineStr">
        <is>
          <t>Binghatti Cullinan</t>
        </is>
      </c>
      <c r="C348" t="inlineStr">
        <is>
          <t>Binghatti Developers</t>
        </is>
      </c>
      <c r="D348" t="inlineStr">
        <is>
          <t>Al Jaddaf</t>
        </is>
      </c>
      <c r="E348" t="inlineStr">
        <is>
          <t>Apartments</t>
        </is>
      </c>
      <c r="F348" s="7" t="inlineStr">
        <is>
          <t>Luxury / Budget</t>
        </is>
      </c>
      <c r="G348" t="inlineStr">
        <is>
          <t>900k</t>
        </is>
      </c>
      <c r="H348" t="inlineStr">
        <is>
          <t>1500</t>
        </is>
      </c>
      <c r="I348" t="inlineStr">
        <is>
          <t>15</t>
        </is>
      </c>
      <c r="J348" t="inlineStr">
        <is>
          <t>70/30</t>
        </is>
      </c>
      <c r="K348" t="inlineStr">
        <is>
          <t>2024</t>
        </is>
      </c>
      <c r="L348" t="inlineStr">
        <is>
          <t>7.0-7.5</t>
        </is>
      </c>
      <c r="M348" t="inlineStr">
        <is>
          <t>6-8</t>
        </is>
      </c>
      <c r="N348" t="inlineStr">
        <is>
          <t>13.0-15.5</t>
        </is>
      </c>
      <c r="O348" s="7" t="inlineStr">
        <is>
          <t>Swiss Intl School</t>
        </is>
      </c>
      <c r="P348" s="7" t="inlineStr">
        <is>
          <t>American Hospital</t>
        </is>
      </c>
      <c r="Q348" s="7" t="inlineStr">
        <is>
          <t>Dubai Festival City</t>
        </is>
      </c>
      <c r="R348" s="7" t="inlineStr">
        <is>
          <t>Al Khail E44</t>
        </is>
      </c>
      <c r="S348" t="inlineStr">
        <is>
          <t>10</t>
        </is>
      </c>
      <c r="T348" t="inlineStr">
        <is>
          <t>25</t>
        </is>
      </c>
      <c r="U348" t="inlineStr">
        <is>
          <t>10</t>
        </is>
      </c>
      <c r="V348" t="inlineStr">
        <is>
          <t>40</t>
        </is>
      </c>
      <c r="W348" t="n">
        <v>2</v>
      </c>
      <c r="X348" s="12" t="n">
        <v>900000</v>
      </c>
      <c r="Y348" s="12" t="n">
        <v>900000</v>
      </c>
      <c r="Z348" s="9" t="n">
        <v>7</v>
      </c>
      <c r="AA348" s="9" t="n">
        <v>7.5</v>
      </c>
      <c r="AB348" s="9" t="n">
        <v>6</v>
      </c>
      <c r="AC348" s="9" t="n">
        <v>8</v>
      </c>
      <c r="AD348" s="9" t="n">
        <v>13</v>
      </c>
      <c r="AE348" s="9" t="n">
        <v>15.5</v>
      </c>
      <c r="AF348" t="n">
        <v>2024</v>
      </c>
      <c r="AH348" t="inlineStr">
        <is>
          <t>Apartment</t>
        </is>
      </c>
      <c r="AI348" t="inlineStr">
        <is>
          <t>MainstreamSelective</t>
        </is>
      </c>
      <c r="AJ348" t="inlineStr">
        <is>
          <t>MidTier</t>
        </is>
      </c>
      <c r="AK348" t="inlineStr">
        <is>
          <t>Balanced / selective</t>
        </is>
      </c>
      <c r="AL348" s="7" t="inlineStr">
        <is>
          <t>Market remains active but increasingly differentiated by developer, micro-location, livability, and pricing discipline.</t>
        </is>
      </c>
      <c r="AM348" s="9" t="n">
        <v>7</v>
      </c>
      <c r="AN348" s="9" t="n">
        <v>7.25</v>
      </c>
      <c r="AO348" s="10" t="n">
        <v>0.55</v>
      </c>
      <c r="AP348" s="13" t="n">
        <v>0</v>
      </c>
      <c r="AQ348" s="13" t="n">
        <v>0</v>
      </c>
      <c r="AR348" s="13" t="n">
        <v>0</v>
      </c>
      <c r="AS348" s="13" t="n">
        <v>0.01</v>
      </c>
      <c r="AT348" s="13" t="n">
        <v>-0.005</v>
      </c>
      <c r="AU348" s="13" t="n">
        <v>0.0025</v>
      </c>
      <c r="AV348" s="13" t="n">
        <v>-0.005</v>
      </c>
      <c r="AW348" s="13">
        <f>IF(X348="","",(AM348/100*AO348)+AP348+AQ348+AR348)</f>
        <v/>
      </c>
      <c r="AX348" s="13">
        <f>IF(X348="","",AS348+AT348+AU348+AV348)</f>
        <v/>
      </c>
      <c r="AY348" s="12">
        <f>IF(AZ348="","",ROUND(AZ348*(1+Assumptions!$B$10),0))</f>
        <v/>
      </c>
      <c r="AZ348" s="12">
        <f>IF(X348="","",ROUND(X348*(1+AW348),0))</f>
        <v/>
      </c>
      <c r="BA348" s="12">
        <f>IF(AZ348="","",ROUND(AZ348*(1+Assumptions!$B$11),0))</f>
        <v/>
      </c>
      <c r="BB348" s="12">
        <f>IF(AZ348="","",ROUND(AZ348*(1+AX348+Assumptions!$B$10),0))</f>
        <v/>
      </c>
      <c r="BC348" s="12">
        <f>IF(AZ348="","",ROUND(AZ348*(1+AX348),0))</f>
        <v/>
      </c>
      <c r="BD348" s="12">
        <f>IF(AZ348="","",ROUND(AZ348*(1+AX348+Assumptions!$B$11),0))</f>
        <v/>
      </c>
      <c r="BE348" s="12">
        <f>IF(AZ348="","",ROUND(AZ348*(1+AX348)*(1+AX348),0))</f>
        <v/>
      </c>
      <c r="BF348" s="7" t="inlineStr">
        <is>
          <t>Rules-based enrichment using launch-price anchor, cap-app realization, and 2026 segment conditions.</t>
        </is>
      </c>
      <c r="BG348" t="inlineStr">
        <is>
          <t>2026-03-17</t>
        </is>
      </c>
      <c r="BH348" s="7" t="inlineStr">
        <is>
          <t>DLD / Digital Dubai / CBUAE / Savills / Knight Frank-Moody’s / Reuters</t>
        </is>
      </c>
    </row>
    <row r="349">
      <c r="A349" t="n">
        <v>348</v>
      </c>
      <c r="B349" s="7" t="inlineStr">
        <is>
          <t>Binghatti Hills Phase 1</t>
        </is>
      </c>
      <c r="C349" t="inlineStr">
        <is>
          <t>Binghatti Developers</t>
        </is>
      </c>
      <c r="D349" t="inlineStr">
        <is>
          <t>Dubai Science Park</t>
        </is>
      </c>
      <c r="E349" t="inlineStr">
        <is>
          <t>Apartments</t>
        </is>
      </c>
      <c r="F349" s="7" t="inlineStr">
        <is>
          <t>Large Scale / Hill</t>
        </is>
      </c>
      <c r="G349" t="inlineStr">
        <is>
          <t>900k</t>
        </is>
      </c>
      <c r="H349" t="inlineStr">
        <is>
          <t>1400</t>
        </is>
      </c>
      <c r="I349" t="inlineStr">
        <is>
          <t>15</t>
        </is>
      </c>
      <c r="J349" t="inlineStr">
        <is>
          <t>70/30</t>
        </is>
      </c>
      <c r="K349" t="inlineStr">
        <is>
          <t>2024</t>
        </is>
      </c>
      <c r="L349" t="inlineStr">
        <is>
          <t>7.0-7.5</t>
        </is>
      </c>
      <c r="M349" t="inlineStr">
        <is>
          <t>7-9</t>
        </is>
      </c>
      <c r="N349" t="inlineStr">
        <is>
          <t>14.0-16.5</t>
        </is>
      </c>
      <c r="O349" s="7" t="inlineStr">
        <is>
          <t>GEMS Founders</t>
        </is>
      </c>
      <c r="P349" s="7" t="inlineStr">
        <is>
          <t>Mediclinic Parkview</t>
        </is>
      </c>
      <c r="Q349" s="7" t="inlineStr">
        <is>
          <t>Dubai Hills Mall</t>
        </is>
      </c>
      <c r="R349" s="7" t="inlineStr">
        <is>
          <t>Umm Suqeim / E44</t>
        </is>
      </c>
      <c r="S349" t="inlineStr">
        <is>
          <t>20</t>
        </is>
      </c>
      <c r="T349" t="inlineStr">
        <is>
          <t>20</t>
        </is>
      </c>
      <c r="U349" t="inlineStr">
        <is>
          <t>25</t>
        </is>
      </c>
      <c r="V349" t="inlineStr">
        <is>
          <t>30</t>
        </is>
      </c>
      <c r="W349" t="n">
        <v>2</v>
      </c>
      <c r="X349" s="12" t="n">
        <v>900000</v>
      </c>
      <c r="Y349" s="12" t="n">
        <v>900000</v>
      </c>
      <c r="Z349" s="9" t="n">
        <v>7</v>
      </c>
      <c r="AA349" s="9" t="n">
        <v>7.5</v>
      </c>
      <c r="AB349" s="9" t="n">
        <v>7</v>
      </c>
      <c r="AC349" s="9" t="n">
        <v>9</v>
      </c>
      <c r="AD349" s="9" t="n">
        <v>14</v>
      </c>
      <c r="AE349" s="9" t="n">
        <v>16.5</v>
      </c>
      <c r="AF349" t="n">
        <v>2024</v>
      </c>
      <c r="AH349" t="inlineStr">
        <is>
          <t>Apartment</t>
        </is>
      </c>
      <c r="AI349" t="inlineStr">
        <is>
          <t>MainstreamSelective</t>
        </is>
      </c>
      <c r="AJ349" t="inlineStr">
        <is>
          <t>MidTier</t>
        </is>
      </c>
      <c r="AK349" t="inlineStr">
        <is>
          <t>Balanced / selective</t>
        </is>
      </c>
      <c r="AL349" s="7" t="inlineStr">
        <is>
          <t>Market remains active but increasingly differentiated by developer, micro-location, livability, and pricing discipline.</t>
        </is>
      </c>
      <c r="AM349" s="9" t="n">
        <v>8</v>
      </c>
      <c r="AN349" s="9" t="n">
        <v>7.25</v>
      </c>
      <c r="AO349" s="10" t="n">
        <v>0.55</v>
      </c>
      <c r="AP349" s="13" t="n">
        <v>0</v>
      </c>
      <c r="AQ349" s="13" t="n">
        <v>0</v>
      </c>
      <c r="AR349" s="13" t="n">
        <v>0</v>
      </c>
      <c r="AS349" s="13" t="n">
        <v>0.01</v>
      </c>
      <c r="AT349" s="13" t="n">
        <v>-0.005</v>
      </c>
      <c r="AU349" s="13" t="n">
        <v>0.0025</v>
      </c>
      <c r="AV349" s="13" t="n">
        <v>-0.005</v>
      </c>
      <c r="AW349" s="13">
        <f>IF(X349="","",(AM349/100*AO349)+AP349+AQ349+AR349)</f>
        <v/>
      </c>
      <c r="AX349" s="13">
        <f>IF(X349="","",AS349+AT349+AU349+AV349)</f>
        <v/>
      </c>
      <c r="AY349" s="12">
        <f>IF(AZ349="","",ROUND(AZ349*(1+Assumptions!$B$10),0))</f>
        <v/>
      </c>
      <c r="AZ349" s="12">
        <f>IF(X349="","",ROUND(X349*(1+AW349),0))</f>
        <v/>
      </c>
      <c r="BA349" s="12">
        <f>IF(AZ349="","",ROUND(AZ349*(1+Assumptions!$B$11),0))</f>
        <v/>
      </c>
      <c r="BB349" s="12">
        <f>IF(AZ349="","",ROUND(AZ349*(1+AX349+Assumptions!$B$10),0))</f>
        <v/>
      </c>
      <c r="BC349" s="12">
        <f>IF(AZ349="","",ROUND(AZ349*(1+AX349),0))</f>
        <v/>
      </c>
      <c r="BD349" s="12">
        <f>IF(AZ349="","",ROUND(AZ349*(1+AX349+Assumptions!$B$11),0))</f>
        <v/>
      </c>
      <c r="BE349" s="12">
        <f>IF(AZ349="","",ROUND(AZ349*(1+AX349)*(1+AX349),0))</f>
        <v/>
      </c>
      <c r="BF349" s="7" t="inlineStr">
        <is>
          <t>Rules-based enrichment using launch-price anchor, cap-app realization, and 2026 segment conditions.</t>
        </is>
      </c>
      <c r="BG349" t="inlineStr">
        <is>
          <t>2026-03-17</t>
        </is>
      </c>
      <c r="BH349" s="7" t="inlineStr">
        <is>
          <t>DLD / Digital Dubai / CBUAE / Savills / Knight Frank-Moody’s / Reuters</t>
        </is>
      </c>
    </row>
    <row r="350">
      <c r="A350" t="n">
        <v>349</v>
      </c>
      <c r="B350" s="7" t="inlineStr">
        <is>
          <t>Binghatti Hills Phase 2</t>
        </is>
      </c>
      <c r="C350" t="inlineStr">
        <is>
          <t>Binghatti Developers</t>
        </is>
      </c>
      <c r="D350" t="inlineStr">
        <is>
          <t>Dubai Science Park</t>
        </is>
      </c>
      <c r="E350" t="inlineStr">
        <is>
          <t>Apartments</t>
        </is>
      </c>
      <c r="F350" s="7" t="inlineStr">
        <is>
          <t>Large Scale / Hill</t>
        </is>
      </c>
      <c r="G350" t="inlineStr">
        <is>
          <t>950k</t>
        </is>
      </c>
      <c r="H350" t="inlineStr">
        <is>
          <t>1450</t>
        </is>
      </c>
      <c r="I350" t="inlineStr">
        <is>
          <t>15</t>
        </is>
      </c>
      <c r="J350" t="inlineStr">
        <is>
          <t>70/30</t>
        </is>
      </c>
      <c r="K350" t="inlineStr">
        <is>
          <t>2024</t>
        </is>
      </c>
      <c r="L350" t="inlineStr">
        <is>
          <t>7.0-7.5</t>
        </is>
      </c>
      <c r="M350" t="inlineStr">
        <is>
          <t>7-9</t>
        </is>
      </c>
      <c r="N350" t="inlineStr">
        <is>
          <t>14.0-16.5</t>
        </is>
      </c>
      <c r="O350" s="7" t="inlineStr">
        <is>
          <t>GEMS Founders</t>
        </is>
      </c>
      <c r="P350" s="7" t="inlineStr">
        <is>
          <t>Mediclinic Parkview</t>
        </is>
      </c>
      <c r="Q350" s="7" t="inlineStr">
        <is>
          <t>Dubai Hills Mall</t>
        </is>
      </c>
      <c r="R350" s="7" t="inlineStr">
        <is>
          <t>Umm Suqeim / E44</t>
        </is>
      </c>
      <c r="S350" t="inlineStr">
        <is>
          <t>20</t>
        </is>
      </c>
      <c r="T350" t="inlineStr">
        <is>
          <t>20</t>
        </is>
      </c>
      <c r="U350" t="inlineStr">
        <is>
          <t>25</t>
        </is>
      </c>
      <c r="V350" t="inlineStr">
        <is>
          <t>30</t>
        </is>
      </c>
      <c r="W350" t="n">
        <v>2</v>
      </c>
      <c r="X350" s="12" t="n">
        <v>950000</v>
      </c>
      <c r="Y350" s="12" t="n">
        <v>950000</v>
      </c>
      <c r="Z350" s="9" t="n">
        <v>7</v>
      </c>
      <c r="AA350" s="9" t="n">
        <v>7.5</v>
      </c>
      <c r="AB350" s="9" t="n">
        <v>7</v>
      </c>
      <c r="AC350" s="9" t="n">
        <v>9</v>
      </c>
      <c r="AD350" s="9" t="n">
        <v>14</v>
      </c>
      <c r="AE350" s="9" t="n">
        <v>16.5</v>
      </c>
      <c r="AF350" t="n">
        <v>2024</v>
      </c>
      <c r="AH350" t="inlineStr">
        <is>
          <t>Apartment</t>
        </is>
      </c>
      <c r="AI350" t="inlineStr">
        <is>
          <t>MainstreamSelective</t>
        </is>
      </c>
      <c r="AJ350" t="inlineStr">
        <is>
          <t>MidTier</t>
        </is>
      </c>
      <c r="AK350" t="inlineStr">
        <is>
          <t>Balanced / selective</t>
        </is>
      </c>
      <c r="AL350" s="7" t="inlineStr">
        <is>
          <t>Market remains active but increasingly differentiated by developer, micro-location, livability, and pricing discipline.</t>
        </is>
      </c>
      <c r="AM350" s="9" t="n">
        <v>8</v>
      </c>
      <c r="AN350" s="9" t="n">
        <v>7.25</v>
      </c>
      <c r="AO350" s="10" t="n">
        <v>0.55</v>
      </c>
      <c r="AP350" s="13" t="n">
        <v>0</v>
      </c>
      <c r="AQ350" s="13" t="n">
        <v>0</v>
      </c>
      <c r="AR350" s="13" t="n">
        <v>0</v>
      </c>
      <c r="AS350" s="13" t="n">
        <v>0.01</v>
      </c>
      <c r="AT350" s="13" t="n">
        <v>-0.005</v>
      </c>
      <c r="AU350" s="13" t="n">
        <v>0.0025</v>
      </c>
      <c r="AV350" s="13" t="n">
        <v>-0.005</v>
      </c>
      <c r="AW350" s="13">
        <f>IF(X350="","",(AM350/100*AO350)+AP350+AQ350+AR350)</f>
        <v/>
      </c>
      <c r="AX350" s="13">
        <f>IF(X350="","",AS350+AT350+AU350+AV350)</f>
        <v/>
      </c>
      <c r="AY350" s="12">
        <f>IF(AZ350="","",ROUND(AZ350*(1+Assumptions!$B$10),0))</f>
        <v/>
      </c>
      <c r="AZ350" s="12">
        <f>IF(X350="","",ROUND(X350*(1+AW350),0))</f>
        <v/>
      </c>
      <c r="BA350" s="12">
        <f>IF(AZ350="","",ROUND(AZ350*(1+Assumptions!$B$11),0))</f>
        <v/>
      </c>
      <c r="BB350" s="12">
        <f>IF(AZ350="","",ROUND(AZ350*(1+AX350+Assumptions!$B$10),0))</f>
        <v/>
      </c>
      <c r="BC350" s="12">
        <f>IF(AZ350="","",ROUND(AZ350*(1+AX350),0))</f>
        <v/>
      </c>
      <c r="BD350" s="12">
        <f>IF(AZ350="","",ROUND(AZ350*(1+AX350+Assumptions!$B$11),0))</f>
        <v/>
      </c>
      <c r="BE350" s="12">
        <f>IF(AZ350="","",ROUND(AZ350*(1+AX350)*(1+AX350),0))</f>
        <v/>
      </c>
      <c r="BF350" s="7" t="inlineStr">
        <is>
          <t>Rules-based enrichment using launch-price anchor, cap-app realization, and 2026 segment conditions.</t>
        </is>
      </c>
      <c r="BG350" t="inlineStr">
        <is>
          <t>2026-03-17</t>
        </is>
      </c>
      <c r="BH350" s="7" t="inlineStr">
        <is>
          <t>DLD / Digital Dubai / CBUAE / Savills / Knight Frank-Moody’s / Reuters</t>
        </is>
      </c>
    </row>
    <row r="351">
      <c r="A351" t="n">
        <v>350</v>
      </c>
      <c r="B351" s="7" t="inlineStr">
        <is>
          <t>Binghatti Royale</t>
        </is>
      </c>
      <c r="C351" t="inlineStr">
        <is>
          <t>Binghatti Developers</t>
        </is>
      </c>
      <c r="D351" t="inlineStr">
        <is>
          <t>JVC</t>
        </is>
      </c>
      <c r="E351" t="inlineStr">
        <is>
          <t>Apartments</t>
        </is>
      </c>
      <c r="F351" s="7" t="inlineStr">
        <is>
          <t>Circle / Design</t>
        </is>
      </c>
      <c r="G351" t="inlineStr">
        <is>
          <t>900k</t>
        </is>
      </c>
      <c r="H351" t="inlineStr">
        <is>
          <t>1400</t>
        </is>
      </c>
      <c r="I351" t="inlineStr">
        <is>
          <t>15</t>
        </is>
      </c>
      <c r="J351" t="inlineStr">
        <is>
          <t>70/30</t>
        </is>
      </c>
      <c r="K351" t="inlineStr">
        <is>
          <t>2024</t>
        </is>
      </c>
      <c r="L351" t="inlineStr">
        <is>
          <t>7.5-8.0</t>
        </is>
      </c>
      <c r="M351" t="inlineStr">
        <is>
          <t>7-9</t>
        </is>
      </c>
      <c r="N351" t="inlineStr">
        <is>
          <t>14.5-17.0</t>
        </is>
      </c>
      <c r="O351" s="7" t="inlineStr">
        <is>
          <t>JSS International</t>
        </is>
      </c>
      <c r="P351" s="7" t="inlineStr">
        <is>
          <t>Saudi German Hospital</t>
        </is>
      </c>
      <c r="Q351" s="7" t="inlineStr">
        <is>
          <t>Circle Mall</t>
        </is>
      </c>
      <c r="R351" s="7" t="inlineStr">
        <is>
          <t>Hessa St / E44</t>
        </is>
      </c>
      <c r="S351" t="inlineStr">
        <is>
          <t>20</t>
        </is>
      </c>
      <c r="T351" t="inlineStr">
        <is>
          <t>15</t>
        </is>
      </c>
      <c r="U351" t="inlineStr">
        <is>
          <t>25</t>
        </is>
      </c>
      <c r="V351" t="inlineStr">
        <is>
          <t>30</t>
        </is>
      </c>
      <c r="W351" t="n">
        <v>2</v>
      </c>
      <c r="X351" s="12" t="n">
        <v>900000</v>
      </c>
      <c r="Y351" s="12" t="n">
        <v>900000</v>
      </c>
      <c r="Z351" s="9" t="n">
        <v>7.5</v>
      </c>
      <c r="AA351" s="9" t="n">
        <v>8</v>
      </c>
      <c r="AB351" s="9" t="n">
        <v>7</v>
      </c>
      <c r="AC351" s="9" t="n">
        <v>9</v>
      </c>
      <c r="AD351" s="9" t="n">
        <v>14.5</v>
      </c>
      <c r="AE351" s="9" t="n">
        <v>17</v>
      </c>
      <c r="AF351" t="n">
        <v>2024</v>
      </c>
      <c r="AH351" t="inlineStr">
        <is>
          <t>Apartment</t>
        </is>
      </c>
      <c r="AI351" t="inlineStr">
        <is>
          <t>SupplySensitiveApartment</t>
        </is>
      </c>
      <c r="AJ351" t="inlineStr">
        <is>
          <t>MidTier</t>
        </is>
      </c>
      <c r="AK351" t="inlineStr">
        <is>
          <t>Supply-sensitive / selective</t>
        </is>
      </c>
      <c r="AL351" s="7" t="inlineStr">
        <is>
          <t>Higher delivery risk in more price-sensitive apartment clusters; building selection and exit liquidity matter.</t>
        </is>
      </c>
      <c r="AM351" s="9" t="n">
        <v>8</v>
      </c>
      <c r="AN351" s="9" t="n">
        <v>7.75</v>
      </c>
      <c r="AO351" s="10" t="n">
        <v>0.55</v>
      </c>
      <c r="AP351" s="13" t="n">
        <v>0</v>
      </c>
      <c r="AQ351" s="13" t="n">
        <v>0</v>
      </c>
      <c r="AR351" s="13" t="n">
        <v>-0.01</v>
      </c>
      <c r="AS351" s="13" t="n">
        <v>-0.01</v>
      </c>
      <c r="AT351" s="13" t="n">
        <v>-0.005</v>
      </c>
      <c r="AU351" s="13" t="n">
        <v>0.0025</v>
      </c>
      <c r="AV351" s="13" t="n">
        <v>-0.005</v>
      </c>
      <c r="AW351" s="13">
        <f>IF(X351="","",(AM351/100*AO351)+AP351+AQ351+AR351)</f>
        <v/>
      </c>
      <c r="AX351" s="13">
        <f>IF(X351="","",AS351+AT351+AU351+AV351)</f>
        <v/>
      </c>
      <c r="AY351" s="12">
        <f>IF(AZ351="","",ROUND(AZ351*(1+Assumptions!$B$10),0))</f>
        <v/>
      </c>
      <c r="AZ351" s="12">
        <f>IF(X351="","",ROUND(X351*(1+AW351),0))</f>
        <v/>
      </c>
      <c r="BA351" s="12">
        <f>IF(AZ351="","",ROUND(AZ351*(1+Assumptions!$B$11),0))</f>
        <v/>
      </c>
      <c r="BB351" s="12">
        <f>IF(AZ351="","",ROUND(AZ351*(1+AX351+Assumptions!$B$10),0))</f>
        <v/>
      </c>
      <c r="BC351" s="12">
        <f>IF(AZ351="","",ROUND(AZ351*(1+AX351),0))</f>
        <v/>
      </c>
      <c r="BD351" s="12">
        <f>IF(AZ351="","",ROUND(AZ351*(1+AX351+Assumptions!$B$11),0))</f>
        <v/>
      </c>
      <c r="BE351" s="12">
        <f>IF(AZ351="","",ROUND(AZ351*(1+AX351)*(1+AX351),0))</f>
        <v/>
      </c>
      <c r="BF351" s="7" t="inlineStr">
        <is>
          <t>Rules-based enrichment using launch-price anchor, cap-app realization, and 2026 segment conditions.</t>
        </is>
      </c>
      <c r="BG351" t="inlineStr">
        <is>
          <t>2026-03-17</t>
        </is>
      </c>
      <c r="BH351" s="7" t="inlineStr">
        <is>
          <t>DLD / Digital Dubai / CBUAE / Savills / Knight Frank-Moody’s / Reuters</t>
        </is>
      </c>
    </row>
    <row r="352">
      <c r="A352" t="n">
        <v>351</v>
      </c>
      <c r="B352" s="7" t="inlineStr">
        <is>
          <t>Binghatti Aurora</t>
        </is>
      </c>
      <c r="C352" t="inlineStr">
        <is>
          <t>Binghatti Developers</t>
        </is>
      </c>
      <c r="D352" t="inlineStr">
        <is>
          <t>JVC</t>
        </is>
      </c>
      <c r="E352" t="inlineStr">
        <is>
          <t>Apartments</t>
        </is>
      </c>
      <c r="F352" s="7" t="inlineStr">
        <is>
          <t>Circle / Design</t>
        </is>
      </c>
      <c r="G352" t="inlineStr">
        <is>
          <t>850k</t>
        </is>
      </c>
      <c r="H352" t="inlineStr">
        <is>
          <t>1350</t>
        </is>
      </c>
      <c r="I352" t="inlineStr">
        <is>
          <t>15</t>
        </is>
      </c>
      <c r="J352" t="inlineStr">
        <is>
          <t>70/30</t>
        </is>
      </c>
      <c r="K352" t="inlineStr">
        <is>
          <t>2024</t>
        </is>
      </c>
      <c r="L352" t="inlineStr">
        <is>
          <t>7.5-8.0</t>
        </is>
      </c>
      <c r="M352" t="inlineStr">
        <is>
          <t>7-9</t>
        </is>
      </c>
      <c r="N352" t="inlineStr">
        <is>
          <t>14.5-17.0</t>
        </is>
      </c>
      <c r="O352" s="7" t="inlineStr">
        <is>
          <t>JSS International</t>
        </is>
      </c>
      <c r="P352" s="7" t="inlineStr">
        <is>
          <t>Saudi German Hospital</t>
        </is>
      </c>
      <c r="Q352" s="7" t="inlineStr">
        <is>
          <t>Circle Mall</t>
        </is>
      </c>
      <c r="R352" s="7" t="inlineStr">
        <is>
          <t>Hessa St / E44</t>
        </is>
      </c>
      <c r="S352" t="inlineStr">
        <is>
          <t>20</t>
        </is>
      </c>
      <c r="T352" t="inlineStr">
        <is>
          <t>15</t>
        </is>
      </c>
      <c r="U352" t="inlineStr">
        <is>
          <t>25</t>
        </is>
      </c>
      <c r="V352" t="inlineStr">
        <is>
          <t>30</t>
        </is>
      </c>
      <c r="W352" t="n">
        <v>2</v>
      </c>
      <c r="X352" s="12" t="n">
        <v>850000</v>
      </c>
      <c r="Y352" s="12" t="n">
        <v>850000</v>
      </c>
      <c r="Z352" s="9" t="n">
        <v>7.5</v>
      </c>
      <c r="AA352" s="9" t="n">
        <v>8</v>
      </c>
      <c r="AB352" s="9" t="n">
        <v>7</v>
      </c>
      <c r="AC352" s="9" t="n">
        <v>9</v>
      </c>
      <c r="AD352" s="9" t="n">
        <v>14.5</v>
      </c>
      <c r="AE352" s="9" t="n">
        <v>17</v>
      </c>
      <c r="AF352" t="n">
        <v>2024</v>
      </c>
      <c r="AH352" t="inlineStr">
        <is>
          <t>Apartment</t>
        </is>
      </c>
      <c r="AI352" t="inlineStr">
        <is>
          <t>SupplySensitiveApartment</t>
        </is>
      </c>
      <c r="AJ352" t="inlineStr">
        <is>
          <t>MidTier</t>
        </is>
      </c>
      <c r="AK352" t="inlineStr">
        <is>
          <t>Supply-sensitive / selective</t>
        </is>
      </c>
      <c r="AL352" s="7" t="inlineStr">
        <is>
          <t>Higher delivery risk in more price-sensitive apartment clusters; building selection and exit liquidity matter.</t>
        </is>
      </c>
      <c r="AM352" s="9" t="n">
        <v>8</v>
      </c>
      <c r="AN352" s="9" t="n">
        <v>7.75</v>
      </c>
      <c r="AO352" s="10" t="n">
        <v>0.55</v>
      </c>
      <c r="AP352" s="13" t="n">
        <v>0</v>
      </c>
      <c r="AQ352" s="13" t="n">
        <v>0</v>
      </c>
      <c r="AR352" s="13" t="n">
        <v>-0.01</v>
      </c>
      <c r="AS352" s="13" t="n">
        <v>-0.01</v>
      </c>
      <c r="AT352" s="13" t="n">
        <v>-0.005</v>
      </c>
      <c r="AU352" s="13" t="n">
        <v>0.0025</v>
      </c>
      <c r="AV352" s="13" t="n">
        <v>-0.005</v>
      </c>
      <c r="AW352" s="13">
        <f>IF(X352="","",(AM352/100*AO352)+AP352+AQ352+AR352)</f>
        <v/>
      </c>
      <c r="AX352" s="13">
        <f>IF(X352="","",AS352+AT352+AU352+AV352)</f>
        <v/>
      </c>
      <c r="AY352" s="12">
        <f>IF(AZ352="","",ROUND(AZ352*(1+Assumptions!$B$10),0))</f>
        <v/>
      </c>
      <c r="AZ352" s="12">
        <f>IF(X352="","",ROUND(X352*(1+AW352),0))</f>
        <v/>
      </c>
      <c r="BA352" s="12">
        <f>IF(AZ352="","",ROUND(AZ352*(1+Assumptions!$B$11),0))</f>
        <v/>
      </c>
      <c r="BB352" s="12">
        <f>IF(AZ352="","",ROUND(AZ352*(1+AX352+Assumptions!$B$10),0))</f>
        <v/>
      </c>
      <c r="BC352" s="12">
        <f>IF(AZ352="","",ROUND(AZ352*(1+AX352),0))</f>
        <v/>
      </c>
      <c r="BD352" s="12">
        <f>IF(AZ352="","",ROUND(AZ352*(1+AX352+Assumptions!$B$11),0))</f>
        <v/>
      </c>
      <c r="BE352" s="12">
        <f>IF(AZ352="","",ROUND(AZ352*(1+AX352)*(1+AX352),0))</f>
        <v/>
      </c>
      <c r="BF352" s="7" t="inlineStr">
        <is>
          <t>Rules-based enrichment using launch-price anchor, cap-app realization, and 2026 segment conditions.</t>
        </is>
      </c>
      <c r="BG352" t="inlineStr">
        <is>
          <t>2026-03-17</t>
        </is>
      </c>
      <c r="BH352" s="7" t="inlineStr">
        <is>
          <t>DLD / Digital Dubai / CBUAE / Savills / Knight Frank-Moody’s / Reuters</t>
        </is>
      </c>
    </row>
    <row r="353">
      <c r="A353" t="n">
        <v>352</v>
      </c>
      <c r="B353" s="7" t="inlineStr">
        <is>
          <t>Binghatti Galaxy 1</t>
        </is>
      </c>
      <c r="C353" t="inlineStr">
        <is>
          <t>Binghatti Developers</t>
        </is>
      </c>
      <c r="D353" t="inlineStr">
        <is>
          <t>JVC</t>
        </is>
      </c>
      <c r="E353" t="inlineStr">
        <is>
          <t>Apartments</t>
        </is>
      </c>
      <c r="F353" s="7" t="inlineStr">
        <is>
          <t>Circle / Design</t>
        </is>
      </c>
      <c r="G353" t="inlineStr">
        <is>
          <t>850k</t>
        </is>
      </c>
      <c r="H353" t="inlineStr">
        <is>
          <t>1350</t>
        </is>
      </c>
      <c r="I353" t="inlineStr">
        <is>
          <t>15</t>
        </is>
      </c>
      <c r="J353" t="inlineStr">
        <is>
          <t>70/30</t>
        </is>
      </c>
      <c r="K353" t="inlineStr">
        <is>
          <t>2024</t>
        </is>
      </c>
      <c r="L353" t="inlineStr">
        <is>
          <t>7.5-8.0</t>
        </is>
      </c>
      <c r="M353" t="inlineStr">
        <is>
          <t>7-9</t>
        </is>
      </c>
      <c r="N353" t="inlineStr">
        <is>
          <t>14.5-17.0</t>
        </is>
      </c>
      <c r="O353" s="7" t="inlineStr">
        <is>
          <t>JSS International</t>
        </is>
      </c>
      <c r="P353" s="7" t="inlineStr">
        <is>
          <t>Saudi German Hospital</t>
        </is>
      </c>
      <c r="Q353" s="7" t="inlineStr">
        <is>
          <t>Circle Mall</t>
        </is>
      </c>
      <c r="R353" s="7" t="inlineStr">
        <is>
          <t>Hessa St / E44</t>
        </is>
      </c>
      <c r="S353" t="inlineStr">
        <is>
          <t>20</t>
        </is>
      </c>
      <c r="T353" t="inlineStr">
        <is>
          <t>15</t>
        </is>
      </c>
      <c r="U353" t="inlineStr">
        <is>
          <t>25</t>
        </is>
      </c>
      <c r="V353" t="inlineStr">
        <is>
          <t>30</t>
        </is>
      </c>
      <c r="W353" t="n">
        <v>2</v>
      </c>
      <c r="X353" s="12" t="n">
        <v>850000</v>
      </c>
      <c r="Y353" s="12" t="n">
        <v>850000</v>
      </c>
      <c r="Z353" s="9" t="n">
        <v>7.5</v>
      </c>
      <c r="AA353" s="9" t="n">
        <v>8</v>
      </c>
      <c r="AB353" s="9" t="n">
        <v>7</v>
      </c>
      <c r="AC353" s="9" t="n">
        <v>9</v>
      </c>
      <c r="AD353" s="9" t="n">
        <v>14.5</v>
      </c>
      <c r="AE353" s="9" t="n">
        <v>17</v>
      </c>
      <c r="AF353" t="n">
        <v>2024</v>
      </c>
      <c r="AH353" t="inlineStr">
        <is>
          <t>Apartment</t>
        </is>
      </c>
      <c r="AI353" t="inlineStr">
        <is>
          <t>SupplySensitiveApartment</t>
        </is>
      </c>
      <c r="AJ353" t="inlineStr">
        <is>
          <t>MidTier</t>
        </is>
      </c>
      <c r="AK353" t="inlineStr">
        <is>
          <t>Supply-sensitive / selective</t>
        </is>
      </c>
      <c r="AL353" s="7" t="inlineStr">
        <is>
          <t>Higher delivery risk in more price-sensitive apartment clusters; building selection and exit liquidity matter.</t>
        </is>
      </c>
      <c r="AM353" s="9" t="n">
        <v>8</v>
      </c>
      <c r="AN353" s="9" t="n">
        <v>7.75</v>
      </c>
      <c r="AO353" s="10" t="n">
        <v>0.55</v>
      </c>
      <c r="AP353" s="13" t="n">
        <v>0</v>
      </c>
      <c r="AQ353" s="13" t="n">
        <v>0</v>
      </c>
      <c r="AR353" s="13" t="n">
        <v>-0.01</v>
      </c>
      <c r="AS353" s="13" t="n">
        <v>-0.01</v>
      </c>
      <c r="AT353" s="13" t="n">
        <v>-0.005</v>
      </c>
      <c r="AU353" s="13" t="n">
        <v>0.0025</v>
      </c>
      <c r="AV353" s="13" t="n">
        <v>-0.005</v>
      </c>
      <c r="AW353" s="13">
        <f>IF(X353="","",(AM353/100*AO353)+AP353+AQ353+AR353)</f>
        <v/>
      </c>
      <c r="AX353" s="13">
        <f>IF(X353="","",AS353+AT353+AU353+AV353)</f>
        <v/>
      </c>
      <c r="AY353" s="12">
        <f>IF(AZ353="","",ROUND(AZ353*(1+Assumptions!$B$10),0))</f>
        <v/>
      </c>
      <c r="AZ353" s="12">
        <f>IF(X353="","",ROUND(X353*(1+AW353),0))</f>
        <v/>
      </c>
      <c r="BA353" s="12">
        <f>IF(AZ353="","",ROUND(AZ353*(1+Assumptions!$B$11),0))</f>
        <v/>
      </c>
      <c r="BB353" s="12">
        <f>IF(AZ353="","",ROUND(AZ353*(1+AX353+Assumptions!$B$10),0))</f>
        <v/>
      </c>
      <c r="BC353" s="12">
        <f>IF(AZ353="","",ROUND(AZ353*(1+AX353),0))</f>
        <v/>
      </c>
      <c r="BD353" s="12">
        <f>IF(AZ353="","",ROUND(AZ353*(1+AX353+Assumptions!$B$11),0))</f>
        <v/>
      </c>
      <c r="BE353" s="12">
        <f>IF(AZ353="","",ROUND(AZ353*(1+AX353)*(1+AX353),0))</f>
        <v/>
      </c>
      <c r="BF353" s="7" t="inlineStr">
        <is>
          <t>Rules-based enrichment using launch-price anchor, cap-app realization, and 2026 segment conditions.</t>
        </is>
      </c>
      <c r="BG353" t="inlineStr">
        <is>
          <t>2026-03-17</t>
        </is>
      </c>
      <c r="BH353" s="7" t="inlineStr">
        <is>
          <t>DLD / Digital Dubai / CBUAE / Savills / Knight Frank-Moody’s / Reuters</t>
        </is>
      </c>
    </row>
    <row r="354">
      <c r="A354" t="n">
        <v>353</v>
      </c>
      <c r="B354" s="7" t="inlineStr">
        <is>
          <t>Binghatti Galaxy 2</t>
        </is>
      </c>
      <c r="C354" t="inlineStr">
        <is>
          <t>Binghatti Developers</t>
        </is>
      </c>
      <c r="D354" t="inlineStr">
        <is>
          <t>JVC</t>
        </is>
      </c>
      <c r="E354" t="inlineStr">
        <is>
          <t>Apartments</t>
        </is>
      </c>
      <c r="F354" s="7" t="inlineStr">
        <is>
          <t>Circle / Design</t>
        </is>
      </c>
      <c r="G354" t="inlineStr">
        <is>
          <t>850k</t>
        </is>
      </c>
      <c r="H354" t="inlineStr">
        <is>
          <t>1350</t>
        </is>
      </c>
      <c r="I354" t="inlineStr">
        <is>
          <t>15</t>
        </is>
      </c>
      <c r="J354" t="inlineStr">
        <is>
          <t>70/30</t>
        </is>
      </c>
      <c r="K354" t="inlineStr">
        <is>
          <t>2024</t>
        </is>
      </c>
      <c r="L354" t="inlineStr">
        <is>
          <t>7.5-8.0</t>
        </is>
      </c>
      <c r="M354" t="inlineStr">
        <is>
          <t>7-9</t>
        </is>
      </c>
      <c r="N354" t="inlineStr">
        <is>
          <t>14.5-17.0</t>
        </is>
      </c>
      <c r="O354" s="7" t="inlineStr">
        <is>
          <t>JSS International</t>
        </is>
      </c>
      <c r="P354" s="7" t="inlineStr">
        <is>
          <t>Saudi German Hospital</t>
        </is>
      </c>
      <c r="Q354" s="7" t="inlineStr">
        <is>
          <t>Circle Mall</t>
        </is>
      </c>
      <c r="R354" s="7" t="inlineStr">
        <is>
          <t>Hessa St / E44</t>
        </is>
      </c>
      <c r="S354" t="inlineStr">
        <is>
          <t>20</t>
        </is>
      </c>
      <c r="T354" t="inlineStr">
        <is>
          <t>15</t>
        </is>
      </c>
      <c r="U354" t="inlineStr">
        <is>
          <t>25</t>
        </is>
      </c>
      <c r="V354" t="inlineStr">
        <is>
          <t>30</t>
        </is>
      </c>
      <c r="W354" t="n">
        <v>2</v>
      </c>
      <c r="X354" s="12" t="n">
        <v>850000</v>
      </c>
      <c r="Y354" s="12" t="n">
        <v>850000</v>
      </c>
      <c r="Z354" s="9" t="n">
        <v>7.5</v>
      </c>
      <c r="AA354" s="9" t="n">
        <v>8</v>
      </c>
      <c r="AB354" s="9" t="n">
        <v>7</v>
      </c>
      <c r="AC354" s="9" t="n">
        <v>9</v>
      </c>
      <c r="AD354" s="9" t="n">
        <v>14.5</v>
      </c>
      <c r="AE354" s="9" t="n">
        <v>17</v>
      </c>
      <c r="AF354" t="n">
        <v>2024</v>
      </c>
      <c r="AH354" t="inlineStr">
        <is>
          <t>Apartment</t>
        </is>
      </c>
      <c r="AI354" t="inlineStr">
        <is>
          <t>SupplySensitiveApartment</t>
        </is>
      </c>
      <c r="AJ354" t="inlineStr">
        <is>
          <t>MidTier</t>
        </is>
      </c>
      <c r="AK354" t="inlineStr">
        <is>
          <t>Supply-sensitive / selective</t>
        </is>
      </c>
      <c r="AL354" s="7" t="inlineStr">
        <is>
          <t>Higher delivery risk in more price-sensitive apartment clusters; building selection and exit liquidity matter.</t>
        </is>
      </c>
      <c r="AM354" s="9" t="n">
        <v>8</v>
      </c>
      <c r="AN354" s="9" t="n">
        <v>7.75</v>
      </c>
      <c r="AO354" s="10" t="n">
        <v>0.55</v>
      </c>
      <c r="AP354" s="13" t="n">
        <v>0</v>
      </c>
      <c r="AQ354" s="13" t="n">
        <v>0</v>
      </c>
      <c r="AR354" s="13" t="n">
        <v>-0.01</v>
      </c>
      <c r="AS354" s="13" t="n">
        <v>-0.01</v>
      </c>
      <c r="AT354" s="13" t="n">
        <v>-0.005</v>
      </c>
      <c r="AU354" s="13" t="n">
        <v>0.0025</v>
      </c>
      <c r="AV354" s="13" t="n">
        <v>-0.005</v>
      </c>
      <c r="AW354" s="13">
        <f>IF(X354="","",(AM354/100*AO354)+AP354+AQ354+AR354)</f>
        <v/>
      </c>
      <c r="AX354" s="13">
        <f>IF(X354="","",AS354+AT354+AU354+AV354)</f>
        <v/>
      </c>
      <c r="AY354" s="12">
        <f>IF(AZ354="","",ROUND(AZ354*(1+Assumptions!$B$10),0))</f>
        <v/>
      </c>
      <c r="AZ354" s="12">
        <f>IF(X354="","",ROUND(X354*(1+AW354),0))</f>
        <v/>
      </c>
      <c r="BA354" s="12">
        <f>IF(AZ354="","",ROUND(AZ354*(1+Assumptions!$B$11),0))</f>
        <v/>
      </c>
      <c r="BB354" s="12">
        <f>IF(AZ354="","",ROUND(AZ354*(1+AX354+Assumptions!$B$10),0))</f>
        <v/>
      </c>
      <c r="BC354" s="12">
        <f>IF(AZ354="","",ROUND(AZ354*(1+AX354),0))</f>
        <v/>
      </c>
      <c r="BD354" s="12">
        <f>IF(AZ354="","",ROUND(AZ354*(1+AX354+Assumptions!$B$11),0))</f>
        <v/>
      </c>
      <c r="BE354" s="12">
        <f>IF(AZ354="","",ROUND(AZ354*(1+AX354)*(1+AX354),0))</f>
        <v/>
      </c>
      <c r="BF354" s="7" t="inlineStr">
        <is>
          <t>Rules-based enrichment using launch-price anchor, cap-app realization, and 2026 segment conditions.</t>
        </is>
      </c>
      <c r="BG354" t="inlineStr">
        <is>
          <t>2026-03-17</t>
        </is>
      </c>
      <c r="BH354" s="7" t="inlineStr">
        <is>
          <t>DLD / Digital Dubai / CBUAE / Savills / Knight Frank-Moody’s / Reuters</t>
        </is>
      </c>
    </row>
    <row r="355">
      <c r="A355" t="n">
        <v>354</v>
      </c>
      <c r="B355" s="7" t="inlineStr">
        <is>
          <t>Binghatti Phantom</t>
        </is>
      </c>
      <c r="C355" t="inlineStr">
        <is>
          <t>Binghatti Developers</t>
        </is>
      </c>
      <c r="D355" t="inlineStr">
        <is>
          <t>JVC</t>
        </is>
      </c>
      <c r="E355" t="inlineStr">
        <is>
          <t>Apartments</t>
        </is>
      </c>
      <c r="F355" s="7" t="inlineStr">
        <is>
          <t>Circle / Design</t>
        </is>
      </c>
      <c r="G355" t="inlineStr">
        <is>
          <t>800k</t>
        </is>
      </c>
      <c r="H355" t="inlineStr">
        <is>
          <t>1300</t>
        </is>
      </c>
      <c r="I355" t="inlineStr">
        <is>
          <t>15</t>
        </is>
      </c>
      <c r="J355" t="inlineStr">
        <is>
          <t>70/30</t>
        </is>
      </c>
      <c r="K355" t="inlineStr">
        <is>
          <t>2024</t>
        </is>
      </c>
      <c r="L355" t="inlineStr">
        <is>
          <t>7.5-8.0</t>
        </is>
      </c>
      <c r="M355" t="inlineStr">
        <is>
          <t>7-9</t>
        </is>
      </c>
      <c r="N355" t="inlineStr">
        <is>
          <t>14.5-17.0</t>
        </is>
      </c>
      <c r="O355" s="7" t="inlineStr">
        <is>
          <t>JSS International</t>
        </is>
      </c>
      <c r="P355" s="7" t="inlineStr">
        <is>
          <t>Saudi German Hospital</t>
        </is>
      </c>
      <c r="Q355" s="7" t="inlineStr">
        <is>
          <t>Circle Mall</t>
        </is>
      </c>
      <c r="R355" s="7" t="inlineStr">
        <is>
          <t>Hessa St / E44</t>
        </is>
      </c>
      <c r="S355" t="inlineStr">
        <is>
          <t>20</t>
        </is>
      </c>
      <c r="T355" t="inlineStr">
        <is>
          <t>15</t>
        </is>
      </c>
      <c r="U355" t="inlineStr">
        <is>
          <t>25</t>
        </is>
      </c>
      <c r="V355" t="inlineStr">
        <is>
          <t>30</t>
        </is>
      </c>
      <c r="W355" t="n">
        <v>2</v>
      </c>
      <c r="X355" s="12" t="n">
        <v>800000</v>
      </c>
      <c r="Y355" s="12" t="n">
        <v>800000</v>
      </c>
      <c r="Z355" s="9" t="n">
        <v>7.5</v>
      </c>
      <c r="AA355" s="9" t="n">
        <v>8</v>
      </c>
      <c r="AB355" s="9" t="n">
        <v>7</v>
      </c>
      <c r="AC355" s="9" t="n">
        <v>9</v>
      </c>
      <c r="AD355" s="9" t="n">
        <v>14.5</v>
      </c>
      <c r="AE355" s="9" t="n">
        <v>17</v>
      </c>
      <c r="AF355" t="n">
        <v>2024</v>
      </c>
      <c r="AH355" t="inlineStr">
        <is>
          <t>Apartment</t>
        </is>
      </c>
      <c r="AI355" t="inlineStr">
        <is>
          <t>SupplySensitiveApartment</t>
        </is>
      </c>
      <c r="AJ355" t="inlineStr">
        <is>
          <t>MidTier</t>
        </is>
      </c>
      <c r="AK355" t="inlineStr">
        <is>
          <t>Supply-sensitive / selective</t>
        </is>
      </c>
      <c r="AL355" s="7" t="inlineStr">
        <is>
          <t>Higher delivery risk in more price-sensitive apartment clusters; building selection and exit liquidity matter.</t>
        </is>
      </c>
      <c r="AM355" s="9" t="n">
        <v>8</v>
      </c>
      <c r="AN355" s="9" t="n">
        <v>7.75</v>
      </c>
      <c r="AO355" s="10" t="n">
        <v>0.55</v>
      </c>
      <c r="AP355" s="13" t="n">
        <v>0</v>
      </c>
      <c r="AQ355" s="13" t="n">
        <v>0</v>
      </c>
      <c r="AR355" s="13" t="n">
        <v>-0.01</v>
      </c>
      <c r="AS355" s="13" t="n">
        <v>-0.01</v>
      </c>
      <c r="AT355" s="13" t="n">
        <v>-0.005</v>
      </c>
      <c r="AU355" s="13" t="n">
        <v>0.0025</v>
      </c>
      <c r="AV355" s="13" t="n">
        <v>-0.005</v>
      </c>
      <c r="AW355" s="13">
        <f>IF(X355="","",(AM355/100*AO355)+AP355+AQ355+AR355)</f>
        <v/>
      </c>
      <c r="AX355" s="13">
        <f>IF(X355="","",AS355+AT355+AU355+AV355)</f>
        <v/>
      </c>
      <c r="AY355" s="12">
        <f>IF(AZ355="","",ROUND(AZ355*(1+Assumptions!$B$10),0))</f>
        <v/>
      </c>
      <c r="AZ355" s="12">
        <f>IF(X355="","",ROUND(X355*(1+AW355),0))</f>
        <v/>
      </c>
      <c r="BA355" s="12">
        <f>IF(AZ355="","",ROUND(AZ355*(1+Assumptions!$B$11),0))</f>
        <v/>
      </c>
      <c r="BB355" s="12">
        <f>IF(AZ355="","",ROUND(AZ355*(1+AX355+Assumptions!$B$10),0))</f>
        <v/>
      </c>
      <c r="BC355" s="12">
        <f>IF(AZ355="","",ROUND(AZ355*(1+AX355),0))</f>
        <v/>
      </c>
      <c r="BD355" s="12">
        <f>IF(AZ355="","",ROUND(AZ355*(1+AX355+Assumptions!$B$11),0))</f>
        <v/>
      </c>
      <c r="BE355" s="12">
        <f>IF(AZ355="","",ROUND(AZ355*(1+AX355)*(1+AX355),0))</f>
        <v/>
      </c>
      <c r="BF355" s="7" t="inlineStr">
        <is>
          <t>Rules-based enrichment using launch-price anchor, cap-app realization, and 2026 segment conditions.</t>
        </is>
      </c>
      <c r="BG355" t="inlineStr">
        <is>
          <t>2026-03-17</t>
        </is>
      </c>
      <c r="BH355" s="7" t="inlineStr">
        <is>
          <t>DLD / Digital Dubai / CBUAE / Savills / Knight Frank-Moody’s / Reuters</t>
        </is>
      </c>
    </row>
    <row r="356">
      <c r="A356" t="n">
        <v>355</v>
      </c>
      <c r="B356" s="7" t="inlineStr">
        <is>
          <t>Binghatti Phoenix</t>
        </is>
      </c>
      <c r="C356" t="inlineStr">
        <is>
          <t>Binghatti Developers</t>
        </is>
      </c>
      <c r="D356" t="inlineStr">
        <is>
          <t>JVC</t>
        </is>
      </c>
      <c r="E356" t="inlineStr">
        <is>
          <t>Apartments</t>
        </is>
      </c>
      <c r="F356" s="7" t="inlineStr">
        <is>
          <t>Circle / Design</t>
        </is>
      </c>
      <c r="G356" t="inlineStr">
        <is>
          <t>800k</t>
        </is>
      </c>
      <c r="H356" t="inlineStr">
        <is>
          <t>1300</t>
        </is>
      </c>
      <c r="I356" t="inlineStr">
        <is>
          <t>15</t>
        </is>
      </c>
      <c r="J356" t="inlineStr">
        <is>
          <t>70/30</t>
        </is>
      </c>
      <c r="K356" t="inlineStr">
        <is>
          <t>2023</t>
        </is>
      </c>
      <c r="L356" t="inlineStr">
        <is>
          <t>7.5-8.0</t>
        </is>
      </c>
      <c r="M356" t="inlineStr">
        <is>
          <t>7-9</t>
        </is>
      </c>
      <c r="N356" t="inlineStr">
        <is>
          <t>14.5-17.0</t>
        </is>
      </c>
      <c r="O356" s="7" t="inlineStr">
        <is>
          <t>JSS International</t>
        </is>
      </c>
      <c r="P356" s="7" t="inlineStr">
        <is>
          <t>Saudi German Hospital</t>
        </is>
      </c>
      <c r="Q356" s="7" t="inlineStr">
        <is>
          <t>Circle Mall</t>
        </is>
      </c>
      <c r="R356" s="7" t="inlineStr">
        <is>
          <t>Hessa St / E44</t>
        </is>
      </c>
      <c r="S356" t="inlineStr">
        <is>
          <t>20</t>
        </is>
      </c>
      <c r="T356" t="inlineStr">
        <is>
          <t>15</t>
        </is>
      </c>
      <c r="U356" t="inlineStr">
        <is>
          <t>25</t>
        </is>
      </c>
      <c r="V356" t="inlineStr">
        <is>
          <t>30</t>
        </is>
      </c>
      <c r="W356" t="n">
        <v>2</v>
      </c>
      <c r="X356" s="12" t="n">
        <v>800000</v>
      </c>
      <c r="Y356" s="12" t="n">
        <v>800000</v>
      </c>
      <c r="Z356" s="9" t="n">
        <v>7.5</v>
      </c>
      <c r="AA356" s="9" t="n">
        <v>8</v>
      </c>
      <c r="AB356" s="9" t="n">
        <v>7</v>
      </c>
      <c r="AC356" s="9" t="n">
        <v>9</v>
      </c>
      <c r="AD356" s="9" t="n">
        <v>14.5</v>
      </c>
      <c r="AE356" s="9" t="n">
        <v>17</v>
      </c>
      <c r="AF356" t="n">
        <v>2023</v>
      </c>
      <c r="AH356" t="inlineStr">
        <is>
          <t>Apartment</t>
        </is>
      </c>
      <c r="AI356" t="inlineStr">
        <is>
          <t>SupplySensitiveApartment</t>
        </is>
      </c>
      <c r="AJ356" t="inlineStr">
        <is>
          <t>MidTier</t>
        </is>
      </c>
      <c r="AK356" t="inlineStr">
        <is>
          <t>Supply-sensitive / selective</t>
        </is>
      </c>
      <c r="AL356" s="7" t="inlineStr">
        <is>
          <t>Higher delivery risk in more price-sensitive apartment clusters; building selection and exit liquidity matter.</t>
        </is>
      </c>
      <c r="AM356" s="9" t="n">
        <v>8</v>
      </c>
      <c r="AN356" s="9" t="n">
        <v>7.75</v>
      </c>
      <c r="AO356" s="10" t="n">
        <v>0.55</v>
      </c>
      <c r="AP356" s="13" t="n">
        <v>0</v>
      </c>
      <c r="AQ356" s="13" t="n">
        <v>0</v>
      </c>
      <c r="AR356" s="13" t="n">
        <v>-0.01</v>
      </c>
      <c r="AS356" s="13" t="n">
        <v>-0.01</v>
      </c>
      <c r="AT356" s="13" t="n">
        <v>-0.005</v>
      </c>
      <c r="AU356" s="13" t="n">
        <v>0.0025</v>
      </c>
      <c r="AV356" s="13" t="n">
        <v>-0.005</v>
      </c>
      <c r="AW356" s="13">
        <f>IF(X356="","",(AM356/100*AO356)+AP356+AQ356+AR356)</f>
        <v/>
      </c>
      <c r="AX356" s="13">
        <f>IF(X356="","",AS356+AT356+AU356+AV356)</f>
        <v/>
      </c>
      <c r="AY356" s="12">
        <f>IF(AZ356="","",ROUND(AZ356*(1+Assumptions!$B$10),0))</f>
        <v/>
      </c>
      <c r="AZ356" s="12">
        <f>IF(X356="","",ROUND(X356*(1+AW356),0))</f>
        <v/>
      </c>
      <c r="BA356" s="12">
        <f>IF(AZ356="","",ROUND(AZ356*(1+Assumptions!$B$11),0))</f>
        <v/>
      </c>
      <c r="BB356" s="12">
        <f>IF(AZ356="","",ROUND(AZ356*(1+AX356+Assumptions!$B$10),0))</f>
        <v/>
      </c>
      <c r="BC356" s="12">
        <f>IF(AZ356="","",ROUND(AZ356*(1+AX356),0))</f>
        <v/>
      </c>
      <c r="BD356" s="12">
        <f>IF(AZ356="","",ROUND(AZ356*(1+AX356+Assumptions!$B$11),0))</f>
        <v/>
      </c>
      <c r="BE356" s="12">
        <f>IF(AZ356="","",ROUND(AZ356*(1+AX356)*(1+AX356),0))</f>
        <v/>
      </c>
      <c r="BF356" s="7" t="inlineStr">
        <is>
          <t>Rules-based enrichment using launch-price anchor, cap-app realization, and 2026 segment conditions.</t>
        </is>
      </c>
      <c r="BG356" t="inlineStr">
        <is>
          <t>2026-03-17</t>
        </is>
      </c>
      <c r="BH356" s="7" t="inlineStr">
        <is>
          <t>DLD / Digital Dubai / CBUAE / Savills / Knight Frank-Moody’s / Reuters</t>
        </is>
      </c>
    </row>
    <row r="357">
      <c r="A357" t="n">
        <v>356</v>
      </c>
      <c r="B357" s="7" t="inlineStr">
        <is>
          <t>Binghatti Twilight</t>
        </is>
      </c>
      <c r="C357" t="inlineStr">
        <is>
          <t>Binghatti Developers</t>
        </is>
      </c>
      <c r="D357" t="inlineStr">
        <is>
          <t>JVC</t>
        </is>
      </c>
      <c r="E357" t="inlineStr">
        <is>
          <t>Apartments</t>
        </is>
      </c>
      <c r="F357" s="7" t="inlineStr">
        <is>
          <t>Circle / Design</t>
        </is>
      </c>
      <c r="G357" t="inlineStr">
        <is>
          <t>800k</t>
        </is>
      </c>
      <c r="H357" t="inlineStr">
        <is>
          <t>1300</t>
        </is>
      </c>
      <c r="I357" t="inlineStr">
        <is>
          <t>15</t>
        </is>
      </c>
      <c r="J357" t="inlineStr">
        <is>
          <t>70/30</t>
        </is>
      </c>
      <c r="K357" t="inlineStr">
        <is>
          <t>2023</t>
        </is>
      </c>
      <c r="L357" t="inlineStr">
        <is>
          <t>7.5-8.0</t>
        </is>
      </c>
      <c r="M357" t="inlineStr">
        <is>
          <t>7-9</t>
        </is>
      </c>
      <c r="N357" t="inlineStr">
        <is>
          <t>14.5-17.0</t>
        </is>
      </c>
      <c r="O357" s="7" t="inlineStr">
        <is>
          <t>JSS International</t>
        </is>
      </c>
      <c r="P357" s="7" t="inlineStr">
        <is>
          <t>Saudi German Hospital</t>
        </is>
      </c>
      <c r="Q357" s="7" t="inlineStr">
        <is>
          <t>Circle Mall</t>
        </is>
      </c>
      <c r="R357" s="7" t="inlineStr">
        <is>
          <t>Hessa St / E44</t>
        </is>
      </c>
      <c r="S357" t="inlineStr">
        <is>
          <t>20</t>
        </is>
      </c>
      <c r="T357" t="inlineStr">
        <is>
          <t>15</t>
        </is>
      </c>
      <c r="U357" t="inlineStr">
        <is>
          <t>25</t>
        </is>
      </c>
      <c r="V357" t="inlineStr">
        <is>
          <t>30</t>
        </is>
      </c>
      <c r="W357" t="n">
        <v>2</v>
      </c>
      <c r="X357" s="12" t="n">
        <v>800000</v>
      </c>
      <c r="Y357" s="12" t="n">
        <v>800000</v>
      </c>
      <c r="Z357" s="9" t="n">
        <v>7.5</v>
      </c>
      <c r="AA357" s="9" t="n">
        <v>8</v>
      </c>
      <c r="AB357" s="9" t="n">
        <v>7</v>
      </c>
      <c r="AC357" s="9" t="n">
        <v>9</v>
      </c>
      <c r="AD357" s="9" t="n">
        <v>14.5</v>
      </c>
      <c r="AE357" s="9" t="n">
        <v>17</v>
      </c>
      <c r="AF357" t="n">
        <v>2023</v>
      </c>
      <c r="AH357" t="inlineStr">
        <is>
          <t>Apartment</t>
        </is>
      </c>
      <c r="AI357" t="inlineStr">
        <is>
          <t>SupplySensitiveApartment</t>
        </is>
      </c>
      <c r="AJ357" t="inlineStr">
        <is>
          <t>MidTier</t>
        </is>
      </c>
      <c r="AK357" t="inlineStr">
        <is>
          <t>Supply-sensitive / selective</t>
        </is>
      </c>
      <c r="AL357" s="7" t="inlineStr">
        <is>
          <t>Higher delivery risk in more price-sensitive apartment clusters; building selection and exit liquidity matter.</t>
        </is>
      </c>
      <c r="AM357" s="9" t="n">
        <v>8</v>
      </c>
      <c r="AN357" s="9" t="n">
        <v>7.75</v>
      </c>
      <c r="AO357" s="10" t="n">
        <v>0.55</v>
      </c>
      <c r="AP357" s="13" t="n">
        <v>0</v>
      </c>
      <c r="AQ357" s="13" t="n">
        <v>0</v>
      </c>
      <c r="AR357" s="13" t="n">
        <v>-0.01</v>
      </c>
      <c r="AS357" s="13" t="n">
        <v>-0.01</v>
      </c>
      <c r="AT357" s="13" t="n">
        <v>-0.005</v>
      </c>
      <c r="AU357" s="13" t="n">
        <v>0.0025</v>
      </c>
      <c r="AV357" s="13" t="n">
        <v>-0.005</v>
      </c>
      <c r="AW357" s="13">
        <f>IF(X357="","",(AM357/100*AO357)+AP357+AQ357+AR357)</f>
        <v/>
      </c>
      <c r="AX357" s="13">
        <f>IF(X357="","",AS357+AT357+AU357+AV357)</f>
        <v/>
      </c>
      <c r="AY357" s="12">
        <f>IF(AZ357="","",ROUND(AZ357*(1+Assumptions!$B$10),0))</f>
        <v/>
      </c>
      <c r="AZ357" s="12">
        <f>IF(X357="","",ROUND(X357*(1+AW357),0))</f>
        <v/>
      </c>
      <c r="BA357" s="12">
        <f>IF(AZ357="","",ROUND(AZ357*(1+Assumptions!$B$11),0))</f>
        <v/>
      </c>
      <c r="BB357" s="12">
        <f>IF(AZ357="","",ROUND(AZ357*(1+AX357+Assumptions!$B$10),0))</f>
        <v/>
      </c>
      <c r="BC357" s="12">
        <f>IF(AZ357="","",ROUND(AZ357*(1+AX357),0))</f>
        <v/>
      </c>
      <c r="BD357" s="12">
        <f>IF(AZ357="","",ROUND(AZ357*(1+AX357+Assumptions!$B$11),0))</f>
        <v/>
      </c>
      <c r="BE357" s="12">
        <f>IF(AZ357="","",ROUND(AZ357*(1+AX357)*(1+AX357),0))</f>
        <v/>
      </c>
      <c r="BF357" s="7" t="inlineStr">
        <is>
          <t>Rules-based enrichment using launch-price anchor, cap-app realization, and 2026 segment conditions.</t>
        </is>
      </c>
      <c r="BG357" t="inlineStr">
        <is>
          <t>2026-03-17</t>
        </is>
      </c>
      <c r="BH357" s="7" t="inlineStr">
        <is>
          <t>DLD / Digital Dubai / CBUAE / Savills / Knight Frank-Moody’s / Reuters</t>
        </is>
      </c>
    </row>
    <row r="358">
      <c r="A358" t="n">
        <v>357</v>
      </c>
      <c r="B358" s="7" t="inlineStr">
        <is>
          <t>Binghatti Dawn</t>
        </is>
      </c>
      <c r="C358" t="inlineStr">
        <is>
          <t>Binghatti Developers</t>
        </is>
      </c>
      <c r="D358" t="inlineStr">
        <is>
          <t>JVC</t>
        </is>
      </c>
      <c r="E358" t="inlineStr">
        <is>
          <t>Apartments</t>
        </is>
      </c>
      <c r="F358" s="7" t="inlineStr">
        <is>
          <t>Circle / Design</t>
        </is>
      </c>
      <c r="G358" t="inlineStr">
        <is>
          <t>800k</t>
        </is>
      </c>
      <c r="H358" t="inlineStr">
        <is>
          <t>1300</t>
        </is>
      </c>
      <c r="I358" t="inlineStr">
        <is>
          <t>15</t>
        </is>
      </c>
      <c r="J358" t="inlineStr">
        <is>
          <t>70/30</t>
        </is>
      </c>
      <c r="K358" t="inlineStr">
        <is>
          <t>2023</t>
        </is>
      </c>
      <c r="L358" t="inlineStr">
        <is>
          <t>7.5-8.0</t>
        </is>
      </c>
      <c r="M358" t="inlineStr">
        <is>
          <t>7-9</t>
        </is>
      </c>
      <c r="N358" t="inlineStr">
        <is>
          <t>14.5-17.0</t>
        </is>
      </c>
      <c r="O358" s="7" t="inlineStr">
        <is>
          <t>JSS International</t>
        </is>
      </c>
      <c r="P358" s="7" t="inlineStr">
        <is>
          <t>Saudi German Hospital</t>
        </is>
      </c>
      <c r="Q358" s="7" t="inlineStr">
        <is>
          <t>Circle Mall</t>
        </is>
      </c>
      <c r="R358" s="7" t="inlineStr">
        <is>
          <t>Hessa St / E44</t>
        </is>
      </c>
      <c r="S358" t="inlineStr">
        <is>
          <t>20</t>
        </is>
      </c>
      <c r="T358" t="inlineStr">
        <is>
          <t>15</t>
        </is>
      </c>
      <c r="U358" t="inlineStr">
        <is>
          <t>25</t>
        </is>
      </c>
      <c r="V358" t="inlineStr">
        <is>
          <t>30</t>
        </is>
      </c>
      <c r="W358" t="n">
        <v>2</v>
      </c>
      <c r="X358" s="12" t="n">
        <v>800000</v>
      </c>
      <c r="Y358" s="12" t="n">
        <v>800000</v>
      </c>
      <c r="Z358" s="9" t="n">
        <v>7.5</v>
      </c>
      <c r="AA358" s="9" t="n">
        <v>8</v>
      </c>
      <c r="AB358" s="9" t="n">
        <v>7</v>
      </c>
      <c r="AC358" s="9" t="n">
        <v>9</v>
      </c>
      <c r="AD358" s="9" t="n">
        <v>14.5</v>
      </c>
      <c r="AE358" s="9" t="n">
        <v>17</v>
      </c>
      <c r="AF358" t="n">
        <v>2023</v>
      </c>
      <c r="AH358" t="inlineStr">
        <is>
          <t>Apartment</t>
        </is>
      </c>
      <c r="AI358" t="inlineStr">
        <is>
          <t>SupplySensitiveApartment</t>
        </is>
      </c>
      <c r="AJ358" t="inlineStr">
        <is>
          <t>MidTier</t>
        </is>
      </c>
      <c r="AK358" t="inlineStr">
        <is>
          <t>Supply-sensitive / selective</t>
        </is>
      </c>
      <c r="AL358" s="7" t="inlineStr">
        <is>
          <t>Higher delivery risk in more price-sensitive apartment clusters; building selection and exit liquidity matter.</t>
        </is>
      </c>
      <c r="AM358" s="9" t="n">
        <v>8</v>
      </c>
      <c r="AN358" s="9" t="n">
        <v>7.75</v>
      </c>
      <c r="AO358" s="10" t="n">
        <v>0.55</v>
      </c>
      <c r="AP358" s="13" t="n">
        <v>0</v>
      </c>
      <c r="AQ358" s="13" t="n">
        <v>0</v>
      </c>
      <c r="AR358" s="13" t="n">
        <v>-0.01</v>
      </c>
      <c r="AS358" s="13" t="n">
        <v>-0.01</v>
      </c>
      <c r="AT358" s="13" t="n">
        <v>-0.005</v>
      </c>
      <c r="AU358" s="13" t="n">
        <v>0.0025</v>
      </c>
      <c r="AV358" s="13" t="n">
        <v>-0.005</v>
      </c>
      <c r="AW358" s="13">
        <f>IF(X358="","",(AM358/100*AO358)+AP358+AQ358+AR358)</f>
        <v/>
      </c>
      <c r="AX358" s="13">
        <f>IF(X358="","",AS358+AT358+AU358+AV358)</f>
        <v/>
      </c>
      <c r="AY358" s="12">
        <f>IF(AZ358="","",ROUND(AZ358*(1+Assumptions!$B$10),0))</f>
        <v/>
      </c>
      <c r="AZ358" s="12">
        <f>IF(X358="","",ROUND(X358*(1+AW358),0))</f>
        <v/>
      </c>
      <c r="BA358" s="12">
        <f>IF(AZ358="","",ROUND(AZ358*(1+Assumptions!$B$11),0))</f>
        <v/>
      </c>
      <c r="BB358" s="12">
        <f>IF(AZ358="","",ROUND(AZ358*(1+AX358+Assumptions!$B$10),0))</f>
        <v/>
      </c>
      <c r="BC358" s="12">
        <f>IF(AZ358="","",ROUND(AZ358*(1+AX358),0))</f>
        <v/>
      </c>
      <c r="BD358" s="12">
        <f>IF(AZ358="","",ROUND(AZ358*(1+AX358+Assumptions!$B$11),0))</f>
        <v/>
      </c>
      <c r="BE358" s="12">
        <f>IF(AZ358="","",ROUND(AZ358*(1+AX358)*(1+AX358),0))</f>
        <v/>
      </c>
      <c r="BF358" s="7" t="inlineStr">
        <is>
          <t>Rules-based enrichment using launch-price anchor, cap-app realization, and 2026 segment conditions.</t>
        </is>
      </c>
      <c r="BG358" t="inlineStr">
        <is>
          <t>2026-03-17</t>
        </is>
      </c>
      <c r="BH358" s="7" t="inlineStr">
        <is>
          <t>DLD / Digital Dubai / CBUAE / Savills / Knight Frank-Moody’s / Reuters</t>
        </is>
      </c>
    </row>
    <row r="359">
      <c r="A359" t="n">
        <v>358</v>
      </c>
      <c r="B359" s="7" t="inlineStr">
        <is>
          <t>Binghatti House</t>
        </is>
      </c>
      <c r="C359" t="inlineStr">
        <is>
          <t>Binghatti Developers</t>
        </is>
      </c>
      <c r="D359" t="inlineStr">
        <is>
          <t>JVC</t>
        </is>
      </c>
      <c r="E359" t="inlineStr">
        <is>
          <t>Apartments</t>
        </is>
      </c>
      <c r="F359" s="7" t="inlineStr">
        <is>
          <t>Circle / Design</t>
        </is>
      </c>
      <c r="G359" t="inlineStr">
        <is>
          <t>800k</t>
        </is>
      </c>
      <c r="H359" t="inlineStr">
        <is>
          <t>1300</t>
        </is>
      </c>
      <c r="I359" t="inlineStr">
        <is>
          <t>15</t>
        </is>
      </c>
      <c r="J359" t="inlineStr">
        <is>
          <t>70/30</t>
        </is>
      </c>
      <c r="K359" t="inlineStr">
        <is>
          <t>2023</t>
        </is>
      </c>
      <c r="L359" t="inlineStr">
        <is>
          <t>7.5-8.0</t>
        </is>
      </c>
      <c r="M359" t="inlineStr">
        <is>
          <t>7-9</t>
        </is>
      </c>
      <c r="N359" t="inlineStr">
        <is>
          <t>14.5-17.0</t>
        </is>
      </c>
      <c r="O359" s="7" t="inlineStr">
        <is>
          <t>JSS International</t>
        </is>
      </c>
      <c r="P359" s="7" t="inlineStr">
        <is>
          <t>Saudi German Hospital</t>
        </is>
      </c>
      <c r="Q359" s="7" t="inlineStr">
        <is>
          <t>Circle Mall</t>
        </is>
      </c>
      <c r="R359" s="7" t="inlineStr">
        <is>
          <t>Hessa St / E44</t>
        </is>
      </c>
      <c r="S359" t="inlineStr">
        <is>
          <t>20</t>
        </is>
      </c>
      <c r="T359" t="inlineStr">
        <is>
          <t>15</t>
        </is>
      </c>
      <c r="U359" t="inlineStr">
        <is>
          <t>25</t>
        </is>
      </c>
      <c r="V359" t="inlineStr">
        <is>
          <t>30</t>
        </is>
      </c>
      <c r="W359" t="n">
        <v>2</v>
      </c>
      <c r="X359" s="12" t="n">
        <v>800000</v>
      </c>
      <c r="Y359" s="12" t="n">
        <v>800000</v>
      </c>
      <c r="Z359" s="9" t="n">
        <v>7.5</v>
      </c>
      <c r="AA359" s="9" t="n">
        <v>8</v>
      </c>
      <c r="AB359" s="9" t="n">
        <v>7</v>
      </c>
      <c r="AC359" s="9" t="n">
        <v>9</v>
      </c>
      <c r="AD359" s="9" t="n">
        <v>14.5</v>
      </c>
      <c r="AE359" s="9" t="n">
        <v>17</v>
      </c>
      <c r="AF359" t="n">
        <v>2023</v>
      </c>
      <c r="AH359" t="inlineStr">
        <is>
          <t>Apartment</t>
        </is>
      </c>
      <c r="AI359" t="inlineStr">
        <is>
          <t>SupplySensitiveApartment</t>
        </is>
      </c>
      <c r="AJ359" t="inlineStr">
        <is>
          <t>MidTier</t>
        </is>
      </c>
      <c r="AK359" t="inlineStr">
        <is>
          <t>Supply-sensitive / selective</t>
        </is>
      </c>
      <c r="AL359" s="7" t="inlineStr">
        <is>
          <t>Higher delivery risk in more price-sensitive apartment clusters; building selection and exit liquidity matter.</t>
        </is>
      </c>
      <c r="AM359" s="9" t="n">
        <v>8</v>
      </c>
      <c r="AN359" s="9" t="n">
        <v>7.75</v>
      </c>
      <c r="AO359" s="10" t="n">
        <v>0.55</v>
      </c>
      <c r="AP359" s="13" t="n">
        <v>0</v>
      </c>
      <c r="AQ359" s="13" t="n">
        <v>0</v>
      </c>
      <c r="AR359" s="13" t="n">
        <v>-0.01</v>
      </c>
      <c r="AS359" s="13" t="n">
        <v>-0.01</v>
      </c>
      <c r="AT359" s="13" t="n">
        <v>-0.005</v>
      </c>
      <c r="AU359" s="13" t="n">
        <v>0.0025</v>
      </c>
      <c r="AV359" s="13" t="n">
        <v>-0.005</v>
      </c>
      <c r="AW359" s="13">
        <f>IF(X359="","",(AM359/100*AO359)+AP359+AQ359+AR359)</f>
        <v/>
      </c>
      <c r="AX359" s="13">
        <f>IF(X359="","",AS359+AT359+AU359+AV359)</f>
        <v/>
      </c>
      <c r="AY359" s="12">
        <f>IF(AZ359="","",ROUND(AZ359*(1+Assumptions!$B$10),0))</f>
        <v/>
      </c>
      <c r="AZ359" s="12">
        <f>IF(X359="","",ROUND(X359*(1+AW359),0))</f>
        <v/>
      </c>
      <c r="BA359" s="12">
        <f>IF(AZ359="","",ROUND(AZ359*(1+Assumptions!$B$11),0))</f>
        <v/>
      </c>
      <c r="BB359" s="12">
        <f>IF(AZ359="","",ROUND(AZ359*(1+AX359+Assumptions!$B$10),0))</f>
        <v/>
      </c>
      <c r="BC359" s="12">
        <f>IF(AZ359="","",ROUND(AZ359*(1+AX359),0))</f>
        <v/>
      </c>
      <c r="BD359" s="12">
        <f>IF(AZ359="","",ROUND(AZ359*(1+AX359+Assumptions!$B$11),0))</f>
        <v/>
      </c>
      <c r="BE359" s="12">
        <f>IF(AZ359="","",ROUND(AZ359*(1+AX359)*(1+AX359),0))</f>
        <v/>
      </c>
      <c r="BF359" s="7" t="inlineStr">
        <is>
          <t>Rules-based enrichment using launch-price anchor, cap-app realization, and 2026 segment conditions.</t>
        </is>
      </c>
      <c r="BG359" t="inlineStr">
        <is>
          <t>2026-03-17</t>
        </is>
      </c>
      <c r="BH359" s="7" t="inlineStr">
        <is>
          <t>DLD / Digital Dubai / CBUAE / Savills / Knight Frank-Moody’s / Reuters</t>
        </is>
      </c>
    </row>
    <row r="360">
      <c r="A360" t="n">
        <v>359</v>
      </c>
      <c r="B360" s="7" t="inlineStr">
        <is>
          <t>Azizi Venice (Master Community)</t>
        </is>
      </c>
      <c r="C360" t="inlineStr">
        <is>
          <t>Azizi Developments</t>
        </is>
      </c>
      <c r="D360" t="inlineStr">
        <is>
          <t>Dubai South</t>
        </is>
      </c>
      <c r="E360" t="inlineStr">
        <is>
          <t>Apartments &amp; Villas</t>
        </is>
      </c>
      <c r="F360" s="7" t="inlineStr">
        <is>
          <t>Lagoon / Opera</t>
        </is>
      </c>
      <c r="G360" t="inlineStr">
        <is>
          <t>480k</t>
        </is>
      </c>
      <c r="H360" t="inlineStr">
        <is>
          <t>1200</t>
        </is>
      </c>
      <c r="I360" t="inlineStr">
        <is>
          <t>15</t>
        </is>
      </c>
      <c r="J360" t="inlineStr">
        <is>
          <t>40/60</t>
        </is>
      </c>
      <c r="K360" t="inlineStr">
        <is>
          <t>2023</t>
        </is>
      </c>
      <c r="L360" t="inlineStr">
        <is>
          <t>7.0-8.0</t>
        </is>
      </c>
      <c r="M360" t="inlineStr">
        <is>
          <t>10-15</t>
        </is>
      </c>
      <c r="N360" t="inlineStr">
        <is>
          <t>17.0-23.0</t>
        </is>
      </c>
      <c r="O360" s="7" t="inlineStr">
        <is>
          <t>Greenfield Intl</t>
        </is>
      </c>
      <c r="P360" s="7" t="inlineStr">
        <is>
          <t>NMC Royal DIP</t>
        </is>
      </c>
      <c r="Q360" s="7" t="inlineStr">
        <is>
          <t>Urban Centre (Local)</t>
        </is>
      </c>
      <c r="R360" s="7" t="inlineStr">
        <is>
          <t>Expo Rd / E611</t>
        </is>
      </c>
      <c r="S360" t="inlineStr">
        <is>
          <t>40</t>
        </is>
      </c>
      <c r="T360" t="inlineStr">
        <is>
          <t>25</t>
        </is>
      </c>
      <c r="U360" t="inlineStr">
        <is>
          <t>45</t>
        </is>
      </c>
      <c r="V360" t="inlineStr">
        <is>
          <t>7</t>
        </is>
      </c>
      <c r="W360" t="n">
        <v>2</v>
      </c>
      <c r="X360" s="12" t="n">
        <v>480000</v>
      </c>
      <c r="Y360" s="12" t="n">
        <v>480000</v>
      </c>
      <c r="Z360" s="9" t="n">
        <v>7</v>
      </c>
      <c r="AA360" s="9" t="n">
        <v>8</v>
      </c>
      <c r="AB360" s="9" t="n">
        <v>10</v>
      </c>
      <c r="AC360" s="9" t="n">
        <v>15</v>
      </c>
      <c r="AD360" s="9" t="n">
        <v>17</v>
      </c>
      <c r="AE360" s="9" t="n">
        <v>23</v>
      </c>
      <c r="AF360" t="n">
        <v>2023</v>
      </c>
      <c r="AH360" t="inlineStr">
        <is>
          <t>Villa</t>
        </is>
      </c>
      <c r="AI360" t="inlineStr">
        <is>
          <t>MainstreamSelective</t>
        </is>
      </c>
      <c r="AJ360" t="inlineStr">
        <is>
          <t>MidTier</t>
        </is>
      </c>
      <c r="AK360" t="inlineStr">
        <is>
          <t>Family-villa resilient</t>
        </is>
      </c>
      <c r="AL360" s="7" t="inlineStr">
        <is>
          <t>Villa/townhouse demand remains relatively firmer, though growth should be slower than the post-2020 surge.</t>
        </is>
      </c>
      <c r="AM360" s="9" t="n">
        <v>12.5</v>
      </c>
      <c r="AN360" s="9" t="n">
        <v>7.5</v>
      </c>
      <c r="AO360" s="10" t="n">
        <v>0.55</v>
      </c>
      <c r="AP360" s="13" t="n">
        <v>0</v>
      </c>
      <c r="AQ360" s="13" t="n">
        <v>0.015</v>
      </c>
      <c r="AR360" s="13" t="n">
        <v>0</v>
      </c>
      <c r="AS360" s="13" t="n">
        <v>0.025</v>
      </c>
      <c r="AT360" s="13" t="n">
        <v>-0.005</v>
      </c>
      <c r="AU360" s="13" t="n">
        <v>0.0025</v>
      </c>
      <c r="AV360" s="13" t="n">
        <v>-0.005</v>
      </c>
      <c r="AW360" s="13">
        <f>IF(X360="","",(AM360/100*AO360)+AP360+AQ360+AR360)</f>
        <v/>
      </c>
      <c r="AX360" s="13">
        <f>IF(X360="","",AS360+AT360+AU360+AV360)</f>
        <v/>
      </c>
      <c r="AY360" s="12">
        <f>IF(AZ360="","",ROUND(AZ360*(1+Assumptions!$B$10),0))</f>
        <v/>
      </c>
      <c r="AZ360" s="12">
        <f>IF(X360="","",ROUND(X360*(1+AW360),0))</f>
        <v/>
      </c>
      <c r="BA360" s="12">
        <f>IF(AZ360="","",ROUND(AZ360*(1+Assumptions!$B$11),0))</f>
        <v/>
      </c>
      <c r="BB360" s="12">
        <f>IF(AZ360="","",ROUND(AZ360*(1+AX360+Assumptions!$B$10),0))</f>
        <v/>
      </c>
      <c r="BC360" s="12">
        <f>IF(AZ360="","",ROUND(AZ360*(1+AX360),0))</f>
        <v/>
      </c>
      <c r="BD360" s="12">
        <f>IF(AZ360="","",ROUND(AZ360*(1+AX360+Assumptions!$B$11),0))</f>
        <v/>
      </c>
      <c r="BE360" s="12">
        <f>IF(AZ360="","",ROUND(AZ360*(1+AX360)*(1+AX360),0))</f>
        <v/>
      </c>
      <c r="BF360" s="7" t="inlineStr">
        <is>
          <t>Rules-based enrichment using launch-price anchor, cap-app realization, and 2026 segment conditions.</t>
        </is>
      </c>
      <c r="BG360" t="inlineStr">
        <is>
          <t>2026-03-17</t>
        </is>
      </c>
      <c r="BH360" s="7" t="inlineStr">
        <is>
          <t>DLD / Digital Dubai / CBUAE / Savills / Knight Frank-Moody’s / Reuters</t>
        </is>
      </c>
    </row>
    <row r="361">
      <c r="A361" t="n">
        <v>360</v>
      </c>
      <c r="B361" s="7" t="inlineStr">
        <is>
          <t>Monaco Mansions</t>
        </is>
      </c>
      <c r="C361" t="inlineStr">
        <is>
          <t>Azizi Developments</t>
        </is>
      </c>
      <c r="D361" t="inlineStr">
        <is>
          <t>Azizi Venice</t>
        </is>
      </c>
      <c r="E361" t="inlineStr">
        <is>
          <t>Mansions</t>
        </is>
      </c>
      <c r="F361" s="7" t="inlineStr">
        <is>
          <t>Ultra-Luxury / Lagoon</t>
        </is>
      </c>
      <c r="G361" t="inlineStr">
        <is>
          <t>10M+</t>
        </is>
      </c>
      <c r="H361" t="inlineStr">
        <is>
          <t>2000</t>
        </is>
      </c>
      <c r="I361" t="inlineStr">
        <is>
          <t>TBA</t>
        </is>
      </c>
      <c r="J361" t="inlineStr">
        <is>
          <t>40/60</t>
        </is>
      </c>
      <c r="K361" t="inlineStr">
        <is>
          <t>2024</t>
        </is>
      </c>
      <c r="L361" t="inlineStr">
        <is>
          <t>5.0-5.5</t>
        </is>
      </c>
      <c r="M361" t="inlineStr">
        <is>
          <t>12-18</t>
        </is>
      </c>
      <c r="N361" t="inlineStr">
        <is>
          <t>17.0-23.5</t>
        </is>
      </c>
      <c r="O361" s="7" t="inlineStr">
        <is>
          <t>Greenfield Intl</t>
        </is>
      </c>
      <c r="P361" s="7" t="inlineStr">
        <is>
          <t>NMC Royal DIP</t>
        </is>
      </c>
      <c r="Q361" s="7" t="inlineStr">
        <is>
          <t>Urban Centre (Local)</t>
        </is>
      </c>
      <c r="R361" s="7" t="inlineStr">
        <is>
          <t>Expo Rd / E611</t>
        </is>
      </c>
      <c r="S361" t="inlineStr">
        <is>
          <t>40</t>
        </is>
      </c>
      <c r="T361" t="inlineStr">
        <is>
          <t>25</t>
        </is>
      </c>
      <c r="U361" t="inlineStr">
        <is>
          <t>45</t>
        </is>
      </c>
      <c r="V361" t="inlineStr">
        <is>
          <t>7</t>
        </is>
      </c>
      <c r="W361" t="n">
        <v>2</v>
      </c>
      <c r="X361" s="12" t="n">
        <v>10000000</v>
      </c>
      <c r="Y361" s="12" t="n">
        <v>10000000</v>
      </c>
      <c r="Z361" s="9" t="n">
        <v>5</v>
      </c>
      <c r="AA361" s="9" t="n">
        <v>5.5</v>
      </c>
      <c r="AB361" s="9" t="n">
        <v>12</v>
      </c>
      <c r="AC361" s="9" t="n">
        <v>18</v>
      </c>
      <c r="AD361" s="9" t="n">
        <v>17</v>
      </c>
      <c r="AE361" s="9" t="n">
        <v>23.5</v>
      </c>
      <c r="AF361" t="n">
        <v>2024</v>
      </c>
      <c r="AH361" t="inlineStr">
        <is>
          <t>Mixed/Other</t>
        </is>
      </c>
      <c r="AI361" t="inlineStr">
        <is>
          <t>MainstreamSelective</t>
        </is>
      </c>
      <c r="AJ361" t="inlineStr">
        <is>
          <t>MidTier</t>
        </is>
      </c>
      <c r="AK361" t="inlineStr">
        <is>
          <t>Balanced / selective</t>
        </is>
      </c>
      <c r="AL361" s="7" t="inlineStr">
        <is>
          <t>Market remains active but increasingly differentiated by developer, micro-location, livability, and pricing discipline.</t>
        </is>
      </c>
      <c r="AM361" s="9" t="n">
        <v>15</v>
      </c>
      <c r="AN361" s="9" t="n">
        <v>5.25</v>
      </c>
      <c r="AO361" s="10" t="n">
        <v>0.55</v>
      </c>
      <c r="AP361" s="13" t="n">
        <v>0</v>
      </c>
      <c r="AQ361" s="13" t="n">
        <v>0</v>
      </c>
      <c r="AR361" s="13" t="n">
        <v>0</v>
      </c>
      <c r="AS361" s="13" t="n">
        <v>0.01</v>
      </c>
      <c r="AT361" s="13" t="n">
        <v>-0.005</v>
      </c>
      <c r="AU361" s="13" t="n">
        <v>0</v>
      </c>
      <c r="AV361" s="13" t="n">
        <v>-0.005</v>
      </c>
      <c r="AW361" s="13">
        <f>IF(X361="","",(AM361/100*AO361)+AP361+AQ361+AR361)</f>
        <v/>
      </c>
      <c r="AX361" s="13">
        <f>IF(X361="","",AS361+AT361+AU361+AV361)</f>
        <v/>
      </c>
      <c r="AY361" s="12">
        <f>IF(AZ361="","",ROUND(AZ361*(1+Assumptions!$B$10),0))</f>
        <v/>
      </c>
      <c r="AZ361" s="12">
        <f>IF(X361="","",ROUND(X361*(1+AW361),0))</f>
        <v/>
      </c>
      <c r="BA361" s="12">
        <f>IF(AZ361="","",ROUND(AZ361*(1+Assumptions!$B$11),0))</f>
        <v/>
      </c>
      <c r="BB361" s="12">
        <f>IF(AZ361="","",ROUND(AZ361*(1+AX361+Assumptions!$B$10),0))</f>
        <v/>
      </c>
      <c r="BC361" s="12">
        <f>IF(AZ361="","",ROUND(AZ361*(1+AX361),0))</f>
        <v/>
      </c>
      <c r="BD361" s="12">
        <f>IF(AZ361="","",ROUND(AZ361*(1+AX361+Assumptions!$B$11),0))</f>
        <v/>
      </c>
      <c r="BE361" s="12">
        <f>IF(AZ361="","",ROUND(AZ361*(1+AX361)*(1+AX361),0))</f>
        <v/>
      </c>
      <c r="BF361" s="7" t="inlineStr">
        <is>
          <t>Rules-based enrichment using launch-price anchor, cap-app realization, and 2026 segment conditions.</t>
        </is>
      </c>
      <c r="BG361" t="inlineStr">
        <is>
          <t>2026-03-17</t>
        </is>
      </c>
      <c r="BH361" s="7" t="inlineStr">
        <is>
          <t>DLD / Digital Dubai / CBUAE / Savills / Knight Frank-Moody’s / Reuters</t>
        </is>
      </c>
    </row>
    <row r="362">
      <c r="A362" t="n">
        <v>361</v>
      </c>
      <c r="B362" s="7" t="inlineStr">
        <is>
          <t>Burj Azizi</t>
        </is>
      </c>
      <c r="C362" t="inlineStr">
        <is>
          <t>Azizi Developments</t>
        </is>
      </c>
      <c r="D362" t="inlineStr">
        <is>
          <t>Sheikh Zayed Road</t>
        </is>
      </c>
      <c r="E362" t="inlineStr">
        <is>
          <t>Mixed Use</t>
        </is>
      </c>
      <c r="F362" s="7" t="inlineStr">
        <is>
          <t>Skyscraper</t>
        </is>
      </c>
      <c r="G362" t="inlineStr">
        <is>
          <t>TBA</t>
        </is>
      </c>
      <c r="H362" t="inlineStr">
        <is>
          <t>TBA</t>
        </is>
      </c>
      <c r="I362" t="inlineStr">
        <is>
          <t>TBA</t>
        </is>
      </c>
      <c r="J362" t="inlineStr">
        <is>
          <t>TBA</t>
        </is>
      </c>
      <c r="K362" t="inlineStr">
        <is>
          <t>2024</t>
        </is>
      </c>
      <c r="L362" t="inlineStr">
        <is>
          <t>5.0-6.0</t>
        </is>
      </c>
      <c r="M362" t="inlineStr">
        <is>
          <t>10-15</t>
        </is>
      </c>
      <c r="N362" t="inlineStr">
        <is>
          <t>15.0-21.0</t>
        </is>
      </c>
      <c r="O362" s="7" t="inlineStr">
        <is>
          <t>Hartland Intl</t>
        </is>
      </c>
      <c r="P362" s="7" t="inlineStr">
        <is>
          <t>Mediclinic Dubai Mall</t>
        </is>
      </c>
      <c r="Q362" s="7" t="inlineStr">
        <is>
          <t>Dubai Mall</t>
        </is>
      </c>
      <c r="R362" s="7" t="inlineStr">
        <is>
          <t>Sheikh Zayed E11</t>
        </is>
      </c>
      <c r="S362" t="inlineStr">
        <is>
          <t>5</t>
        </is>
      </c>
      <c r="T362" t="inlineStr">
        <is>
          <t>15</t>
        </is>
      </c>
      <c r="U362" t="inlineStr">
        <is>
          <t>15</t>
        </is>
      </c>
      <c r="V362" t="inlineStr">
        <is>
          <t>35</t>
        </is>
      </c>
      <c r="W362" t="n">
        <v>2</v>
      </c>
      <c r="X362" s="12" t="n"/>
      <c r="Y362" s="12" t="n"/>
      <c r="Z362" s="9" t="n">
        <v>5</v>
      </c>
      <c r="AA362" s="9" t="n">
        <v>6</v>
      </c>
      <c r="AB362" s="9" t="n">
        <v>10</v>
      </c>
      <c r="AC362" s="9" t="n">
        <v>15</v>
      </c>
      <c r="AD362" s="9" t="n">
        <v>15</v>
      </c>
      <c r="AE362" s="9" t="n">
        <v>21</v>
      </c>
      <c r="AF362" t="n">
        <v>2024</v>
      </c>
      <c r="AH362" t="inlineStr">
        <is>
          <t>Mixed/Other</t>
        </is>
      </c>
      <c r="AI362" t="inlineStr">
        <is>
          <t>MainstreamSelective</t>
        </is>
      </c>
      <c r="AJ362" t="inlineStr">
        <is>
          <t>MidTier</t>
        </is>
      </c>
      <c r="AK362" t="inlineStr">
        <is>
          <t>Balanced / selective</t>
        </is>
      </c>
      <c r="AL362" s="7" t="inlineStr">
        <is>
          <t>Market remains active but increasingly differentiated by developer, micro-location, livability, and pricing discipline.</t>
        </is>
      </c>
      <c r="AM362" s="9" t="n">
        <v>12.5</v>
      </c>
      <c r="AN362" s="9" t="n">
        <v>5.5</v>
      </c>
      <c r="AO362" s="10" t="n">
        <v>0.55</v>
      </c>
      <c r="AP362" s="13" t="n">
        <v>0</v>
      </c>
      <c r="AQ362" s="13" t="n">
        <v>0</v>
      </c>
      <c r="AR362" s="13" t="n">
        <v>0</v>
      </c>
      <c r="AS362" s="13" t="n">
        <v>0.01</v>
      </c>
      <c r="AT362" s="13" t="n">
        <v>-0.005</v>
      </c>
      <c r="AU362" s="13" t="n">
        <v>0</v>
      </c>
      <c r="AV362" s="13" t="n">
        <v>-0.005</v>
      </c>
      <c r="AW362" s="13">
        <f>IF(X362="","",(AM362/100*AO362)+AP362+AQ362+AR362)</f>
        <v/>
      </c>
      <c r="AX362" s="13">
        <f>IF(X362="","",AS362+AT362+AU362+AV362)</f>
        <v/>
      </c>
      <c r="AY362" s="12">
        <f>IF(AZ362="","",ROUND(AZ362*(1+Assumptions!$B$10),0))</f>
        <v/>
      </c>
      <c r="AZ362" s="12">
        <f>IF(X362="","",ROUND(X362*(1+AW362),0))</f>
        <v/>
      </c>
      <c r="BA362" s="12">
        <f>IF(AZ362="","",ROUND(AZ362*(1+Assumptions!$B$11),0))</f>
        <v/>
      </c>
      <c r="BB362" s="12">
        <f>IF(AZ362="","",ROUND(AZ362*(1+AX362+Assumptions!$B$10),0))</f>
        <v/>
      </c>
      <c r="BC362" s="12">
        <f>IF(AZ362="","",ROUND(AZ362*(1+AX362),0))</f>
        <v/>
      </c>
      <c r="BD362" s="12">
        <f>IF(AZ362="","",ROUND(AZ362*(1+AX362+Assumptions!$B$11),0))</f>
        <v/>
      </c>
      <c r="BE362" s="12">
        <f>IF(AZ362="","",ROUND(AZ362*(1+AX362)*(1+AX362),0))</f>
        <v/>
      </c>
      <c r="BF362" s="7" t="inlineStr">
        <is>
          <t>Rules-based enrichment using launch-price anchor, cap-app realization, and 2026 segment conditions.</t>
        </is>
      </c>
      <c r="BG362" t="inlineStr">
        <is>
          <t>2026-03-17</t>
        </is>
      </c>
      <c r="BH362" s="7" t="inlineStr">
        <is>
          <t>DLD / Digital Dubai / CBUAE / Savills / Knight Frank-Moody’s / Reuters</t>
        </is>
      </c>
    </row>
    <row r="363">
      <c r="A363" t="n">
        <v>362</v>
      </c>
      <c r="B363" s="7" t="inlineStr">
        <is>
          <t>Riviera Phase 1</t>
        </is>
      </c>
      <c r="C363" t="inlineStr">
        <is>
          <t>Azizi Developments</t>
        </is>
      </c>
      <c r="D363" t="inlineStr">
        <is>
          <t>MBR City (Meydan)</t>
        </is>
      </c>
      <c r="E363" t="inlineStr">
        <is>
          <t>Apartments</t>
        </is>
      </c>
      <c r="F363" s="7" t="inlineStr">
        <is>
          <t>Lagoon / French</t>
        </is>
      </c>
      <c r="G363" t="inlineStr">
        <is>
          <t>Resale (800k+)</t>
        </is>
      </c>
      <c r="H363" t="inlineStr">
        <is>
          <t>1300</t>
        </is>
      </c>
      <c r="I363" t="inlineStr">
        <is>
          <t>16</t>
        </is>
      </c>
      <c r="J363" t="inlineStr">
        <is>
          <t>Completed</t>
        </is>
      </c>
      <c r="K363" t="inlineStr">
        <is>
          <t>2017</t>
        </is>
      </c>
      <c r="L363" t="inlineStr">
        <is>
          <t>7.0-7.5</t>
        </is>
      </c>
      <c r="M363" t="inlineStr">
        <is>
          <t>5-7</t>
        </is>
      </c>
      <c r="N363" t="inlineStr">
        <is>
          <t>12.0-14.5</t>
        </is>
      </c>
      <c r="O363" s="7" t="inlineStr">
        <is>
          <t>Hartland Intl</t>
        </is>
      </c>
      <c r="P363" s="7" t="inlineStr">
        <is>
          <t>American Hospital</t>
        </is>
      </c>
      <c r="Q363" s="7" t="inlineStr">
        <is>
          <t>Dubai Mall</t>
        </is>
      </c>
      <c r="R363" s="7" t="inlineStr">
        <is>
          <t>Ras Al Khor / E44</t>
        </is>
      </c>
      <c r="S363" t="inlineStr">
        <is>
          <t>12</t>
        </is>
      </c>
      <c r="T363" t="inlineStr">
        <is>
          <t>25</t>
        </is>
      </c>
      <c r="U363" t="inlineStr">
        <is>
          <t>15</t>
        </is>
      </c>
      <c r="V363" t="inlineStr">
        <is>
          <t>40</t>
        </is>
      </c>
      <c r="W363" t="n">
        <v>2</v>
      </c>
      <c r="X363" s="12" t="n">
        <v>800000</v>
      </c>
      <c r="Y363" s="12" t="n">
        <v>800000</v>
      </c>
      <c r="Z363" s="9" t="n">
        <v>7</v>
      </c>
      <c r="AA363" s="9" t="n">
        <v>7.5</v>
      </c>
      <c r="AB363" s="9" t="n">
        <v>5</v>
      </c>
      <c r="AC363" s="9" t="n">
        <v>7</v>
      </c>
      <c r="AD363" s="9" t="n">
        <v>12</v>
      </c>
      <c r="AE363" s="9" t="n">
        <v>14.5</v>
      </c>
      <c r="AF363" t="n">
        <v>2017</v>
      </c>
      <c r="AH363" t="inlineStr">
        <is>
          <t>Apartment</t>
        </is>
      </c>
      <c r="AI363" t="inlineStr">
        <is>
          <t>MainstreamSelective</t>
        </is>
      </c>
      <c r="AJ363" t="inlineStr">
        <is>
          <t>MidTier</t>
        </is>
      </c>
      <c r="AK363" t="inlineStr">
        <is>
          <t>Balanced / selective</t>
        </is>
      </c>
      <c r="AL363" s="7" t="inlineStr">
        <is>
          <t>Market remains active but increasingly differentiated by developer, micro-location, livability, and pricing discipline.</t>
        </is>
      </c>
      <c r="AM363" s="9" t="n">
        <v>6</v>
      </c>
      <c r="AN363" s="9" t="n">
        <v>7.25</v>
      </c>
      <c r="AO363" s="10" t="n">
        <v>0.55</v>
      </c>
      <c r="AP363" s="13" t="n">
        <v>0</v>
      </c>
      <c r="AQ363" s="13" t="n">
        <v>0</v>
      </c>
      <c r="AR363" s="13" t="n">
        <v>0</v>
      </c>
      <c r="AS363" s="13" t="n">
        <v>0.01</v>
      </c>
      <c r="AT363" s="13" t="n">
        <v>-0.005</v>
      </c>
      <c r="AU363" s="13" t="n">
        <v>0.0025</v>
      </c>
      <c r="AV363" s="13" t="n">
        <v>-0.005</v>
      </c>
      <c r="AW363" s="13">
        <f>IF(X363="","",(AM363/100*AO363)+AP363+AQ363+AR363)</f>
        <v/>
      </c>
      <c r="AX363" s="13">
        <f>IF(X363="","",AS363+AT363+AU363+AV363)</f>
        <v/>
      </c>
      <c r="AY363" s="12">
        <f>IF(AZ363="","",ROUND(AZ363*(1+Assumptions!$B$10),0))</f>
        <v/>
      </c>
      <c r="AZ363" s="12">
        <f>IF(X363="","",ROUND(X363*(1+AW363),0))</f>
        <v/>
      </c>
      <c r="BA363" s="12">
        <f>IF(AZ363="","",ROUND(AZ363*(1+Assumptions!$B$11),0))</f>
        <v/>
      </c>
      <c r="BB363" s="12">
        <f>IF(AZ363="","",ROUND(AZ363*(1+AX363+Assumptions!$B$10),0))</f>
        <v/>
      </c>
      <c r="BC363" s="12">
        <f>IF(AZ363="","",ROUND(AZ363*(1+AX363),0))</f>
        <v/>
      </c>
      <c r="BD363" s="12">
        <f>IF(AZ363="","",ROUND(AZ363*(1+AX363+Assumptions!$B$11),0))</f>
        <v/>
      </c>
      <c r="BE363" s="12">
        <f>IF(AZ363="","",ROUND(AZ363*(1+AX363)*(1+AX363),0))</f>
        <v/>
      </c>
      <c r="BF363" s="7" t="inlineStr">
        <is>
          <t>Rules-based enrichment using launch-price anchor, cap-app realization, and 2026 segment conditions.</t>
        </is>
      </c>
      <c r="BG363" t="inlineStr">
        <is>
          <t>2026-03-17</t>
        </is>
      </c>
      <c r="BH363" s="7" t="inlineStr">
        <is>
          <t>DLD / Digital Dubai / CBUAE / Savills / Knight Frank-Moody’s / Reuters</t>
        </is>
      </c>
    </row>
    <row r="364">
      <c r="A364" t="n">
        <v>363</v>
      </c>
      <c r="B364" s="7" t="inlineStr">
        <is>
          <t>Riviera Phase 2</t>
        </is>
      </c>
      <c r="C364" t="inlineStr">
        <is>
          <t>Azizi Developments</t>
        </is>
      </c>
      <c r="D364" t="inlineStr">
        <is>
          <t>MBR City (Meydan)</t>
        </is>
      </c>
      <c r="E364" t="inlineStr">
        <is>
          <t>Apartments</t>
        </is>
      </c>
      <c r="F364" s="7" t="inlineStr">
        <is>
          <t>Lagoon / French</t>
        </is>
      </c>
      <c r="G364" t="inlineStr">
        <is>
          <t>Resale (800k+)</t>
        </is>
      </c>
      <c r="H364" t="inlineStr">
        <is>
          <t>1300</t>
        </is>
      </c>
      <c r="I364" t="inlineStr">
        <is>
          <t>16</t>
        </is>
      </c>
      <c r="J364" t="inlineStr">
        <is>
          <t>Completed</t>
        </is>
      </c>
      <c r="K364" t="inlineStr">
        <is>
          <t>2018</t>
        </is>
      </c>
      <c r="L364" t="inlineStr">
        <is>
          <t>7.0-7.5</t>
        </is>
      </c>
      <c r="M364" t="inlineStr">
        <is>
          <t>5-7</t>
        </is>
      </c>
      <c r="N364" t="inlineStr">
        <is>
          <t>12.0-14.5</t>
        </is>
      </c>
      <c r="O364" s="7" t="inlineStr">
        <is>
          <t>Hartland Intl</t>
        </is>
      </c>
      <c r="P364" s="7" t="inlineStr">
        <is>
          <t>American Hospital</t>
        </is>
      </c>
      <c r="Q364" s="7" t="inlineStr">
        <is>
          <t>Dubai Mall</t>
        </is>
      </c>
      <c r="R364" s="7" t="inlineStr">
        <is>
          <t>Ras Al Khor / E44</t>
        </is>
      </c>
      <c r="S364" t="inlineStr">
        <is>
          <t>12</t>
        </is>
      </c>
      <c r="T364" t="inlineStr">
        <is>
          <t>25</t>
        </is>
      </c>
      <c r="U364" t="inlineStr">
        <is>
          <t>15</t>
        </is>
      </c>
      <c r="V364" t="inlineStr">
        <is>
          <t>40</t>
        </is>
      </c>
      <c r="W364" t="n">
        <v>2</v>
      </c>
      <c r="X364" s="12" t="n">
        <v>800000</v>
      </c>
      <c r="Y364" s="12" t="n">
        <v>800000</v>
      </c>
      <c r="Z364" s="9" t="n">
        <v>7</v>
      </c>
      <c r="AA364" s="9" t="n">
        <v>7.5</v>
      </c>
      <c r="AB364" s="9" t="n">
        <v>5</v>
      </c>
      <c r="AC364" s="9" t="n">
        <v>7</v>
      </c>
      <c r="AD364" s="9" t="n">
        <v>12</v>
      </c>
      <c r="AE364" s="9" t="n">
        <v>14.5</v>
      </c>
      <c r="AF364" t="n">
        <v>2018</v>
      </c>
      <c r="AH364" t="inlineStr">
        <is>
          <t>Apartment</t>
        </is>
      </c>
      <c r="AI364" t="inlineStr">
        <is>
          <t>MainstreamSelective</t>
        </is>
      </c>
      <c r="AJ364" t="inlineStr">
        <is>
          <t>MidTier</t>
        </is>
      </c>
      <c r="AK364" t="inlineStr">
        <is>
          <t>Balanced / selective</t>
        </is>
      </c>
      <c r="AL364" s="7" t="inlineStr">
        <is>
          <t>Market remains active but increasingly differentiated by developer, micro-location, livability, and pricing discipline.</t>
        </is>
      </c>
      <c r="AM364" s="9" t="n">
        <v>6</v>
      </c>
      <c r="AN364" s="9" t="n">
        <v>7.25</v>
      </c>
      <c r="AO364" s="10" t="n">
        <v>0.55</v>
      </c>
      <c r="AP364" s="13" t="n">
        <v>0</v>
      </c>
      <c r="AQ364" s="13" t="n">
        <v>0</v>
      </c>
      <c r="AR364" s="13" t="n">
        <v>0</v>
      </c>
      <c r="AS364" s="13" t="n">
        <v>0.01</v>
      </c>
      <c r="AT364" s="13" t="n">
        <v>-0.005</v>
      </c>
      <c r="AU364" s="13" t="n">
        <v>0.0025</v>
      </c>
      <c r="AV364" s="13" t="n">
        <v>-0.005</v>
      </c>
      <c r="AW364" s="13">
        <f>IF(X364="","",(AM364/100*AO364)+AP364+AQ364+AR364)</f>
        <v/>
      </c>
      <c r="AX364" s="13">
        <f>IF(X364="","",AS364+AT364+AU364+AV364)</f>
        <v/>
      </c>
      <c r="AY364" s="12">
        <f>IF(AZ364="","",ROUND(AZ364*(1+Assumptions!$B$10),0))</f>
        <v/>
      </c>
      <c r="AZ364" s="12">
        <f>IF(X364="","",ROUND(X364*(1+AW364),0))</f>
        <v/>
      </c>
      <c r="BA364" s="12">
        <f>IF(AZ364="","",ROUND(AZ364*(1+Assumptions!$B$11),0))</f>
        <v/>
      </c>
      <c r="BB364" s="12">
        <f>IF(AZ364="","",ROUND(AZ364*(1+AX364+Assumptions!$B$10),0))</f>
        <v/>
      </c>
      <c r="BC364" s="12">
        <f>IF(AZ364="","",ROUND(AZ364*(1+AX364),0))</f>
        <v/>
      </c>
      <c r="BD364" s="12">
        <f>IF(AZ364="","",ROUND(AZ364*(1+AX364+Assumptions!$B$11),0))</f>
        <v/>
      </c>
      <c r="BE364" s="12">
        <f>IF(AZ364="","",ROUND(AZ364*(1+AX364)*(1+AX364),0))</f>
        <v/>
      </c>
      <c r="BF364" s="7" t="inlineStr">
        <is>
          <t>Rules-based enrichment using launch-price anchor, cap-app realization, and 2026 segment conditions.</t>
        </is>
      </c>
      <c r="BG364" t="inlineStr">
        <is>
          <t>2026-03-17</t>
        </is>
      </c>
      <c r="BH364" s="7" t="inlineStr">
        <is>
          <t>DLD / Digital Dubai / CBUAE / Savills / Knight Frank-Moody’s / Reuters</t>
        </is>
      </c>
    </row>
    <row r="365">
      <c r="A365" t="n">
        <v>364</v>
      </c>
      <c r="B365" s="7" t="inlineStr">
        <is>
          <t>Riviera Phase 3</t>
        </is>
      </c>
      <c r="C365" t="inlineStr">
        <is>
          <t>Azizi Developments</t>
        </is>
      </c>
      <c r="D365" t="inlineStr">
        <is>
          <t>MBR City (Meydan)</t>
        </is>
      </c>
      <c r="E365" t="inlineStr">
        <is>
          <t>Apartments</t>
        </is>
      </c>
      <c r="F365" s="7" t="inlineStr">
        <is>
          <t>Lagoon / French</t>
        </is>
      </c>
      <c r="G365" t="inlineStr">
        <is>
          <t>1.0M</t>
        </is>
      </c>
      <c r="H365" t="inlineStr">
        <is>
          <t>1400</t>
        </is>
      </c>
      <c r="I365" t="inlineStr">
        <is>
          <t>16</t>
        </is>
      </c>
      <c r="J365" t="inlineStr">
        <is>
          <t>50/50</t>
        </is>
      </c>
      <c r="K365" t="inlineStr">
        <is>
          <t>2019</t>
        </is>
      </c>
      <c r="L365" t="inlineStr">
        <is>
          <t>7.0-7.5</t>
        </is>
      </c>
      <c r="M365" t="inlineStr">
        <is>
          <t>6-8</t>
        </is>
      </c>
      <c r="N365" t="inlineStr">
        <is>
          <t>13.0-15.5</t>
        </is>
      </c>
      <c r="O365" s="7" t="inlineStr">
        <is>
          <t>Hartland Intl</t>
        </is>
      </c>
      <c r="P365" s="7" t="inlineStr">
        <is>
          <t>American Hospital</t>
        </is>
      </c>
      <c r="Q365" s="7" t="inlineStr">
        <is>
          <t>Dubai Mall</t>
        </is>
      </c>
      <c r="R365" s="7" t="inlineStr">
        <is>
          <t>Ras Al Khor / E44</t>
        </is>
      </c>
      <c r="S365" t="inlineStr">
        <is>
          <t>12</t>
        </is>
      </c>
      <c r="T365" t="inlineStr">
        <is>
          <t>25</t>
        </is>
      </c>
      <c r="U365" t="inlineStr">
        <is>
          <t>15</t>
        </is>
      </c>
      <c r="V365" t="inlineStr">
        <is>
          <t>40</t>
        </is>
      </c>
      <c r="W365" t="n">
        <v>2</v>
      </c>
      <c r="X365" s="12" t="n">
        <v>1000000</v>
      </c>
      <c r="Y365" s="12" t="n">
        <v>1000000</v>
      </c>
      <c r="Z365" s="9" t="n">
        <v>7</v>
      </c>
      <c r="AA365" s="9" t="n">
        <v>7.5</v>
      </c>
      <c r="AB365" s="9" t="n">
        <v>6</v>
      </c>
      <c r="AC365" s="9" t="n">
        <v>8</v>
      </c>
      <c r="AD365" s="9" t="n">
        <v>13</v>
      </c>
      <c r="AE365" s="9" t="n">
        <v>15.5</v>
      </c>
      <c r="AF365" t="n">
        <v>2019</v>
      </c>
      <c r="AH365" t="inlineStr">
        <is>
          <t>Apartment</t>
        </is>
      </c>
      <c r="AI365" t="inlineStr">
        <is>
          <t>MainstreamSelective</t>
        </is>
      </c>
      <c r="AJ365" t="inlineStr">
        <is>
          <t>MidTier</t>
        </is>
      </c>
      <c r="AK365" t="inlineStr">
        <is>
          <t>Balanced / selective</t>
        </is>
      </c>
      <c r="AL365" s="7" t="inlineStr">
        <is>
          <t>Market remains active but increasingly differentiated by developer, micro-location, livability, and pricing discipline.</t>
        </is>
      </c>
      <c r="AM365" s="9" t="n">
        <v>7</v>
      </c>
      <c r="AN365" s="9" t="n">
        <v>7.25</v>
      </c>
      <c r="AO365" s="10" t="n">
        <v>0.55</v>
      </c>
      <c r="AP365" s="13" t="n">
        <v>0</v>
      </c>
      <c r="AQ365" s="13" t="n">
        <v>0</v>
      </c>
      <c r="AR365" s="13" t="n">
        <v>0</v>
      </c>
      <c r="AS365" s="13" t="n">
        <v>0.01</v>
      </c>
      <c r="AT365" s="13" t="n">
        <v>-0.005</v>
      </c>
      <c r="AU365" s="13" t="n">
        <v>0.0025</v>
      </c>
      <c r="AV365" s="13" t="n">
        <v>-0.005</v>
      </c>
      <c r="AW365" s="13">
        <f>IF(X365="","",(AM365/100*AO365)+AP365+AQ365+AR365)</f>
        <v/>
      </c>
      <c r="AX365" s="13">
        <f>IF(X365="","",AS365+AT365+AU365+AV365)</f>
        <v/>
      </c>
      <c r="AY365" s="12">
        <f>IF(AZ365="","",ROUND(AZ365*(1+Assumptions!$B$10),0))</f>
        <v/>
      </c>
      <c r="AZ365" s="12">
        <f>IF(X365="","",ROUND(X365*(1+AW365),0))</f>
        <v/>
      </c>
      <c r="BA365" s="12">
        <f>IF(AZ365="","",ROUND(AZ365*(1+Assumptions!$B$11),0))</f>
        <v/>
      </c>
      <c r="BB365" s="12">
        <f>IF(AZ365="","",ROUND(AZ365*(1+AX365+Assumptions!$B$10),0))</f>
        <v/>
      </c>
      <c r="BC365" s="12">
        <f>IF(AZ365="","",ROUND(AZ365*(1+AX365),0))</f>
        <v/>
      </c>
      <c r="BD365" s="12">
        <f>IF(AZ365="","",ROUND(AZ365*(1+AX365+Assumptions!$B$11),0))</f>
        <v/>
      </c>
      <c r="BE365" s="12">
        <f>IF(AZ365="","",ROUND(AZ365*(1+AX365)*(1+AX365),0))</f>
        <v/>
      </c>
      <c r="BF365" s="7" t="inlineStr">
        <is>
          <t>Rules-based enrichment using launch-price anchor, cap-app realization, and 2026 segment conditions.</t>
        </is>
      </c>
      <c r="BG365" t="inlineStr">
        <is>
          <t>2026-03-17</t>
        </is>
      </c>
      <c r="BH365" s="7" t="inlineStr">
        <is>
          <t>DLD / Digital Dubai / CBUAE / Savills / Knight Frank-Moody’s / Reuters</t>
        </is>
      </c>
    </row>
    <row r="366">
      <c r="A366" t="n">
        <v>365</v>
      </c>
      <c r="B366" s="7" t="inlineStr">
        <is>
          <t>Riviera Phase 4</t>
        </is>
      </c>
      <c r="C366" t="inlineStr">
        <is>
          <t>Azizi Developments</t>
        </is>
      </c>
      <c r="D366" t="inlineStr">
        <is>
          <t>MBR City (Meydan)</t>
        </is>
      </c>
      <c r="E366" t="inlineStr">
        <is>
          <t>Apartments</t>
        </is>
      </c>
      <c r="F366" s="7" t="inlineStr">
        <is>
          <t>Lagoon / French</t>
        </is>
      </c>
      <c r="G366" t="inlineStr">
        <is>
          <t>1.1M</t>
        </is>
      </c>
      <c r="H366" t="inlineStr">
        <is>
          <t>1450</t>
        </is>
      </c>
      <c r="I366" t="inlineStr">
        <is>
          <t>16</t>
        </is>
      </c>
      <c r="J366" t="inlineStr">
        <is>
          <t>50/50</t>
        </is>
      </c>
      <c r="K366" t="inlineStr">
        <is>
          <t>2022</t>
        </is>
      </c>
      <c r="L366" t="inlineStr">
        <is>
          <t>7.0-7.5</t>
        </is>
      </c>
      <c r="M366" t="inlineStr">
        <is>
          <t>6-8</t>
        </is>
      </c>
      <c r="N366" t="inlineStr">
        <is>
          <t>13.0-15.5</t>
        </is>
      </c>
      <c r="O366" s="7" t="inlineStr">
        <is>
          <t>Hartland Intl</t>
        </is>
      </c>
      <c r="P366" s="7" t="inlineStr">
        <is>
          <t>American Hospital</t>
        </is>
      </c>
      <c r="Q366" s="7" t="inlineStr">
        <is>
          <t>Dubai Mall</t>
        </is>
      </c>
      <c r="R366" s="7" t="inlineStr">
        <is>
          <t>Ras Al Khor / E44</t>
        </is>
      </c>
      <c r="S366" t="inlineStr">
        <is>
          <t>12</t>
        </is>
      </c>
      <c r="T366" t="inlineStr">
        <is>
          <t>25</t>
        </is>
      </c>
      <c r="U366" t="inlineStr">
        <is>
          <t>15</t>
        </is>
      </c>
      <c r="V366" t="inlineStr">
        <is>
          <t>40</t>
        </is>
      </c>
      <c r="W366" t="n">
        <v>2</v>
      </c>
      <c r="X366" s="12" t="n">
        <v>1100000</v>
      </c>
      <c r="Y366" s="12" t="n">
        <v>1100000</v>
      </c>
      <c r="Z366" s="9" t="n">
        <v>7</v>
      </c>
      <c r="AA366" s="9" t="n">
        <v>7.5</v>
      </c>
      <c r="AB366" s="9" t="n">
        <v>6</v>
      </c>
      <c r="AC366" s="9" t="n">
        <v>8</v>
      </c>
      <c r="AD366" s="9" t="n">
        <v>13</v>
      </c>
      <c r="AE366" s="9" t="n">
        <v>15.5</v>
      </c>
      <c r="AF366" t="n">
        <v>2022</v>
      </c>
      <c r="AH366" t="inlineStr">
        <is>
          <t>Apartment</t>
        </is>
      </c>
      <c r="AI366" t="inlineStr">
        <is>
          <t>MainstreamSelective</t>
        </is>
      </c>
      <c r="AJ366" t="inlineStr">
        <is>
          <t>MidTier</t>
        </is>
      </c>
      <c r="AK366" t="inlineStr">
        <is>
          <t>Balanced / selective</t>
        </is>
      </c>
      <c r="AL366" s="7" t="inlineStr">
        <is>
          <t>Market remains active but increasingly differentiated by developer, micro-location, livability, and pricing discipline.</t>
        </is>
      </c>
      <c r="AM366" s="9" t="n">
        <v>7</v>
      </c>
      <c r="AN366" s="9" t="n">
        <v>7.25</v>
      </c>
      <c r="AO366" s="10" t="n">
        <v>0.55</v>
      </c>
      <c r="AP366" s="13" t="n">
        <v>0</v>
      </c>
      <c r="AQ366" s="13" t="n">
        <v>0</v>
      </c>
      <c r="AR366" s="13" t="n">
        <v>0</v>
      </c>
      <c r="AS366" s="13" t="n">
        <v>0.01</v>
      </c>
      <c r="AT366" s="13" t="n">
        <v>-0.005</v>
      </c>
      <c r="AU366" s="13" t="n">
        <v>0.0025</v>
      </c>
      <c r="AV366" s="13" t="n">
        <v>-0.005</v>
      </c>
      <c r="AW366" s="13">
        <f>IF(X366="","",(AM366/100*AO366)+AP366+AQ366+AR366)</f>
        <v/>
      </c>
      <c r="AX366" s="13">
        <f>IF(X366="","",AS366+AT366+AU366+AV366)</f>
        <v/>
      </c>
      <c r="AY366" s="12">
        <f>IF(AZ366="","",ROUND(AZ366*(1+Assumptions!$B$10),0))</f>
        <v/>
      </c>
      <c r="AZ366" s="12">
        <f>IF(X366="","",ROUND(X366*(1+AW366),0))</f>
        <v/>
      </c>
      <c r="BA366" s="12">
        <f>IF(AZ366="","",ROUND(AZ366*(1+Assumptions!$B$11),0))</f>
        <v/>
      </c>
      <c r="BB366" s="12">
        <f>IF(AZ366="","",ROUND(AZ366*(1+AX366+Assumptions!$B$10),0))</f>
        <v/>
      </c>
      <c r="BC366" s="12">
        <f>IF(AZ366="","",ROUND(AZ366*(1+AX366),0))</f>
        <v/>
      </c>
      <c r="BD366" s="12">
        <f>IF(AZ366="","",ROUND(AZ366*(1+AX366+Assumptions!$B$11),0))</f>
        <v/>
      </c>
      <c r="BE366" s="12">
        <f>IF(AZ366="","",ROUND(AZ366*(1+AX366)*(1+AX366),0))</f>
        <v/>
      </c>
      <c r="BF366" s="7" t="inlineStr">
        <is>
          <t>Rules-based enrichment using launch-price anchor, cap-app realization, and 2026 segment conditions.</t>
        </is>
      </c>
      <c r="BG366" t="inlineStr">
        <is>
          <t>2026-03-17</t>
        </is>
      </c>
      <c r="BH366" s="7" t="inlineStr">
        <is>
          <t>DLD / Digital Dubai / CBUAE / Savills / Knight Frank-Moody’s / Reuters</t>
        </is>
      </c>
    </row>
    <row r="367">
      <c r="A367" t="n">
        <v>366</v>
      </c>
      <c r="B367" s="7" t="inlineStr">
        <is>
          <t>Riviera Rêve</t>
        </is>
      </c>
      <c r="C367" t="inlineStr">
        <is>
          <t>Azizi Developments</t>
        </is>
      </c>
      <c r="D367" t="inlineStr">
        <is>
          <t>MBR City (Meydan)</t>
        </is>
      </c>
      <c r="E367" t="inlineStr">
        <is>
          <t>Apartments</t>
        </is>
      </c>
      <c r="F367" s="7" t="inlineStr">
        <is>
          <t>Luxury / Lagoon View</t>
        </is>
      </c>
      <c r="G367" t="inlineStr">
        <is>
          <t>1.8M</t>
        </is>
      </c>
      <c r="H367" t="inlineStr">
        <is>
          <t>1800</t>
        </is>
      </c>
      <c r="I367" t="inlineStr">
        <is>
          <t>18</t>
        </is>
      </c>
      <c r="J367" t="inlineStr">
        <is>
          <t>50/50</t>
        </is>
      </c>
      <c r="K367" t="inlineStr">
        <is>
          <t>2022</t>
        </is>
      </c>
      <c r="L367" t="inlineStr">
        <is>
          <t>6.5-7.0</t>
        </is>
      </c>
      <c r="M367" t="inlineStr">
        <is>
          <t>7-9</t>
        </is>
      </c>
      <c r="N367" t="inlineStr">
        <is>
          <t>13.5-16.0</t>
        </is>
      </c>
      <c r="O367" s="7" t="inlineStr">
        <is>
          <t>Hartland Intl</t>
        </is>
      </c>
      <c r="P367" s="7" t="inlineStr">
        <is>
          <t>American Hospital</t>
        </is>
      </c>
      <c r="Q367" s="7" t="inlineStr">
        <is>
          <t>Dubai Mall</t>
        </is>
      </c>
      <c r="R367" s="7" t="inlineStr">
        <is>
          <t>Ras Al Khor / E44</t>
        </is>
      </c>
      <c r="S367" t="inlineStr">
        <is>
          <t>12</t>
        </is>
      </c>
      <c r="T367" t="inlineStr">
        <is>
          <t>25</t>
        </is>
      </c>
      <c r="U367" t="inlineStr">
        <is>
          <t>15</t>
        </is>
      </c>
      <c r="V367" t="inlineStr">
        <is>
          <t>40</t>
        </is>
      </c>
      <c r="W367" t="n">
        <v>2</v>
      </c>
      <c r="X367" s="12" t="n">
        <v>1800000</v>
      </c>
      <c r="Y367" s="12" t="n">
        <v>1800000</v>
      </c>
      <c r="Z367" s="9" t="n">
        <v>6.5</v>
      </c>
      <c r="AA367" s="9" t="n">
        <v>7</v>
      </c>
      <c r="AB367" s="9" t="n">
        <v>7</v>
      </c>
      <c r="AC367" s="9" t="n">
        <v>9</v>
      </c>
      <c r="AD367" s="9" t="n">
        <v>13.5</v>
      </c>
      <c r="AE367" s="9" t="n">
        <v>16</v>
      </c>
      <c r="AF367" t="n">
        <v>2022</v>
      </c>
      <c r="AH367" t="inlineStr">
        <is>
          <t>Apartment</t>
        </is>
      </c>
      <c r="AI367" t="inlineStr">
        <is>
          <t>MainstreamSelective</t>
        </is>
      </c>
      <c r="AJ367" t="inlineStr">
        <is>
          <t>MidTier</t>
        </is>
      </c>
      <c r="AK367" t="inlineStr">
        <is>
          <t>Balanced / selective</t>
        </is>
      </c>
      <c r="AL367" s="7" t="inlineStr">
        <is>
          <t>Market remains active but increasingly differentiated by developer, micro-location, livability, and pricing discipline.</t>
        </is>
      </c>
      <c r="AM367" s="9" t="n">
        <v>8</v>
      </c>
      <c r="AN367" s="9" t="n">
        <v>6.75</v>
      </c>
      <c r="AO367" s="10" t="n">
        <v>0.55</v>
      </c>
      <c r="AP367" s="13" t="n">
        <v>0</v>
      </c>
      <c r="AQ367" s="13" t="n">
        <v>0</v>
      </c>
      <c r="AR367" s="13" t="n">
        <v>0</v>
      </c>
      <c r="AS367" s="13" t="n">
        <v>0.01</v>
      </c>
      <c r="AT367" s="13" t="n">
        <v>-0.005</v>
      </c>
      <c r="AU367" s="13" t="n">
        <v>0.0025</v>
      </c>
      <c r="AV367" s="13" t="n">
        <v>-0.005</v>
      </c>
      <c r="AW367" s="13">
        <f>IF(X367="","",(AM367/100*AO367)+AP367+AQ367+AR367)</f>
        <v/>
      </c>
      <c r="AX367" s="13">
        <f>IF(X367="","",AS367+AT367+AU367+AV367)</f>
        <v/>
      </c>
      <c r="AY367" s="12">
        <f>IF(AZ367="","",ROUND(AZ367*(1+Assumptions!$B$10),0))</f>
        <v/>
      </c>
      <c r="AZ367" s="12">
        <f>IF(X367="","",ROUND(X367*(1+AW367),0))</f>
        <v/>
      </c>
      <c r="BA367" s="12">
        <f>IF(AZ367="","",ROUND(AZ367*(1+Assumptions!$B$11),0))</f>
        <v/>
      </c>
      <c r="BB367" s="12">
        <f>IF(AZ367="","",ROUND(AZ367*(1+AX367+Assumptions!$B$10),0))</f>
        <v/>
      </c>
      <c r="BC367" s="12">
        <f>IF(AZ367="","",ROUND(AZ367*(1+AX367),0))</f>
        <v/>
      </c>
      <c r="BD367" s="12">
        <f>IF(AZ367="","",ROUND(AZ367*(1+AX367+Assumptions!$B$11),0))</f>
        <v/>
      </c>
      <c r="BE367" s="12">
        <f>IF(AZ367="","",ROUND(AZ367*(1+AX367)*(1+AX367),0))</f>
        <v/>
      </c>
      <c r="BF367" s="7" t="inlineStr">
        <is>
          <t>Rules-based enrichment using launch-price anchor, cap-app realization, and 2026 segment conditions.</t>
        </is>
      </c>
      <c r="BG367" t="inlineStr">
        <is>
          <t>2026-03-17</t>
        </is>
      </c>
      <c r="BH367" s="7" t="inlineStr">
        <is>
          <t>DLD / Digital Dubai / CBUAE / Savills / Knight Frank-Moody’s / Reuters</t>
        </is>
      </c>
    </row>
    <row r="368">
      <c r="A368" t="n">
        <v>367</v>
      </c>
      <c r="B368" s="7" t="inlineStr">
        <is>
          <t>Riviera Beachfront</t>
        </is>
      </c>
      <c r="C368" t="inlineStr">
        <is>
          <t>Azizi Developments</t>
        </is>
      </c>
      <c r="D368" t="inlineStr">
        <is>
          <t>MBR City (Meydan)</t>
        </is>
      </c>
      <c r="E368" t="inlineStr">
        <is>
          <t>Apartments</t>
        </is>
      </c>
      <c r="F368" s="7" t="inlineStr">
        <is>
          <t>Beachfront / Lagoon</t>
        </is>
      </c>
      <c r="G368" t="inlineStr">
        <is>
          <t>1.5M</t>
        </is>
      </c>
      <c r="H368" t="inlineStr">
        <is>
          <t>1600</t>
        </is>
      </c>
      <c r="I368" t="inlineStr">
        <is>
          <t>18</t>
        </is>
      </c>
      <c r="J368" t="inlineStr">
        <is>
          <t>50/50</t>
        </is>
      </c>
      <c r="K368" t="inlineStr">
        <is>
          <t>2021</t>
        </is>
      </c>
      <c r="L368" t="inlineStr">
        <is>
          <t>6.5-7.0</t>
        </is>
      </c>
      <c r="M368" t="inlineStr">
        <is>
          <t>7-9</t>
        </is>
      </c>
      <c r="N368" t="inlineStr">
        <is>
          <t>13.5-16.0</t>
        </is>
      </c>
      <c r="O368" s="7" t="inlineStr">
        <is>
          <t>Hartland Intl</t>
        </is>
      </c>
      <c r="P368" s="7" t="inlineStr">
        <is>
          <t>American Hospital</t>
        </is>
      </c>
      <c r="Q368" s="7" t="inlineStr">
        <is>
          <t>Dubai Mall</t>
        </is>
      </c>
      <c r="R368" s="7" t="inlineStr">
        <is>
          <t>Ras Al Khor / E44</t>
        </is>
      </c>
      <c r="S368" t="inlineStr">
        <is>
          <t>12</t>
        </is>
      </c>
      <c r="T368" t="inlineStr">
        <is>
          <t>25</t>
        </is>
      </c>
      <c r="U368" t="inlineStr">
        <is>
          <t>15</t>
        </is>
      </c>
      <c r="V368" t="inlineStr">
        <is>
          <t>40</t>
        </is>
      </c>
      <c r="W368" t="n">
        <v>2</v>
      </c>
      <c r="X368" s="12" t="n">
        <v>1500000</v>
      </c>
      <c r="Y368" s="12" t="n">
        <v>1500000</v>
      </c>
      <c r="Z368" s="9" t="n">
        <v>6.5</v>
      </c>
      <c r="AA368" s="9" t="n">
        <v>7</v>
      </c>
      <c r="AB368" s="9" t="n">
        <v>7</v>
      </c>
      <c r="AC368" s="9" t="n">
        <v>9</v>
      </c>
      <c r="AD368" s="9" t="n">
        <v>13.5</v>
      </c>
      <c r="AE368" s="9" t="n">
        <v>16</v>
      </c>
      <c r="AF368" t="n">
        <v>2021</v>
      </c>
      <c r="AH368" t="inlineStr">
        <is>
          <t>Apartment</t>
        </is>
      </c>
      <c r="AI368" t="inlineStr">
        <is>
          <t>MainstreamSelective</t>
        </is>
      </c>
      <c r="AJ368" t="inlineStr">
        <is>
          <t>MidTier</t>
        </is>
      </c>
      <c r="AK368" t="inlineStr">
        <is>
          <t>Balanced / selective</t>
        </is>
      </c>
      <c r="AL368" s="7" t="inlineStr">
        <is>
          <t>Market remains active but increasingly differentiated by developer, micro-location, livability, and pricing discipline.</t>
        </is>
      </c>
      <c r="AM368" s="9" t="n">
        <v>8</v>
      </c>
      <c r="AN368" s="9" t="n">
        <v>6.75</v>
      </c>
      <c r="AO368" s="10" t="n">
        <v>0.55</v>
      </c>
      <c r="AP368" s="13" t="n">
        <v>0</v>
      </c>
      <c r="AQ368" s="13" t="n">
        <v>0</v>
      </c>
      <c r="AR368" s="13" t="n">
        <v>0</v>
      </c>
      <c r="AS368" s="13" t="n">
        <v>0.01</v>
      </c>
      <c r="AT368" s="13" t="n">
        <v>-0.005</v>
      </c>
      <c r="AU368" s="13" t="n">
        <v>0.0025</v>
      </c>
      <c r="AV368" s="13" t="n">
        <v>-0.005</v>
      </c>
      <c r="AW368" s="13">
        <f>IF(X368="","",(AM368/100*AO368)+AP368+AQ368+AR368)</f>
        <v/>
      </c>
      <c r="AX368" s="13">
        <f>IF(X368="","",AS368+AT368+AU368+AV368)</f>
        <v/>
      </c>
      <c r="AY368" s="12">
        <f>IF(AZ368="","",ROUND(AZ368*(1+Assumptions!$B$10),0))</f>
        <v/>
      </c>
      <c r="AZ368" s="12">
        <f>IF(X368="","",ROUND(X368*(1+AW368),0))</f>
        <v/>
      </c>
      <c r="BA368" s="12">
        <f>IF(AZ368="","",ROUND(AZ368*(1+Assumptions!$B$11),0))</f>
        <v/>
      </c>
      <c r="BB368" s="12">
        <f>IF(AZ368="","",ROUND(AZ368*(1+AX368+Assumptions!$B$10),0))</f>
        <v/>
      </c>
      <c r="BC368" s="12">
        <f>IF(AZ368="","",ROUND(AZ368*(1+AX368),0))</f>
        <v/>
      </c>
      <c r="BD368" s="12">
        <f>IF(AZ368="","",ROUND(AZ368*(1+AX368+Assumptions!$B$11),0))</f>
        <v/>
      </c>
      <c r="BE368" s="12">
        <f>IF(AZ368="","",ROUND(AZ368*(1+AX368)*(1+AX368),0))</f>
        <v/>
      </c>
      <c r="BF368" s="7" t="inlineStr">
        <is>
          <t>Rules-based enrichment using launch-price anchor, cap-app realization, and 2026 segment conditions.</t>
        </is>
      </c>
      <c r="BG368" t="inlineStr">
        <is>
          <t>2026-03-17</t>
        </is>
      </c>
      <c r="BH368" s="7" t="inlineStr">
        <is>
          <t>DLD / Digital Dubai / CBUAE / Savills / Knight Frank-Moody’s / Reuters</t>
        </is>
      </c>
    </row>
    <row r="369">
      <c r="A369" t="n">
        <v>368</v>
      </c>
      <c r="B369" s="7" t="inlineStr">
        <is>
          <t>Azizi Vista</t>
        </is>
      </c>
      <c r="C369" t="inlineStr">
        <is>
          <t>Azizi Developments</t>
        </is>
      </c>
      <c r="D369" t="inlineStr">
        <is>
          <t>Dubai Studio City</t>
        </is>
      </c>
      <c r="E369" t="inlineStr">
        <is>
          <t>Apartments</t>
        </is>
      </c>
      <c r="F369" s="7" t="inlineStr">
        <is>
          <t>Low-Rise / Family</t>
        </is>
      </c>
      <c r="G369" t="inlineStr">
        <is>
          <t>700k</t>
        </is>
      </c>
      <c r="H369" t="inlineStr">
        <is>
          <t>1100</t>
        </is>
      </c>
      <c r="I369" t="inlineStr">
        <is>
          <t>14</t>
        </is>
      </c>
      <c r="J369" t="inlineStr">
        <is>
          <t>40/60</t>
        </is>
      </c>
      <c r="K369" t="inlineStr">
        <is>
          <t>2023</t>
        </is>
      </c>
      <c r="L369" t="inlineStr">
        <is>
          <t>7.5-8.0</t>
        </is>
      </c>
      <c r="M369" t="inlineStr">
        <is>
          <t>6-8</t>
        </is>
      </c>
      <c r="N369" t="inlineStr">
        <is>
          <t>13.5-16.0</t>
        </is>
      </c>
      <c r="O369" s="7" t="inlineStr">
        <is>
          <t>GEMS Metropole</t>
        </is>
      </c>
      <c r="P369" s="7" t="inlineStr">
        <is>
          <t>Mediclinic Parkview</t>
        </is>
      </c>
      <c r="Q369" s="7" t="inlineStr">
        <is>
          <t>First Avenue Mall</t>
        </is>
      </c>
      <c r="R369" s="7" t="inlineStr">
        <is>
          <t>Hessa St / E311</t>
        </is>
      </c>
      <c r="S369" t="inlineStr">
        <is>
          <t>20</t>
        </is>
      </c>
      <c r="T369" t="inlineStr">
        <is>
          <t>15</t>
        </is>
      </c>
      <c r="U369" t="inlineStr">
        <is>
          <t>25</t>
        </is>
      </c>
      <c r="V369" t="inlineStr">
        <is>
          <t>25</t>
        </is>
      </c>
      <c r="W369" t="n">
        <v>2</v>
      </c>
      <c r="X369" s="12" t="n">
        <v>700000</v>
      </c>
      <c r="Y369" s="12" t="n">
        <v>700000</v>
      </c>
      <c r="Z369" s="9" t="n">
        <v>7.5</v>
      </c>
      <c r="AA369" s="9" t="n">
        <v>8</v>
      </c>
      <c r="AB369" s="9" t="n">
        <v>6</v>
      </c>
      <c r="AC369" s="9" t="n">
        <v>8</v>
      </c>
      <c r="AD369" s="9" t="n">
        <v>13.5</v>
      </c>
      <c r="AE369" s="9" t="n">
        <v>16</v>
      </c>
      <c r="AF369" t="n">
        <v>2023</v>
      </c>
      <c r="AH369" t="inlineStr">
        <is>
          <t>Apartment</t>
        </is>
      </c>
      <c r="AI369" t="inlineStr">
        <is>
          <t>MainstreamSelective</t>
        </is>
      </c>
      <c r="AJ369" t="inlineStr">
        <is>
          <t>MidTier</t>
        </is>
      </c>
      <c r="AK369" t="inlineStr">
        <is>
          <t>Balanced / selective</t>
        </is>
      </c>
      <c r="AL369" s="7" t="inlineStr">
        <is>
          <t>Market remains active but increasingly differentiated by developer, micro-location, livability, and pricing discipline.</t>
        </is>
      </c>
      <c r="AM369" s="9" t="n">
        <v>7</v>
      </c>
      <c r="AN369" s="9" t="n">
        <v>7.75</v>
      </c>
      <c r="AO369" s="10" t="n">
        <v>0.55</v>
      </c>
      <c r="AP369" s="13" t="n">
        <v>0</v>
      </c>
      <c r="AQ369" s="13" t="n">
        <v>0</v>
      </c>
      <c r="AR369" s="13" t="n">
        <v>0</v>
      </c>
      <c r="AS369" s="13" t="n">
        <v>0.01</v>
      </c>
      <c r="AT369" s="13" t="n">
        <v>-0.005</v>
      </c>
      <c r="AU369" s="13" t="n">
        <v>0.0025</v>
      </c>
      <c r="AV369" s="13" t="n">
        <v>-0.005</v>
      </c>
      <c r="AW369" s="13">
        <f>IF(X369="","",(AM369/100*AO369)+AP369+AQ369+AR369)</f>
        <v/>
      </c>
      <c r="AX369" s="13">
        <f>IF(X369="","",AS369+AT369+AU369+AV369)</f>
        <v/>
      </c>
      <c r="AY369" s="12">
        <f>IF(AZ369="","",ROUND(AZ369*(1+Assumptions!$B$10),0))</f>
        <v/>
      </c>
      <c r="AZ369" s="12">
        <f>IF(X369="","",ROUND(X369*(1+AW369),0))</f>
        <v/>
      </c>
      <c r="BA369" s="12">
        <f>IF(AZ369="","",ROUND(AZ369*(1+Assumptions!$B$11),0))</f>
        <v/>
      </c>
      <c r="BB369" s="12">
        <f>IF(AZ369="","",ROUND(AZ369*(1+AX369+Assumptions!$B$10),0))</f>
        <v/>
      </c>
      <c r="BC369" s="12">
        <f>IF(AZ369="","",ROUND(AZ369*(1+AX369),0))</f>
        <v/>
      </c>
      <c r="BD369" s="12">
        <f>IF(AZ369="","",ROUND(AZ369*(1+AX369+Assumptions!$B$11),0))</f>
        <v/>
      </c>
      <c r="BE369" s="12">
        <f>IF(AZ369="","",ROUND(AZ369*(1+AX369)*(1+AX369),0))</f>
        <v/>
      </c>
      <c r="BF369" s="7" t="inlineStr">
        <is>
          <t>Rules-based enrichment using launch-price anchor, cap-app realization, and 2026 segment conditions.</t>
        </is>
      </c>
      <c r="BG369" t="inlineStr">
        <is>
          <t>2026-03-17</t>
        </is>
      </c>
      <c r="BH369" s="7" t="inlineStr">
        <is>
          <t>DLD / Digital Dubai / CBUAE / Savills / Knight Frank-Moody’s / Reuters</t>
        </is>
      </c>
    </row>
    <row r="370">
      <c r="A370" t="n">
        <v>369</v>
      </c>
      <c r="B370" s="7" t="inlineStr">
        <is>
          <t>Beach Oasis</t>
        </is>
      </c>
      <c r="C370" t="inlineStr">
        <is>
          <t>Azizi Developments</t>
        </is>
      </c>
      <c r="D370" t="inlineStr">
        <is>
          <t>Dubai Studio City</t>
        </is>
      </c>
      <c r="E370" t="inlineStr">
        <is>
          <t>Apartments</t>
        </is>
      </c>
      <c r="F370" s="7" t="inlineStr">
        <is>
          <t>Pool / Low-Rise</t>
        </is>
      </c>
      <c r="G370" t="inlineStr">
        <is>
          <t>750k</t>
        </is>
      </c>
      <c r="H370" t="inlineStr">
        <is>
          <t>1100</t>
        </is>
      </c>
      <c r="I370" t="inlineStr">
        <is>
          <t>14</t>
        </is>
      </c>
      <c r="J370" t="inlineStr">
        <is>
          <t>40/60</t>
        </is>
      </c>
      <c r="K370" t="inlineStr">
        <is>
          <t>2023</t>
        </is>
      </c>
      <c r="L370" t="inlineStr">
        <is>
          <t>7.5-8.0</t>
        </is>
      </c>
      <c r="M370" t="inlineStr">
        <is>
          <t>6-8</t>
        </is>
      </c>
      <c r="N370" t="inlineStr">
        <is>
          <t>13.5-16.0</t>
        </is>
      </c>
      <c r="O370" s="7" t="inlineStr">
        <is>
          <t>GEMS Metropole</t>
        </is>
      </c>
      <c r="P370" s="7" t="inlineStr">
        <is>
          <t>Mediclinic Parkview</t>
        </is>
      </c>
      <c r="Q370" s="7" t="inlineStr">
        <is>
          <t>First Avenue Mall</t>
        </is>
      </c>
      <c r="R370" s="7" t="inlineStr">
        <is>
          <t>Hessa St / E311</t>
        </is>
      </c>
      <c r="S370" t="inlineStr">
        <is>
          <t>20</t>
        </is>
      </c>
      <c r="T370" t="inlineStr">
        <is>
          <t>15</t>
        </is>
      </c>
      <c r="U370" t="inlineStr">
        <is>
          <t>25</t>
        </is>
      </c>
      <c r="V370" t="inlineStr">
        <is>
          <t>25</t>
        </is>
      </c>
      <c r="W370" t="n">
        <v>2</v>
      </c>
      <c r="X370" s="12" t="n">
        <v>750000</v>
      </c>
      <c r="Y370" s="12" t="n">
        <v>750000</v>
      </c>
      <c r="Z370" s="9" t="n">
        <v>7.5</v>
      </c>
      <c r="AA370" s="9" t="n">
        <v>8</v>
      </c>
      <c r="AB370" s="9" t="n">
        <v>6</v>
      </c>
      <c r="AC370" s="9" t="n">
        <v>8</v>
      </c>
      <c r="AD370" s="9" t="n">
        <v>13.5</v>
      </c>
      <c r="AE370" s="9" t="n">
        <v>16</v>
      </c>
      <c r="AF370" t="n">
        <v>2023</v>
      </c>
      <c r="AH370" t="inlineStr">
        <is>
          <t>Apartment</t>
        </is>
      </c>
      <c r="AI370" t="inlineStr">
        <is>
          <t>MainstreamSelective</t>
        </is>
      </c>
      <c r="AJ370" t="inlineStr">
        <is>
          <t>MidTier</t>
        </is>
      </c>
      <c r="AK370" t="inlineStr">
        <is>
          <t>Balanced / selective</t>
        </is>
      </c>
      <c r="AL370" s="7" t="inlineStr">
        <is>
          <t>Market remains active but increasingly differentiated by developer, micro-location, livability, and pricing discipline.</t>
        </is>
      </c>
      <c r="AM370" s="9" t="n">
        <v>7</v>
      </c>
      <c r="AN370" s="9" t="n">
        <v>7.75</v>
      </c>
      <c r="AO370" s="10" t="n">
        <v>0.55</v>
      </c>
      <c r="AP370" s="13" t="n">
        <v>0</v>
      </c>
      <c r="AQ370" s="13" t="n">
        <v>0</v>
      </c>
      <c r="AR370" s="13" t="n">
        <v>0</v>
      </c>
      <c r="AS370" s="13" t="n">
        <v>0.01</v>
      </c>
      <c r="AT370" s="13" t="n">
        <v>-0.005</v>
      </c>
      <c r="AU370" s="13" t="n">
        <v>0.0025</v>
      </c>
      <c r="AV370" s="13" t="n">
        <v>-0.005</v>
      </c>
      <c r="AW370" s="13">
        <f>IF(X370="","",(AM370/100*AO370)+AP370+AQ370+AR370)</f>
        <v/>
      </c>
      <c r="AX370" s="13">
        <f>IF(X370="","",AS370+AT370+AU370+AV370)</f>
        <v/>
      </c>
      <c r="AY370" s="12">
        <f>IF(AZ370="","",ROUND(AZ370*(1+Assumptions!$B$10),0))</f>
        <v/>
      </c>
      <c r="AZ370" s="12">
        <f>IF(X370="","",ROUND(X370*(1+AW370),0))</f>
        <v/>
      </c>
      <c r="BA370" s="12">
        <f>IF(AZ370="","",ROUND(AZ370*(1+Assumptions!$B$11),0))</f>
        <v/>
      </c>
      <c r="BB370" s="12">
        <f>IF(AZ370="","",ROUND(AZ370*(1+AX370+Assumptions!$B$10),0))</f>
        <v/>
      </c>
      <c r="BC370" s="12">
        <f>IF(AZ370="","",ROUND(AZ370*(1+AX370),0))</f>
        <v/>
      </c>
      <c r="BD370" s="12">
        <f>IF(AZ370="","",ROUND(AZ370*(1+AX370+Assumptions!$B$11),0))</f>
        <v/>
      </c>
      <c r="BE370" s="12">
        <f>IF(AZ370="","",ROUND(AZ370*(1+AX370)*(1+AX370),0))</f>
        <v/>
      </c>
      <c r="BF370" s="7" t="inlineStr">
        <is>
          <t>Rules-based enrichment using launch-price anchor, cap-app realization, and 2026 segment conditions.</t>
        </is>
      </c>
      <c r="BG370" t="inlineStr">
        <is>
          <t>2026-03-17</t>
        </is>
      </c>
      <c r="BH370" s="7" t="inlineStr">
        <is>
          <t>DLD / Digital Dubai / CBUAE / Savills / Knight Frank-Moody’s / Reuters</t>
        </is>
      </c>
    </row>
    <row r="371">
      <c r="A371" t="n">
        <v>370</v>
      </c>
      <c r="B371" s="7" t="inlineStr">
        <is>
          <t>Mina</t>
        </is>
      </c>
      <c r="C371" t="inlineStr">
        <is>
          <t>Azizi Developments</t>
        </is>
      </c>
      <c r="D371" t="inlineStr">
        <is>
          <t>Palm Jumeirah</t>
        </is>
      </c>
      <c r="E371" t="inlineStr">
        <is>
          <t>Apartments</t>
        </is>
      </c>
      <c r="F371" s="7" t="inlineStr">
        <is>
          <t>Beachfront / Luxury</t>
        </is>
      </c>
      <c r="G371" t="inlineStr">
        <is>
          <t>Resale (2.5M+)</t>
        </is>
      </c>
      <c r="H371" t="inlineStr">
        <is>
          <t>2500</t>
        </is>
      </c>
      <c r="I371" t="inlineStr">
        <is>
          <t>25</t>
        </is>
      </c>
      <c r="J371" t="inlineStr">
        <is>
          <t>Completed</t>
        </is>
      </c>
      <c r="K371" t="inlineStr">
        <is>
          <t>2017</t>
        </is>
      </c>
      <c r="L371" t="inlineStr">
        <is>
          <t>5.0-5.5</t>
        </is>
      </c>
      <c r="M371" t="inlineStr">
        <is>
          <t>5-7</t>
        </is>
      </c>
      <c r="N371" t="inlineStr">
        <is>
          <t>10.0-12.5</t>
        </is>
      </c>
      <c r="O371" s="7" t="inlineStr">
        <is>
          <t>Chevalier College</t>
        </is>
      </c>
      <c r="P371" s="7" t="inlineStr">
        <is>
          <t>Emirates Hospital</t>
        </is>
      </c>
      <c r="Q371" s="7" t="inlineStr">
        <is>
          <t>Nakheel Mall</t>
        </is>
      </c>
      <c r="R371" s="7" t="inlineStr">
        <is>
          <t>Sheikh Zayed E11</t>
        </is>
      </c>
      <c r="S371" t="inlineStr">
        <is>
          <t>20</t>
        </is>
      </c>
      <c r="T371" t="inlineStr">
        <is>
          <t>10</t>
        </is>
      </c>
      <c r="U371" t="inlineStr">
        <is>
          <t>25</t>
        </is>
      </c>
      <c r="V371" t="inlineStr">
        <is>
          <t>35</t>
        </is>
      </c>
      <c r="W371" t="n">
        <v>2</v>
      </c>
      <c r="X371" s="12" t="n">
        <v>2500000</v>
      </c>
      <c r="Y371" s="12" t="n">
        <v>2500000</v>
      </c>
      <c r="Z371" s="9" t="n">
        <v>5</v>
      </c>
      <c r="AA371" s="9" t="n">
        <v>5.5</v>
      </c>
      <c r="AB371" s="9" t="n">
        <v>5</v>
      </c>
      <c r="AC371" s="9" t="n">
        <v>7</v>
      </c>
      <c r="AD371" s="9" t="n">
        <v>10</v>
      </c>
      <c r="AE371" s="9" t="n">
        <v>12.5</v>
      </c>
      <c r="AF371" t="n">
        <v>2017</v>
      </c>
      <c r="AH371" t="inlineStr">
        <is>
          <t>Apartment</t>
        </is>
      </c>
      <c r="AI371" t="inlineStr">
        <is>
          <t>Prime</t>
        </is>
      </c>
      <c r="AJ371" t="inlineStr">
        <is>
          <t>MidTier</t>
        </is>
      </c>
      <c r="AK371" t="inlineStr">
        <is>
          <t>Prime resilient / selective</t>
        </is>
      </c>
      <c r="AL371" s="7" t="inlineStr">
        <is>
          <t>Better support from quality, branding, and scarcer prime stock; still entry-price sensitive.</t>
        </is>
      </c>
      <c r="AM371" s="9" t="n">
        <v>6</v>
      </c>
      <c r="AN371" s="9" t="n">
        <v>5.25</v>
      </c>
      <c r="AO371" s="10" t="n">
        <v>0.55</v>
      </c>
      <c r="AP371" s="13" t="n">
        <v>0.02</v>
      </c>
      <c r="AQ371" s="13" t="n">
        <v>0</v>
      </c>
      <c r="AR371" s="13" t="n">
        <v>0</v>
      </c>
      <c r="AS371" s="13" t="n">
        <v>0.03</v>
      </c>
      <c r="AT371" s="13" t="n">
        <v>-0.005</v>
      </c>
      <c r="AU371" s="13" t="n">
        <v>0</v>
      </c>
      <c r="AV371" s="13" t="n">
        <v>-0.005</v>
      </c>
      <c r="AW371" s="13">
        <f>IF(X371="","",(AM371/100*AO371)+AP371+AQ371+AR371)</f>
        <v/>
      </c>
      <c r="AX371" s="13">
        <f>IF(X371="","",AS371+AT371+AU371+AV371)</f>
        <v/>
      </c>
      <c r="AY371" s="12">
        <f>IF(AZ371="","",ROUND(AZ371*(1+Assumptions!$B$10),0))</f>
        <v/>
      </c>
      <c r="AZ371" s="12">
        <f>IF(X371="","",ROUND(X371*(1+AW371),0))</f>
        <v/>
      </c>
      <c r="BA371" s="12">
        <f>IF(AZ371="","",ROUND(AZ371*(1+Assumptions!$B$11),0))</f>
        <v/>
      </c>
      <c r="BB371" s="12">
        <f>IF(AZ371="","",ROUND(AZ371*(1+AX371+Assumptions!$B$10),0))</f>
        <v/>
      </c>
      <c r="BC371" s="12">
        <f>IF(AZ371="","",ROUND(AZ371*(1+AX371),0))</f>
        <v/>
      </c>
      <c r="BD371" s="12">
        <f>IF(AZ371="","",ROUND(AZ371*(1+AX371+Assumptions!$B$11),0))</f>
        <v/>
      </c>
      <c r="BE371" s="12">
        <f>IF(AZ371="","",ROUND(AZ371*(1+AX371)*(1+AX371),0))</f>
        <v/>
      </c>
      <c r="BF371" s="7" t="inlineStr">
        <is>
          <t>Rules-based enrichment using launch-price anchor, cap-app realization, and 2026 segment conditions.</t>
        </is>
      </c>
      <c r="BG371" t="inlineStr">
        <is>
          <t>2026-03-17</t>
        </is>
      </c>
      <c r="BH371" s="7" t="inlineStr">
        <is>
          <t>DLD / Digital Dubai / CBUAE / Savills / Knight Frank-Moody’s / Reuters</t>
        </is>
      </c>
    </row>
    <row r="372">
      <c r="A372" t="n">
        <v>371</v>
      </c>
      <c r="B372" s="7" t="inlineStr">
        <is>
          <t>Berton</t>
        </is>
      </c>
      <c r="C372" t="inlineStr">
        <is>
          <t>Azizi Developments</t>
        </is>
      </c>
      <c r="D372" t="inlineStr">
        <is>
          <t>Al Furjan</t>
        </is>
      </c>
      <c r="E372" t="inlineStr">
        <is>
          <t>Apartments</t>
        </is>
      </c>
      <c r="F372" s="7" t="inlineStr">
        <is>
          <t>Modern / Budget</t>
        </is>
      </c>
      <c r="G372" t="inlineStr">
        <is>
          <t>Resale (600k+)</t>
        </is>
      </c>
      <c r="H372" t="inlineStr">
        <is>
          <t>1000</t>
        </is>
      </c>
      <c r="I372" t="inlineStr">
        <is>
          <t>12</t>
        </is>
      </c>
      <c r="J372" t="inlineStr">
        <is>
          <t>Completed</t>
        </is>
      </c>
      <c r="K372" t="inlineStr">
        <is>
          <t>2018</t>
        </is>
      </c>
      <c r="L372" t="inlineStr">
        <is>
          <t>7.0-7.5</t>
        </is>
      </c>
      <c r="M372" t="inlineStr">
        <is>
          <t>5-7</t>
        </is>
      </c>
      <c r="N372" t="inlineStr">
        <is>
          <t>12.0-14.5</t>
        </is>
      </c>
      <c r="O372" s="7" t="inlineStr">
        <is>
          <t>The Arbor School</t>
        </is>
      </c>
      <c r="P372" s="7" t="inlineStr">
        <is>
          <t>NMC Royal DIP</t>
        </is>
      </c>
      <c r="Q372" s="7" t="inlineStr">
        <is>
          <t>Ibn Battuta Mall</t>
        </is>
      </c>
      <c r="R372" s="7" t="inlineStr">
        <is>
          <t>Yalayis / E311</t>
        </is>
      </c>
      <c r="S372" t="inlineStr">
        <is>
          <t>25</t>
        </is>
      </c>
      <c r="T372" t="inlineStr">
        <is>
          <t>15</t>
        </is>
      </c>
      <c r="U372" t="inlineStr">
        <is>
          <t>30</t>
        </is>
      </c>
      <c r="V372" t="inlineStr">
        <is>
          <t>20</t>
        </is>
      </c>
      <c r="W372" t="n">
        <v>2</v>
      </c>
      <c r="X372" s="12" t="n">
        <v>600000</v>
      </c>
      <c r="Y372" s="12" t="n">
        <v>600000</v>
      </c>
      <c r="Z372" s="9" t="n">
        <v>7</v>
      </c>
      <c r="AA372" s="9" t="n">
        <v>7.5</v>
      </c>
      <c r="AB372" s="9" t="n">
        <v>5</v>
      </c>
      <c r="AC372" s="9" t="n">
        <v>7</v>
      </c>
      <c r="AD372" s="9" t="n">
        <v>12</v>
      </c>
      <c r="AE372" s="9" t="n">
        <v>14.5</v>
      </c>
      <c r="AF372" t="n">
        <v>2018</v>
      </c>
      <c r="AH372" t="inlineStr">
        <is>
          <t>Apartment</t>
        </is>
      </c>
      <c r="AI372" t="inlineStr">
        <is>
          <t>SupplySensitiveApartment</t>
        </is>
      </c>
      <c r="AJ372" t="inlineStr">
        <is>
          <t>MidTier</t>
        </is>
      </c>
      <c r="AK372" t="inlineStr">
        <is>
          <t>Supply-sensitive / selective</t>
        </is>
      </c>
      <c r="AL372" s="7" t="inlineStr">
        <is>
          <t>Higher delivery risk in more price-sensitive apartment clusters; building selection and exit liquidity matter.</t>
        </is>
      </c>
      <c r="AM372" s="9" t="n">
        <v>6</v>
      </c>
      <c r="AN372" s="9" t="n">
        <v>7.25</v>
      </c>
      <c r="AO372" s="10" t="n">
        <v>0.55</v>
      </c>
      <c r="AP372" s="13" t="n">
        <v>0</v>
      </c>
      <c r="AQ372" s="13" t="n">
        <v>0</v>
      </c>
      <c r="AR372" s="13" t="n">
        <v>-0.01</v>
      </c>
      <c r="AS372" s="13" t="n">
        <v>-0.01</v>
      </c>
      <c r="AT372" s="13" t="n">
        <v>-0.005</v>
      </c>
      <c r="AU372" s="13" t="n">
        <v>0.0025</v>
      </c>
      <c r="AV372" s="13" t="n">
        <v>-0.005</v>
      </c>
      <c r="AW372" s="13">
        <f>IF(X372="","",(AM372/100*AO372)+AP372+AQ372+AR372)</f>
        <v/>
      </c>
      <c r="AX372" s="13">
        <f>IF(X372="","",AS372+AT372+AU372+AV372)</f>
        <v/>
      </c>
      <c r="AY372" s="12">
        <f>IF(AZ372="","",ROUND(AZ372*(1+Assumptions!$B$10),0))</f>
        <v/>
      </c>
      <c r="AZ372" s="12">
        <f>IF(X372="","",ROUND(X372*(1+AW372),0))</f>
        <v/>
      </c>
      <c r="BA372" s="12">
        <f>IF(AZ372="","",ROUND(AZ372*(1+Assumptions!$B$11),0))</f>
        <v/>
      </c>
      <c r="BB372" s="12">
        <f>IF(AZ372="","",ROUND(AZ372*(1+AX372+Assumptions!$B$10),0))</f>
        <v/>
      </c>
      <c r="BC372" s="12">
        <f>IF(AZ372="","",ROUND(AZ372*(1+AX372),0))</f>
        <v/>
      </c>
      <c r="BD372" s="12">
        <f>IF(AZ372="","",ROUND(AZ372*(1+AX372+Assumptions!$B$11),0))</f>
        <v/>
      </c>
      <c r="BE372" s="12">
        <f>IF(AZ372="","",ROUND(AZ372*(1+AX372)*(1+AX372),0))</f>
        <v/>
      </c>
      <c r="BF372" s="7" t="inlineStr">
        <is>
          <t>Rules-based enrichment using launch-price anchor, cap-app realization, and 2026 segment conditions.</t>
        </is>
      </c>
      <c r="BG372" t="inlineStr">
        <is>
          <t>2026-03-17</t>
        </is>
      </c>
      <c r="BH372" s="7" t="inlineStr">
        <is>
          <t>DLD / Digital Dubai / CBUAE / Savills / Knight Frank-Moody’s / Reuters</t>
        </is>
      </c>
    </row>
    <row r="373">
      <c r="A373" t="n">
        <v>372</v>
      </c>
      <c r="B373" s="7" t="inlineStr">
        <is>
          <t>Aliyah</t>
        </is>
      </c>
      <c r="C373" t="inlineStr">
        <is>
          <t>Azizi Developments</t>
        </is>
      </c>
      <c r="D373" t="inlineStr">
        <is>
          <t>Dubai Healthcare City</t>
        </is>
      </c>
      <c r="E373" t="inlineStr">
        <is>
          <t>Apartments</t>
        </is>
      </c>
      <c r="F373" s="7" t="inlineStr">
        <is>
          <t>City / Budget</t>
        </is>
      </c>
      <c r="G373" t="inlineStr">
        <is>
          <t>Resale (800k+)</t>
        </is>
      </c>
      <c r="H373" t="inlineStr">
        <is>
          <t>1100</t>
        </is>
      </c>
      <c r="I373" t="inlineStr">
        <is>
          <t>15</t>
        </is>
      </c>
      <c r="J373" t="inlineStr">
        <is>
          <t>Completed</t>
        </is>
      </c>
      <c r="K373" t="inlineStr">
        <is>
          <t>2016</t>
        </is>
      </c>
      <c r="L373" t="inlineStr">
        <is>
          <t>6.5-7.0</t>
        </is>
      </c>
      <c r="M373" t="inlineStr">
        <is>
          <t>4-6</t>
        </is>
      </c>
      <c r="N373" t="inlineStr">
        <is>
          <t>10.5-13.0</t>
        </is>
      </c>
      <c r="O373" s="7" t="inlineStr">
        <is>
          <t>Swiss Intl School</t>
        </is>
      </c>
      <c r="P373" s="7" t="inlineStr">
        <is>
          <t>American Hospital</t>
        </is>
      </c>
      <c r="Q373" s="7" t="inlineStr">
        <is>
          <t>WAFI Mall</t>
        </is>
      </c>
      <c r="R373" s="7" t="inlineStr">
        <is>
          <t>Al Khail E44</t>
        </is>
      </c>
      <c r="S373" t="inlineStr">
        <is>
          <t>10</t>
        </is>
      </c>
      <c r="T373" t="inlineStr">
        <is>
          <t>25</t>
        </is>
      </c>
      <c r="U373" t="inlineStr">
        <is>
          <t>10</t>
        </is>
      </c>
      <c r="V373" t="inlineStr">
        <is>
          <t>40</t>
        </is>
      </c>
      <c r="W373" t="n">
        <v>2</v>
      </c>
      <c r="X373" s="12" t="n">
        <v>800000</v>
      </c>
      <c r="Y373" s="12" t="n">
        <v>800000</v>
      </c>
      <c r="Z373" s="9" t="n">
        <v>6.5</v>
      </c>
      <c r="AA373" s="9" t="n">
        <v>7</v>
      </c>
      <c r="AB373" s="9" t="n">
        <v>4</v>
      </c>
      <c r="AC373" s="9" t="n">
        <v>6</v>
      </c>
      <c r="AD373" s="9" t="n">
        <v>10.5</v>
      </c>
      <c r="AE373" s="9" t="n">
        <v>13</v>
      </c>
      <c r="AF373" t="n">
        <v>2016</v>
      </c>
      <c r="AH373" t="inlineStr">
        <is>
          <t>Apartment</t>
        </is>
      </c>
      <c r="AI373" t="inlineStr">
        <is>
          <t>MainstreamSelective</t>
        </is>
      </c>
      <c r="AJ373" t="inlineStr">
        <is>
          <t>MidTier</t>
        </is>
      </c>
      <c r="AK373" t="inlineStr">
        <is>
          <t>Balanced / selective</t>
        </is>
      </c>
      <c r="AL373" s="7" t="inlineStr">
        <is>
          <t>Market remains active but increasingly differentiated by developer, micro-location, livability, and pricing discipline.</t>
        </is>
      </c>
      <c r="AM373" s="9" t="n">
        <v>5</v>
      </c>
      <c r="AN373" s="9" t="n">
        <v>6.75</v>
      </c>
      <c r="AO373" s="10" t="n">
        <v>0.55</v>
      </c>
      <c r="AP373" s="13" t="n">
        <v>0</v>
      </c>
      <c r="AQ373" s="13" t="n">
        <v>0</v>
      </c>
      <c r="AR373" s="13" t="n">
        <v>0</v>
      </c>
      <c r="AS373" s="13" t="n">
        <v>0.01</v>
      </c>
      <c r="AT373" s="13" t="n">
        <v>-0.005</v>
      </c>
      <c r="AU373" s="13" t="n">
        <v>0.0025</v>
      </c>
      <c r="AV373" s="13" t="n">
        <v>-0.005</v>
      </c>
      <c r="AW373" s="13">
        <f>IF(X373="","",(AM373/100*AO373)+AP373+AQ373+AR373)</f>
        <v/>
      </c>
      <c r="AX373" s="13">
        <f>IF(X373="","",AS373+AT373+AU373+AV373)</f>
        <v/>
      </c>
      <c r="AY373" s="12">
        <f>IF(AZ373="","",ROUND(AZ373*(1+Assumptions!$B$10),0))</f>
        <v/>
      </c>
      <c r="AZ373" s="12">
        <f>IF(X373="","",ROUND(X373*(1+AW373),0))</f>
        <v/>
      </c>
      <c r="BA373" s="12">
        <f>IF(AZ373="","",ROUND(AZ373*(1+Assumptions!$B$11),0))</f>
        <v/>
      </c>
      <c r="BB373" s="12">
        <f>IF(AZ373="","",ROUND(AZ373*(1+AX373+Assumptions!$B$10),0))</f>
        <v/>
      </c>
      <c r="BC373" s="12">
        <f>IF(AZ373="","",ROUND(AZ373*(1+AX373),0))</f>
        <v/>
      </c>
      <c r="BD373" s="12">
        <f>IF(AZ373="","",ROUND(AZ373*(1+AX373+Assumptions!$B$11),0))</f>
        <v/>
      </c>
      <c r="BE373" s="12">
        <f>IF(AZ373="","",ROUND(AZ373*(1+AX373)*(1+AX373),0))</f>
        <v/>
      </c>
      <c r="BF373" s="7" t="inlineStr">
        <is>
          <t>Rules-based enrichment using launch-price anchor, cap-app realization, and 2026 segment conditions.</t>
        </is>
      </c>
      <c r="BG373" t="inlineStr">
        <is>
          <t>2026-03-17</t>
        </is>
      </c>
      <c r="BH373" s="7" t="inlineStr">
        <is>
          <t>DLD / Digital Dubai / CBUAE / Savills / Knight Frank-Moody’s / Reuters</t>
        </is>
      </c>
    </row>
    <row r="374">
      <c r="A374" t="n">
        <v>373</v>
      </c>
      <c r="B374" s="7" t="inlineStr">
        <is>
          <t>Tiger Sky Tower</t>
        </is>
      </c>
      <c r="C374" t="inlineStr">
        <is>
          <t>Tiger Group</t>
        </is>
      </c>
      <c r="D374" t="inlineStr">
        <is>
          <t>Business Bay</t>
        </is>
      </c>
      <c r="E374" t="inlineStr">
        <is>
          <t>Apartments</t>
        </is>
      </c>
      <c r="F374" s="7" t="inlineStr">
        <is>
          <t>Highest Rainforest</t>
        </is>
      </c>
      <c r="G374" t="inlineStr">
        <is>
          <t>2.2M</t>
        </is>
      </c>
      <c r="H374" t="inlineStr">
        <is>
          <t>2400</t>
        </is>
      </c>
      <c r="I374" t="inlineStr">
        <is>
          <t>20</t>
        </is>
      </c>
      <c r="J374" t="inlineStr">
        <is>
          <t>70/30</t>
        </is>
      </c>
      <c r="K374" t="inlineStr">
        <is>
          <t>2024</t>
        </is>
      </c>
      <c r="L374" t="inlineStr">
        <is>
          <t>6.0-6.5</t>
        </is>
      </c>
      <c r="M374" t="inlineStr">
        <is>
          <t>8-10</t>
        </is>
      </c>
      <c r="N374" t="inlineStr">
        <is>
          <t>14.0-16.5</t>
        </is>
      </c>
      <c r="O374" s="7" t="inlineStr">
        <is>
          <t>Hartland Intl</t>
        </is>
      </c>
      <c r="P374" s="7" t="inlineStr">
        <is>
          <t>Emirates Hospital BB</t>
        </is>
      </c>
      <c r="Q374" s="7" t="inlineStr">
        <is>
          <t>Dubai Mall</t>
        </is>
      </c>
      <c r="R374" s="7" t="inlineStr">
        <is>
          <t>Al Khail E44</t>
        </is>
      </c>
      <c r="S374" t="inlineStr">
        <is>
          <t>5</t>
        </is>
      </c>
      <c r="T374" t="inlineStr">
        <is>
          <t>20</t>
        </is>
      </c>
      <c r="U374" t="inlineStr">
        <is>
          <t>15</t>
        </is>
      </c>
      <c r="V374" t="inlineStr">
        <is>
          <t>35</t>
        </is>
      </c>
      <c r="W374" t="n">
        <v>2</v>
      </c>
      <c r="X374" s="12" t="n">
        <v>2200000</v>
      </c>
      <c r="Y374" s="12" t="n">
        <v>2200000</v>
      </c>
      <c r="Z374" s="9" t="n">
        <v>6</v>
      </c>
      <c r="AA374" s="9" t="n">
        <v>6.5</v>
      </c>
      <c r="AB374" s="9" t="n">
        <v>8</v>
      </c>
      <c r="AC374" s="9" t="n">
        <v>10</v>
      </c>
      <c r="AD374" s="9" t="n">
        <v>14</v>
      </c>
      <c r="AE374" s="9" t="n">
        <v>16.5</v>
      </c>
      <c r="AF374" t="n">
        <v>2024</v>
      </c>
      <c r="AH374" t="inlineStr">
        <is>
          <t>Apartment</t>
        </is>
      </c>
      <c r="AI374" t="inlineStr">
        <is>
          <t>Prime</t>
        </is>
      </c>
      <c r="AJ374" t="inlineStr">
        <is>
          <t>Established</t>
        </is>
      </c>
      <c r="AK374" t="inlineStr">
        <is>
          <t>Prime resilient / selective</t>
        </is>
      </c>
      <c r="AL374" s="7" t="inlineStr">
        <is>
          <t>Better support from quality, branding, and scarcer prime stock; still entry-price sensitive.</t>
        </is>
      </c>
      <c r="AM374" s="9" t="n">
        <v>9</v>
      </c>
      <c r="AN374" s="9" t="n">
        <v>6.25</v>
      </c>
      <c r="AO374" s="10" t="n">
        <v>0.55</v>
      </c>
      <c r="AP374" s="13" t="n">
        <v>0.02</v>
      </c>
      <c r="AQ374" s="13" t="n">
        <v>0</v>
      </c>
      <c r="AR374" s="13" t="n">
        <v>0</v>
      </c>
      <c r="AS374" s="13" t="n">
        <v>0.03</v>
      </c>
      <c r="AT374" s="13" t="n">
        <v>0</v>
      </c>
      <c r="AU374" s="13" t="n">
        <v>0.0025</v>
      </c>
      <c r="AV374" s="13" t="n">
        <v>-0.005</v>
      </c>
      <c r="AW374" s="13">
        <f>IF(X374="","",(AM374/100*AO374)+AP374+AQ374+AR374)</f>
        <v/>
      </c>
      <c r="AX374" s="13">
        <f>IF(X374="","",AS374+AT374+AU374+AV374)</f>
        <v/>
      </c>
      <c r="AY374" s="12">
        <f>IF(AZ374="","",ROUND(AZ374*(1+Assumptions!$B$10),0))</f>
        <v/>
      </c>
      <c r="AZ374" s="12">
        <f>IF(X374="","",ROUND(X374*(1+AW374),0))</f>
        <v/>
      </c>
      <c r="BA374" s="12">
        <f>IF(AZ374="","",ROUND(AZ374*(1+Assumptions!$B$11),0))</f>
        <v/>
      </c>
      <c r="BB374" s="12">
        <f>IF(AZ374="","",ROUND(AZ374*(1+AX374+Assumptions!$B$10),0))</f>
        <v/>
      </c>
      <c r="BC374" s="12">
        <f>IF(AZ374="","",ROUND(AZ374*(1+AX374),0))</f>
        <v/>
      </c>
      <c r="BD374" s="12">
        <f>IF(AZ374="","",ROUND(AZ374*(1+AX374+Assumptions!$B$11),0))</f>
        <v/>
      </c>
      <c r="BE374" s="12">
        <f>IF(AZ374="","",ROUND(AZ374*(1+AX374)*(1+AX374),0))</f>
        <v/>
      </c>
      <c r="BF374" s="7" t="inlineStr">
        <is>
          <t>Rules-based enrichment using launch-price anchor, cap-app realization, and 2026 segment conditions.</t>
        </is>
      </c>
      <c r="BG374" t="inlineStr">
        <is>
          <t>2026-03-17</t>
        </is>
      </c>
      <c r="BH374" s="7" t="inlineStr">
        <is>
          <t>DLD / Digital Dubai / CBUAE / Savills / Knight Frank-Moody’s / Reuters</t>
        </is>
      </c>
    </row>
    <row r="375">
      <c r="A375" t="n">
        <v>374</v>
      </c>
      <c r="B375" s="7" t="inlineStr">
        <is>
          <t>Nobles Tower</t>
        </is>
      </c>
      <c r="C375" t="inlineStr">
        <is>
          <t>Tiger Group</t>
        </is>
      </c>
      <c r="D375" t="inlineStr">
        <is>
          <t>Business Bay</t>
        </is>
      </c>
      <c r="E375" t="inlineStr">
        <is>
          <t>Apartments</t>
        </is>
      </c>
      <c r="F375" s="7" t="inlineStr">
        <is>
          <t>City View</t>
        </is>
      </c>
      <c r="G375" t="inlineStr">
        <is>
          <t>1.5M</t>
        </is>
      </c>
      <c r="H375" t="inlineStr">
        <is>
          <t>1800</t>
        </is>
      </c>
      <c r="I375" t="inlineStr">
        <is>
          <t>18</t>
        </is>
      </c>
      <c r="J375" t="inlineStr">
        <is>
          <t>70/30</t>
        </is>
      </c>
      <c r="K375" t="inlineStr">
        <is>
          <t>2020</t>
        </is>
      </c>
      <c r="L375" t="inlineStr">
        <is>
          <t>6.0-6.5</t>
        </is>
      </c>
      <c r="M375" t="inlineStr">
        <is>
          <t>6-8</t>
        </is>
      </c>
      <c r="N375" t="inlineStr">
        <is>
          <t>12.0-14.5</t>
        </is>
      </c>
      <c r="O375" s="7" t="inlineStr">
        <is>
          <t>Hartland Intl</t>
        </is>
      </c>
      <c r="P375" s="7" t="inlineStr">
        <is>
          <t>Emirates Hospital BB</t>
        </is>
      </c>
      <c r="Q375" s="7" t="inlineStr">
        <is>
          <t>Dubai Mall</t>
        </is>
      </c>
      <c r="R375" s="7" t="inlineStr">
        <is>
          <t>Al Khail E44</t>
        </is>
      </c>
      <c r="S375" t="inlineStr">
        <is>
          <t>5</t>
        </is>
      </c>
      <c r="T375" t="inlineStr">
        <is>
          <t>20</t>
        </is>
      </c>
      <c r="U375" t="inlineStr">
        <is>
          <t>15</t>
        </is>
      </c>
      <c r="V375" t="inlineStr">
        <is>
          <t>35</t>
        </is>
      </c>
      <c r="W375" t="n">
        <v>2</v>
      </c>
      <c r="X375" s="12" t="n">
        <v>1500000</v>
      </c>
      <c r="Y375" s="12" t="n">
        <v>1500000</v>
      </c>
      <c r="Z375" s="9" t="n">
        <v>6</v>
      </c>
      <c r="AA375" s="9" t="n">
        <v>6.5</v>
      </c>
      <c r="AB375" s="9" t="n">
        <v>6</v>
      </c>
      <c r="AC375" s="9" t="n">
        <v>8</v>
      </c>
      <c r="AD375" s="9" t="n">
        <v>12</v>
      </c>
      <c r="AE375" s="9" t="n">
        <v>14.5</v>
      </c>
      <c r="AF375" t="n">
        <v>2020</v>
      </c>
      <c r="AH375" t="inlineStr">
        <is>
          <t>Apartment</t>
        </is>
      </c>
      <c r="AI375" t="inlineStr">
        <is>
          <t>Prime</t>
        </is>
      </c>
      <c r="AJ375" t="inlineStr">
        <is>
          <t>Established</t>
        </is>
      </c>
      <c r="AK375" t="inlineStr">
        <is>
          <t>Prime resilient / selective</t>
        </is>
      </c>
      <c r="AL375" s="7" t="inlineStr">
        <is>
          <t>Better support from quality, branding, and scarcer prime stock; still entry-price sensitive.</t>
        </is>
      </c>
      <c r="AM375" s="9" t="n">
        <v>7</v>
      </c>
      <c r="AN375" s="9" t="n">
        <v>6.25</v>
      </c>
      <c r="AO375" s="10" t="n">
        <v>0.55</v>
      </c>
      <c r="AP375" s="13" t="n">
        <v>0.02</v>
      </c>
      <c r="AQ375" s="13" t="n">
        <v>0</v>
      </c>
      <c r="AR375" s="13" t="n">
        <v>0</v>
      </c>
      <c r="AS375" s="13" t="n">
        <v>0.03</v>
      </c>
      <c r="AT375" s="13" t="n">
        <v>0</v>
      </c>
      <c r="AU375" s="13" t="n">
        <v>0.0025</v>
      </c>
      <c r="AV375" s="13" t="n">
        <v>-0.005</v>
      </c>
      <c r="AW375" s="13">
        <f>IF(X375="","",(AM375/100*AO375)+AP375+AQ375+AR375)</f>
        <v/>
      </c>
      <c r="AX375" s="13">
        <f>IF(X375="","",AS375+AT375+AU375+AV375)</f>
        <v/>
      </c>
      <c r="AY375" s="12">
        <f>IF(AZ375="","",ROUND(AZ375*(1+Assumptions!$B$10),0))</f>
        <v/>
      </c>
      <c r="AZ375" s="12">
        <f>IF(X375="","",ROUND(X375*(1+AW375),0))</f>
        <v/>
      </c>
      <c r="BA375" s="12">
        <f>IF(AZ375="","",ROUND(AZ375*(1+Assumptions!$B$11),0))</f>
        <v/>
      </c>
      <c r="BB375" s="12">
        <f>IF(AZ375="","",ROUND(AZ375*(1+AX375+Assumptions!$B$10),0))</f>
        <v/>
      </c>
      <c r="BC375" s="12">
        <f>IF(AZ375="","",ROUND(AZ375*(1+AX375),0))</f>
        <v/>
      </c>
      <c r="BD375" s="12">
        <f>IF(AZ375="","",ROUND(AZ375*(1+AX375+Assumptions!$B$11),0))</f>
        <v/>
      </c>
      <c r="BE375" s="12">
        <f>IF(AZ375="","",ROUND(AZ375*(1+AX375)*(1+AX375),0))</f>
        <v/>
      </c>
      <c r="BF375" s="7" t="inlineStr">
        <is>
          <t>Rules-based enrichment using launch-price anchor, cap-app realization, and 2026 segment conditions.</t>
        </is>
      </c>
      <c r="BG375" t="inlineStr">
        <is>
          <t>2026-03-17</t>
        </is>
      </c>
      <c r="BH375" s="7" t="inlineStr">
        <is>
          <t>DLD / Digital Dubai / CBUAE / Savills / Knight Frank-Moody’s / Reuters</t>
        </is>
      </c>
    </row>
    <row r="376">
      <c r="A376" t="n">
        <v>375</v>
      </c>
      <c r="B376" s="7" t="inlineStr">
        <is>
          <t>Red Square</t>
        </is>
      </c>
      <c r="C376" t="inlineStr">
        <is>
          <t>Tiger Group</t>
        </is>
      </c>
      <c r="D376" t="inlineStr">
        <is>
          <t>JVT</t>
        </is>
      </c>
      <c r="E376" t="inlineStr">
        <is>
          <t>Apartments</t>
        </is>
      </c>
      <c r="F376" s="7" t="inlineStr">
        <is>
          <t>Twin Tower</t>
        </is>
      </c>
      <c r="G376" t="inlineStr">
        <is>
          <t>800k</t>
        </is>
      </c>
      <c r="H376" t="inlineStr">
        <is>
          <t>1200</t>
        </is>
      </c>
      <c r="I376" t="inlineStr">
        <is>
          <t>15</t>
        </is>
      </c>
      <c r="J376" t="inlineStr">
        <is>
          <t>70/30</t>
        </is>
      </c>
      <c r="K376" t="inlineStr">
        <is>
          <t>2024</t>
        </is>
      </c>
      <c r="L376" t="inlineStr">
        <is>
          <t>7.0-7.5</t>
        </is>
      </c>
      <c r="M376" t="inlineStr">
        <is>
          <t>6-8</t>
        </is>
      </c>
      <c r="N376" t="inlineStr">
        <is>
          <t>13.0-15.5</t>
        </is>
      </c>
      <c r="O376" s="7" t="inlineStr">
        <is>
          <t>Sunmarke School</t>
        </is>
      </c>
      <c r="P376" s="7" t="inlineStr">
        <is>
          <t>NMC Royal DIP</t>
        </is>
      </c>
      <c r="Q376" s="7" t="inlineStr">
        <is>
          <t>Circle Mall</t>
        </is>
      </c>
      <c r="R376" s="7" t="inlineStr">
        <is>
          <t>E311 / Yalayis</t>
        </is>
      </c>
      <c r="S376" t="inlineStr">
        <is>
          <t>20</t>
        </is>
      </c>
      <c r="T376" t="inlineStr">
        <is>
          <t>15</t>
        </is>
      </c>
      <c r="U376" t="inlineStr">
        <is>
          <t>30</t>
        </is>
      </c>
      <c r="V376" t="inlineStr">
        <is>
          <t>20</t>
        </is>
      </c>
      <c r="W376" t="n">
        <v>2</v>
      </c>
      <c r="X376" s="12" t="n">
        <v>800000</v>
      </c>
      <c r="Y376" s="12" t="n">
        <v>800000</v>
      </c>
      <c r="Z376" s="9" t="n">
        <v>7</v>
      </c>
      <c r="AA376" s="9" t="n">
        <v>7.5</v>
      </c>
      <c r="AB376" s="9" t="n">
        <v>6</v>
      </c>
      <c r="AC376" s="9" t="n">
        <v>8</v>
      </c>
      <c r="AD376" s="9" t="n">
        <v>13</v>
      </c>
      <c r="AE376" s="9" t="n">
        <v>15.5</v>
      </c>
      <c r="AF376" t="n">
        <v>2024</v>
      </c>
      <c r="AH376" t="inlineStr">
        <is>
          <t>Apartment</t>
        </is>
      </c>
      <c r="AI376" t="inlineStr">
        <is>
          <t>SupplySensitiveApartment</t>
        </is>
      </c>
      <c r="AJ376" t="inlineStr">
        <is>
          <t>Established</t>
        </is>
      </c>
      <c r="AK376" t="inlineStr">
        <is>
          <t>Supply-sensitive / selective</t>
        </is>
      </c>
      <c r="AL376" s="7" t="inlineStr">
        <is>
          <t>Higher delivery risk in more price-sensitive apartment clusters; building selection and exit liquidity matter.</t>
        </is>
      </c>
      <c r="AM376" s="9" t="n">
        <v>7</v>
      </c>
      <c r="AN376" s="9" t="n">
        <v>7.25</v>
      </c>
      <c r="AO376" s="10" t="n">
        <v>0.55</v>
      </c>
      <c r="AP376" s="13" t="n">
        <v>0</v>
      </c>
      <c r="AQ376" s="13" t="n">
        <v>0</v>
      </c>
      <c r="AR376" s="13" t="n">
        <v>-0.01</v>
      </c>
      <c r="AS376" s="13" t="n">
        <v>-0.01</v>
      </c>
      <c r="AT376" s="13" t="n">
        <v>0</v>
      </c>
      <c r="AU376" s="13" t="n">
        <v>0.0025</v>
      </c>
      <c r="AV376" s="13" t="n">
        <v>-0.005</v>
      </c>
      <c r="AW376" s="13">
        <f>IF(X376="","",(AM376/100*AO376)+AP376+AQ376+AR376)</f>
        <v/>
      </c>
      <c r="AX376" s="13">
        <f>IF(X376="","",AS376+AT376+AU376+AV376)</f>
        <v/>
      </c>
      <c r="AY376" s="12">
        <f>IF(AZ376="","",ROUND(AZ376*(1+Assumptions!$B$10),0))</f>
        <v/>
      </c>
      <c r="AZ376" s="12">
        <f>IF(X376="","",ROUND(X376*(1+AW376),0))</f>
        <v/>
      </c>
      <c r="BA376" s="12">
        <f>IF(AZ376="","",ROUND(AZ376*(1+Assumptions!$B$11),0))</f>
        <v/>
      </c>
      <c r="BB376" s="12">
        <f>IF(AZ376="","",ROUND(AZ376*(1+AX376+Assumptions!$B$10),0))</f>
        <v/>
      </c>
      <c r="BC376" s="12">
        <f>IF(AZ376="","",ROUND(AZ376*(1+AX376),0))</f>
        <v/>
      </c>
      <c r="BD376" s="12">
        <f>IF(AZ376="","",ROUND(AZ376*(1+AX376+Assumptions!$B$11),0))</f>
        <v/>
      </c>
      <c r="BE376" s="12">
        <f>IF(AZ376="","",ROUND(AZ376*(1+AX376)*(1+AX376),0))</f>
        <v/>
      </c>
      <c r="BF376" s="7" t="inlineStr">
        <is>
          <t>Rules-based enrichment using launch-price anchor, cap-app realization, and 2026 segment conditions.</t>
        </is>
      </c>
      <c r="BG376" t="inlineStr">
        <is>
          <t>2026-03-17</t>
        </is>
      </c>
      <c r="BH376" s="7" t="inlineStr">
        <is>
          <t>DLD / Digital Dubai / CBUAE / Savills / Knight Frank-Moody’s / Reuters</t>
        </is>
      </c>
    </row>
    <row r="377">
      <c r="A377" t="n">
        <v>376</v>
      </c>
      <c r="B377" s="7" t="inlineStr">
        <is>
          <t>Renad Tower</t>
        </is>
      </c>
      <c r="C377" t="inlineStr">
        <is>
          <t>Tiger Group</t>
        </is>
      </c>
      <c r="D377" t="inlineStr">
        <is>
          <t>Al Reem Island (AD)</t>
        </is>
      </c>
      <c r="E377" t="inlineStr">
        <is>
          <t>Apartments</t>
        </is>
      </c>
      <c r="F377" s="7" t="inlineStr">
        <is>
          <t>Waterfront</t>
        </is>
      </c>
      <c r="G377" t="inlineStr">
        <is>
          <t>900k</t>
        </is>
      </c>
      <c r="H377" t="inlineStr">
        <is>
          <t>1300</t>
        </is>
      </c>
      <c r="I377" t="inlineStr">
        <is>
          <t>15</t>
        </is>
      </c>
      <c r="J377" t="inlineStr">
        <is>
          <t>70/30</t>
        </is>
      </c>
      <c r="K377" t="inlineStr">
        <is>
          <t>2023</t>
        </is>
      </c>
      <c r="L377" t="inlineStr">
        <is>
          <t>6.5-7.0</t>
        </is>
      </c>
      <c r="M377" t="inlineStr">
        <is>
          <t>5-7</t>
        </is>
      </c>
      <c r="N377" t="inlineStr">
        <is>
          <t>11.5-14.0</t>
        </is>
      </c>
      <c r="O377" s="7" t="inlineStr">
        <is>
          <t>Repton Abu Dhabi</t>
        </is>
      </c>
      <c r="P377" s="7" t="inlineStr">
        <is>
          <t>Burjeel Hospital</t>
        </is>
      </c>
      <c r="Q377" s="7" t="inlineStr">
        <is>
          <t>Reem Mall</t>
        </is>
      </c>
      <c r="R377" s="7" t="inlineStr">
        <is>
          <t>E10 (Abu Dhabi)</t>
        </is>
      </c>
      <c r="S377" t="inlineStr">
        <is>
          <t>90</t>
        </is>
      </c>
      <c r="T377" t="inlineStr">
        <is>
          <t>75</t>
        </is>
      </c>
      <c r="U377" t="inlineStr">
        <is>
          <t>90</t>
        </is>
      </c>
      <c r="V377" t="inlineStr">
        <is>
          <t>80</t>
        </is>
      </c>
      <c r="W377" t="n">
        <v>2</v>
      </c>
      <c r="X377" s="12" t="n">
        <v>900000</v>
      </c>
      <c r="Y377" s="12" t="n">
        <v>900000</v>
      </c>
      <c r="Z377" s="9" t="n">
        <v>6.5</v>
      </c>
      <c r="AA377" s="9" t="n">
        <v>7</v>
      </c>
      <c r="AB377" s="9" t="n">
        <v>5</v>
      </c>
      <c r="AC377" s="9" t="n">
        <v>7</v>
      </c>
      <c r="AD377" s="9" t="n">
        <v>11.5</v>
      </c>
      <c r="AE377" s="9" t="n">
        <v>14</v>
      </c>
      <c r="AF377" t="n">
        <v>2023</v>
      </c>
      <c r="AH377" t="inlineStr">
        <is>
          <t>Apartment</t>
        </is>
      </c>
      <c r="AI377" t="inlineStr">
        <is>
          <t>MainstreamSelective</t>
        </is>
      </c>
      <c r="AJ377" t="inlineStr">
        <is>
          <t>Established</t>
        </is>
      </c>
      <c r="AK377" t="inlineStr">
        <is>
          <t>Balanced / selective</t>
        </is>
      </c>
      <c r="AL377" s="7" t="inlineStr">
        <is>
          <t>Market remains active but increasingly differentiated by developer, micro-location, livability, and pricing discipline.</t>
        </is>
      </c>
      <c r="AM377" s="9" t="n">
        <v>6</v>
      </c>
      <c r="AN377" s="9" t="n">
        <v>6.75</v>
      </c>
      <c r="AO377" s="10" t="n">
        <v>0.55</v>
      </c>
      <c r="AP377" s="13" t="n">
        <v>0</v>
      </c>
      <c r="AQ377" s="13" t="n">
        <v>0</v>
      </c>
      <c r="AR377" s="13" t="n">
        <v>0</v>
      </c>
      <c r="AS377" s="13" t="n">
        <v>0.01</v>
      </c>
      <c r="AT377" s="13" t="n">
        <v>0</v>
      </c>
      <c r="AU377" s="13" t="n">
        <v>0.0025</v>
      </c>
      <c r="AV377" s="13" t="n">
        <v>-0.005</v>
      </c>
      <c r="AW377" s="13">
        <f>IF(X377="","",(AM377/100*AO377)+AP377+AQ377+AR377)</f>
        <v/>
      </c>
      <c r="AX377" s="13">
        <f>IF(X377="","",AS377+AT377+AU377+AV377)</f>
        <v/>
      </c>
      <c r="AY377" s="12">
        <f>IF(AZ377="","",ROUND(AZ377*(1+Assumptions!$B$10),0))</f>
        <v/>
      </c>
      <c r="AZ377" s="12">
        <f>IF(X377="","",ROUND(X377*(1+AW377),0))</f>
        <v/>
      </c>
      <c r="BA377" s="12">
        <f>IF(AZ377="","",ROUND(AZ377*(1+Assumptions!$B$11),0))</f>
        <v/>
      </c>
      <c r="BB377" s="12">
        <f>IF(AZ377="","",ROUND(AZ377*(1+AX377+Assumptions!$B$10),0))</f>
        <v/>
      </c>
      <c r="BC377" s="12">
        <f>IF(AZ377="","",ROUND(AZ377*(1+AX377),0))</f>
        <v/>
      </c>
      <c r="BD377" s="12">
        <f>IF(AZ377="","",ROUND(AZ377*(1+AX377+Assumptions!$B$11),0))</f>
        <v/>
      </c>
      <c r="BE377" s="12">
        <f>IF(AZ377="","",ROUND(AZ377*(1+AX377)*(1+AX377),0))</f>
        <v/>
      </c>
      <c r="BF377" s="7" t="inlineStr">
        <is>
          <t>Rules-based enrichment using launch-price anchor, cap-app realization, and 2026 segment conditions.</t>
        </is>
      </c>
      <c r="BG377" t="inlineStr">
        <is>
          <t>2026-03-17</t>
        </is>
      </c>
      <c r="BH377" s="7" t="inlineStr">
        <is>
          <t>DLD / Digital Dubai / CBUAE / Savills / Knight Frank-Moody’s / Reuters</t>
        </is>
      </c>
    </row>
    <row r="378">
      <c r="A378" t="n">
        <v>377</v>
      </c>
      <c r="B378" s="7" t="inlineStr">
        <is>
          <t>Lilium Tower</t>
        </is>
      </c>
      <c r="C378" t="inlineStr">
        <is>
          <t>Tiger Group</t>
        </is>
      </c>
      <c r="D378" t="inlineStr">
        <is>
          <t>JVT</t>
        </is>
      </c>
      <c r="E378" t="inlineStr">
        <is>
          <t>Apartments</t>
        </is>
      </c>
      <c r="F378" s="7" t="inlineStr">
        <is>
          <t>Family / Budget</t>
        </is>
      </c>
      <c r="G378" t="inlineStr">
        <is>
          <t>700k</t>
        </is>
      </c>
      <c r="H378" t="inlineStr">
        <is>
          <t>1100</t>
        </is>
      </c>
      <c r="I378" t="inlineStr">
        <is>
          <t>15</t>
        </is>
      </c>
      <c r="J378" t="inlineStr">
        <is>
          <t>70/30</t>
        </is>
      </c>
      <c r="K378" t="inlineStr">
        <is>
          <t>2023</t>
        </is>
      </c>
      <c r="L378" t="inlineStr">
        <is>
          <t>7.0-7.5</t>
        </is>
      </c>
      <c r="M378" t="inlineStr">
        <is>
          <t>6-8</t>
        </is>
      </c>
      <c r="N378" t="inlineStr">
        <is>
          <t>13.0-15.5</t>
        </is>
      </c>
      <c r="O378" s="7" t="inlineStr">
        <is>
          <t>Sunmarke School</t>
        </is>
      </c>
      <c r="P378" s="7" t="inlineStr">
        <is>
          <t>NMC Royal DIP</t>
        </is>
      </c>
      <c r="Q378" s="7" t="inlineStr">
        <is>
          <t>Circle Mall</t>
        </is>
      </c>
      <c r="R378" s="7" t="inlineStr">
        <is>
          <t>E311 / Yalayis</t>
        </is>
      </c>
      <c r="S378" t="inlineStr">
        <is>
          <t>20</t>
        </is>
      </c>
      <c r="T378" t="inlineStr">
        <is>
          <t>15</t>
        </is>
      </c>
      <c r="U378" t="inlineStr">
        <is>
          <t>30</t>
        </is>
      </c>
      <c r="V378" t="inlineStr">
        <is>
          <t>20</t>
        </is>
      </c>
      <c r="W378" t="n">
        <v>2</v>
      </c>
      <c r="X378" s="12" t="n">
        <v>700000</v>
      </c>
      <c r="Y378" s="12" t="n">
        <v>700000</v>
      </c>
      <c r="Z378" s="9" t="n">
        <v>7</v>
      </c>
      <c r="AA378" s="9" t="n">
        <v>7.5</v>
      </c>
      <c r="AB378" s="9" t="n">
        <v>6</v>
      </c>
      <c r="AC378" s="9" t="n">
        <v>8</v>
      </c>
      <c r="AD378" s="9" t="n">
        <v>13</v>
      </c>
      <c r="AE378" s="9" t="n">
        <v>15.5</v>
      </c>
      <c r="AF378" t="n">
        <v>2023</v>
      </c>
      <c r="AH378" t="inlineStr">
        <is>
          <t>Apartment</t>
        </is>
      </c>
      <c r="AI378" t="inlineStr">
        <is>
          <t>SupplySensitiveApartment</t>
        </is>
      </c>
      <c r="AJ378" t="inlineStr">
        <is>
          <t>Established</t>
        </is>
      </c>
      <c r="AK378" t="inlineStr">
        <is>
          <t>Supply-sensitive / selective</t>
        </is>
      </c>
      <c r="AL378" s="7" t="inlineStr">
        <is>
          <t>Higher delivery risk in more price-sensitive apartment clusters; building selection and exit liquidity matter.</t>
        </is>
      </c>
      <c r="AM378" s="9" t="n">
        <v>7</v>
      </c>
      <c r="AN378" s="9" t="n">
        <v>7.25</v>
      </c>
      <c r="AO378" s="10" t="n">
        <v>0.55</v>
      </c>
      <c r="AP378" s="13" t="n">
        <v>0</v>
      </c>
      <c r="AQ378" s="13" t="n">
        <v>0</v>
      </c>
      <c r="AR378" s="13" t="n">
        <v>-0.01</v>
      </c>
      <c r="AS378" s="13" t="n">
        <v>-0.01</v>
      </c>
      <c r="AT378" s="13" t="n">
        <v>0</v>
      </c>
      <c r="AU378" s="13" t="n">
        <v>0.0025</v>
      </c>
      <c r="AV378" s="13" t="n">
        <v>-0.005</v>
      </c>
      <c r="AW378" s="13">
        <f>IF(X378="","",(AM378/100*AO378)+AP378+AQ378+AR378)</f>
        <v/>
      </c>
      <c r="AX378" s="13">
        <f>IF(X378="","",AS378+AT378+AU378+AV378)</f>
        <v/>
      </c>
      <c r="AY378" s="12">
        <f>IF(AZ378="","",ROUND(AZ378*(1+Assumptions!$B$10),0))</f>
        <v/>
      </c>
      <c r="AZ378" s="12">
        <f>IF(X378="","",ROUND(X378*(1+AW378),0))</f>
        <v/>
      </c>
      <c r="BA378" s="12">
        <f>IF(AZ378="","",ROUND(AZ378*(1+Assumptions!$B$11),0))</f>
        <v/>
      </c>
      <c r="BB378" s="12">
        <f>IF(AZ378="","",ROUND(AZ378*(1+AX378+Assumptions!$B$10),0))</f>
        <v/>
      </c>
      <c r="BC378" s="12">
        <f>IF(AZ378="","",ROUND(AZ378*(1+AX378),0))</f>
        <v/>
      </c>
      <c r="BD378" s="12">
        <f>IF(AZ378="","",ROUND(AZ378*(1+AX378+Assumptions!$B$11),0))</f>
        <v/>
      </c>
      <c r="BE378" s="12">
        <f>IF(AZ378="","",ROUND(AZ378*(1+AX378)*(1+AX378),0))</f>
        <v/>
      </c>
      <c r="BF378" s="7" t="inlineStr">
        <is>
          <t>Rules-based enrichment using launch-price anchor, cap-app realization, and 2026 segment conditions.</t>
        </is>
      </c>
      <c r="BG378" t="inlineStr">
        <is>
          <t>2026-03-17</t>
        </is>
      </c>
      <c r="BH378" s="7" t="inlineStr">
        <is>
          <t>DLD / Digital Dubai / CBUAE / Savills / Knight Frank-Moody’s / Reuters</t>
        </is>
      </c>
    </row>
    <row r="379">
      <c r="A379" t="n">
        <v>378</v>
      </c>
      <c r="B379" s="7" t="inlineStr">
        <is>
          <t>Seslia Tower</t>
        </is>
      </c>
      <c r="C379" t="inlineStr">
        <is>
          <t>Tiger Group</t>
        </is>
      </c>
      <c r="D379" t="inlineStr">
        <is>
          <t>JVT</t>
        </is>
      </c>
      <c r="E379" t="inlineStr">
        <is>
          <t>Apartments</t>
        </is>
      </c>
      <c r="F379" s="7" t="inlineStr">
        <is>
          <t>Family / Budget</t>
        </is>
      </c>
      <c r="G379" t="inlineStr">
        <is>
          <t>700k</t>
        </is>
      </c>
      <c r="H379" t="inlineStr">
        <is>
          <t>1100</t>
        </is>
      </c>
      <c r="I379" t="inlineStr">
        <is>
          <t>15</t>
        </is>
      </c>
      <c r="J379" t="inlineStr">
        <is>
          <t>70/30</t>
        </is>
      </c>
      <c r="K379" t="inlineStr">
        <is>
          <t>2022</t>
        </is>
      </c>
      <c r="L379" t="inlineStr">
        <is>
          <t>7.0-7.5</t>
        </is>
      </c>
      <c r="M379" t="inlineStr">
        <is>
          <t>6-8</t>
        </is>
      </c>
      <c r="N379" t="inlineStr">
        <is>
          <t>13.0-15.5</t>
        </is>
      </c>
      <c r="O379" s="7" t="inlineStr">
        <is>
          <t>Sunmarke School</t>
        </is>
      </c>
      <c r="P379" s="7" t="inlineStr">
        <is>
          <t>NMC Royal DIP</t>
        </is>
      </c>
      <c r="Q379" s="7" t="inlineStr">
        <is>
          <t>Circle Mall</t>
        </is>
      </c>
      <c r="R379" s="7" t="inlineStr">
        <is>
          <t>E311 / Yalayis</t>
        </is>
      </c>
      <c r="S379" t="inlineStr">
        <is>
          <t>20</t>
        </is>
      </c>
      <c r="T379" t="inlineStr">
        <is>
          <t>15</t>
        </is>
      </c>
      <c r="U379" t="inlineStr">
        <is>
          <t>30</t>
        </is>
      </c>
      <c r="V379" t="inlineStr">
        <is>
          <t>20</t>
        </is>
      </c>
      <c r="W379" t="n">
        <v>2</v>
      </c>
      <c r="X379" s="12" t="n">
        <v>700000</v>
      </c>
      <c r="Y379" s="12" t="n">
        <v>700000</v>
      </c>
      <c r="Z379" s="9" t="n">
        <v>7</v>
      </c>
      <c r="AA379" s="9" t="n">
        <v>7.5</v>
      </c>
      <c r="AB379" s="9" t="n">
        <v>6</v>
      </c>
      <c r="AC379" s="9" t="n">
        <v>8</v>
      </c>
      <c r="AD379" s="9" t="n">
        <v>13</v>
      </c>
      <c r="AE379" s="9" t="n">
        <v>15.5</v>
      </c>
      <c r="AF379" t="n">
        <v>2022</v>
      </c>
      <c r="AH379" t="inlineStr">
        <is>
          <t>Apartment</t>
        </is>
      </c>
      <c r="AI379" t="inlineStr">
        <is>
          <t>SupplySensitiveApartment</t>
        </is>
      </c>
      <c r="AJ379" t="inlineStr">
        <is>
          <t>Established</t>
        </is>
      </c>
      <c r="AK379" t="inlineStr">
        <is>
          <t>Supply-sensitive / selective</t>
        </is>
      </c>
      <c r="AL379" s="7" t="inlineStr">
        <is>
          <t>Higher delivery risk in more price-sensitive apartment clusters; building selection and exit liquidity matter.</t>
        </is>
      </c>
      <c r="AM379" s="9" t="n">
        <v>7</v>
      </c>
      <c r="AN379" s="9" t="n">
        <v>7.25</v>
      </c>
      <c r="AO379" s="10" t="n">
        <v>0.55</v>
      </c>
      <c r="AP379" s="13" t="n">
        <v>0</v>
      </c>
      <c r="AQ379" s="13" t="n">
        <v>0</v>
      </c>
      <c r="AR379" s="13" t="n">
        <v>-0.01</v>
      </c>
      <c r="AS379" s="13" t="n">
        <v>-0.01</v>
      </c>
      <c r="AT379" s="13" t="n">
        <v>0</v>
      </c>
      <c r="AU379" s="13" t="n">
        <v>0.0025</v>
      </c>
      <c r="AV379" s="13" t="n">
        <v>-0.005</v>
      </c>
      <c r="AW379" s="13">
        <f>IF(X379="","",(AM379/100*AO379)+AP379+AQ379+AR379)</f>
        <v/>
      </c>
      <c r="AX379" s="13">
        <f>IF(X379="","",AS379+AT379+AU379+AV379)</f>
        <v/>
      </c>
      <c r="AY379" s="12">
        <f>IF(AZ379="","",ROUND(AZ379*(1+Assumptions!$B$10),0))</f>
        <v/>
      </c>
      <c r="AZ379" s="12">
        <f>IF(X379="","",ROUND(X379*(1+AW379),0))</f>
        <v/>
      </c>
      <c r="BA379" s="12">
        <f>IF(AZ379="","",ROUND(AZ379*(1+Assumptions!$B$11),0))</f>
        <v/>
      </c>
      <c r="BB379" s="12">
        <f>IF(AZ379="","",ROUND(AZ379*(1+AX379+Assumptions!$B$10),0))</f>
        <v/>
      </c>
      <c r="BC379" s="12">
        <f>IF(AZ379="","",ROUND(AZ379*(1+AX379),0))</f>
        <v/>
      </c>
      <c r="BD379" s="12">
        <f>IF(AZ379="","",ROUND(AZ379*(1+AX379+Assumptions!$B$11),0))</f>
        <v/>
      </c>
      <c r="BE379" s="12">
        <f>IF(AZ379="","",ROUND(AZ379*(1+AX379)*(1+AX379),0))</f>
        <v/>
      </c>
      <c r="BF379" s="7" t="inlineStr">
        <is>
          <t>Rules-based enrichment using launch-price anchor, cap-app realization, and 2026 segment conditions.</t>
        </is>
      </c>
      <c r="BG379" t="inlineStr">
        <is>
          <t>2026-03-17</t>
        </is>
      </c>
      <c r="BH379" s="7" t="inlineStr">
        <is>
          <t>DLD / Digital Dubai / CBUAE / Savills / Knight Frank-Moody’s / Reuters</t>
        </is>
      </c>
    </row>
    <row r="380">
      <c r="A380" t="n">
        <v>379</v>
      </c>
      <c r="B380" s="7" t="inlineStr">
        <is>
          <t>Cloud Tower</t>
        </is>
      </c>
      <c r="C380" t="inlineStr">
        <is>
          <t>Tiger Group</t>
        </is>
      </c>
      <c r="D380" t="inlineStr">
        <is>
          <t>JVT</t>
        </is>
      </c>
      <c r="E380" t="inlineStr">
        <is>
          <t>Apartments</t>
        </is>
      </c>
      <c r="F380" s="7" t="inlineStr">
        <is>
          <t>Twin Tower</t>
        </is>
      </c>
      <c r="G380" t="inlineStr">
        <is>
          <t>750k</t>
        </is>
      </c>
      <c r="H380" t="inlineStr">
        <is>
          <t>1100</t>
        </is>
      </c>
      <c r="I380" t="inlineStr">
        <is>
          <t>15</t>
        </is>
      </c>
      <c r="J380" t="inlineStr">
        <is>
          <t>70/30</t>
        </is>
      </c>
      <c r="K380" t="inlineStr">
        <is>
          <t>2022</t>
        </is>
      </c>
      <c r="L380" t="inlineStr">
        <is>
          <t>7.0-7.5</t>
        </is>
      </c>
      <c r="M380" t="inlineStr">
        <is>
          <t>6-8</t>
        </is>
      </c>
      <c r="N380" t="inlineStr">
        <is>
          <t>13.0-15.5</t>
        </is>
      </c>
      <c r="O380" s="7" t="inlineStr">
        <is>
          <t>Sunmarke School</t>
        </is>
      </c>
      <c r="P380" s="7" t="inlineStr">
        <is>
          <t>NMC Royal DIP</t>
        </is>
      </c>
      <c r="Q380" s="7" t="inlineStr">
        <is>
          <t>Circle Mall</t>
        </is>
      </c>
      <c r="R380" s="7" t="inlineStr">
        <is>
          <t>E311 / Yalayis</t>
        </is>
      </c>
      <c r="S380" t="inlineStr">
        <is>
          <t>20</t>
        </is>
      </c>
      <c r="T380" t="inlineStr">
        <is>
          <t>15</t>
        </is>
      </c>
      <c r="U380" t="inlineStr">
        <is>
          <t>30</t>
        </is>
      </c>
      <c r="V380" t="inlineStr">
        <is>
          <t>20</t>
        </is>
      </c>
      <c r="W380" t="n">
        <v>2</v>
      </c>
      <c r="X380" s="12" t="n">
        <v>750000</v>
      </c>
      <c r="Y380" s="12" t="n">
        <v>750000</v>
      </c>
      <c r="Z380" s="9" t="n">
        <v>7</v>
      </c>
      <c r="AA380" s="9" t="n">
        <v>7.5</v>
      </c>
      <c r="AB380" s="9" t="n">
        <v>6</v>
      </c>
      <c r="AC380" s="9" t="n">
        <v>8</v>
      </c>
      <c r="AD380" s="9" t="n">
        <v>13</v>
      </c>
      <c r="AE380" s="9" t="n">
        <v>15.5</v>
      </c>
      <c r="AF380" t="n">
        <v>2022</v>
      </c>
      <c r="AH380" t="inlineStr">
        <is>
          <t>Apartment</t>
        </is>
      </c>
      <c r="AI380" t="inlineStr">
        <is>
          <t>SupplySensitiveApartment</t>
        </is>
      </c>
      <c r="AJ380" t="inlineStr">
        <is>
          <t>Established</t>
        </is>
      </c>
      <c r="AK380" t="inlineStr">
        <is>
          <t>Supply-sensitive / selective</t>
        </is>
      </c>
      <c r="AL380" s="7" t="inlineStr">
        <is>
          <t>Higher delivery risk in more price-sensitive apartment clusters; building selection and exit liquidity matter.</t>
        </is>
      </c>
      <c r="AM380" s="9" t="n">
        <v>7</v>
      </c>
      <c r="AN380" s="9" t="n">
        <v>7.25</v>
      </c>
      <c r="AO380" s="10" t="n">
        <v>0.55</v>
      </c>
      <c r="AP380" s="13" t="n">
        <v>0</v>
      </c>
      <c r="AQ380" s="13" t="n">
        <v>0</v>
      </c>
      <c r="AR380" s="13" t="n">
        <v>-0.01</v>
      </c>
      <c r="AS380" s="13" t="n">
        <v>-0.01</v>
      </c>
      <c r="AT380" s="13" t="n">
        <v>0</v>
      </c>
      <c r="AU380" s="13" t="n">
        <v>0.0025</v>
      </c>
      <c r="AV380" s="13" t="n">
        <v>-0.005</v>
      </c>
      <c r="AW380" s="13">
        <f>IF(X380="","",(AM380/100*AO380)+AP380+AQ380+AR380)</f>
        <v/>
      </c>
      <c r="AX380" s="13">
        <f>IF(X380="","",AS380+AT380+AU380+AV380)</f>
        <v/>
      </c>
      <c r="AY380" s="12">
        <f>IF(AZ380="","",ROUND(AZ380*(1+Assumptions!$B$10),0))</f>
        <v/>
      </c>
      <c r="AZ380" s="12">
        <f>IF(X380="","",ROUND(X380*(1+AW380),0))</f>
        <v/>
      </c>
      <c r="BA380" s="12">
        <f>IF(AZ380="","",ROUND(AZ380*(1+Assumptions!$B$11),0))</f>
        <v/>
      </c>
      <c r="BB380" s="12">
        <f>IF(AZ380="","",ROUND(AZ380*(1+AX380+Assumptions!$B$10),0))</f>
        <v/>
      </c>
      <c r="BC380" s="12">
        <f>IF(AZ380="","",ROUND(AZ380*(1+AX380),0))</f>
        <v/>
      </c>
      <c r="BD380" s="12">
        <f>IF(AZ380="","",ROUND(AZ380*(1+AX380+Assumptions!$B$11),0))</f>
        <v/>
      </c>
      <c r="BE380" s="12">
        <f>IF(AZ380="","",ROUND(AZ380*(1+AX380)*(1+AX380),0))</f>
        <v/>
      </c>
      <c r="BF380" s="7" t="inlineStr">
        <is>
          <t>Rules-based enrichment using launch-price anchor, cap-app realization, and 2026 segment conditions.</t>
        </is>
      </c>
      <c r="BG380" t="inlineStr">
        <is>
          <t>2026-03-17</t>
        </is>
      </c>
      <c r="BH380" s="7" t="inlineStr">
        <is>
          <t>DLD / Digital Dubai / CBUAE / Savills / Knight Frank-Moody’s / Reuters</t>
        </is>
      </c>
    </row>
    <row r="381">
      <c r="A381" t="n">
        <v>380</v>
      </c>
      <c r="B381" s="7" t="inlineStr">
        <is>
          <t>Neva Residences</t>
        </is>
      </c>
      <c r="C381" t="inlineStr">
        <is>
          <t>Tiger Group</t>
        </is>
      </c>
      <c r="D381" t="inlineStr">
        <is>
          <t>JVC</t>
        </is>
      </c>
      <c r="E381" t="inlineStr">
        <is>
          <t>Apartments</t>
        </is>
      </c>
      <c r="F381" s="7" t="inlineStr">
        <is>
          <t>Budget / High-Rise</t>
        </is>
      </c>
      <c r="G381" t="inlineStr">
        <is>
          <t>700k</t>
        </is>
      </c>
      <c r="H381" t="inlineStr">
        <is>
          <t>1100</t>
        </is>
      </c>
      <c r="I381" t="inlineStr">
        <is>
          <t>15</t>
        </is>
      </c>
      <c r="J381" t="inlineStr">
        <is>
          <t>70/30</t>
        </is>
      </c>
      <c r="K381" t="inlineStr">
        <is>
          <t>2022</t>
        </is>
      </c>
      <c r="L381" t="inlineStr">
        <is>
          <t>7.5-8.0</t>
        </is>
      </c>
      <c r="M381" t="inlineStr">
        <is>
          <t>6-8</t>
        </is>
      </c>
      <c r="N381" t="inlineStr">
        <is>
          <t>13.5-16.0</t>
        </is>
      </c>
      <c r="O381" s="7" t="inlineStr">
        <is>
          <t>JSS International</t>
        </is>
      </c>
      <c r="P381" s="7" t="inlineStr">
        <is>
          <t>Saudi German Hospital</t>
        </is>
      </c>
      <c r="Q381" s="7" t="inlineStr">
        <is>
          <t>Circle Mall</t>
        </is>
      </c>
      <c r="R381" s="7" t="inlineStr">
        <is>
          <t>Hessa St / E44</t>
        </is>
      </c>
      <c r="S381" t="inlineStr">
        <is>
          <t>20</t>
        </is>
      </c>
      <c r="T381" t="inlineStr">
        <is>
          <t>15</t>
        </is>
      </c>
      <c r="U381" t="inlineStr">
        <is>
          <t>25</t>
        </is>
      </c>
      <c r="V381" t="inlineStr">
        <is>
          <t>30</t>
        </is>
      </c>
      <c r="W381" t="n">
        <v>2</v>
      </c>
      <c r="X381" s="12" t="n">
        <v>700000</v>
      </c>
      <c r="Y381" s="12" t="n">
        <v>700000</v>
      </c>
      <c r="Z381" s="9" t="n">
        <v>7.5</v>
      </c>
      <c r="AA381" s="9" t="n">
        <v>8</v>
      </c>
      <c r="AB381" s="9" t="n">
        <v>6</v>
      </c>
      <c r="AC381" s="9" t="n">
        <v>8</v>
      </c>
      <c r="AD381" s="9" t="n">
        <v>13.5</v>
      </c>
      <c r="AE381" s="9" t="n">
        <v>16</v>
      </c>
      <c r="AF381" t="n">
        <v>2022</v>
      </c>
      <c r="AH381" t="inlineStr">
        <is>
          <t>Apartment</t>
        </is>
      </c>
      <c r="AI381" t="inlineStr">
        <is>
          <t>SupplySensitiveApartment</t>
        </is>
      </c>
      <c r="AJ381" t="inlineStr">
        <is>
          <t>Established</t>
        </is>
      </c>
      <c r="AK381" t="inlineStr">
        <is>
          <t>Supply-sensitive / selective</t>
        </is>
      </c>
      <c r="AL381" s="7" t="inlineStr">
        <is>
          <t>Higher delivery risk in more price-sensitive apartment clusters; building selection and exit liquidity matter.</t>
        </is>
      </c>
      <c r="AM381" s="9" t="n">
        <v>7</v>
      </c>
      <c r="AN381" s="9" t="n">
        <v>7.75</v>
      </c>
      <c r="AO381" s="10" t="n">
        <v>0.55</v>
      </c>
      <c r="AP381" s="13" t="n">
        <v>0</v>
      </c>
      <c r="AQ381" s="13" t="n">
        <v>0</v>
      </c>
      <c r="AR381" s="13" t="n">
        <v>-0.01</v>
      </c>
      <c r="AS381" s="13" t="n">
        <v>-0.01</v>
      </c>
      <c r="AT381" s="13" t="n">
        <v>0</v>
      </c>
      <c r="AU381" s="13" t="n">
        <v>0.0025</v>
      </c>
      <c r="AV381" s="13" t="n">
        <v>-0.005</v>
      </c>
      <c r="AW381" s="13">
        <f>IF(X381="","",(AM381/100*AO381)+AP381+AQ381+AR381)</f>
        <v/>
      </c>
      <c r="AX381" s="13">
        <f>IF(X381="","",AS381+AT381+AU381+AV381)</f>
        <v/>
      </c>
      <c r="AY381" s="12">
        <f>IF(AZ381="","",ROUND(AZ381*(1+Assumptions!$B$10),0))</f>
        <v/>
      </c>
      <c r="AZ381" s="12">
        <f>IF(X381="","",ROUND(X381*(1+AW381),0))</f>
        <v/>
      </c>
      <c r="BA381" s="12">
        <f>IF(AZ381="","",ROUND(AZ381*(1+Assumptions!$B$11),0))</f>
        <v/>
      </c>
      <c r="BB381" s="12">
        <f>IF(AZ381="","",ROUND(AZ381*(1+AX381+Assumptions!$B$10),0))</f>
        <v/>
      </c>
      <c r="BC381" s="12">
        <f>IF(AZ381="","",ROUND(AZ381*(1+AX381),0))</f>
        <v/>
      </c>
      <c r="BD381" s="12">
        <f>IF(AZ381="","",ROUND(AZ381*(1+AX381+Assumptions!$B$11),0))</f>
        <v/>
      </c>
      <c r="BE381" s="12">
        <f>IF(AZ381="","",ROUND(AZ381*(1+AX381)*(1+AX381),0))</f>
        <v/>
      </c>
      <c r="BF381" s="7" t="inlineStr">
        <is>
          <t>Rules-based enrichment using launch-price anchor, cap-app realization, and 2026 segment conditions.</t>
        </is>
      </c>
      <c r="BG381" t="inlineStr">
        <is>
          <t>2026-03-17</t>
        </is>
      </c>
      <c r="BH381" s="7" t="inlineStr">
        <is>
          <t>DLD / Digital Dubai / CBUAE / Savills / Knight Frank-Moody’s / Reuters</t>
        </is>
      </c>
    </row>
    <row r="382">
      <c r="A382" t="n">
        <v>381</v>
      </c>
      <c r="B382" s="7" t="inlineStr">
        <is>
          <t>Elbrus Tower</t>
        </is>
      </c>
      <c r="C382" t="inlineStr">
        <is>
          <t>Tiger Group</t>
        </is>
      </c>
      <c r="D382" t="inlineStr">
        <is>
          <t>JVT</t>
        </is>
      </c>
      <c r="E382" t="inlineStr">
        <is>
          <t>Apartments</t>
        </is>
      </c>
      <c r="F382" s="7" t="inlineStr">
        <is>
          <t>Family / Budget</t>
        </is>
      </c>
      <c r="G382" t="inlineStr">
        <is>
          <t>750k</t>
        </is>
      </c>
      <c r="H382" t="inlineStr">
        <is>
          <t>1100</t>
        </is>
      </c>
      <c r="I382" t="inlineStr">
        <is>
          <t>15</t>
        </is>
      </c>
      <c r="J382" t="inlineStr">
        <is>
          <t>70/30</t>
        </is>
      </c>
      <c r="K382" t="inlineStr">
        <is>
          <t>2023</t>
        </is>
      </c>
      <c r="L382" t="inlineStr">
        <is>
          <t>7.0-7.5</t>
        </is>
      </c>
      <c r="M382" t="inlineStr">
        <is>
          <t>6-8</t>
        </is>
      </c>
      <c r="N382" t="inlineStr">
        <is>
          <t>13.0-15.5</t>
        </is>
      </c>
      <c r="O382" s="7" t="inlineStr">
        <is>
          <t>Sunmarke School</t>
        </is>
      </c>
      <c r="P382" s="7" t="inlineStr">
        <is>
          <t>NMC Royal DIP</t>
        </is>
      </c>
      <c r="Q382" s="7" t="inlineStr">
        <is>
          <t>Circle Mall</t>
        </is>
      </c>
      <c r="R382" s="7" t="inlineStr">
        <is>
          <t>E311 / Yalayis</t>
        </is>
      </c>
      <c r="S382" t="inlineStr">
        <is>
          <t>20</t>
        </is>
      </c>
      <c r="T382" t="inlineStr">
        <is>
          <t>15</t>
        </is>
      </c>
      <c r="U382" t="inlineStr">
        <is>
          <t>30</t>
        </is>
      </c>
      <c r="V382" t="inlineStr">
        <is>
          <t>20</t>
        </is>
      </c>
      <c r="W382" t="n">
        <v>2</v>
      </c>
      <c r="X382" s="12" t="n">
        <v>750000</v>
      </c>
      <c r="Y382" s="12" t="n">
        <v>750000</v>
      </c>
      <c r="Z382" s="9" t="n">
        <v>7</v>
      </c>
      <c r="AA382" s="9" t="n">
        <v>7.5</v>
      </c>
      <c r="AB382" s="9" t="n">
        <v>6</v>
      </c>
      <c r="AC382" s="9" t="n">
        <v>8</v>
      </c>
      <c r="AD382" s="9" t="n">
        <v>13</v>
      </c>
      <c r="AE382" s="9" t="n">
        <v>15.5</v>
      </c>
      <c r="AF382" t="n">
        <v>2023</v>
      </c>
      <c r="AH382" t="inlineStr">
        <is>
          <t>Apartment</t>
        </is>
      </c>
      <c r="AI382" t="inlineStr">
        <is>
          <t>SupplySensitiveApartment</t>
        </is>
      </c>
      <c r="AJ382" t="inlineStr">
        <is>
          <t>Established</t>
        </is>
      </c>
      <c r="AK382" t="inlineStr">
        <is>
          <t>Supply-sensitive / selective</t>
        </is>
      </c>
      <c r="AL382" s="7" t="inlineStr">
        <is>
          <t>Higher delivery risk in more price-sensitive apartment clusters; building selection and exit liquidity matter.</t>
        </is>
      </c>
      <c r="AM382" s="9" t="n">
        <v>7</v>
      </c>
      <c r="AN382" s="9" t="n">
        <v>7.25</v>
      </c>
      <c r="AO382" s="10" t="n">
        <v>0.55</v>
      </c>
      <c r="AP382" s="13" t="n">
        <v>0</v>
      </c>
      <c r="AQ382" s="13" t="n">
        <v>0</v>
      </c>
      <c r="AR382" s="13" t="n">
        <v>-0.01</v>
      </c>
      <c r="AS382" s="13" t="n">
        <v>-0.01</v>
      </c>
      <c r="AT382" s="13" t="n">
        <v>0</v>
      </c>
      <c r="AU382" s="13" t="n">
        <v>0.0025</v>
      </c>
      <c r="AV382" s="13" t="n">
        <v>-0.005</v>
      </c>
      <c r="AW382" s="13">
        <f>IF(X382="","",(AM382/100*AO382)+AP382+AQ382+AR382)</f>
        <v/>
      </c>
      <c r="AX382" s="13">
        <f>IF(X382="","",AS382+AT382+AU382+AV382)</f>
        <v/>
      </c>
      <c r="AY382" s="12">
        <f>IF(AZ382="","",ROUND(AZ382*(1+Assumptions!$B$10),0))</f>
        <v/>
      </c>
      <c r="AZ382" s="12">
        <f>IF(X382="","",ROUND(X382*(1+AW382),0))</f>
        <v/>
      </c>
      <c r="BA382" s="12">
        <f>IF(AZ382="","",ROUND(AZ382*(1+Assumptions!$B$11),0))</f>
        <v/>
      </c>
      <c r="BB382" s="12">
        <f>IF(AZ382="","",ROUND(AZ382*(1+AX382+Assumptions!$B$10),0))</f>
        <v/>
      </c>
      <c r="BC382" s="12">
        <f>IF(AZ382="","",ROUND(AZ382*(1+AX382),0))</f>
        <v/>
      </c>
      <c r="BD382" s="12">
        <f>IF(AZ382="","",ROUND(AZ382*(1+AX382+Assumptions!$B$11),0))</f>
        <v/>
      </c>
      <c r="BE382" s="12">
        <f>IF(AZ382="","",ROUND(AZ382*(1+AX382)*(1+AX382),0))</f>
        <v/>
      </c>
      <c r="BF382" s="7" t="inlineStr">
        <is>
          <t>Rules-based enrichment using launch-price anchor, cap-app realization, and 2026 segment conditions.</t>
        </is>
      </c>
      <c r="BG382" t="inlineStr">
        <is>
          <t>2026-03-17</t>
        </is>
      </c>
      <c r="BH382" s="7" t="inlineStr">
        <is>
          <t>DLD / Digital Dubai / CBUAE / Savills / Knight Frank-Moody’s / Reuters</t>
        </is>
      </c>
    </row>
    <row r="383">
      <c r="A383" t="n">
        <v>382</v>
      </c>
      <c r="B383" s="7" t="inlineStr">
        <is>
          <t>Al Tai</t>
        </is>
      </c>
      <c r="C383" t="inlineStr">
        <is>
          <t>Tiger Group</t>
        </is>
      </c>
      <c r="D383" t="inlineStr">
        <is>
          <t>JVT</t>
        </is>
      </c>
      <c r="E383" t="inlineStr">
        <is>
          <t>Apartments</t>
        </is>
      </c>
      <c r="F383" s="7" t="inlineStr">
        <is>
          <t>Family / Budget</t>
        </is>
      </c>
      <c r="G383" t="inlineStr">
        <is>
          <t>750k</t>
        </is>
      </c>
      <c r="H383" t="inlineStr">
        <is>
          <t>1100</t>
        </is>
      </c>
      <c r="I383" t="inlineStr">
        <is>
          <t>15</t>
        </is>
      </c>
      <c r="J383" t="inlineStr">
        <is>
          <t>70/30</t>
        </is>
      </c>
      <c r="K383" t="inlineStr">
        <is>
          <t>2023</t>
        </is>
      </c>
      <c r="L383" t="inlineStr">
        <is>
          <t>7.0-7.5</t>
        </is>
      </c>
      <c r="M383" t="inlineStr">
        <is>
          <t>6-8</t>
        </is>
      </c>
      <c r="N383" t="inlineStr">
        <is>
          <t>13.0-15.5</t>
        </is>
      </c>
      <c r="O383" s="7" t="inlineStr">
        <is>
          <t>Sunmarke School</t>
        </is>
      </c>
      <c r="P383" s="7" t="inlineStr">
        <is>
          <t>NMC Royal DIP</t>
        </is>
      </c>
      <c r="Q383" s="7" t="inlineStr">
        <is>
          <t>Circle Mall</t>
        </is>
      </c>
      <c r="R383" s="7" t="inlineStr">
        <is>
          <t>E311 / Yalayis</t>
        </is>
      </c>
      <c r="S383" t="inlineStr">
        <is>
          <t>20</t>
        </is>
      </c>
      <c r="T383" t="inlineStr">
        <is>
          <t>15</t>
        </is>
      </c>
      <c r="U383" t="inlineStr">
        <is>
          <t>30</t>
        </is>
      </c>
      <c r="V383" t="inlineStr">
        <is>
          <t>20</t>
        </is>
      </c>
      <c r="W383" t="n">
        <v>2</v>
      </c>
      <c r="X383" s="12" t="n">
        <v>750000</v>
      </c>
      <c r="Y383" s="12" t="n">
        <v>750000</v>
      </c>
      <c r="Z383" s="9" t="n">
        <v>7</v>
      </c>
      <c r="AA383" s="9" t="n">
        <v>7.5</v>
      </c>
      <c r="AB383" s="9" t="n">
        <v>6</v>
      </c>
      <c r="AC383" s="9" t="n">
        <v>8</v>
      </c>
      <c r="AD383" s="9" t="n">
        <v>13</v>
      </c>
      <c r="AE383" s="9" t="n">
        <v>15.5</v>
      </c>
      <c r="AF383" t="n">
        <v>2023</v>
      </c>
      <c r="AH383" t="inlineStr">
        <is>
          <t>Apartment</t>
        </is>
      </c>
      <c r="AI383" t="inlineStr">
        <is>
          <t>SupplySensitiveApartment</t>
        </is>
      </c>
      <c r="AJ383" t="inlineStr">
        <is>
          <t>Established</t>
        </is>
      </c>
      <c r="AK383" t="inlineStr">
        <is>
          <t>Supply-sensitive / selective</t>
        </is>
      </c>
      <c r="AL383" s="7" t="inlineStr">
        <is>
          <t>Higher delivery risk in more price-sensitive apartment clusters; building selection and exit liquidity matter.</t>
        </is>
      </c>
      <c r="AM383" s="9" t="n">
        <v>7</v>
      </c>
      <c r="AN383" s="9" t="n">
        <v>7.25</v>
      </c>
      <c r="AO383" s="10" t="n">
        <v>0.55</v>
      </c>
      <c r="AP383" s="13" t="n">
        <v>0</v>
      </c>
      <c r="AQ383" s="13" t="n">
        <v>0</v>
      </c>
      <c r="AR383" s="13" t="n">
        <v>-0.01</v>
      </c>
      <c r="AS383" s="13" t="n">
        <v>-0.01</v>
      </c>
      <c r="AT383" s="13" t="n">
        <v>0</v>
      </c>
      <c r="AU383" s="13" t="n">
        <v>0.0025</v>
      </c>
      <c r="AV383" s="13" t="n">
        <v>-0.005</v>
      </c>
      <c r="AW383" s="13">
        <f>IF(X383="","",(AM383/100*AO383)+AP383+AQ383+AR383)</f>
        <v/>
      </c>
      <c r="AX383" s="13">
        <f>IF(X383="","",AS383+AT383+AU383+AV383)</f>
        <v/>
      </c>
      <c r="AY383" s="12">
        <f>IF(AZ383="","",ROUND(AZ383*(1+Assumptions!$B$10),0))</f>
        <v/>
      </c>
      <c r="AZ383" s="12">
        <f>IF(X383="","",ROUND(X383*(1+AW383),0))</f>
        <v/>
      </c>
      <c r="BA383" s="12">
        <f>IF(AZ383="","",ROUND(AZ383*(1+Assumptions!$B$11),0))</f>
        <v/>
      </c>
      <c r="BB383" s="12">
        <f>IF(AZ383="","",ROUND(AZ383*(1+AX383+Assumptions!$B$10),0))</f>
        <v/>
      </c>
      <c r="BC383" s="12">
        <f>IF(AZ383="","",ROUND(AZ383*(1+AX383),0))</f>
        <v/>
      </c>
      <c r="BD383" s="12">
        <f>IF(AZ383="","",ROUND(AZ383*(1+AX383+Assumptions!$B$11),0))</f>
        <v/>
      </c>
      <c r="BE383" s="12">
        <f>IF(AZ383="","",ROUND(AZ383*(1+AX383)*(1+AX383),0))</f>
        <v/>
      </c>
      <c r="BF383" s="7" t="inlineStr">
        <is>
          <t>Rules-based enrichment using launch-price anchor, cap-app realization, and 2026 segment conditions.</t>
        </is>
      </c>
      <c r="BG383" t="inlineStr">
        <is>
          <t>2026-03-17</t>
        </is>
      </c>
      <c r="BH383" s="7" t="inlineStr">
        <is>
          <t>DLD / Digital Dubai / CBUAE / Savills / Knight Frank-Moody’s / Reuters</t>
        </is>
      </c>
    </row>
    <row r="384">
      <c r="A384" t="n">
        <v>383</v>
      </c>
      <c r="B384" s="7" t="inlineStr">
        <is>
          <t>Faradis</t>
        </is>
      </c>
      <c r="C384" t="inlineStr">
        <is>
          <t>Tiger Group</t>
        </is>
      </c>
      <c r="D384" t="inlineStr">
        <is>
          <t>Sharjah (Mamsha)</t>
        </is>
      </c>
      <c r="E384" t="inlineStr">
        <is>
          <t>Apartments</t>
        </is>
      </c>
      <c r="F384" s="7" t="inlineStr">
        <is>
          <t>Beachfront (Sharjah)</t>
        </is>
      </c>
      <c r="G384" t="inlineStr">
        <is>
          <t>800k</t>
        </is>
      </c>
      <c r="H384" t="inlineStr">
        <is>
          <t>1000</t>
        </is>
      </c>
      <c r="I384" t="inlineStr">
        <is>
          <t>TBA</t>
        </is>
      </c>
      <c r="J384" t="inlineStr">
        <is>
          <t>70/30</t>
        </is>
      </c>
      <c r="K384" t="inlineStr">
        <is>
          <t>2024</t>
        </is>
      </c>
      <c r="L384" t="inlineStr">
        <is>
          <t>6.0-6.5</t>
        </is>
      </c>
      <c r="M384" t="inlineStr">
        <is>
          <t>5-7</t>
        </is>
      </c>
      <c r="N384" t="inlineStr">
        <is>
          <t>11.0-13.5</t>
        </is>
      </c>
      <c r="O384" s="7" t="inlineStr">
        <is>
          <t>Victoria Intl</t>
        </is>
      </c>
      <c r="P384" s="7" t="inlineStr">
        <is>
          <t>Al Qassimi Hospital</t>
        </is>
      </c>
      <c r="Q384" s="7" t="inlineStr">
        <is>
          <t>Sahara Centre</t>
        </is>
      </c>
      <c r="R384" s="7" t="inlineStr">
        <is>
          <t>E11 (Sharjah)</t>
        </is>
      </c>
      <c r="S384" t="inlineStr">
        <is>
          <t>30</t>
        </is>
      </c>
      <c r="T384" t="inlineStr">
        <is>
          <t>45</t>
        </is>
      </c>
      <c r="U384" t="inlineStr">
        <is>
          <t>20</t>
        </is>
      </c>
      <c r="V384" t="inlineStr">
        <is>
          <t>55</t>
        </is>
      </c>
      <c r="W384" t="n">
        <v>2</v>
      </c>
      <c r="X384" s="12" t="n">
        <v>800000</v>
      </c>
      <c r="Y384" s="12" t="n">
        <v>800000</v>
      </c>
      <c r="Z384" s="9" t="n">
        <v>6</v>
      </c>
      <c r="AA384" s="9" t="n">
        <v>6.5</v>
      </c>
      <c r="AB384" s="9" t="n">
        <v>5</v>
      </c>
      <c r="AC384" s="9" t="n">
        <v>7</v>
      </c>
      <c r="AD384" s="9" t="n">
        <v>11</v>
      </c>
      <c r="AE384" s="9" t="n">
        <v>13.5</v>
      </c>
      <c r="AF384" t="n">
        <v>2024</v>
      </c>
      <c r="AH384" t="inlineStr">
        <is>
          <t>Apartment</t>
        </is>
      </c>
      <c r="AI384" t="inlineStr">
        <is>
          <t>MainstreamSelective</t>
        </is>
      </c>
      <c r="AJ384" t="inlineStr">
        <is>
          <t>Established</t>
        </is>
      </c>
      <c r="AK384" t="inlineStr">
        <is>
          <t>Balanced / selective</t>
        </is>
      </c>
      <c r="AL384" s="7" t="inlineStr">
        <is>
          <t>Market remains active but increasingly differentiated by developer, micro-location, livability, and pricing discipline.</t>
        </is>
      </c>
      <c r="AM384" s="9" t="n">
        <v>6</v>
      </c>
      <c r="AN384" s="9" t="n">
        <v>6.25</v>
      </c>
      <c r="AO384" s="10" t="n">
        <v>0.55</v>
      </c>
      <c r="AP384" s="13" t="n">
        <v>0</v>
      </c>
      <c r="AQ384" s="13" t="n">
        <v>0</v>
      </c>
      <c r="AR384" s="13" t="n">
        <v>0</v>
      </c>
      <c r="AS384" s="13" t="n">
        <v>0.01</v>
      </c>
      <c r="AT384" s="13" t="n">
        <v>0</v>
      </c>
      <c r="AU384" s="13" t="n">
        <v>0.0025</v>
      </c>
      <c r="AV384" s="13" t="n">
        <v>-0.005</v>
      </c>
      <c r="AW384" s="13">
        <f>IF(X384="","",(AM384/100*AO384)+AP384+AQ384+AR384)</f>
        <v/>
      </c>
      <c r="AX384" s="13">
        <f>IF(X384="","",AS384+AT384+AU384+AV384)</f>
        <v/>
      </c>
      <c r="AY384" s="12">
        <f>IF(AZ384="","",ROUND(AZ384*(1+Assumptions!$B$10),0))</f>
        <v/>
      </c>
      <c r="AZ384" s="12">
        <f>IF(X384="","",ROUND(X384*(1+AW384),0))</f>
        <v/>
      </c>
      <c r="BA384" s="12">
        <f>IF(AZ384="","",ROUND(AZ384*(1+Assumptions!$B$11),0))</f>
        <v/>
      </c>
      <c r="BB384" s="12">
        <f>IF(AZ384="","",ROUND(AZ384*(1+AX384+Assumptions!$B$10),0))</f>
        <v/>
      </c>
      <c r="BC384" s="12">
        <f>IF(AZ384="","",ROUND(AZ384*(1+AX384),0))</f>
        <v/>
      </c>
      <c r="BD384" s="12">
        <f>IF(AZ384="","",ROUND(AZ384*(1+AX384+Assumptions!$B$11),0))</f>
        <v/>
      </c>
      <c r="BE384" s="12">
        <f>IF(AZ384="","",ROUND(AZ384*(1+AX384)*(1+AX384),0))</f>
        <v/>
      </c>
      <c r="BF384" s="7" t="inlineStr">
        <is>
          <t>Rules-based enrichment using launch-price anchor, cap-app realization, and 2026 segment conditions.</t>
        </is>
      </c>
      <c r="BG384" t="inlineStr">
        <is>
          <t>2026-03-17</t>
        </is>
      </c>
      <c r="BH384" s="7" t="inlineStr">
        <is>
          <t>DLD / Digital Dubai / CBUAE / Savills / Knight Frank-Moody’s / Reuters</t>
        </is>
      </c>
    </row>
    <row r="385">
      <c r="A385" t="n">
        <v>384</v>
      </c>
      <c r="B385" s="7" t="inlineStr">
        <is>
          <t>Samana Barari Views</t>
        </is>
      </c>
      <c r="C385" t="inlineStr">
        <is>
          <t>Samana Developers</t>
        </is>
      </c>
      <c r="D385" t="inlineStr">
        <is>
          <t>Al Barari</t>
        </is>
      </c>
      <c r="E385" t="inlineStr">
        <is>
          <t>Apartments</t>
        </is>
      </c>
      <c r="F385" s="7" t="inlineStr">
        <is>
          <t>Nature / Private Pool</t>
        </is>
      </c>
      <c r="G385" t="inlineStr">
        <is>
          <t>1.8M</t>
        </is>
      </c>
      <c r="H385" t="inlineStr">
        <is>
          <t>1600</t>
        </is>
      </c>
      <c r="I385" t="inlineStr">
        <is>
          <t>18</t>
        </is>
      </c>
      <c r="J385" t="inlineStr">
        <is>
          <t>1% Monthly</t>
        </is>
      </c>
      <c r="K385" t="inlineStr">
        <is>
          <t>2023</t>
        </is>
      </c>
      <c r="L385" t="inlineStr">
        <is>
          <t>6.5-7.0</t>
        </is>
      </c>
      <c r="M385" t="inlineStr">
        <is>
          <t>8-10</t>
        </is>
      </c>
      <c r="N385" t="inlineStr">
        <is>
          <t>14.5-17.0</t>
        </is>
      </c>
      <c r="O385" s="7" t="inlineStr">
        <is>
          <t>Dunecrest American</t>
        </is>
      </c>
      <c r="P385" s="7" t="inlineStr">
        <is>
          <t>Saudi German Hospital</t>
        </is>
      </c>
      <c r="Q385" s="7" t="inlineStr">
        <is>
          <t>Silicon Central</t>
        </is>
      </c>
      <c r="R385" s="7" t="inlineStr">
        <is>
          <t>E311 / E66</t>
        </is>
      </c>
      <c r="S385" t="inlineStr">
        <is>
          <t>20</t>
        </is>
      </c>
      <c r="T385" t="inlineStr">
        <is>
          <t>30</t>
        </is>
      </c>
      <c r="U385" t="inlineStr">
        <is>
          <t>20</t>
        </is>
      </c>
      <c r="V385" t="inlineStr">
        <is>
          <t>35</t>
        </is>
      </c>
      <c r="W385" t="n">
        <v>2</v>
      </c>
      <c r="X385" s="12" t="n">
        <v>1800000</v>
      </c>
      <c r="Y385" s="12" t="n">
        <v>1800000</v>
      </c>
      <c r="Z385" s="9" t="n">
        <v>6.5</v>
      </c>
      <c r="AA385" s="9" t="n">
        <v>7</v>
      </c>
      <c r="AB385" s="9" t="n">
        <v>8</v>
      </c>
      <c r="AC385" s="9" t="n">
        <v>10</v>
      </c>
      <c r="AD385" s="9" t="n">
        <v>14.5</v>
      </c>
      <c r="AE385" s="9" t="n">
        <v>17</v>
      </c>
      <c r="AF385" t="n">
        <v>2023</v>
      </c>
      <c r="AH385" t="inlineStr">
        <is>
          <t>Apartment</t>
        </is>
      </c>
      <c r="AI385" t="inlineStr">
        <is>
          <t>MainstreamSelective</t>
        </is>
      </c>
      <c r="AJ385" t="inlineStr">
        <is>
          <t>MidTier</t>
        </is>
      </c>
      <c r="AK385" t="inlineStr">
        <is>
          <t>Balanced / selective</t>
        </is>
      </c>
      <c r="AL385" s="7" t="inlineStr">
        <is>
          <t>Market remains active but increasingly differentiated by developer, micro-location, livability, and pricing discipline.</t>
        </is>
      </c>
      <c r="AM385" s="9" t="n">
        <v>9</v>
      </c>
      <c r="AN385" s="9" t="n">
        <v>6.75</v>
      </c>
      <c r="AO385" s="10" t="n">
        <v>0.55</v>
      </c>
      <c r="AP385" s="13" t="n">
        <v>0</v>
      </c>
      <c r="AQ385" s="13" t="n">
        <v>0</v>
      </c>
      <c r="AR385" s="13" t="n">
        <v>0</v>
      </c>
      <c r="AS385" s="13" t="n">
        <v>0.01</v>
      </c>
      <c r="AT385" s="13" t="n">
        <v>-0.005</v>
      </c>
      <c r="AU385" s="13" t="n">
        <v>0.0025</v>
      </c>
      <c r="AV385" s="13" t="n">
        <v>-0.005</v>
      </c>
      <c r="AW385" s="13">
        <f>IF(X385="","",(AM385/100*AO385)+AP385+AQ385+AR385)</f>
        <v/>
      </c>
      <c r="AX385" s="13">
        <f>IF(X385="","",AS385+AT385+AU385+AV385)</f>
        <v/>
      </c>
      <c r="AY385" s="12">
        <f>IF(AZ385="","",ROUND(AZ385*(1+Assumptions!$B$10),0))</f>
        <v/>
      </c>
      <c r="AZ385" s="12">
        <f>IF(X385="","",ROUND(X385*(1+AW385),0))</f>
        <v/>
      </c>
      <c r="BA385" s="12">
        <f>IF(AZ385="","",ROUND(AZ385*(1+Assumptions!$B$11),0))</f>
        <v/>
      </c>
      <c r="BB385" s="12">
        <f>IF(AZ385="","",ROUND(AZ385*(1+AX385+Assumptions!$B$10),0))</f>
        <v/>
      </c>
      <c r="BC385" s="12">
        <f>IF(AZ385="","",ROUND(AZ385*(1+AX385),0))</f>
        <v/>
      </c>
      <c r="BD385" s="12">
        <f>IF(AZ385="","",ROUND(AZ385*(1+AX385+Assumptions!$B$11),0))</f>
        <v/>
      </c>
      <c r="BE385" s="12">
        <f>IF(AZ385="","",ROUND(AZ385*(1+AX385)*(1+AX385),0))</f>
        <v/>
      </c>
      <c r="BF385" s="7" t="inlineStr">
        <is>
          <t>Rules-based enrichment using launch-price anchor, cap-app realization, and 2026 segment conditions.</t>
        </is>
      </c>
      <c r="BG385" t="inlineStr">
        <is>
          <t>2026-03-17</t>
        </is>
      </c>
      <c r="BH385" s="7" t="inlineStr">
        <is>
          <t>DLD / Digital Dubai / CBUAE / Savills / Knight Frank-Moody’s / Reuters</t>
        </is>
      </c>
    </row>
    <row r="386">
      <c r="A386" t="n">
        <v>385</v>
      </c>
      <c r="B386" s="7" t="inlineStr">
        <is>
          <t>Samana Barari Lagoons</t>
        </is>
      </c>
      <c r="C386" t="inlineStr">
        <is>
          <t>Samana Developers</t>
        </is>
      </c>
      <c r="D386" t="inlineStr">
        <is>
          <t>Al Barari</t>
        </is>
      </c>
      <c r="E386" t="inlineStr">
        <is>
          <t>Apartments</t>
        </is>
      </c>
      <c r="F386" s="7" t="inlineStr">
        <is>
          <t>Nature / Private Pool</t>
        </is>
      </c>
      <c r="G386" t="inlineStr">
        <is>
          <t>1.9M</t>
        </is>
      </c>
      <c r="H386" t="inlineStr">
        <is>
          <t>1650</t>
        </is>
      </c>
      <c r="I386" t="inlineStr">
        <is>
          <t>18</t>
        </is>
      </c>
      <c r="J386" t="inlineStr">
        <is>
          <t>1% Monthly</t>
        </is>
      </c>
      <c r="K386" t="inlineStr">
        <is>
          <t>2024</t>
        </is>
      </c>
      <c r="L386" t="inlineStr">
        <is>
          <t>6.5-7.0</t>
        </is>
      </c>
      <c r="M386" t="inlineStr">
        <is>
          <t>8-10</t>
        </is>
      </c>
      <c r="N386" t="inlineStr">
        <is>
          <t>14.5-17.0</t>
        </is>
      </c>
      <c r="O386" s="7" t="inlineStr">
        <is>
          <t>Dunecrest American</t>
        </is>
      </c>
      <c r="P386" s="7" t="inlineStr">
        <is>
          <t>Saudi German Hospital</t>
        </is>
      </c>
      <c r="Q386" s="7" t="inlineStr">
        <is>
          <t>Silicon Central</t>
        </is>
      </c>
      <c r="R386" s="7" t="inlineStr">
        <is>
          <t>E311 / E66</t>
        </is>
      </c>
      <c r="S386" t="inlineStr">
        <is>
          <t>20</t>
        </is>
      </c>
      <c r="T386" t="inlineStr">
        <is>
          <t>30</t>
        </is>
      </c>
      <c r="U386" t="inlineStr">
        <is>
          <t>20</t>
        </is>
      </c>
      <c r="V386" t="inlineStr">
        <is>
          <t>35</t>
        </is>
      </c>
      <c r="W386" t="n">
        <v>2</v>
      </c>
      <c r="X386" s="12" t="n">
        <v>1900000</v>
      </c>
      <c r="Y386" s="12" t="n">
        <v>1900000</v>
      </c>
      <c r="Z386" s="9" t="n">
        <v>6.5</v>
      </c>
      <c r="AA386" s="9" t="n">
        <v>7</v>
      </c>
      <c r="AB386" s="9" t="n">
        <v>8</v>
      </c>
      <c r="AC386" s="9" t="n">
        <v>10</v>
      </c>
      <c r="AD386" s="9" t="n">
        <v>14.5</v>
      </c>
      <c r="AE386" s="9" t="n">
        <v>17</v>
      </c>
      <c r="AF386" t="n">
        <v>2024</v>
      </c>
      <c r="AH386" t="inlineStr">
        <is>
          <t>Apartment</t>
        </is>
      </c>
      <c r="AI386" t="inlineStr">
        <is>
          <t>MainstreamSelective</t>
        </is>
      </c>
      <c r="AJ386" t="inlineStr">
        <is>
          <t>MidTier</t>
        </is>
      </c>
      <c r="AK386" t="inlineStr">
        <is>
          <t>Balanced / selective</t>
        </is>
      </c>
      <c r="AL386" s="7" t="inlineStr">
        <is>
          <t>Market remains active but increasingly differentiated by developer, micro-location, livability, and pricing discipline.</t>
        </is>
      </c>
      <c r="AM386" s="9" t="n">
        <v>9</v>
      </c>
      <c r="AN386" s="9" t="n">
        <v>6.75</v>
      </c>
      <c r="AO386" s="10" t="n">
        <v>0.55</v>
      </c>
      <c r="AP386" s="13" t="n">
        <v>0</v>
      </c>
      <c r="AQ386" s="13" t="n">
        <v>0</v>
      </c>
      <c r="AR386" s="13" t="n">
        <v>0</v>
      </c>
      <c r="AS386" s="13" t="n">
        <v>0.01</v>
      </c>
      <c r="AT386" s="13" t="n">
        <v>-0.005</v>
      </c>
      <c r="AU386" s="13" t="n">
        <v>0.0025</v>
      </c>
      <c r="AV386" s="13" t="n">
        <v>-0.005</v>
      </c>
      <c r="AW386" s="13">
        <f>IF(X386="","",(AM386/100*AO386)+AP386+AQ386+AR386)</f>
        <v/>
      </c>
      <c r="AX386" s="13">
        <f>IF(X386="","",AS386+AT386+AU386+AV386)</f>
        <v/>
      </c>
      <c r="AY386" s="12">
        <f>IF(AZ386="","",ROUND(AZ386*(1+Assumptions!$B$10),0))</f>
        <v/>
      </c>
      <c r="AZ386" s="12">
        <f>IF(X386="","",ROUND(X386*(1+AW386),0))</f>
        <v/>
      </c>
      <c r="BA386" s="12">
        <f>IF(AZ386="","",ROUND(AZ386*(1+Assumptions!$B$11),0))</f>
        <v/>
      </c>
      <c r="BB386" s="12">
        <f>IF(AZ386="","",ROUND(AZ386*(1+AX386+Assumptions!$B$10),0))</f>
        <v/>
      </c>
      <c r="BC386" s="12">
        <f>IF(AZ386="","",ROUND(AZ386*(1+AX386),0))</f>
        <v/>
      </c>
      <c r="BD386" s="12">
        <f>IF(AZ386="","",ROUND(AZ386*(1+AX386+Assumptions!$B$11),0))</f>
        <v/>
      </c>
      <c r="BE386" s="12">
        <f>IF(AZ386="","",ROUND(AZ386*(1+AX386)*(1+AX386),0))</f>
        <v/>
      </c>
      <c r="BF386" s="7" t="inlineStr">
        <is>
          <t>Rules-based enrichment using launch-price anchor, cap-app realization, and 2026 segment conditions.</t>
        </is>
      </c>
      <c r="BG386" t="inlineStr">
        <is>
          <t>2026-03-17</t>
        </is>
      </c>
      <c r="BH386" s="7" t="inlineStr">
        <is>
          <t>DLD / Digital Dubai / CBUAE / Savills / Knight Frank-Moody’s / Reuters</t>
        </is>
      </c>
    </row>
    <row r="387">
      <c r="A387" t="n">
        <v>386</v>
      </c>
      <c r="B387" s="7" t="inlineStr">
        <is>
          <t>Samana Ivy Gardens 1</t>
        </is>
      </c>
      <c r="C387" t="inlineStr">
        <is>
          <t>Samana Developers</t>
        </is>
      </c>
      <c r="D387" t="inlineStr">
        <is>
          <t>Dubailand</t>
        </is>
      </c>
      <c r="E387" t="inlineStr">
        <is>
          <t>Apartments</t>
        </is>
      </c>
      <c r="F387" s="7" t="inlineStr">
        <is>
          <t>Garden / Pool</t>
        </is>
      </c>
      <c r="G387" t="inlineStr">
        <is>
          <t>900k</t>
        </is>
      </c>
      <c r="H387" t="inlineStr">
        <is>
          <t>1300</t>
        </is>
      </c>
      <c r="I387" t="inlineStr">
        <is>
          <t>15</t>
        </is>
      </c>
      <c r="J387" t="inlineStr">
        <is>
          <t>1% Monthly</t>
        </is>
      </c>
      <c r="K387" t="inlineStr">
        <is>
          <t>2023</t>
        </is>
      </c>
      <c r="L387" t="inlineStr">
        <is>
          <t>7.0-7.5</t>
        </is>
      </c>
      <c r="M387" t="inlineStr">
        <is>
          <t>6-8</t>
        </is>
      </c>
      <c r="N387" t="inlineStr">
        <is>
          <t>13.0-15.5</t>
        </is>
      </c>
      <c r="O387" s="7" t="inlineStr">
        <is>
          <t>GEMS Winchester</t>
        </is>
      </c>
      <c r="P387" s="7" t="inlineStr">
        <is>
          <t>Fakeeh University Hosp</t>
        </is>
      </c>
      <c r="Q387" s="7" t="inlineStr">
        <is>
          <t>Dubai Outlet Mall</t>
        </is>
      </c>
      <c r="R387" s="7" t="inlineStr">
        <is>
          <t>E611 / Al Ain Rd</t>
        </is>
      </c>
      <c r="S387" t="inlineStr">
        <is>
          <t>20</t>
        </is>
      </c>
      <c r="T387" t="inlineStr">
        <is>
          <t>25</t>
        </is>
      </c>
      <c r="U387" t="inlineStr">
        <is>
          <t>25</t>
        </is>
      </c>
      <c r="V387" t="inlineStr">
        <is>
          <t>30</t>
        </is>
      </c>
      <c r="W387" t="n">
        <v>2</v>
      </c>
      <c r="X387" s="12" t="n">
        <v>900000</v>
      </c>
      <c r="Y387" s="12" t="n">
        <v>900000</v>
      </c>
      <c r="Z387" s="9" t="n">
        <v>7</v>
      </c>
      <c r="AA387" s="9" t="n">
        <v>7.5</v>
      </c>
      <c r="AB387" s="9" t="n">
        <v>6</v>
      </c>
      <c r="AC387" s="9" t="n">
        <v>8</v>
      </c>
      <c r="AD387" s="9" t="n">
        <v>13</v>
      </c>
      <c r="AE387" s="9" t="n">
        <v>15.5</v>
      </c>
      <c r="AF387" t="n">
        <v>2023</v>
      </c>
      <c r="AH387" t="inlineStr">
        <is>
          <t>Apartment</t>
        </is>
      </c>
      <c r="AI387" t="inlineStr">
        <is>
          <t>SupplySensitiveApartment</t>
        </is>
      </c>
      <c r="AJ387" t="inlineStr">
        <is>
          <t>MidTier</t>
        </is>
      </c>
      <c r="AK387" t="inlineStr">
        <is>
          <t>Supply-sensitive / selective</t>
        </is>
      </c>
      <c r="AL387" s="7" t="inlineStr">
        <is>
          <t>Higher delivery risk in more price-sensitive apartment clusters; building selection and exit liquidity matter.</t>
        </is>
      </c>
      <c r="AM387" s="9" t="n">
        <v>7</v>
      </c>
      <c r="AN387" s="9" t="n">
        <v>7.25</v>
      </c>
      <c r="AO387" s="10" t="n">
        <v>0.55</v>
      </c>
      <c r="AP387" s="13" t="n">
        <v>0</v>
      </c>
      <c r="AQ387" s="13" t="n">
        <v>0</v>
      </c>
      <c r="AR387" s="13" t="n">
        <v>-0.01</v>
      </c>
      <c r="AS387" s="13" t="n">
        <v>-0.01</v>
      </c>
      <c r="AT387" s="13" t="n">
        <v>-0.005</v>
      </c>
      <c r="AU387" s="13" t="n">
        <v>0.0025</v>
      </c>
      <c r="AV387" s="13" t="n">
        <v>-0.005</v>
      </c>
      <c r="AW387" s="13">
        <f>IF(X387="","",(AM387/100*AO387)+AP387+AQ387+AR387)</f>
        <v/>
      </c>
      <c r="AX387" s="13">
        <f>IF(X387="","",AS387+AT387+AU387+AV387)</f>
        <v/>
      </c>
      <c r="AY387" s="12">
        <f>IF(AZ387="","",ROUND(AZ387*(1+Assumptions!$B$10),0))</f>
        <v/>
      </c>
      <c r="AZ387" s="12">
        <f>IF(X387="","",ROUND(X387*(1+AW387),0))</f>
        <v/>
      </c>
      <c r="BA387" s="12">
        <f>IF(AZ387="","",ROUND(AZ387*(1+Assumptions!$B$11),0))</f>
        <v/>
      </c>
      <c r="BB387" s="12">
        <f>IF(AZ387="","",ROUND(AZ387*(1+AX387+Assumptions!$B$10),0))</f>
        <v/>
      </c>
      <c r="BC387" s="12">
        <f>IF(AZ387="","",ROUND(AZ387*(1+AX387),0))</f>
        <v/>
      </c>
      <c r="BD387" s="12">
        <f>IF(AZ387="","",ROUND(AZ387*(1+AX387+Assumptions!$B$11),0))</f>
        <v/>
      </c>
      <c r="BE387" s="12">
        <f>IF(AZ387="","",ROUND(AZ387*(1+AX387)*(1+AX387),0))</f>
        <v/>
      </c>
      <c r="BF387" s="7" t="inlineStr">
        <is>
          <t>Rules-based enrichment using launch-price anchor, cap-app realization, and 2026 segment conditions.</t>
        </is>
      </c>
      <c r="BG387" t="inlineStr">
        <is>
          <t>2026-03-17</t>
        </is>
      </c>
      <c r="BH387" s="7" t="inlineStr">
        <is>
          <t>DLD / Digital Dubai / CBUAE / Savills / Knight Frank-Moody’s / Reuters</t>
        </is>
      </c>
    </row>
    <row r="388">
      <c r="A388" t="n">
        <v>387</v>
      </c>
      <c r="B388" s="7" t="inlineStr">
        <is>
          <t>Samana Ivy Gardens 2</t>
        </is>
      </c>
      <c r="C388" t="inlineStr">
        <is>
          <t>Samana Developers</t>
        </is>
      </c>
      <c r="D388" t="inlineStr">
        <is>
          <t>Dubailand</t>
        </is>
      </c>
      <c r="E388" t="inlineStr">
        <is>
          <t>Apartments</t>
        </is>
      </c>
      <c r="F388" s="7" t="inlineStr">
        <is>
          <t>Garden / Pool</t>
        </is>
      </c>
      <c r="G388" t="inlineStr">
        <is>
          <t>950k</t>
        </is>
      </c>
      <c r="H388" t="inlineStr">
        <is>
          <t>1350</t>
        </is>
      </c>
      <c r="I388" t="inlineStr">
        <is>
          <t>15</t>
        </is>
      </c>
      <c r="J388" t="inlineStr">
        <is>
          <t>1% Monthly</t>
        </is>
      </c>
      <c r="K388" t="inlineStr">
        <is>
          <t>2024</t>
        </is>
      </c>
      <c r="L388" t="inlineStr">
        <is>
          <t>7.0-7.5</t>
        </is>
      </c>
      <c r="M388" t="inlineStr">
        <is>
          <t>6-8</t>
        </is>
      </c>
      <c r="N388" t="inlineStr">
        <is>
          <t>13.0-15.5</t>
        </is>
      </c>
      <c r="O388" s="7" t="inlineStr">
        <is>
          <t>GEMS Winchester</t>
        </is>
      </c>
      <c r="P388" s="7" t="inlineStr">
        <is>
          <t>Fakeeh University Hosp</t>
        </is>
      </c>
      <c r="Q388" s="7" t="inlineStr">
        <is>
          <t>Dubai Outlet Mall</t>
        </is>
      </c>
      <c r="R388" s="7" t="inlineStr">
        <is>
          <t>E611 / Al Ain Rd</t>
        </is>
      </c>
      <c r="S388" t="inlineStr">
        <is>
          <t>20</t>
        </is>
      </c>
      <c r="T388" t="inlineStr">
        <is>
          <t>25</t>
        </is>
      </c>
      <c r="U388" t="inlineStr">
        <is>
          <t>25</t>
        </is>
      </c>
      <c r="V388" t="inlineStr">
        <is>
          <t>30</t>
        </is>
      </c>
      <c r="W388" t="n">
        <v>2</v>
      </c>
      <c r="X388" s="12" t="n">
        <v>950000</v>
      </c>
      <c r="Y388" s="12" t="n">
        <v>950000</v>
      </c>
      <c r="Z388" s="9" t="n">
        <v>7</v>
      </c>
      <c r="AA388" s="9" t="n">
        <v>7.5</v>
      </c>
      <c r="AB388" s="9" t="n">
        <v>6</v>
      </c>
      <c r="AC388" s="9" t="n">
        <v>8</v>
      </c>
      <c r="AD388" s="9" t="n">
        <v>13</v>
      </c>
      <c r="AE388" s="9" t="n">
        <v>15.5</v>
      </c>
      <c r="AF388" t="n">
        <v>2024</v>
      </c>
      <c r="AH388" t="inlineStr">
        <is>
          <t>Apartment</t>
        </is>
      </c>
      <c r="AI388" t="inlineStr">
        <is>
          <t>SupplySensitiveApartment</t>
        </is>
      </c>
      <c r="AJ388" t="inlineStr">
        <is>
          <t>MidTier</t>
        </is>
      </c>
      <c r="AK388" t="inlineStr">
        <is>
          <t>Supply-sensitive / selective</t>
        </is>
      </c>
      <c r="AL388" s="7" t="inlineStr">
        <is>
          <t>Higher delivery risk in more price-sensitive apartment clusters; building selection and exit liquidity matter.</t>
        </is>
      </c>
      <c r="AM388" s="9" t="n">
        <v>7</v>
      </c>
      <c r="AN388" s="9" t="n">
        <v>7.25</v>
      </c>
      <c r="AO388" s="10" t="n">
        <v>0.55</v>
      </c>
      <c r="AP388" s="13" t="n">
        <v>0</v>
      </c>
      <c r="AQ388" s="13" t="n">
        <v>0</v>
      </c>
      <c r="AR388" s="13" t="n">
        <v>-0.01</v>
      </c>
      <c r="AS388" s="13" t="n">
        <v>-0.01</v>
      </c>
      <c r="AT388" s="13" t="n">
        <v>-0.005</v>
      </c>
      <c r="AU388" s="13" t="n">
        <v>0.0025</v>
      </c>
      <c r="AV388" s="13" t="n">
        <v>-0.005</v>
      </c>
      <c r="AW388" s="13">
        <f>IF(X388="","",(AM388/100*AO388)+AP388+AQ388+AR388)</f>
        <v/>
      </c>
      <c r="AX388" s="13">
        <f>IF(X388="","",AS388+AT388+AU388+AV388)</f>
        <v/>
      </c>
      <c r="AY388" s="12">
        <f>IF(AZ388="","",ROUND(AZ388*(1+Assumptions!$B$10),0))</f>
        <v/>
      </c>
      <c r="AZ388" s="12">
        <f>IF(X388="","",ROUND(X388*(1+AW388),0))</f>
        <v/>
      </c>
      <c r="BA388" s="12">
        <f>IF(AZ388="","",ROUND(AZ388*(1+Assumptions!$B$11),0))</f>
        <v/>
      </c>
      <c r="BB388" s="12">
        <f>IF(AZ388="","",ROUND(AZ388*(1+AX388+Assumptions!$B$10),0))</f>
        <v/>
      </c>
      <c r="BC388" s="12">
        <f>IF(AZ388="","",ROUND(AZ388*(1+AX388),0))</f>
        <v/>
      </c>
      <c r="BD388" s="12">
        <f>IF(AZ388="","",ROUND(AZ388*(1+AX388+Assumptions!$B$11),0))</f>
        <v/>
      </c>
      <c r="BE388" s="12">
        <f>IF(AZ388="","",ROUND(AZ388*(1+AX388)*(1+AX388),0))</f>
        <v/>
      </c>
      <c r="BF388" s="7" t="inlineStr">
        <is>
          <t>Rules-based enrichment using launch-price anchor, cap-app realization, and 2026 segment conditions.</t>
        </is>
      </c>
      <c r="BG388" t="inlineStr">
        <is>
          <t>2026-03-17</t>
        </is>
      </c>
      <c r="BH388" s="7" t="inlineStr">
        <is>
          <t>DLD / Digital Dubai / CBUAE / Savills / Knight Frank-Moody’s / Reuters</t>
        </is>
      </c>
    </row>
    <row r="389">
      <c r="A389" t="n">
        <v>388</v>
      </c>
      <c r="B389" s="7" t="inlineStr">
        <is>
          <t>Samana Ocean Bay</t>
        </is>
      </c>
      <c r="C389" t="inlineStr">
        <is>
          <t>Samana Developers</t>
        </is>
      </c>
      <c r="D389" t="inlineStr">
        <is>
          <t>Dubai Islands</t>
        </is>
      </c>
      <c r="E389" t="inlineStr">
        <is>
          <t>Apartments</t>
        </is>
      </c>
      <c r="F389" s="7" t="inlineStr">
        <is>
          <t>Beach / Pool</t>
        </is>
      </c>
      <c r="G389" t="inlineStr">
        <is>
          <t>1.8M</t>
        </is>
      </c>
      <c r="H389" t="inlineStr">
        <is>
          <t>1800</t>
        </is>
      </c>
      <c r="I389" t="inlineStr">
        <is>
          <t>18</t>
        </is>
      </c>
      <c r="J389" t="inlineStr">
        <is>
          <t>1% Monthly</t>
        </is>
      </c>
      <c r="K389" t="inlineStr">
        <is>
          <t>2024</t>
        </is>
      </c>
      <c r="L389" t="inlineStr">
        <is>
          <t>6.0-6.5</t>
        </is>
      </c>
      <c r="M389" t="inlineStr">
        <is>
          <t>10-12</t>
        </is>
      </c>
      <c r="N389" t="inlineStr">
        <is>
          <t>16.0-18.5</t>
        </is>
      </c>
      <c r="O389" s="7" t="inlineStr">
        <is>
          <t>The Elite English</t>
        </is>
      </c>
      <c r="P389" s="7" t="inlineStr">
        <is>
          <t>Dubai Hospital</t>
        </is>
      </c>
      <c r="Q389" s="7" t="inlineStr">
        <is>
          <t>City Centre Deira</t>
        </is>
      </c>
      <c r="R389" s="7" t="inlineStr">
        <is>
          <t>Infinity Bridge</t>
        </is>
      </c>
      <c r="S389" t="inlineStr">
        <is>
          <t>20</t>
        </is>
      </c>
      <c r="T389" t="inlineStr">
        <is>
          <t>35</t>
        </is>
      </c>
      <c r="U389" t="inlineStr">
        <is>
          <t>15</t>
        </is>
      </c>
      <c r="V389" t="inlineStr">
        <is>
          <t>45</t>
        </is>
      </c>
      <c r="W389" t="n">
        <v>2</v>
      </c>
      <c r="X389" s="12" t="n">
        <v>1800000</v>
      </c>
      <c r="Y389" s="12" t="n">
        <v>1800000</v>
      </c>
      <c r="Z389" s="9" t="n">
        <v>6</v>
      </c>
      <c r="AA389" s="9" t="n">
        <v>6.5</v>
      </c>
      <c r="AB389" s="9" t="n">
        <v>10</v>
      </c>
      <c r="AC389" s="9" t="n">
        <v>12</v>
      </c>
      <c r="AD389" s="9" t="n">
        <v>16</v>
      </c>
      <c r="AE389" s="9" t="n">
        <v>18.5</v>
      </c>
      <c r="AF389" t="n">
        <v>2024</v>
      </c>
      <c r="AH389" t="inlineStr">
        <is>
          <t>Apartment</t>
        </is>
      </c>
      <c r="AI389" t="inlineStr">
        <is>
          <t>MainstreamSelective</t>
        </is>
      </c>
      <c r="AJ389" t="inlineStr">
        <is>
          <t>MidTier</t>
        </is>
      </c>
      <c r="AK389" t="inlineStr">
        <is>
          <t>Balanced / selective</t>
        </is>
      </c>
      <c r="AL389" s="7" t="inlineStr">
        <is>
          <t>Market remains active but increasingly differentiated by developer, micro-location, livability, and pricing discipline.</t>
        </is>
      </c>
      <c r="AM389" s="9" t="n">
        <v>11</v>
      </c>
      <c r="AN389" s="9" t="n">
        <v>6.25</v>
      </c>
      <c r="AO389" s="10" t="n">
        <v>0.55</v>
      </c>
      <c r="AP389" s="13" t="n">
        <v>0</v>
      </c>
      <c r="AQ389" s="13" t="n">
        <v>0</v>
      </c>
      <c r="AR389" s="13" t="n">
        <v>0</v>
      </c>
      <c r="AS389" s="13" t="n">
        <v>0.01</v>
      </c>
      <c r="AT389" s="13" t="n">
        <v>-0.005</v>
      </c>
      <c r="AU389" s="13" t="n">
        <v>0.0025</v>
      </c>
      <c r="AV389" s="13" t="n">
        <v>-0.005</v>
      </c>
      <c r="AW389" s="13">
        <f>IF(X389="","",(AM389/100*AO389)+AP389+AQ389+AR389)</f>
        <v/>
      </c>
      <c r="AX389" s="13">
        <f>IF(X389="","",AS389+AT389+AU389+AV389)</f>
        <v/>
      </c>
      <c r="AY389" s="12">
        <f>IF(AZ389="","",ROUND(AZ389*(1+Assumptions!$B$10),0))</f>
        <v/>
      </c>
      <c r="AZ389" s="12">
        <f>IF(X389="","",ROUND(X389*(1+AW389),0))</f>
        <v/>
      </c>
      <c r="BA389" s="12">
        <f>IF(AZ389="","",ROUND(AZ389*(1+Assumptions!$B$11),0))</f>
        <v/>
      </c>
      <c r="BB389" s="12">
        <f>IF(AZ389="","",ROUND(AZ389*(1+AX389+Assumptions!$B$10),0))</f>
        <v/>
      </c>
      <c r="BC389" s="12">
        <f>IF(AZ389="","",ROUND(AZ389*(1+AX389),0))</f>
        <v/>
      </c>
      <c r="BD389" s="12">
        <f>IF(AZ389="","",ROUND(AZ389*(1+AX389+Assumptions!$B$11),0))</f>
        <v/>
      </c>
      <c r="BE389" s="12">
        <f>IF(AZ389="","",ROUND(AZ389*(1+AX389)*(1+AX389),0))</f>
        <v/>
      </c>
      <c r="BF389" s="7" t="inlineStr">
        <is>
          <t>Rules-based enrichment using launch-price anchor, cap-app realization, and 2026 segment conditions.</t>
        </is>
      </c>
      <c r="BG389" t="inlineStr">
        <is>
          <t>2026-03-17</t>
        </is>
      </c>
      <c r="BH389" s="7" t="inlineStr">
        <is>
          <t>DLD / Digital Dubai / CBUAE / Savills / Knight Frank-Moody’s / Reuters</t>
        </is>
      </c>
    </row>
    <row r="390">
      <c r="A390" t="n">
        <v>389</v>
      </c>
      <c r="B390" s="7" t="inlineStr">
        <is>
          <t>Samana California 1</t>
        </is>
      </c>
      <c r="C390" t="inlineStr">
        <is>
          <t>Samana Developers</t>
        </is>
      </c>
      <c r="D390" t="inlineStr">
        <is>
          <t>Al Furjan</t>
        </is>
      </c>
      <c r="E390" t="inlineStr">
        <is>
          <t>Apartments</t>
        </is>
      </c>
      <c r="F390" s="7" t="inlineStr">
        <is>
          <t>California Style</t>
        </is>
      </c>
      <c r="G390" t="inlineStr">
        <is>
          <t>1.0M</t>
        </is>
      </c>
      <c r="H390" t="inlineStr">
        <is>
          <t>1300</t>
        </is>
      </c>
      <c r="I390" t="inlineStr">
        <is>
          <t>15</t>
        </is>
      </c>
      <c r="J390" t="inlineStr">
        <is>
          <t>1% Monthly</t>
        </is>
      </c>
      <c r="K390" t="inlineStr">
        <is>
          <t>2023</t>
        </is>
      </c>
      <c r="L390" t="inlineStr">
        <is>
          <t>7.0-7.5</t>
        </is>
      </c>
      <c r="M390" t="inlineStr">
        <is>
          <t>6-8</t>
        </is>
      </c>
      <c r="N390" t="inlineStr">
        <is>
          <t>13.0-15.5</t>
        </is>
      </c>
      <c r="O390" s="7" t="inlineStr">
        <is>
          <t>The Arbor School</t>
        </is>
      </c>
      <c r="P390" s="7" t="inlineStr">
        <is>
          <t>NMC Royal DIP</t>
        </is>
      </c>
      <c r="Q390" s="7" t="inlineStr">
        <is>
          <t>Ibn Battuta Mall</t>
        </is>
      </c>
      <c r="R390" s="7" t="inlineStr">
        <is>
          <t>Yalayis / E311</t>
        </is>
      </c>
      <c r="S390" t="inlineStr">
        <is>
          <t>25</t>
        </is>
      </c>
      <c r="T390" t="inlineStr">
        <is>
          <t>15</t>
        </is>
      </c>
      <c r="U390" t="inlineStr">
        <is>
          <t>30</t>
        </is>
      </c>
      <c r="V390" t="inlineStr">
        <is>
          <t>20</t>
        </is>
      </c>
      <c r="W390" t="n">
        <v>2</v>
      </c>
      <c r="X390" s="12" t="n">
        <v>1000000</v>
      </c>
      <c r="Y390" s="12" t="n">
        <v>1000000</v>
      </c>
      <c r="Z390" s="9" t="n">
        <v>7</v>
      </c>
      <c r="AA390" s="9" t="n">
        <v>7.5</v>
      </c>
      <c r="AB390" s="9" t="n">
        <v>6</v>
      </c>
      <c r="AC390" s="9" t="n">
        <v>8</v>
      </c>
      <c r="AD390" s="9" t="n">
        <v>13</v>
      </c>
      <c r="AE390" s="9" t="n">
        <v>15.5</v>
      </c>
      <c r="AF390" t="n">
        <v>2023</v>
      </c>
      <c r="AH390" t="inlineStr">
        <is>
          <t>Apartment</t>
        </is>
      </c>
      <c r="AI390" t="inlineStr">
        <is>
          <t>SupplySensitiveApartment</t>
        </is>
      </c>
      <c r="AJ390" t="inlineStr">
        <is>
          <t>MidTier</t>
        </is>
      </c>
      <c r="AK390" t="inlineStr">
        <is>
          <t>Supply-sensitive / selective</t>
        </is>
      </c>
      <c r="AL390" s="7" t="inlineStr">
        <is>
          <t>Higher delivery risk in more price-sensitive apartment clusters; building selection and exit liquidity matter.</t>
        </is>
      </c>
      <c r="AM390" s="9" t="n">
        <v>7</v>
      </c>
      <c r="AN390" s="9" t="n">
        <v>7.25</v>
      </c>
      <c r="AO390" s="10" t="n">
        <v>0.55</v>
      </c>
      <c r="AP390" s="13" t="n">
        <v>0</v>
      </c>
      <c r="AQ390" s="13" t="n">
        <v>0</v>
      </c>
      <c r="AR390" s="13" t="n">
        <v>-0.01</v>
      </c>
      <c r="AS390" s="13" t="n">
        <v>-0.01</v>
      </c>
      <c r="AT390" s="13" t="n">
        <v>-0.005</v>
      </c>
      <c r="AU390" s="13" t="n">
        <v>0.0025</v>
      </c>
      <c r="AV390" s="13" t="n">
        <v>-0.005</v>
      </c>
      <c r="AW390" s="13">
        <f>IF(X390="","",(AM390/100*AO390)+AP390+AQ390+AR390)</f>
        <v/>
      </c>
      <c r="AX390" s="13">
        <f>IF(X390="","",AS390+AT390+AU390+AV390)</f>
        <v/>
      </c>
      <c r="AY390" s="12">
        <f>IF(AZ390="","",ROUND(AZ390*(1+Assumptions!$B$10),0))</f>
        <v/>
      </c>
      <c r="AZ390" s="12">
        <f>IF(X390="","",ROUND(X390*(1+AW390),0))</f>
        <v/>
      </c>
      <c r="BA390" s="12">
        <f>IF(AZ390="","",ROUND(AZ390*(1+Assumptions!$B$11),0))</f>
        <v/>
      </c>
      <c r="BB390" s="12">
        <f>IF(AZ390="","",ROUND(AZ390*(1+AX390+Assumptions!$B$10),0))</f>
        <v/>
      </c>
      <c r="BC390" s="12">
        <f>IF(AZ390="","",ROUND(AZ390*(1+AX390),0))</f>
        <v/>
      </c>
      <c r="BD390" s="12">
        <f>IF(AZ390="","",ROUND(AZ390*(1+AX390+Assumptions!$B$11),0))</f>
        <v/>
      </c>
      <c r="BE390" s="12">
        <f>IF(AZ390="","",ROUND(AZ390*(1+AX390)*(1+AX390),0))</f>
        <v/>
      </c>
      <c r="BF390" s="7" t="inlineStr">
        <is>
          <t>Rules-based enrichment using launch-price anchor, cap-app realization, and 2026 segment conditions.</t>
        </is>
      </c>
      <c r="BG390" t="inlineStr">
        <is>
          <t>2026-03-17</t>
        </is>
      </c>
      <c r="BH390" s="7" t="inlineStr">
        <is>
          <t>DLD / Digital Dubai / CBUAE / Savills / Knight Frank-Moody’s / Reuters</t>
        </is>
      </c>
    </row>
    <row r="391">
      <c r="A391" t="n">
        <v>390</v>
      </c>
      <c r="B391" s="7" t="inlineStr">
        <is>
          <t>Samana California 2</t>
        </is>
      </c>
      <c r="C391" t="inlineStr">
        <is>
          <t>Samana Developers</t>
        </is>
      </c>
      <c r="D391" t="inlineStr">
        <is>
          <t>Al Furjan</t>
        </is>
      </c>
      <c r="E391" t="inlineStr">
        <is>
          <t>Apartments</t>
        </is>
      </c>
      <c r="F391" s="7" t="inlineStr">
        <is>
          <t>California Style</t>
        </is>
      </c>
      <c r="G391" t="inlineStr">
        <is>
          <t>1.1M</t>
        </is>
      </c>
      <c r="H391" t="inlineStr">
        <is>
          <t>1300</t>
        </is>
      </c>
      <c r="I391" t="inlineStr">
        <is>
          <t>15</t>
        </is>
      </c>
      <c r="J391" t="inlineStr">
        <is>
          <t>1% Monthly</t>
        </is>
      </c>
      <c r="K391" t="inlineStr">
        <is>
          <t>2023</t>
        </is>
      </c>
      <c r="L391" t="inlineStr">
        <is>
          <t>7.0-7.5</t>
        </is>
      </c>
      <c r="M391" t="inlineStr">
        <is>
          <t>6-8</t>
        </is>
      </c>
      <c r="N391" t="inlineStr">
        <is>
          <t>13.0-15.5</t>
        </is>
      </c>
      <c r="O391" s="7" t="inlineStr">
        <is>
          <t>The Arbor School</t>
        </is>
      </c>
      <c r="P391" s="7" t="inlineStr">
        <is>
          <t>NMC Royal DIP</t>
        </is>
      </c>
      <c r="Q391" s="7" t="inlineStr">
        <is>
          <t>Ibn Battuta Mall</t>
        </is>
      </c>
      <c r="R391" s="7" t="inlineStr">
        <is>
          <t>Yalayis / E311</t>
        </is>
      </c>
      <c r="S391" t="inlineStr">
        <is>
          <t>25</t>
        </is>
      </c>
      <c r="T391" t="inlineStr">
        <is>
          <t>15</t>
        </is>
      </c>
      <c r="U391" t="inlineStr">
        <is>
          <t>30</t>
        </is>
      </c>
      <c r="V391" t="inlineStr">
        <is>
          <t>20</t>
        </is>
      </c>
      <c r="W391" t="n">
        <v>2</v>
      </c>
      <c r="X391" s="12" t="n">
        <v>1100000</v>
      </c>
      <c r="Y391" s="12" t="n">
        <v>1100000</v>
      </c>
      <c r="Z391" s="9" t="n">
        <v>7</v>
      </c>
      <c r="AA391" s="9" t="n">
        <v>7.5</v>
      </c>
      <c r="AB391" s="9" t="n">
        <v>6</v>
      </c>
      <c r="AC391" s="9" t="n">
        <v>8</v>
      </c>
      <c r="AD391" s="9" t="n">
        <v>13</v>
      </c>
      <c r="AE391" s="9" t="n">
        <v>15.5</v>
      </c>
      <c r="AF391" t="n">
        <v>2023</v>
      </c>
      <c r="AH391" t="inlineStr">
        <is>
          <t>Apartment</t>
        </is>
      </c>
      <c r="AI391" t="inlineStr">
        <is>
          <t>SupplySensitiveApartment</t>
        </is>
      </c>
      <c r="AJ391" t="inlineStr">
        <is>
          <t>MidTier</t>
        </is>
      </c>
      <c r="AK391" t="inlineStr">
        <is>
          <t>Supply-sensitive / selective</t>
        </is>
      </c>
      <c r="AL391" s="7" t="inlineStr">
        <is>
          <t>Higher delivery risk in more price-sensitive apartment clusters; building selection and exit liquidity matter.</t>
        </is>
      </c>
      <c r="AM391" s="9" t="n">
        <v>7</v>
      </c>
      <c r="AN391" s="9" t="n">
        <v>7.25</v>
      </c>
      <c r="AO391" s="10" t="n">
        <v>0.55</v>
      </c>
      <c r="AP391" s="13" t="n">
        <v>0</v>
      </c>
      <c r="AQ391" s="13" t="n">
        <v>0</v>
      </c>
      <c r="AR391" s="13" t="n">
        <v>-0.01</v>
      </c>
      <c r="AS391" s="13" t="n">
        <v>-0.01</v>
      </c>
      <c r="AT391" s="13" t="n">
        <v>-0.005</v>
      </c>
      <c r="AU391" s="13" t="n">
        <v>0.0025</v>
      </c>
      <c r="AV391" s="13" t="n">
        <v>-0.005</v>
      </c>
      <c r="AW391" s="13">
        <f>IF(X391="","",(AM391/100*AO391)+AP391+AQ391+AR391)</f>
        <v/>
      </c>
      <c r="AX391" s="13">
        <f>IF(X391="","",AS391+AT391+AU391+AV391)</f>
        <v/>
      </c>
      <c r="AY391" s="12">
        <f>IF(AZ391="","",ROUND(AZ391*(1+Assumptions!$B$10),0))</f>
        <v/>
      </c>
      <c r="AZ391" s="12">
        <f>IF(X391="","",ROUND(X391*(1+AW391),0))</f>
        <v/>
      </c>
      <c r="BA391" s="12">
        <f>IF(AZ391="","",ROUND(AZ391*(1+Assumptions!$B$11),0))</f>
        <v/>
      </c>
      <c r="BB391" s="12">
        <f>IF(AZ391="","",ROUND(AZ391*(1+AX391+Assumptions!$B$10),0))</f>
        <v/>
      </c>
      <c r="BC391" s="12">
        <f>IF(AZ391="","",ROUND(AZ391*(1+AX391),0))</f>
        <v/>
      </c>
      <c r="BD391" s="12">
        <f>IF(AZ391="","",ROUND(AZ391*(1+AX391+Assumptions!$B$11),0))</f>
        <v/>
      </c>
      <c r="BE391" s="12">
        <f>IF(AZ391="","",ROUND(AZ391*(1+AX391)*(1+AX391),0))</f>
        <v/>
      </c>
      <c r="BF391" s="7" t="inlineStr">
        <is>
          <t>Rules-based enrichment using launch-price anchor, cap-app realization, and 2026 segment conditions.</t>
        </is>
      </c>
      <c r="BG391" t="inlineStr">
        <is>
          <t>2026-03-17</t>
        </is>
      </c>
      <c r="BH391" s="7" t="inlineStr">
        <is>
          <t>DLD / Digital Dubai / CBUAE / Savills / Knight Frank-Moody’s / Reuters</t>
        </is>
      </c>
    </row>
    <row r="392">
      <c r="A392" t="n">
        <v>391</v>
      </c>
      <c r="B392" s="7" t="inlineStr">
        <is>
          <t>Samana Miami 1</t>
        </is>
      </c>
      <c r="C392" t="inlineStr">
        <is>
          <t>Samana Developers</t>
        </is>
      </c>
      <c r="D392" t="inlineStr">
        <is>
          <t>JVC</t>
        </is>
      </c>
      <c r="E392" t="inlineStr">
        <is>
          <t>Apartments</t>
        </is>
      </c>
      <c r="F392" s="7" t="inlineStr">
        <is>
          <t>Miami Style</t>
        </is>
      </c>
      <c r="G392" t="inlineStr">
        <is>
          <t>900k</t>
        </is>
      </c>
      <c r="H392" t="inlineStr">
        <is>
          <t>1300</t>
        </is>
      </c>
      <c r="I392" t="inlineStr">
        <is>
          <t>15</t>
        </is>
      </c>
      <c r="J392" t="inlineStr">
        <is>
          <t>1% Monthly</t>
        </is>
      </c>
      <c r="K392" t="inlineStr">
        <is>
          <t>2022</t>
        </is>
      </c>
      <c r="L392" t="inlineStr">
        <is>
          <t>7.5-8.0</t>
        </is>
      </c>
      <c r="M392" t="inlineStr">
        <is>
          <t>6-8</t>
        </is>
      </c>
      <c r="N392" t="inlineStr">
        <is>
          <t>13.5-16.0</t>
        </is>
      </c>
      <c r="O392" s="7" t="inlineStr">
        <is>
          <t>JSS International</t>
        </is>
      </c>
      <c r="P392" s="7" t="inlineStr">
        <is>
          <t>Saudi German Hospital</t>
        </is>
      </c>
      <c r="Q392" s="7" t="inlineStr">
        <is>
          <t>Circle Mall</t>
        </is>
      </c>
      <c r="R392" s="7" t="inlineStr">
        <is>
          <t>Hessa St / E44</t>
        </is>
      </c>
      <c r="S392" t="inlineStr">
        <is>
          <t>20</t>
        </is>
      </c>
      <c r="T392" t="inlineStr">
        <is>
          <t>15</t>
        </is>
      </c>
      <c r="U392" t="inlineStr">
        <is>
          <t>25</t>
        </is>
      </c>
      <c r="V392" t="inlineStr">
        <is>
          <t>30</t>
        </is>
      </c>
      <c r="W392" t="n">
        <v>2</v>
      </c>
      <c r="X392" s="12" t="n">
        <v>900000</v>
      </c>
      <c r="Y392" s="12" t="n">
        <v>900000</v>
      </c>
      <c r="Z392" s="9" t="n">
        <v>7.5</v>
      </c>
      <c r="AA392" s="9" t="n">
        <v>8</v>
      </c>
      <c r="AB392" s="9" t="n">
        <v>6</v>
      </c>
      <c r="AC392" s="9" t="n">
        <v>8</v>
      </c>
      <c r="AD392" s="9" t="n">
        <v>13.5</v>
      </c>
      <c r="AE392" s="9" t="n">
        <v>16</v>
      </c>
      <c r="AF392" t="n">
        <v>2022</v>
      </c>
      <c r="AH392" t="inlineStr">
        <is>
          <t>Apartment</t>
        </is>
      </c>
      <c r="AI392" t="inlineStr">
        <is>
          <t>SupplySensitiveApartment</t>
        </is>
      </c>
      <c r="AJ392" t="inlineStr">
        <is>
          <t>MidTier</t>
        </is>
      </c>
      <c r="AK392" t="inlineStr">
        <is>
          <t>Supply-sensitive / selective</t>
        </is>
      </c>
      <c r="AL392" s="7" t="inlineStr">
        <is>
          <t>Higher delivery risk in more price-sensitive apartment clusters; building selection and exit liquidity matter.</t>
        </is>
      </c>
      <c r="AM392" s="9" t="n">
        <v>7</v>
      </c>
      <c r="AN392" s="9" t="n">
        <v>7.75</v>
      </c>
      <c r="AO392" s="10" t="n">
        <v>0.55</v>
      </c>
      <c r="AP392" s="13" t="n">
        <v>0</v>
      </c>
      <c r="AQ392" s="13" t="n">
        <v>0</v>
      </c>
      <c r="AR392" s="13" t="n">
        <v>-0.01</v>
      </c>
      <c r="AS392" s="13" t="n">
        <v>-0.01</v>
      </c>
      <c r="AT392" s="13" t="n">
        <v>-0.005</v>
      </c>
      <c r="AU392" s="13" t="n">
        <v>0.0025</v>
      </c>
      <c r="AV392" s="13" t="n">
        <v>-0.005</v>
      </c>
      <c r="AW392" s="13">
        <f>IF(X392="","",(AM392/100*AO392)+AP392+AQ392+AR392)</f>
        <v/>
      </c>
      <c r="AX392" s="13">
        <f>IF(X392="","",AS392+AT392+AU392+AV392)</f>
        <v/>
      </c>
      <c r="AY392" s="12">
        <f>IF(AZ392="","",ROUND(AZ392*(1+Assumptions!$B$10),0))</f>
        <v/>
      </c>
      <c r="AZ392" s="12">
        <f>IF(X392="","",ROUND(X392*(1+AW392),0))</f>
        <v/>
      </c>
      <c r="BA392" s="12">
        <f>IF(AZ392="","",ROUND(AZ392*(1+Assumptions!$B$11),0))</f>
        <v/>
      </c>
      <c r="BB392" s="12">
        <f>IF(AZ392="","",ROUND(AZ392*(1+AX392+Assumptions!$B$10),0))</f>
        <v/>
      </c>
      <c r="BC392" s="12">
        <f>IF(AZ392="","",ROUND(AZ392*(1+AX392),0))</f>
        <v/>
      </c>
      <c r="BD392" s="12">
        <f>IF(AZ392="","",ROUND(AZ392*(1+AX392+Assumptions!$B$11),0))</f>
        <v/>
      </c>
      <c r="BE392" s="12">
        <f>IF(AZ392="","",ROUND(AZ392*(1+AX392)*(1+AX392),0))</f>
        <v/>
      </c>
      <c r="BF392" s="7" t="inlineStr">
        <is>
          <t>Rules-based enrichment using launch-price anchor, cap-app realization, and 2026 segment conditions.</t>
        </is>
      </c>
      <c r="BG392" t="inlineStr">
        <is>
          <t>2026-03-17</t>
        </is>
      </c>
      <c r="BH392" s="7" t="inlineStr">
        <is>
          <t>DLD / Digital Dubai / CBUAE / Savills / Knight Frank-Moody’s / Reuters</t>
        </is>
      </c>
    </row>
    <row r="393">
      <c r="A393" t="n">
        <v>392</v>
      </c>
      <c r="B393" s="7" t="inlineStr">
        <is>
          <t>Samana Miami 2</t>
        </is>
      </c>
      <c r="C393" t="inlineStr">
        <is>
          <t>Samana Developers</t>
        </is>
      </c>
      <c r="D393" t="inlineStr">
        <is>
          <t>JVT</t>
        </is>
      </c>
      <c r="E393" t="inlineStr">
        <is>
          <t>Apartments</t>
        </is>
      </c>
      <c r="F393" s="7" t="inlineStr">
        <is>
          <t>Miami Style</t>
        </is>
      </c>
      <c r="G393" t="inlineStr">
        <is>
          <t>950k</t>
        </is>
      </c>
      <c r="H393" t="inlineStr">
        <is>
          <t>1300</t>
        </is>
      </c>
      <c r="I393" t="inlineStr">
        <is>
          <t>15</t>
        </is>
      </c>
      <c r="J393" t="inlineStr">
        <is>
          <t>1% Monthly</t>
        </is>
      </c>
      <c r="K393" t="inlineStr">
        <is>
          <t>2022</t>
        </is>
      </c>
      <c r="L393" t="inlineStr">
        <is>
          <t>7.0-7.5</t>
        </is>
      </c>
      <c r="M393" t="inlineStr">
        <is>
          <t>6-8</t>
        </is>
      </c>
      <c r="N393" t="inlineStr">
        <is>
          <t>13.0-15.5</t>
        </is>
      </c>
      <c r="O393" s="7" t="inlineStr">
        <is>
          <t>Sunmarke School</t>
        </is>
      </c>
      <c r="P393" s="7" t="inlineStr">
        <is>
          <t>NMC Royal DIP</t>
        </is>
      </c>
      <c r="Q393" s="7" t="inlineStr">
        <is>
          <t>Circle Mall</t>
        </is>
      </c>
      <c r="R393" s="7" t="inlineStr">
        <is>
          <t>E311 / Yalayis</t>
        </is>
      </c>
      <c r="S393" t="inlineStr">
        <is>
          <t>20</t>
        </is>
      </c>
      <c r="T393" t="inlineStr">
        <is>
          <t>15</t>
        </is>
      </c>
      <c r="U393" t="inlineStr">
        <is>
          <t>30</t>
        </is>
      </c>
      <c r="V393" t="inlineStr">
        <is>
          <t>20</t>
        </is>
      </c>
      <c r="W393" t="n">
        <v>2</v>
      </c>
      <c r="X393" s="12" t="n">
        <v>950000</v>
      </c>
      <c r="Y393" s="12" t="n">
        <v>950000</v>
      </c>
      <c r="Z393" s="9" t="n">
        <v>7</v>
      </c>
      <c r="AA393" s="9" t="n">
        <v>7.5</v>
      </c>
      <c r="AB393" s="9" t="n">
        <v>6</v>
      </c>
      <c r="AC393" s="9" t="n">
        <v>8</v>
      </c>
      <c r="AD393" s="9" t="n">
        <v>13</v>
      </c>
      <c r="AE393" s="9" t="n">
        <v>15.5</v>
      </c>
      <c r="AF393" t="n">
        <v>2022</v>
      </c>
      <c r="AH393" t="inlineStr">
        <is>
          <t>Apartment</t>
        </is>
      </c>
      <c r="AI393" t="inlineStr">
        <is>
          <t>SupplySensitiveApartment</t>
        </is>
      </c>
      <c r="AJ393" t="inlineStr">
        <is>
          <t>MidTier</t>
        </is>
      </c>
      <c r="AK393" t="inlineStr">
        <is>
          <t>Supply-sensitive / selective</t>
        </is>
      </c>
      <c r="AL393" s="7" t="inlineStr">
        <is>
          <t>Higher delivery risk in more price-sensitive apartment clusters; building selection and exit liquidity matter.</t>
        </is>
      </c>
      <c r="AM393" s="9" t="n">
        <v>7</v>
      </c>
      <c r="AN393" s="9" t="n">
        <v>7.25</v>
      </c>
      <c r="AO393" s="10" t="n">
        <v>0.55</v>
      </c>
      <c r="AP393" s="13" t="n">
        <v>0</v>
      </c>
      <c r="AQ393" s="13" t="n">
        <v>0</v>
      </c>
      <c r="AR393" s="13" t="n">
        <v>-0.01</v>
      </c>
      <c r="AS393" s="13" t="n">
        <v>-0.01</v>
      </c>
      <c r="AT393" s="13" t="n">
        <v>-0.005</v>
      </c>
      <c r="AU393" s="13" t="n">
        <v>0.0025</v>
      </c>
      <c r="AV393" s="13" t="n">
        <v>-0.005</v>
      </c>
      <c r="AW393" s="13">
        <f>IF(X393="","",(AM393/100*AO393)+AP393+AQ393+AR393)</f>
        <v/>
      </c>
      <c r="AX393" s="13">
        <f>IF(X393="","",AS393+AT393+AU393+AV393)</f>
        <v/>
      </c>
      <c r="AY393" s="12">
        <f>IF(AZ393="","",ROUND(AZ393*(1+Assumptions!$B$10),0))</f>
        <v/>
      </c>
      <c r="AZ393" s="12">
        <f>IF(X393="","",ROUND(X393*(1+AW393),0))</f>
        <v/>
      </c>
      <c r="BA393" s="12">
        <f>IF(AZ393="","",ROUND(AZ393*(1+Assumptions!$B$11),0))</f>
        <v/>
      </c>
      <c r="BB393" s="12">
        <f>IF(AZ393="","",ROUND(AZ393*(1+AX393+Assumptions!$B$10),0))</f>
        <v/>
      </c>
      <c r="BC393" s="12">
        <f>IF(AZ393="","",ROUND(AZ393*(1+AX393),0))</f>
        <v/>
      </c>
      <c r="BD393" s="12">
        <f>IF(AZ393="","",ROUND(AZ393*(1+AX393+Assumptions!$B$11),0))</f>
        <v/>
      </c>
      <c r="BE393" s="12">
        <f>IF(AZ393="","",ROUND(AZ393*(1+AX393)*(1+AX393),0))</f>
        <v/>
      </c>
      <c r="BF393" s="7" t="inlineStr">
        <is>
          <t>Rules-based enrichment using launch-price anchor, cap-app realization, and 2026 segment conditions.</t>
        </is>
      </c>
      <c r="BG393" t="inlineStr">
        <is>
          <t>2026-03-17</t>
        </is>
      </c>
      <c r="BH393" s="7" t="inlineStr">
        <is>
          <t>DLD / Digital Dubai / CBUAE / Savills / Knight Frank-Moody’s / Reuters</t>
        </is>
      </c>
    </row>
    <row r="394">
      <c r="A394" t="n">
        <v>393</v>
      </c>
      <c r="B394" s="7" t="inlineStr">
        <is>
          <t>Samana Miami 3</t>
        </is>
      </c>
      <c r="C394" t="inlineStr">
        <is>
          <t>Samana Developers</t>
        </is>
      </c>
      <c r="D394" t="inlineStr">
        <is>
          <t>JVT</t>
        </is>
      </c>
      <c r="E394" t="inlineStr">
        <is>
          <t>Apartments</t>
        </is>
      </c>
      <c r="F394" s="7" t="inlineStr">
        <is>
          <t>Miami Style</t>
        </is>
      </c>
      <c r="G394" t="inlineStr">
        <is>
          <t>1.0M</t>
        </is>
      </c>
      <c r="H394" t="inlineStr">
        <is>
          <t>1350</t>
        </is>
      </c>
      <c r="I394" t="inlineStr">
        <is>
          <t>15</t>
        </is>
      </c>
      <c r="J394" t="inlineStr">
        <is>
          <t>1% Monthly</t>
        </is>
      </c>
      <c r="K394" t="inlineStr">
        <is>
          <t>2023</t>
        </is>
      </c>
      <c r="L394" t="inlineStr">
        <is>
          <t>7.0-7.5</t>
        </is>
      </c>
      <c r="M394" t="inlineStr">
        <is>
          <t>6-8</t>
        </is>
      </c>
      <c r="N394" t="inlineStr">
        <is>
          <t>13.0-15.5</t>
        </is>
      </c>
      <c r="O394" s="7" t="inlineStr">
        <is>
          <t>Sunmarke School</t>
        </is>
      </c>
      <c r="P394" s="7" t="inlineStr">
        <is>
          <t>NMC Royal DIP</t>
        </is>
      </c>
      <c r="Q394" s="7" t="inlineStr">
        <is>
          <t>Circle Mall</t>
        </is>
      </c>
      <c r="R394" s="7" t="inlineStr">
        <is>
          <t>E311 / Yalayis</t>
        </is>
      </c>
      <c r="S394" t="inlineStr">
        <is>
          <t>20</t>
        </is>
      </c>
      <c r="T394" t="inlineStr">
        <is>
          <t>15</t>
        </is>
      </c>
      <c r="U394" t="inlineStr">
        <is>
          <t>30</t>
        </is>
      </c>
      <c r="V394" t="inlineStr">
        <is>
          <t>20</t>
        </is>
      </c>
      <c r="W394" t="n">
        <v>2</v>
      </c>
      <c r="X394" s="12" t="n">
        <v>1000000</v>
      </c>
      <c r="Y394" s="12" t="n">
        <v>1000000</v>
      </c>
      <c r="Z394" s="9" t="n">
        <v>7</v>
      </c>
      <c r="AA394" s="9" t="n">
        <v>7.5</v>
      </c>
      <c r="AB394" s="9" t="n">
        <v>6</v>
      </c>
      <c r="AC394" s="9" t="n">
        <v>8</v>
      </c>
      <c r="AD394" s="9" t="n">
        <v>13</v>
      </c>
      <c r="AE394" s="9" t="n">
        <v>15.5</v>
      </c>
      <c r="AF394" t="n">
        <v>2023</v>
      </c>
      <c r="AH394" t="inlineStr">
        <is>
          <t>Apartment</t>
        </is>
      </c>
      <c r="AI394" t="inlineStr">
        <is>
          <t>SupplySensitiveApartment</t>
        </is>
      </c>
      <c r="AJ394" t="inlineStr">
        <is>
          <t>MidTier</t>
        </is>
      </c>
      <c r="AK394" t="inlineStr">
        <is>
          <t>Supply-sensitive / selective</t>
        </is>
      </c>
      <c r="AL394" s="7" t="inlineStr">
        <is>
          <t>Higher delivery risk in more price-sensitive apartment clusters; building selection and exit liquidity matter.</t>
        </is>
      </c>
      <c r="AM394" s="9" t="n">
        <v>7</v>
      </c>
      <c r="AN394" s="9" t="n">
        <v>7.25</v>
      </c>
      <c r="AO394" s="10" t="n">
        <v>0.55</v>
      </c>
      <c r="AP394" s="13" t="n">
        <v>0</v>
      </c>
      <c r="AQ394" s="13" t="n">
        <v>0</v>
      </c>
      <c r="AR394" s="13" t="n">
        <v>-0.01</v>
      </c>
      <c r="AS394" s="13" t="n">
        <v>-0.01</v>
      </c>
      <c r="AT394" s="13" t="n">
        <v>-0.005</v>
      </c>
      <c r="AU394" s="13" t="n">
        <v>0.0025</v>
      </c>
      <c r="AV394" s="13" t="n">
        <v>-0.005</v>
      </c>
      <c r="AW394" s="13">
        <f>IF(X394="","",(AM394/100*AO394)+AP394+AQ394+AR394)</f>
        <v/>
      </c>
      <c r="AX394" s="13">
        <f>IF(X394="","",AS394+AT394+AU394+AV394)</f>
        <v/>
      </c>
      <c r="AY394" s="12">
        <f>IF(AZ394="","",ROUND(AZ394*(1+Assumptions!$B$10),0))</f>
        <v/>
      </c>
      <c r="AZ394" s="12">
        <f>IF(X394="","",ROUND(X394*(1+AW394),0))</f>
        <v/>
      </c>
      <c r="BA394" s="12">
        <f>IF(AZ394="","",ROUND(AZ394*(1+Assumptions!$B$11),0))</f>
        <v/>
      </c>
      <c r="BB394" s="12">
        <f>IF(AZ394="","",ROUND(AZ394*(1+AX394+Assumptions!$B$10),0))</f>
        <v/>
      </c>
      <c r="BC394" s="12">
        <f>IF(AZ394="","",ROUND(AZ394*(1+AX394),0))</f>
        <v/>
      </c>
      <c r="BD394" s="12">
        <f>IF(AZ394="","",ROUND(AZ394*(1+AX394+Assumptions!$B$11),0))</f>
        <v/>
      </c>
      <c r="BE394" s="12">
        <f>IF(AZ394="","",ROUND(AZ394*(1+AX394)*(1+AX394),0))</f>
        <v/>
      </c>
      <c r="BF394" s="7" t="inlineStr">
        <is>
          <t>Rules-based enrichment using launch-price anchor, cap-app realization, and 2026 segment conditions.</t>
        </is>
      </c>
      <c r="BG394" t="inlineStr">
        <is>
          <t>2026-03-17</t>
        </is>
      </c>
      <c r="BH394" s="7" t="inlineStr">
        <is>
          <t>DLD / Digital Dubai / CBUAE / Savills / Knight Frank-Moody’s / Reuters</t>
        </is>
      </c>
    </row>
    <row r="395">
      <c r="A395" t="n">
        <v>394</v>
      </c>
      <c r="B395" s="7" t="inlineStr">
        <is>
          <t>Samana Mykonos</t>
        </is>
      </c>
      <c r="C395" t="inlineStr">
        <is>
          <t>Samana Developers</t>
        </is>
      </c>
      <c r="D395" t="inlineStr">
        <is>
          <t>Dubai Studio City</t>
        </is>
      </c>
      <c r="E395" t="inlineStr">
        <is>
          <t>Apartments</t>
        </is>
      </c>
      <c r="F395" s="7" t="inlineStr">
        <is>
          <t>Greek Style</t>
        </is>
      </c>
      <c r="G395" t="inlineStr">
        <is>
          <t>850k</t>
        </is>
      </c>
      <c r="H395" t="inlineStr">
        <is>
          <t>1200</t>
        </is>
      </c>
      <c r="I395" t="inlineStr">
        <is>
          <t>15</t>
        </is>
      </c>
      <c r="J395" t="inlineStr">
        <is>
          <t>1% Monthly</t>
        </is>
      </c>
      <c r="K395" t="inlineStr">
        <is>
          <t>2023</t>
        </is>
      </c>
      <c r="L395" t="inlineStr">
        <is>
          <t>7.5-8.0</t>
        </is>
      </c>
      <c r="M395" t="inlineStr">
        <is>
          <t>6-8</t>
        </is>
      </c>
      <c r="N395" t="inlineStr">
        <is>
          <t>13.5-16.0</t>
        </is>
      </c>
      <c r="O395" s="7" t="inlineStr">
        <is>
          <t>GEMS Metropole</t>
        </is>
      </c>
      <c r="P395" s="7" t="inlineStr">
        <is>
          <t>Mediclinic Parkview</t>
        </is>
      </c>
      <c r="Q395" s="7" t="inlineStr">
        <is>
          <t>First Avenue Mall</t>
        </is>
      </c>
      <c r="R395" s="7" t="inlineStr">
        <is>
          <t>Hessa St / E311</t>
        </is>
      </c>
      <c r="S395" t="inlineStr">
        <is>
          <t>20</t>
        </is>
      </c>
      <c r="T395" t="inlineStr">
        <is>
          <t>15</t>
        </is>
      </c>
      <c r="U395" t="inlineStr">
        <is>
          <t>25</t>
        </is>
      </c>
      <c r="V395" t="inlineStr">
        <is>
          <t>25</t>
        </is>
      </c>
      <c r="W395" t="n">
        <v>2</v>
      </c>
      <c r="X395" s="12" t="n">
        <v>850000</v>
      </c>
      <c r="Y395" s="12" t="n">
        <v>850000</v>
      </c>
      <c r="Z395" s="9" t="n">
        <v>7.5</v>
      </c>
      <c r="AA395" s="9" t="n">
        <v>8</v>
      </c>
      <c r="AB395" s="9" t="n">
        <v>6</v>
      </c>
      <c r="AC395" s="9" t="n">
        <v>8</v>
      </c>
      <c r="AD395" s="9" t="n">
        <v>13.5</v>
      </c>
      <c r="AE395" s="9" t="n">
        <v>16</v>
      </c>
      <c r="AF395" t="n">
        <v>2023</v>
      </c>
      <c r="AH395" t="inlineStr">
        <is>
          <t>Apartment</t>
        </is>
      </c>
      <c r="AI395" t="inlineStr">
        <is>
          <t>MainstreamSelective</t>
        </is>
      </c>
      <c r="AJ395" t="inlineStr">
        <is>
          <t>MidTier</t>
        </is>
      </c>
      <c r="AK395" t="inlineStr">
        <is>
          <t>Balanced / selective</t>
        </is>
      </c>
      <c r="AL395" s="7" t="inlineStr">
        <is>
          <t>Market remains active but increasingly differentiated by developer, micro-location, livability, and pricing discipline.</t>
        </is>
      </c>
      <c r="AM395" s="9" t="n">
        <v>7</v>
      </c>
      <c r="AN395" s="9" t="n">
        <v>7.75</v>
      </c>
      <c r="AO395" s="10" t="n">
        <v>0.55</v>
      </c>
      <c r="AP395" s="13" t="n">
        <v>0</v>
      </c>
      <c r="AQ395" s="13" t="n">
        <v>0</v>
      </c>
      <c r="AR395" s="13" t="n">
        <v>0</v>
      </c>
      <c r="AS395" s="13" t="n">
        <v>0.01</v>
      </c>
      <c r="AT395" s="13" t="n">
        <v>-0.005</v>
      </c>
      <c r="AU395" s="13" t="n">
        <v>0.0025</v>
      </c>
      <c r="AV395" s="13" t="n">
        <v>-0.005</v>
      </c>
      <c r="AW395" s="13">
        <f>IF(X395="","",(AM395/100*AO395)+AP395+AQ395+AR395)</f>
        <v/>
      </c>
      <c r="AX395" s="13">
        <f>IF(X395="","",AS395+AT395+AU395+AV395)</f>
        <v/>
      </c>
      <c r="AY395" s="12">
        <f>IF(AZ395="","",ROUND(AZ395*(1+Assumptions!$B$10),0))</f>
        <v/>
      </c>
      <c r="AZ395" s="12">
        <f>IF(X395="","",ROUND(X395*(1+AW395),0))</f>
        <v/>
      </c>
      <c r="BA395" s="12">
        <f>IF(AZ395="","",ROUND(AZ395*(1+Assumptions!$B$11),0))</f>
        <v/>
      </c>
      <c r="BB395" s="12">
        <f>IF(AZ395="","",ROUND(AZ395*(1+AX395+Assumptions!$B$10),0))</f>
        <v/>
      </c>
      <c r="BC395" s="12">
        <f>IF(AZ395="","",ROUND(AZ395*(1+AX395),0))</f>
        <v/>
      </c>
      <c r="BD395" s="12">
        <f>IF(AZ395="","",ROUND(AZ395*(1+AX395+Assumptions!$B$11),0))</f>
        <v/>
      </c>
      <c r="BE395" s="12">
        <f>IF(AZ395="","",ROUND(AZ395*(1+AX395)*(1+AX395),0))</f>
        <v/>
      </c>
      <c r="BF395" s="7" t="inlineStr">
        <is>
          <t>Rules-based enrichment using launch-price anchor, cap-app realization, and 2026 segment conditions.</t>
        </is>
      </c>
      <c r="BG395" t="inlineStr">
        <is>
          <t>2026-03-17</t>
        </is>
      </c>
      <c r="BH395" s="7" t="inlineStr">
        <is>
          <t>DLD / Digital Dubai / CBUAE / Savills / Knight Frank-Moody’s / Reuters</t>
        </is>
      </c>
    </row>
    <row r="396">
      <c r="A396" t="n">
        <v>395</v>
      </c>
      <c r="B396" s="7" t="inlineStr">
        <is>
          <t>Samana Mykonos Signature</t>
        </is>
      </c>
      <c r="C396" t="inlineStr">
        <is>
          <t>Samana Developers</t>
        </is>
      </c>
      <c r="D396" t="inlineStr">
        <is>
          <t>Arjan</t>
        </is>
      </c>
      <c r="E396" t="inlineStr">
        <is>
          <t>Apartments</t>
        </is>
      </c>
      <c r="F396" s="7" t="inlineStr">
        <is>
          <t>Greek Style</t>
        </is>
      </c>
      <c r="G396" t="inlineStr">
        <is>
          <t>900k</t>
        </is>
      </c>
      <c r="H396" t="inlineStr">
        <is>
          <t>1250</t>
        </is>
      </c>
      <c r="I396" t="inlineStr">
        <is>
          <t>15</t>
        </is>
      </c>
      <c r="J396" t="inlineStr">
        <is>
          <t>1% Monthly</t>
        </is>
      </c>
      <c r="K396" t="inlineStr">
        <is>
          <t>2023</t>
        </is>
      </c>
      <c r="L396" t="inlineStr">
        <is>
          <t>7.5-8.0</t>
        </is>
      </c>
      <c r="M396" t="inlineStr">
        <is>
          <t>6-8</t>
        </is>
      </c>
      <c r="N396" t="inlineStr">
        <is>
          <t>13.5-16.0</t>
        </is>
      </c>
      <c r="O396" s="7" t="inlineStr">
        <is>
          <t>Nord Anglia</t>
        </is>
      </c>
      <c r="P396" s="7" t="inlineStr">
        <is>
          <t>Mediclinic Parkview</t>
        </is>
      </c>
      <c r="Q396" s="7" t="inlineStr">
        <is>
          <t>Dubai Hills Mall</t>
        </is>
      </c>
      <c r="R396" s="7" t="inlineStr">
        <is>
          <t>Umm Suqeim / E311</t>
        </is>
      </c>
      <c r="S396" t="inlineStr">
        <is>
          <t>20</t>
        </is>
      </c>
      <c r="T396" t="inlineStr">
        <is>
          <t>20</t>
        </is>
      </c>
      <c r="U396" t="inlineStr">
        <is>
          <t>30</t>
        </is>
      </c>
      <c r="V396" t="inlineStr">
        <is>
          <t>25</t>
        </is>
      </c>
      <c r="W396" t="n">
        <v>2</v>
      </c>
      <c r="X396" s="12" t="n">
        <v>900000</v>
      </c>
      <c r="Y396" s="12" t="n">
        <v>900000</v>
      </c>
      <c r="Z396" s="9" t="n">
        <v>7.5</v>
      </c>
      <c r="AA396" s="9" t="n">
        <v>8</v>
      </c>
      <c r="AB396" s="9" t="n">
        <v>6</v>
      </c>
      <c r="AC396" s="9" t="n">
        <v>8</v>
      </c>
      <c r="AD396" s="9" t="n">
        <v>13.5</v>
      </c>
      <c r="AE396" s="9" t="n">
        <v>16</v>
      </c>
      <c r="AF396" t="n">
        <v>2023</v>
      </c>
      <c r="AH396" t="inlineStr">
        <is>
          <t>Apartment</t>
        </is>
      </c>
      <c r="AI396" t="inlineStr">
        <is>
          <t>SupplySensitiveApartment</t>
        </is>
      </c>
      <c r="AJ396" t="inlineStr">
        <is>
          <t>MidTier</t>
        </is>
      </c>
      <c r="AK396" t="inlineStr">
        <is>
          <t>Supply-sensitive / selective</t>
        </is>
      </c>
      <c r="AL396" s="7" t="inlineStr">
        <is>
          <t>Higher delivery risk in more price-sensitive apartment clusters; building selection and exit liquidity matter.</t>
        </is>
      </c>
      <c r="AM396" s="9" t="n">
        <v>7</v>
      </c>
      <c r="AN396" s="9" t="n">
        <v>7.75</v>
      </c>
      <c r="AO396" s="10" t="n">
        <v>0.55</v>
      </c>
      <c r="AP396" s="13" t="n">
        <v>0</v>
      </c>
      <c r="AQ396" s="13" t="n">
        <v>0</v>
      </c>
      <c r="AR396" s="13" t="n">
        <v>-0.01</v>
      </c>
      <c r="AS396" s="13" t="n">
        <v>-0.01</v>
      </c>
      <c r="AT396" s="13" t="n">
        <v>-0.005</v>
      </c>
      <c r="AU396" s="13" t="n">
        <v>0.0025</v>
      </c>
      <c r="AV396" s="13" t="n">
        <v>-0.005</v>
      </c>
      <c r="AW396" s="13">
        <f>IF(X396="","",(AM396/100*AO396)+AP396+AQ396+AR396)</f>
        <v/>
      </c>
      <c r="AX396" s="13">
        <f>IF(X396="","",AS396+AT396+AU396+AV396)</f>
        <v/>
      </c>
      <c r="AY396" s="12">
        <f>IF(AZ396="","",ROUND(AZ396*(1+Assumptions!$B$10),0))</f>
        <v/>
      </c>
      <c r="AZ396" s="12">
        <f>IF(X396="","",ROUND(X396*(1+AW396),0))</f>
        <v/>
      </c>
      <c r="BA396" s="12">
        <f>IF(AZ396="","",ROUND(AZ396*(1+Assumptions!$B$11),0))</f>
        <v/>
      </c>
      <c r="BB396" s="12">
        <f>IF(AZ396="","",ROUND(AZ396*(1+AX396+Assumptions!$B$10),0))</f>
        <v/>
      </c>
      <c r="BC396" s="12">
        <f>IF(AZ396="","",ROUND(AZ396*(1+AX396),0))</f>
        <v/>
      </c>
      <c r="BD396" s="12">
        <f>IF(AZ396="","",ROUND(AZ396*(1+AX396+Assumptions!$B$11),0))</f>
        <v/>
      </c>
      <c r="BE396" s="12">
        <f>IF(AZ396="","",ROUND(AZ396*(1+AX396)*(1+AX396),0))</f>
        <v/>
      </c>
      <c r="BF396" s="7" t="inlineStr">
        <is>
          <t>Rules-based enrichment using launch-price anchor, cap-app realization, and 2026 segment conditions.</t>
        </is>
      </c>
      <c r="BG396" t="inlineStr">
        <is>
          <t>2026-03-17</t>
        </is>
      </c>
      <c r="BH396" s="7" t="inlineStr">
        <is>
          <t>DLD / Digital Dubai / CBUAE / Savills / Knight Frank-Moody’s / Reuters</t>
        </is>
      </c>
    </row>
    <row r="397">
      <c r="A397" t="n">
        <v>396</v>
      </c>
      <c r="B397" s="7" t="inlineStr">
        <is>
          <t>Samana Santorini</t>
        </is>
      </c>
      <c r="C397" t="inlineStr">
        <is>
          <t>Samana Developers</t>
        </is>
      </c>
      <c r="D397" t="inlineStr">
        <is>
          <t>Dubai Studio City</t>
        </is>
      </c>
      <c r="E397" t="inlineStr">
        <is>
          <t>Apartments</t>
        </is>
      </c>
      <c r="F397" s="7" t="inlineStr">
        <is>
          <t>Greek Style</t>
        </is>
      </c>
      <c r="G397" t="inlineStr">
        <is>
          <t>850k</t>
        </is>
      </c>
      <c r="H397" t="inlineStr">
        <is>
          <t>1200</t>
        </is>
      </c>
      <c r="I397" t="inlineStr">
        <is>
          <t>15</t>
        </is>
      </c>
      <c r="J397" t="inlineStr">
        <is>
          <t>1% Monthly</t>
        </is>
      </c>
      <c r="K397" t="inlineStr">
        <is>
          <t>2022</t>
        </is>
      </c>
      <c r="L397" t="inlineStr">
        <is>
          <t>7.5-8.0</t>
        </is>
      </c>
      <c r="M397" t="inlineStr">
        <is>
          <t>6-8</t>
        </is>
      </c>
      <c r="N397" t="inlineStr">
        <is>
          <t>13.5-16.0</t>
        </is>
      </c>
      <c r="O397" s="7" t="inlineStr">
        <is>
          <t>GEMS Metropole</t>
        </is>
      </c>
      <c r="P397" s="7" t="inlineStr">
        <is>
          <t>Mediclinic Parkview</t>
        </is>
      </c>
      <c r="Q397" s="7" t="inlineStr">
        <is>
          <t>First Avenue Mall</t>
        </is>
      </c>
      <c r="R397" s="7" t="inlineStr">
        <is>
          <t>Hessa St / E311</t>
        </is>
      </c>
      <c r="S397" t="inlineStr">
        <is>
          <t>20</t>
        </is>
      </c>
      <c r="T397" t="inlineStr">
        <is>
          <t>15</t>
        </is>
      </c>
      <c r="U397" t="inlineStr">
        <is>
          <t>25</t>
        </is>
      </c>
      <c r="V397" t="inlineStr">
        <is>
          <t>25</t>
        </is>
      </c>
      <c r="W397" t="n">
        <v>2</v>
      </c>
      <c r="X397" s="12" t="n">
        <v>850000</v>
      </c>
      <c r="Y397" s="12" t="n">
        <v>850000</v>
      </c>
      <c r="Z397" s="9" t="n">
        <v>7.5</v>
      </c>
      <c r="AA397" s="9" t="n">
        <v>8</v>
      </c>
      <c r="AB397" s="9" t="n">
        <v>6</v>
      </c>
      <c r="AC397" s="9" t="n">
        <v>8</v>
      </c>
      <c r="AD397" s="9" t="n">
        <v>13.5</v>
      </c>
      <c r="AE397" s="9" t="n">
        <v>16</v>
      </c>
      <c r="AF397" t="n">
        <v>2022</v>
      </c>
      <c r="AH397" t="inlineStr">
        <is>
          <t>Apartment</t>
        </is>
      </c>
      <c r="AI397" t="inlineStr">
        <is>
          <t>MainstreamSelective</t>
        </is>
      </c>
      <c r="AJ397" t="inlineStr">
        <is>
          <t>MidTier</t>
        </is>
      </c>
      <c r="AK397" t="inlineStr">
        <is>
          <t>Balanced / selective</t>
        </is>
      </c>
      <c r="AL397" s="7" t="inlineStr">
        <is>
          <t>Market remains active but increasingly differentiated by developer, micro-location, livability, and pricing discipline.</t>
        </is>
      </c>
      <c r="AM397" s="9" t="n">
        <v>7</v>
      </c>
      <c r="AN397" s="9" t="n">
        <v>7.75</v>
      </c>
      <c r="AO397" s="10" t="n">
        <v>0.55</v>
      </c>
      <c r="AP397" s="13" t="n">
        <v>0</v>
      </c>
      <c r="AQ397" s="13" t="n">
        <v>0</v>
      </c>
      <c r="AR397" s="13" t="n">
        <v>0</v>
      </c>
      <c r="AS397" s="13" t="n">
        <v>0.01</v>
      </c>
      <c r="AT397" s="13" t="n">
        <v>-0.005</v>
      </c>
      <c r="AU397" s="13" t="n">
        <v>0.0025</v>
      </c>
      <c r="AV397" s="13" t="n">
        <v>-0.005</v>
      </c>
      <c r="AW397" s="13">
        <f>IF(X397="","",(AM397/100*AO397)+AP397+AQ397+AR397)</f>
        <v/>
      </c>
      <c r="AX397" s="13">
        <f>IF(X397="","",AS397+AT397+AU397+AV397)</f>
        <v/>
      </c>
      <c r="AY397" s="12">
        <f>IF(AZ397="","",ROUND(AZ397*(1+Assumptions!$B$10),0))</f>
        <v/>
      </c>
      <c r="AZ397" s="12">
        <f>IF(X397="","",ROUND(X397*(1+AW397),0))</f>
        <v/>
      </c>
      <c r="BA397" s="12">
        <f>IF(AZ397="","",ROUND(AZ397*(1+Assumptions!$B$11),0))</f>
        <v/>
      </c>
      <c r="BB397" s="12">
        <f>IF(AZ397="","",ROUND(AZ397*(1+AX397+Assumptions!$B$10),0))</f>
        <v/>
      </c>
      <c r="BC397" s="12">
        <f>IF(AZ397="","",ROUND(AZ397*(1+AX397),0))</f>
        <v/>
      </c>
      <c r="BD397" s="12">
        <f>IF(AZ397="","",ROUND(AZ397*(1+AX397+Assumptions!$B$11),0))</f>
        <v/>
      </c>
      <c r="BE397" s="12">
        <f>IF(AZ397="","",ROUND(AZ397*(1+AX397)*(1+AX397),0))</f>
        <v/>
      </c>
      <c r="BF397" s="7" t="inlineStr">
        <is>
          <t>Rules-based enrichment using launch-price anchor, cap-app realization, and 2026 segment conditions.</t>
        </is>
      </c>
      <c r="BG397" t="inlineStr">
        <is>
          <t>2026-03-17</t>
        </is>
      </c>
      <c r="BH397" s="7" t="inlineStr">
        <is>
          <t>DLD / Digital Dubai / CBUAE / Savills / Knight Frank-Moody’s / Reuters</t>
        </is>
      </c>
    </row>
    <row r="398">
      <c r="A398" t="n">
        <v>397</v>
      </c>
      <c r="B398" s="7" t="inlineStr">
        <is>
          <t>Samana Portofino</t>
        </is>
      </c>
      <c r="C398" t="inlineStr">
        <is>
          <t>Samana Developers</t>
        </is>
      </c>
      <c r="D398" t="inlineStr">
        <is>
          <t>Dubai Production City</t>
        </is>
      </c>
      <c r="E398" t="inlineStr">
        <is>
          <t>Apartments</t>
        </is>
      </c>
      <c r="F398" s="7" t="inlineStr">
        <is>
          <t>Italian Style</t>
        </is>
      </c>
      <c r="G398" t="inlineStr">
        <is>
          <t>800k</t>
        </is>
      </c>
      <c r="H398" t="inlineStr">
        <is>
          <t>1100</t>
        </is>
      </c>
      <c r="I398" t="inlineStr">
        <is>
          <t>15</t>
        </is>
      </c>
      <c r="J398" t="inlineStr">
        <is>
          <t>1% Monthly</t>
        </is>
      </c>
      <c r="K398" t="inlineStr">
        <is>
          <t>2023</t>
        </is>
      </c>
      <c r="L398" t="inlineStr">
        <is>
          <t>7.5-8.5</t>
        </is>
      </c>
      <c r="M398" t="inlineStr">
        <is>
          <t>5-7</t>
        </is>
      </c>
      <c r="N398" t="inlineStr">
        <is>
          <t>12.5-15.5</t>
        </is>
      </c>
      <c r="O398" s="7" t="inlineStr">
        <is>
          <t>Sunmarke School</t>
        </is>
      </c>
      <c r="P398" s="7" t="inlineStr">
        <is>
          <t>NMC Royal DIP</t>
        </is>
      </c>
      <c r="Q398" s="7" t="inlineStr">
        <is>
          <t>City Centre Me'aisem</t>
        </is>
      </c>
      <c r="R398" s="7" t="inlineStr">
        <is>
          <t>E311 / Yalayis</t>
        </is>
      </c>
      <c r="S398" t="inlineStr">
        <is>
          <t>25</t>
        </is>
      </c>
      <c r="T398" t="inlineStr">
        <is>
          <t>20</t>
        </is>
      </c>
      <c r="U398" t="inlineStr">
        <is>
          <t>30</t>
        </is>
      </c>
      <c r="V398" t="inlineStr">
        <is>
          <t>25</t>
        </is>
      </c>
      <c r="W398" t="n">
        <v>2</v>
      </c>
      <c r="X398" s="12" t="n">
        <v>800000</v>
      </c>
      <c r="Y398" s="12" t="n">
        <v>800000</v>
      </c>
      <c r="Z398" s="9" t="n">
        <v>7.5</v>
      </c>
      <c r="AA398" s="9" t="n">
        <v>8.5</v>
      </c>
      <c r="AB398" s="9" t="n">
        <v>5</v>
      </c>
      <c r="AC398" s="9" t="n">
        <v>7</v>
      </c>
      <c r="AD398" s="9" t="n">
        <v>12.5</v>
      </c>
      <c r="AE398" s="9" t="n">
        <v>15.5</v>
      </c>
      <c r="AF398" t="n">
        <v>2023</v>
      </c>
      <c r="AH398" t="inlineStr">
        <is>
          <t>Apartment</t>
        </is>
      </c>
      <c r="AI398" t="inlineStr">
        <is>
          <t>MainstreamSelective</t>
        </is>
      </c>
      <c r="AJ398" t="inlineStr">
        <is>
          <t>MidTier</t>
        </is>
      </c>
      <c r="AK398" t="inlineStr">
        <is>
          <t>Balanced / selective</t>
        </is>
      </c>
      <c r="AL398" s="7" t="inlineStr">
        <is>
          <t>Market remains active but increasingly differentiated by developer, micro-location, livability, and pricing discipline.</t>
        </is>
      </c>
      <c r="AM398" s="9" t="n">
        <v>6</v>
      </c>
      <c r="AN398" s="9" t="n">
        <v>8</v>
      </c>
      <c r="AO398" s="10" t="n">
        <v>0.55</v>
      </c>
      <c r="AP398" s="13" t="n">
        <v>0</v>
      </c>
      <c r="AQ398" s="13" t="n">
        <v>0</v>
      </c>
      <c r="AR398" s="13" t="n">
        <v>0</v>
      </c>
      <c r="AS398" s="13" t="n">
        <v>0.01</v>
      </c>
      <c r="AT398" s="13" t="n">
        <v>-0.005</v>
      </c>
      <c r="AU398" s="13" t="n">
        <v>0.0025</v>
      </c>
      <c r="AV398" s="13" t="n">
        <v>-0.005</v>
      </c>
      <c r="AW398" s="13">
        <f>IF(X398="","",(AM398/100*AO398)+AP398+AQ398+AR398)</f>
        <v/>
      </c>
      <c r="AX398" s="13">
        <f>IF(X398="","",AS398+AT398+AU398+AV398)</f>
        <v/>
      </c>
      <c r="AY398" s="12">
        <f>IF(AZ398="","",ROUND(AZ398*(1+Assumptions!$B$10),0))</f>
        <v/>
      </c>
      <c r="AZ398" s="12">
        <f>IF(X398="","",ROUND(X398*(1+AW398),0))</f>
        <v/>
      </c>
      <c r="BA398" s="12">
        <f>IF(AZ398="","",ROUND(AZ398*(1+Assumptions!$B$11),0))</f>
        <v/>
      </c>
      <c r="BB398" s="12">
        <f>IF(AZ398="","",ROUND(AZ398*(1+AX398+Assumptions!$B$10),0))</f>
        <v/>
      </c>
      <c r="BC398" s="12">
        <f>IF(AZ398="","",ROUND(AZ398*(1+AX398),0))</f>
        <v/>
      </c>
      <c r="BD398" s="12">
        <f>IF(AZ398="","",ROUND(AZ398*(1+AX398+Assumptions!$B$11),0))</f>
        <v/>
      </c>
      <c r="BE398" s="12">
        <f>IF(AZ398="","",ROUND(AZ398*(1+AX398)*(1+AX398),0))</f>
        <v/>
      </c>
      <c r="BF398" s="7" t="inlineStr">
        <is>
          <t>Rules-based enrichment using launch-price anchor, cap-app realization, and 2026 segment conditions.</t>
        </is>
      </c>
      <c r="BG398" t="inlineStr">
        <is>
          <t>2026-03-17</t>
        </is>
      </c>
      <c r="BH398" s="7" t="inlineStr">
        <is>
          <t>DLD / Digital Dubai / CBUAE / Savills / Knight Frank-Moody’s / Reuters</t>
        </is>
      </c>
    </row>
    <row r="399">
      <c r="A399" t="n">
        <v>398</v>
      </c>
      <c r="B399" s="7" t="inlineStr">
        <is>
          <t>Samana Manhattan</t>
        </is>
      </c>
      <c r="C399" t="inlineStr">
        <is>
          <t>Samana Developers</t>
        </is>
      </c>
      <c r="D399" t="inlineStr">
        <is>
          <t>JVC</t>
        </is>
      </c>
      <c r="E399" t="inlineStr">
        <is>
          <t>Apartments</t>
        </is>
      </c>
      <c r="F399" s="7" t="inlineStr">
        <is>
          <t>NY Style</t>
        </is>
      </c>
      <c r="G399" t="inlineStr">
        <is>
          <t>900k</t>
        </is>
      </c>
      <c r="H399" t="inlineStr">
        <is>
          <t>1300</t>
        </is>
      </c>
      <c r="I399" t="inlineStr">
        <is>
          <t>15</t>
        </is>
      </c>
      <c r="J399" t="inlineStr">
        <is>
          <t>1% Monthly</t>
        </is>
      </c>
      <c r="K399" t="inlineStr">
        <is>
          <t>2023</t>
        </is>
      </c>
      <c r="L399" t="inlineStr">
        <is>
          <t>7.5-8.0</t>
        </is>
      </c>
      <c r="M399" t="inlineStr">
        <is>
          <t>6-8</t>
        </is>
      </c>
      <c r="N399" t="inlineStr">
        <is>
          <t>13.5-16.0</t>
        </is>
      </c>
      <c r="O399" s="7" t="inlineStr">
        <is>
          <t>JSS International</t>
        </is>
      </c>
      <c r="P399" s="7" t="inlineStr">
        <is>
          <t>Saudi German Hospital</t>
        </is>
      </c>
      <c r="Q399" s="7" t="inlineStr">
        <is>
          <t>Circle Mall</t>
        </is>
      </c>
      <c r="R399" s="7" t="inlineStr">
        <is>
          <t>Hessa St / E44</t>
        </is>
      </c>
      <c r="S399" t="inlineStr">
        <is>
          <t>20</t>
        </is>
      </c>
      <c r="T399" t="inlineStr">
        <is>
          <t>15</t>
        </is>
      </c>
      <c r="U399" t="inlineStr">
        <is>
          <t>25</t>
        </is>
      </c>
      <c r="V399" t="inlineStr">
        <is>
          <t>30</t>
        </is>
      </c>
      <c r="W399" t="n">
        <v>2</v>
      </c>
      <c r="X399" s="12" t="n">
        <v>900000</v>
      </c>
      <c r="Y399" s="12" t="n">
        <v>900000</v>
      </c>
      <c r="Z399" s="9" t="n">
        <v>7.5</v>
      </c>
      <c r="AA399" s="9" t="n">
        <v>8</v>
      </c>
      <c r="AB399" s="9" t="n">
        <v>6</v>
      </c>
      <c r="AC399" s="9" t="n">
        <v>8</v>
      </c>
      <c r="AD399" s="9" t="n">
        <v>13.5</v>
      </c>
      <c r="AE399" s="9" t="n">
        <v>16</v>
      </c>
      <c r="AF399" t="n">
        <v>2023</v>
      </c>
      <c r="AH399" t="inlineStr">
        <is>
          <t>Apartment</t>
        </is>
      </c>
      <c r="AI399" t="inlineStr">
        <is>
          <t>SupplySensitiveApartment</t>
        </is>
      </c>
      <c r="AJ399" t="inlineStr">
        <is>
          <t>MidTier</t>
        </is>
      </c>
      <c r="AK399" t="inlineStr">
        <is>
          <t>Supply-sensitive / selective</t>
        </is>
      </c>
      <c r="AL399" s="7" t="inlineStr">
        <is>
          <t>Higher delivery risk in more price-sensitive apartment clusters; building selection and exit liquidity matter.</t>
        </is>
      </c>
      <c r="AM399" s="9" t="n">
        <v>7</v>
      </c>
      <c r="AN399" s="9" t="n">
        <v>7.75</v>
      </c>
      <c r="AO399" s="10" t="n">
        <v>0.55</v>
      </c>
      <c r="AP399" s="13" t="n">
        <v>0</v>
      </c>
      <c r="AQ399" s="13" t="n">
        <v>0</v>
      </c>
      <c r="AR399" s="13" t="n">
        <v>-0.01</v>
      </c>
      <c r="AS399" s="13" t="n">
        <v>-0.01</v>
      </c>
      <c r="AT399" s="13" t="n">
        <v>-0.005</v>
      </c>
      <c r="AU399" s="13" t="n">
        <v>0.0025</v>
      </c>
      <c r="AV399" s="13" t="n">
        <v>-0.005</v>
      </c>
      <c r="AW399" s="13">
        <f>IF(X399="","",(AM399/100*AO399)+AP399+AQ399+AR399)</f>
        <v/>
      </c>
      <c r="AX399" s="13">
        <f>IF(X399="","",AS399+AT399+AU399+AV399)</f>
        <v/>
      </c>
      <c r="AY399" s="12">
        <f>IF(AZ399="","",ROUND(AZ399*(1+Assumptions!$B$10),0))</f>
        <v/>
      </c>
      <c r="AZ399" s="12">
        <f>IF(X399="","",ROUND(X399*(1+AW399),0))</f>
        <v/>
      </c>
      <c r="BA399" s="12">
        <f>IF(AZ399="","",ROUND(AZ399*(1+Assumptions!$B$11),0))</f>
        <v/>
      </c>
      <c r="BB399" s="12">
        <f>IF(AZ399="","",ROUND(AZ399*(1+AX399+Assumptions!$B$10),0))</f>
        <v/>
      </c>
      <c r="BC399" s="12">
        <f>IF(AZ399="","",ROUND(AZ399*(1+AX399),0))</f>
        <v/>
      </c>
      <c r="BD399" s="12">
        <f>IF(AZ399="","",ROUND(AZ399*(1+AX399+Assumptions!$B$11),0))</f>
        <v/>
      </c>
      <c r="BE399" s="12">
        <f>IF(AZ399="","",ROUND(AZ399*(1+AX399)*(1+AX399),0))</f>
        <v/>
      </c>
      <c r="BF399" s="7" t="inlineStr">
        <is>
          <t>Rules-based enrichment using launch-price anchor, cap-app realization, and 2026 segment conditions.</t>
        </is>
      </c>
      <c r="BG399" t="inlineStr">
        <is>
          <t>2026-03-17</t>
        </is>
      </c>
      <c r="BH399" s="7" t="inlineStr">
        <is>
          <t>DLD / Digital Dubai / CBUAE / Savills / Knight Frank-Moody’s / Reuters</t>
        </is>
      </c>
    </row>
    <row r="400">
      <c r="A400" t="n">
        <v>399</v>
      </c>
      <c r="B400" s="7" t="inlineStr">
        <is>
          <t>Samana Skyros</t>
        </is>
      </c>
      <c r="C400" t="inlineStr">
        <is>
          <t>Samana Developers</t>
        </is>
      </c>
      <c r="D400" t="inlineStr">
        <is>
          <t>Arjan</t>
        </is>
      </c>
      <c r="E400" t="inlineStr">
        <is>
          <t>Apartments</t>
        </is>
      </c>
      <c r="F400" s="7" t="inlineStr">
        <is>
          <t>Greek Style</t>
        </is>
      </c>
      <c r="G400" t="inlineStr">
        <is>
          <t>900k</t>
        </is>
      </c>
      <c r="H400" t="inlineStr">
        <is>
          <t>1250</t>
        </is>
      </c>
      <c r="I400" t="inlineStr">
        <is>
          <t>15</t>
        </is>
      </c>
      <c r="J400" t="inlineStr">
        <is>
          <t>1% Monthly</t>
        </is>
      </c>
      <c r="K400" t="inlineStr">
        <is>
          <t>2023</t>
        </is>
      </c>
      <c r="L400" t="inlineStr">
        <is>
          <t>7.5-8.0</t>
        </is>
      </c>
      <c r="M400" t="inlineStr">
        <is>
          <t>6-8</t>
        </is>
      </c>
      <c r="N400" t="inlineStr">
        <is>
          <t>13.5-16.0</t>
        </is>
      </c>
      <c r="O400" s="7" t="inlineStr">
        <is>
          <t>Nord Anglia</t>
        </is>
      </c>
      <c r="P400" s="7" t="inlineStr">
        <is>
          <t>Mediclinic Parkview</t>
        </is>
      </c>
      <c r="Q400" s="7" t="inlineStr">
        <is>
          <t>Dubai Hills Mall</t>
        </is>
      </c>
      <c r="R400" s="7" t="inlineStr">
        <is>
          <t>Umm Suqeim / E311</t>
        </is>
      </c>
      <c r="S400" t="inlineStr">
        <is>
          <t>20</t>
        </is>
      </c>
      <c r="T400" t="inlineStr">
        <is>
          <t>20</t>
        </is>
      </c>
      <c r="U400" t="inlineStr">
        <is>
          <t>30</t>
        </is>
      </c>
      <c r="V400" t="inlineStr">
        <is>
          <t>25</t>
        </is>
      </c>
      <c r="W400" t="n">
        <v>2</v>
      </c>
      <c r="X400" s="12" t="n">
        <v>900000</v>
      </c>
      <c r="Y400" s="12" t="n">
        <v>900000</v>
      </c>
      <c r="Z400" s="9" t="n">
        <v>7.5</v>
      </c>
      <c r="AA400" s="9" t="n">
        <v>8</v>
      </c>
      <c r="AB400" s="9" t="n">
        <v>6</v>
      </c>
      <c r="AC400" s="9" t="n">
        <v>8</v>
      </c>
      <c r="AD400" s="9" t="n">
        <v>13.5</v>
      </c>
      <c r="AE400" s="9" t="n">
        <v>16</v>
      </c>
      <c r="AF400" t="n">
        <v>2023</v>
      </c>
      <c r="AH400" t="inlineStr">
        <is>
          <t>Apartment</t>
        </is>
      </c>
      <c r="AI400" t="inlineStr">
        <is>
          <t>SupplySensitiveApartment</t>
        </is>
      </c>
      <c r="AJ400" t="inlineStr">
        <is>
          <t>MidTier</t>
        </is>
      </c>
      <c r="AK400" t="inlineStr">
        <is>
          <t>Supply-sensitive / selective</t>
        </is>
      </c>
      <c r="AL400" s="7" t="inlineStr">
        <is>
          <t>Higher delivery risk in more price-sensitive apartment clusters; building selection and exit liquidity matter.</t>
        </is>
      </c>
      <c r="AM400" s="9" t="n">
        <v>7</v>
      </c>
      <c r="AN400" s="9" t="n">
        <v>7.75</v>
      </c>
      <c r="AO400" s="10" t="n">
        <v>0.55</v>
      </c>
      <c r="AP400" s="13" t="n">
        <v>0</v>
      </c>
      <c r="AQ400" s="13" t="n">
        <v>0</v>
      </c>
      <c r="AR400" s="13" t="n">
        <v>-0.01</v>
      </c>
      <c r="AS400" s="13" t="n">
        <v>-0.01</v>
      </c>
      <c r="AT400" s="13" t="n">
        <v>-0.005</v>
      </c>
      <c r="AU400" s="13" t="n">
        <v>0.0025</v>
      </c>
      <c r="AV400" s="13" t="n">
        <v>-0.005</v>
      </c>
      <c r="AW400" s="13">
        <f>IF(X400="","",(AM400/100*AO400)+AP400+AQ400+AR400)</f>
        <v/>
      </c>
      <c r="AX400" s="13">
        <f>IF(X400="","",AS400+AT400+AU400+AV400)</f>
        <v/>
      </c>
      <c r="AY400" s="12">
        <f>IF(AZ400="","",ROUND(AZ400*(1+Assumptions!$B$10),0))</f>
        <v/>
      </c>
      <c r="AZ400" s="12">
        <f>IF(X400="","",ROUND(X400*(1+AW400),0))</f>
        <v/>
      </c>
      <c r="BA400" s="12">
        <f>IF(AZ400="","",ROUND(AZ400*(1+Assumptions!$B$11),0))</f>
        <v/>
      </c>
      <c r="BB400" s="12">
        <f>IF(AZ400="","",ROUND(AZ400*(1+AX400+Assumptions!$B$10),0))</f>
        <v/>
      </c>
      <c r="BC400" s="12">
        <f>IF(AZ400="","",ROUND(AZ400*(1+AX400),0))</f>
        <v/>
      </c>
      <c r="BD400" s="12">
        <f>IF(AZ400="","",ROUND(AZ400*(1+AX400+Assumptions!$B$11),0))</f>
        <v/>
      </c>
      <c r="BE400" s="12">
        <f>IF(AZ400="","",ROUND(AZ400*(1+AX400)*(1+AX400),0))</f>
        <v/>
      </c>
      <c r="BF400" s="7" t="inlineStr">
        <is>
          <t>Rules-based enrichment using launch-price anchor, cap-app realization, and 2026 segment conditions.</t>
        </is>
      </c>
      <c r="BG400" t="inlineStr">
        <is>
          <t>2026-03-17</t>
        </is>
      </c>
      <c r="BH400" s="7" t="inlineStr">
        <is>
          <t>DLD / Digital Dubai / CBUAE / Savills / Knight Frank-Moody’s / Reuters</t>
        </is>
      </c>
    </row>
    <row r="401">
      <c r="A401" t="n">
        <v>400</v>
      </c>
      <c r="B401" s="7" t="inlineStr">
        <is>
          <t>Samana Lake Views</t>
        </is>
      </c>
      <c r="C401" t="inlineStr">
        <is>
          <t>Samana Developers</t>
        </is>
      </c>
      <c r="D401" t="inlineStr">
        <is>
          <t>Dubai Production City</t>
        </is>
      </c>
      <c r="E401" t="inlineStr">
        <is>
          <t>Apartments</t>
        </is>
      </c>
      <c r="F401" s="7" t="inlineStr">
        <is>
          <t>Lake / Budget</t>
        </is>
      </c>
      <c r="G401" t="inlineStr">
        <is>
          <t>800k</t>
        </is>
      </c>
      <c r="H401" t="inlineStr">
        <is>
          <t>1100</t>
        </is>
      </c>
      <c r="I401" t="inlineStr">
        <is>
          <t>15</t>
        </is>
      </c>
      <c r="J401" t="inlineStr">
        <is>
          <t>1% Monthly</t>
        </is>
      </c>
      <c r="K401" t="inlineStr">
        <is>
          <t>2024</t>
        </is>
      </c>
      <c r="L401" t="inlineStr">
        <is>
          <t>7.5-8.5</t>
        </is>
      </c>
      <c r="M401" t="inlineStr">
        <is>
          <t>5-7</t>
        </is>
      </c>
      <c r="N401" t="inlineStr">
        <is>
          <t>12.5-15.5</t>
        </is>
      </c>
      <c r="O401" s="7" t="inlineStr">
        <is>
          <t>Sunmarke School</t>
        </is>
      </c>
      <c r="P401" s="7" t="inlineStr">
        <is>
          <t>NMC Royal DIP</t>
        </is>
      </c>
      <c r="Q401" s="7" t="inlineStr">
        <is>
          <t>City Centre Me'aisem</t>
        </is>
      </c>
      <c r="R401" s="7" t="inlineStr">
        <is>
          <t>E311 / Yalayis</t>
        </is>
      </c>
      <c r="S401" t="inlineStr">
        <is>
          <t>25</t>
        </is>
      </c>
      <c r="T401" t="inlineStr">
        <is>
          <t>20</t>
        </is>
      </c>
      <c r="U401" t="inlineStr">
        <is>
          <t>30</t>
        </is>
      </c>
      <c r="V401" t="inlineStr">
        <is>
          <t>25</t>
        </is>
      </c>
      <c r="W401" t="n">
        <v>2</v>
      </c>
      <c r="X401" s="12" t="n">
        <v>800000</v>
      </c>
      <c r="Y401" s="12" t="n">
        <v>800000</v>
      </c>
      <c r="Z401" s="9" t="n">
        <v>7.5</v>
      </c>
      <c r="AA401" s="9" t="n">
        <v>8.5</v>
      </c>
      <c r="AB401" s="9" t="n">
        <v>5</v>
      </c>
      <c r="AC401" s="9" t="n">
        <v>7</v>
      </c>
      <c r="AD401" s="9" t="n">
        <v>12.5</v>
      </c>
      <c r="AE401" s="9" t="n">
        <v>15.5</v>
      </c>
      <c r="AF401" t="n">
        <v>2024</v>
      </c>
      <c r="AH401" t="inlineStr">
        <is>
          <t>Apartment</t>
        </is>
      </c>
      <c r="AI401" t="inlineStr">
        <is>
          <t>MainstreamSelective</t>
        </is>
      </c>
      <c r="AJ401" t="inlineStr">
        <is>
          <t>MidTier</t>
        </is>
      </c>
      <c r="AK401" t="inlineStr">
        <is>
          <t>Balanced / selective</t>
        </is>
      </c>
      <c r="AL401" s="7" t="inlineStr">
        <is>
          <t>Market remains active but increasingly differentiated by developer, micro-location, livability, and pricing discipline.</t>
        </is>
      </c>
      <c r="AM401" s="9" t="n">
        <v>6</v>
      </c>
      <c r="AN401" s="9" t="n">
        <v>8</v>
      </c>
      <c r="AO401" s="10" t="n">
        <v>0.55</v>
      </c>
      <c r="AP401" s="13" t="n">
        <v>0</v>
      </c>
      <c r="AQ401" s="13" t="n">
        <v>0</v>
      </c>
      <c r="AR401" s="13" t="n">
        <v>0</v>
      </c>
      <c r="AS401" s="13" t="n">
        <v>0.01</v>
      </c>
      <c r="AT401" s="13" t="n">
        <v>-0.005</v>
      </c>
      <c r="AU401" s="13" t="n">
        <v>0.0025</v>
      </c>
      <c r="AV401" s="13" t="n">
        <v>-0.005</v>
      </c>
      <c r="AW401" s="13">
        <f>IF(X401="","",(AM401/100*AO401)+AP401+AQ401+AR401)</f>
        <v/>
      </c>
      <c r="AX401" s="13">
        <f>IF(X401="","",AS401+AT401+AU401+AV401)</f>
        <v/>
      </c>
      <c r="AY401" s="12">
        <f>IF(AZ401="","",ROUND(AZ401*(1+Assumptions!$B$10),0))</f>
        <v/>
      </c>
      <c r="AZ401" s="12">
        <f>IF(X401="","",ROUND(X401*(1+AW401),0))</f>
        <v/>
      </c>
      <c r="BA401" s="12">
        <f>IF(AZ401="","",ROUND(AZ401*(1+Assumptions!$B$11),0))</f>
        <v/>
      </c>
      <c r="BB401" s="12">
        <f>IF(AZ401="","",ROUND(AZ401*(1+AX401+Assumptions!$B$10),0))</f>
        <v/>
      </c>
      <c r="BC401" s="12">
        <f>IF(AZ401="","",ROUND(AZ401*(1+AX401),0))</f>
        <v/>
      </c>
      <c r="BD401" s="12">
        <f>IF(AZ401="","",ROUND(AZ401*(1+AX401+Assumptions!$B$11),0))</f>
        <v/>
      </c>
      <c r="BE401" s="12">
        <f>IF(AZ401="","",ROUND(AZ401*(1+AX401)*(1+AX401),0))</f>
        <v/>
      </c>
      <c r="BF401" s="7" t="inlineStr">
        <is>
          <t>Rules-based enrichment using launch-price anchor, cap-app realization, and 2026 segment conditions.</t>
        </is>
      </c>
      <c r="BG401" t="inlineStr">
        <is>
          <t>2026-03-17</t>
        </is>
      </c>
      <c r="BH401" s="7" t="inlineStr">
        <is>
          <t>DLD / Digital Dubai / CBUAE / Savills / Knight Frank-Moody’s / Reuters</t>
        </is>
      </c>
    </row>
    <row r="402">
      <c r="A402" t="n">
        <v>401</v>
      </c>
      <c r="B402" s="7" t="inlineStr">
        <is>
          <t>Samana Ibiza</t>
        </is>
      </c>
      <c r="C402" t="inlineStr">
        <is>
          <t>Samana Developers</t>
        </is>
      </c>
      <c r="D402" t="inlineStr">
        <is>
          <t>Dubailand</t>
        </is>
      </c>
      <c r="E402" t="inlineStr">
        <is>
          <t>Apartments</t>
        </is>
      </c>
      <c r="F402" s="7" t="inlineStr">
        <is>
          <t>Party / Pool</t>
        </is>
      </c>
      <c r="G402" t="inlineStr">
        <is>
          <t>1.0M</t>
        </is>
      </c>
      <c r="H402" t="inlineStr">
        <is>
          <t>1200</t>
        </is>
      </c>
      <c r="I402" t="inlineStr">
        <is>
          <t>15</t>
        </is>
      </c>
      <c r="J402" t="inlineStr">
        <is>
          <t>1% Monthly</t>
        </is>
      </c>
      <c r="K402" t="inlineStr">
        <is>
          <t>2024</t>
        </is>
      </c>
      <c r="L402" t="inlineStr">
        <is>
          <t>7.0-7.5</t>
        </is>
      </c>
      <c r="M402" t="inlineStr">
        <is>
          <t>6-8</t>
        </is>
      </c>
      <c r="N402" t="inlineStr">
        <is>
          <t>13.0-15.5</t>
        </is>
      </c>
      <c r="O402" s="7" t="inlineStr">
        <is>
          <t>GEMS Winchester</t>
        </is>
      </c>
      <c r="P402" s="7" t="inlineStr">
        <is>
          <t>Fakeeh University Hosp</t>
        </is>
      </c>
      <c r="Q402" s="7" t="inlineStr">
        <is>
          <t>Dubai Outlet Mall</t>
        </is>
      </c>
      <c r="R402" s="7" t="inlineStr">
        <is>
          <t>E611 / Al Ain Rd</t>
        </is>
      </c>
      <c r="S402" t="inlineStr">
        <is>
          <t>20</t>
        </is>
      </c>
      <c r="T402" t="inlineStr">
        <is>
          <t>25</t>
        </is>
      </c>
      <c r="U402" t="inlineStr">
        <is>
          <t>25</t>
        </is>
      </c>
      <c r="V402" t="inlineStr">
        <is>
          <t>30</t>
        </is>
      </c>
      <c r="W402" t="n">
        <v>2</v>
      </c>
      <c r="X402" s="12" t="n">
        <v>1000000</v>
      </c>
      <c r="Y402" s="12" t="n">
        <v>1000000</v>
      </c>
      <c r="Z402" s="9" t="n">
        <v>7</v>
      </c>
      <c r="AA402" s="9" t="n">
        <v>7.5</v>
      </c>
      <c r="AB402" s="9" t="n">
        <v>6</v>
      </c>
      <c r="AC402" s="9" t="n">
        <v>8</v>
      </c>
      <c r="AD402" s="9" t="n">
        <v>13</v>
      </c>
      <c r="AE402" s="9" t="n">
        <v>15.5</v>
      </c>
      <c r="AF402" t="n">
        <v>2024</v>
      </c>
      <c r="AH402" t="inlineStr">
        <is>
          <t>Apartment</t>
        </is>
      </c>
      <c r="AI402" t="inlineStr">
        <is>
          <t>SupplySensitiveApartment</t>
        </is>
      </c>
      <c r="AJ402" t="inlineStr">
        <is>
          <t>MidTier</t>
        </is>
      </c>
      <c r="AK402" t="inlineStr">
        <is>
          <t>Supply-sensitive / selective</t>
        </is>
      </c>
      <c r="AL402" s="7" t="inlineStr">
        <is>
          <t>Higher delivery risk in more price-sensitive apartment clusters; building selection and exit liquidity matter.</t>
        </is>
      </c>
      <c r="AM402" s="9" t="n">
        <v>7</v>
      </c>
      <c r="AN402" s="9" t="n">
        <v>7.25</v>
      </c>
      <c r="AO402" s="10" t="n">
        <v>0.55</v>
      </c>
      <c r="AP402" s="13" t="n">
        <v>0</v>
      </c>
      <c r="AQ402" s="13" t="n">
        <v>0</v>
      </c>
      <c r="AR402" s="13" t="n">
        <v>-0.01</v>
      </c>
      <c r="AS402" s="13" t="n">
        <v>-0.01</v>
      </c>
      <c r="AT402" s="13" t="n">
        <v>-0.005</v>
      </c>
      <c r="AU402" s="13" t="n">
        <v>0.0025</v>
      </c>
      <c r="AV402" s="13" t="n">
        <v>-0.005</v>
      </c>
      <c r="AW402" s="13">
        <f>IF(X402="","",(AM402/100*AO402)+AP402+AQ402+AR402)</f>
        <v/>
      </c>
      <c r="AX402" s="13">
        <f>IF(X402="","",AS402+AT402+AU402+AV402)</f>
        <v/>
      </c>
      <c r="AY402" s="12">
        <f>IF(AZ402="","",ROUND(AZ402*(1+Assumptions!$B$10),0))</f>
        <v/>
      </c>
      <c r="AZ402" s="12">
        <f>IF(X402="","",ROUND(X402*(1+AW402),0))</f>
        <v/>
      </c>
      <c r="BA402" s="12">
        <f>IF(AZ402="","",ROUND(AZ402*(1+Assumptions!$B$11),0))</f>
        <v/>
      </c>
      <c r="BB402" s="12">
        <f>IF(AZ402="","",ROUND(AZ402*(1+AX402+Assumptions!$B$10),0))</f>
        <v/>
      </c>
      <c r="BC402" s="12">
        <f>IF(AZ402="","",ROUND(AZ402*(1+AX402),0))</f>
        <v/>
      </c>
      <c r="BD402" s="12">
        <f>IF(AZ402="","",ROUND(AZ402*(1+AX402+Assumptions!$B$11),0))</f>
        <v/>
      </c>
      <c r="BE402" s="12">
        <f>IF(AZ402="","",ROUND(AZ402*(1+AX402)*(1+AX402),0))</f>
        <v/>
      </c>
      <c r="BF402" s="7" t="inlineStr">
        <is>
          <t>Rules-based enrichment using launch-price anchor, cap-app realization, and 2026 segment conditions.</t>
        </is>
      </c>
      <c r="BG402" t="inlineStr">
        <is>
          <t>2026-03-17</t>
        </is>
      </c>
      <c r="BH402" s="7" t="inlineStr">
        <is>
          <t>DLD / Digital Dubai / CBUAE / Savills / Knight Frank-Moody’s / Reuters</t>
        </is>
      </c>
    </row>
    <row r="403">
      <c r="A403" t="n">
        <v>402</v>
      </c>
      <c r="B403" s="7" t="inlineStr">
        <is>
          <t>Samana Rome</t>
        </is>
      </c>
      <c r="C403" t="inlineStr">
        <is>
          <t>Samana Developers</t>
        </is>
      </c>
      <c r="D403" t="inlineStr">
        <is>
          <t>Meydan</t>
        </is>
      </c>
      <c r="E403" t="inlineStr">
        <is>
          <t>Apartments</t>
        </is>
      </c>
      <c r="F403" s="7" t="inlineStr">
        <is>
          <t>Classic / Pool</t>
        </is>
      </c>
      <c r="G403" t="inlineStr">
        <is>
          <t>1.2M</t>
        </is>
      </c>
      <c r="H403" t="inlineStr">
        <is>
          <t>1400</t>
        </is>
      </c>
      <c r="I403" t="inlineStr">
        <is>
          <t>16</t>
        </is>
      </c>
      <c r="J403" t="inlineStr">
        <is>
          <t>1% Monthly</t>
        </is>
      </c>
      <c r="K403" t="inlineStr">
        <is>
          <t>2024</t>
        </is>
      </c>
      <c r="L403" t="inlineStr">
        <is>
          <t>6.5-7.0</t>
        </is>
      </c>
      <c r="M403" t="inlineStr">
        <is>
          <t>6-8</t>
        </is>
      </c>
      <c r="N403" t="inlineStr">
        <is>
          <t>12.5-15.0</t>
        </is>
      </c>
      <c r="O403" s="7" t="inlineStr">
        <is>
          <t>Hartland Intl</t>
        </is>
      </c>
      <c r="P403" s="7" t="inlineStr">
        <is>
          <t>American Hospital</t>
        </is>
      </c>
      <c r="Q403" s="7" t="inlineStr">
        <is>
          <t>Dubai Mall</t>
        </is>
      </c>
      <c r="R403" s="7" t="inlineStr">
        <is>
          <t>Ras Al Khor / E44</t>
        </is>
      </c>
      <c r="S403" t="inlineStr">
        <is>
          <t>12</t>
        </is>
      </c>
      <c r="T403" t="inlineStr">
        <is>
          <t>25</t>
        </is>
      </c>
      <c r="U403" t="inlineStr">
        <is>
          <t>15</t>
        </is>
      </c>
      <c r="V403" t="inlineStr">
        <is>
          <t>40</t>
        </is>
      </c>
      <c r="W403" t="n">
        <v>2</v>
      </c>
      <c r="X403" s="12" t="n">
        <v>1200000</v>
      </c>
      <c r="Y403" s="12" t="n">
        <v>1200000</v>
      </c>
      <c r="Z403" s="9" t="n">
        <v>6.5</v>
      </c>
      <c r="AA403" s="9" t="n">
        <v>7</v>
      </c>
      <c r="AB403" s="9" t="n">
        <v>6</v>
      </c>
      <c r="AC403" s="9" t="n">
        <v>8</v>
      </c>
      <c r="AD403" s="9" t="n">
        <v>12.5</v>
      </c>
      <c r="AE403" s="9" t="n">
        <v>15</v>
      </c>
      <c r="AF403" t="n">
        <v>2024</v>
      </c>
      <c r="AH403" t="inlineStr">
        <is>
          <t>Apartment</t>
        </is>
      </c>
      <c r="AI403" t="inlineStr">
        <is>
          <t>MainstreamSelective</t>
        </is>
      </c>
      <c r="AJ403" t="inlineStr">
        <is>
          <t>MidTier</t>
        </is>
      </c>
      <c r="AK403" t="inlineStr">
        <is>
          <t>Balanced / selective</t>
        </is>
      </c>
      <c r="AL403" s="7" t="inlineStr">
        <is>
          <t>Market remains active but increasingly differentiated by developer, micro-location, livability, and pricing discipline.</t>
        </is>
      </c>
      <c r="AM403" s="9" t="n">
        <v>7</v>
      </c>
      <c r="AN403" s="9" t="n">
        <v>6.75</v>
      </c>
      <c r="AO403" s="10" t="n">
        <v>0.55</v>
      </c>
      <c r="AP403" s="13" t="n">
        <v>0</v>
      </c>
      <c r="AQ403" s="13" t="n">
        <v>0</v>
      </c>
      <c r="AR403" s="13" t="n">
        <v>0</v>
      </c>
      <c r="AS403" s="13" t="n">
        <v>0.01</v>
      </c>
      <c r="AT403" s="13" t="n">
        <v>-0.005</v>
      </c>
      <c r="AU403" s="13" t="n">
        <v>0.0025</v>
      </c>
      <c r="AV403" s="13" t="n">
        <v>-0.005</v>
      </c>
      <c r="AW403" s="13">
        <f>IF(X403="","",(AM403/100*AO403)+AP403+AQ403+AR403)</f>
        <v/>
      </c>
      <c r="AX403" s="13">
        <f>IF(X403="","",AS403+AT403+AU403+AV403)</f>
        <v/>
      </c>
      <c r="AY403" s="12">
        <f>IF(AZ403="","",ROUND(AZ403*(1+Assumptions!$B$10),0))</f>
        <v/>
      </c>
      <c r="AZ403" s="12">
        <f>IF(X403="","",ROUND(X403*(1+AW403),0))</f>
        <v/>
      </c>
      <c r="BA403" s="12">
        <f>IF(AZ403="","",ROUND(AZ403*(1+Assumptions!$B$11),0))</f>
        <v/>
      </c>
      <c r="BB403" s="12">
        <f>IF(AZ403="","",ROUND(AZ403*(1+AX403+Assumptions!$B$10),0))</f>
        <v/>
      </c>
      <c r="BC403" s="12">
        <f>IF(AZ403="","",ROUND(AZ403*(1+AX403),0))</f>
        <v/>
      </c>
      <c r="BD403" s="12">
        <f>IF(AZ403="","",ROUND(AZ403*(1+AX403+Assumptions!$B$11),0))</f>
        <v/>
      </c>
      <c r="BE403" s="12">
        <f>IF(AZ403="","",ROUND(AZ403*(1+AX403)*(1+AX403),0))</f>
        <v/>
      </c>
      <c r="BF403" s="7" t="inlineStr">
        <is>
          <t>Rules-based enrichment using launch-price anchor, cap-app realization, and 2026 segment conditions.</t>
        </is>
      </c>
      <c r="BG403" t="inlineStr">
        <is>
          <t>2026-03-17</t>
        </is>
      </c>
      <c r="BH403" s="7" t="inlineStr">
        <is>
          <t>DLD / Digital Dubai / CBUAE / Savills / Knight Frank-Moody’s / Reuters</t>
        </is>
      </c>
    </row>
    <row r="404">
      <c r="A404" t="n">
        <v>403</v>
      </c>
      <c r="B404" s="7" t="inlineStr">
        <is>
          <t>Samana Avenue</t>
        </is>
      </c>
      <c r="C404" t="inlineStr">
        <is>
          <t>Samana Developers</t>
        </is>
      </c>
      <c r="D404" t="inlineStr">
        <is>
          <t>Dubailand</t>
        </is>
      </c>
      <c r="E404" t="inlineStr">
        <is>
          <t>Apartments</t>
        </is>
      </c>
      <c r="F404" s="7" t="inlineStr">
        <is>
          <t>Family / Pool</t>
        </is>
      </c>
      <c r="G404" t="inlineStr">
        <is>
          <t>950k</t>
        </is>
      </c>
      <c r="H404" t="inlineStr">
        <is>
          <t>1100</t>
        </is>
      </c>
      <c r="I404" t="inlineStr">
        <is>
          <t>15</t>
        </is>
      </c>
      <c r="J404" t="inlineStr">
        <is>
          <t>1% Monthly</t>
        </is>
      </c>
      <c r="K404" t="inlineStr">
        <is>
          <t>2024</t>
        </is>
      </c>
      <c r="L404" t="inlineStr">
        <is>
          <t>7.0-7.5</t>
        </is>
      </c>
      <c r="M404" t="inlineStr">
        <is>
          <t>6-8</t>
        </is>
      </c>
      <c r="N404" t="inlineStr">
        <is>
          <t>13.0-15.5</t>
        </is>
      </c>
      <c r="O404" s="7" t="inlineStr">
        <is>
          <t>GEMS Winchester</t>
        </is>
      </c>
      <c r="P404" s="7" t="inlineStr">
        <is>
          <t>Fakeeh University Hosp</t>
        </is>
      </c>
      <c r="Q404" s="7" t="inlineStr">
        <is>
          <t>Dubai Outlet Mall</t>
        </is>
      </c>
      <c r="R404" s="7" t="inlineStr">
        <is>
          <t>E611 / Al Ain Rd</t>
        </is>
      </c>
      <c r="S404" t="inlineStr">
        <is>
          <t>20</t>
        </is>
      </c>
      <c r="T404" t="inlineStr">
        <is>
          <t>25</t>
        </is>
      </c>
      <c r="U404" t="inlineStr">
        <is>
          <t>25</t>
        </is>
      </c>
      <c r="V404" t="inlineStr">
        <is>
          <t>30</t>
        </is>
      </c>
      <c r="W404" t="n">
        <v>2</v>
      </c>
      <c r="X404" s="12" t="n">
        <v>950000</v>
      </c>
      <c r="Y404" s="12" t="n">
        <v>950000</v>
      </c>
      <c r="Z404" s="9" t="n">
        <v>7</v>
      </c>
      <c r="AA404" s="9" t="n">
        <v>7.5</v>
      </c>
      <c r="AB404" s="9" t="n">
        <v>6</v>
      </c>
      <c r="AC404" s="9" t="n">
        <v>8</v>
      </c>
      <c r="AD404" s="9" t="n">
        <v>13</v>
      </c>
      <c r="AE404" s="9" t="n">
        <v>15.5</v>
      </c>
      <c r="AF404" t="n">
        <v>2024</v>
      </c>
      <c r="AH404" t="inlineStr">
        <is>
          <t>Apartment</t>
        </is>
      </c>
      <c r="AI404" t="inlineStr">
        <is>
          <t>SupplySensitiveApartment</t>
        </is>
      </c>
      <c r="AJ404" t="inlineStr">
        <is>
          <t>MidTier</t>
        </is>
      </c>
      <c r="AK404" t="inlineStr">
        <is>
          <t>Supply-sensitive / selective</t>
        </is>
      </c>
      <c r="AL404" s="7" t="inlineStr">
        <is>
          <t>Higher delivery risk in more price-sensitive apartment clusters; building selection and exit liquidity matter.</t>
        </is>
      </c>
      <c r="AM404" s="9" t="n">
        <v>7</v>
      </c>
      <c r="AN404" s="9" t="n">
        <v>7.25</v>
      </c>
      <c r="AO404" s="10" t="n">
        <v>0.55</v>
      </c>
      <c r="AP404" s="13" t="n">
        <v>0</v>
      </c>
      <c r="AQ404" s="13" t="n">
        <v>0</v>
      </c>
      <c r="AR404" s="13" t="n">
        <v>-0.01</v>
      </c>
      <c r="AS404" s="13" t="n">
        <v>-0.01</v>
      </c>
      <c r="AT404" s="13" t="n">
        <v>-0.005</v>
      </c>
      <c r="AU404" s="13" t="n">
        <v>0.0025</v>
      </c>
      <c r="AV404" s="13" t="n">
        <v>-0.005</v>
      </c>
      <c r="AW404" s="13">
        <f>IF(X404="","",(AM404/100*AO404)+AP404+AQ404+AR404)</f>
        <v/>
      </c>
      <c r="AX404" s="13">
        <f>IF(X404="","",AS404+AT404+AU404+AV404)</f>
        <v/>
      </c>
      <c r="AY404" s="12">
        <f>IF(AZ404="","",ROUND(AZ404*(1+Assumptions!$B$10),0))</f>
        <v/>
      </c>
      <c r="AZ404" s="12">
        <f>IF(X404="","",ROUND(X404*(1+AW404),0))</f>
        <v/>
      </c>
      <c r="BA404" s="12">
        <f>IF(AZ404="","",ROUND(AZ404*(1+Assumptions!$B$11),0))</f>
        <v/>
      </c>
      <c r="BB404" s="12">
        <f>IF(AZ404="","",ROUND(AZ404*(1+AX404+Assumptions!$B$10),0))</f>
        <v/>
      </c>
      <c r="BC404" s="12">
        <f>IF(AZ404="","",ROUND(AZ404*(1+AX404),0))</f>
        <v/>
      </c>
      <c r="BD404" s="12">
        <f>IF(AZ404="","",ROUND(AZ404*(1+AX404+Assumptions!$B$11),0))</f>
        <v/>
      </c>
      <c r="BE404" s="12">
        <f>IF(AZ404="","",ROUND(AZ404*(1+AX404)*(1+AX404),0))</f>
        <v/>
      </c>
      <c r="BF404" s="7" t="inlineStr">
        <is>
          <t>Rules-based enrichment using launch-price anchor, cap-app realization, and 2026 segment conditions.</t>
        </is>
      </c>
      <c r="BG404" t="inlineStr">
        <is>
          <t>2026-03-17</t>
        </is>
      </c>
      <c r="BH404" s="7" t="inlineStr">
        <is>
          <t>DLD / Digital Dubai / CBUAE / Savills / Knight Frank-Moody’s / Reuters</t>
        </is>
      </c>
    </row>
    <row r="405">
      <c r="A405" t="n">
        <v>404</v>
      </c>
      <c r="B405" s="7" t="inlineStr">
        <is>
          <t>Keturah Reserve</t>
        </is>
      </c>
      <c r="C405" t="inlineStr">
        <is>
          <t>MAG Property Development</t>
        </is>
      </c>
      <c r="D405" t="inlineStr">
        <is>
          <t>MBR City (District 7)</t>
        </is>
      </c>
      <c r="E405" t="inlineStr">
        <is>
          <t>Villas &amp; Apts</t>
        </is>
      </c>
      <c r="F405" s="7" t="inlineStr">
        <is>
          <t>Bio-Living / Luxury</t>
        </is>
      </c>
      <c r="G405" t="inlineStr">
        <is>
          <t>3.5M (Apt) / 10M+ (Villa)</t>
        </is>
      </c>
      <c r="H405" t="inlineStr">
        <is>
          <t>2200</t>
        </is>
      </c>
      <c r="I405" t="inlineStr">
        <is>
          <t>20</t>
        </is>
      </c>
      <c r="J405" t="inlineStr">
        <is>
          <t>60/40</t>
        </is>
      </c>
      <c r="K405" t="inlineStr">
        <is>
          <t>2022</t>
        </is>
      </c>
      <c r="L405" t="inlineStr">
        <is>
          <t>5.5-6.0</t>
        </is>
      </c>
      <c r="M405" t="inlineStr">
        <is>
          <t>8-10</t>
        </is>
      </c>
      <c r="N405" t="inlineStr">
        <is>
          <t>13.5-16.0</t>
        </is>
      </c>
      <c r="O405" s="7" t="inlineStr">
        <is>
          <t>Hartland Intl</t>
        </is>
      </c>
      <c r="P405" s="7" t="inlineStr">
        <is>
          <t>American Hospital</t>
        </is>
      </c>
      <c r="Q405" s="7" t="inlineStr">
        <is>
          <t>Dubai Mall</t>
        </is>
      </c>
      <c r="R405" s="7" t="inlineStr">
        <is>
          <t>Ras Al Khor / E44</t>
        </is>
      </c>
      <c r="S405" t="inlineStr">
        <is>
          <t>12</t>
        </is>
      </c>
      <c r="T405" t="inlineStr">
        <is>
          <t>25</t>
        </is>
      </c>
      <c r="U405" t="inlineStr">
        <is>
          <t>15</t>
        </is>
      </c>
      <c r="V405" t="inlineStr">
        <is>
          <t>40</t>
        </is>
      </c>
      <c r="W405" t="n">
        <v>2</v>
      </c>
      <c r="X405" s="12" t="n">
        <v>3500000</v>
      </c>
      <c r="Y405" s="12" t="n">
        <v>10000000</v>
      </c>
      <c r="Z405" s="9" t="n">
        <v>5.5</v>
      </c>
      <c r="AA405" s="9" t="n">
        <v>6</v>
      </c>
      <c r="AB405" s="9" t="n">
        <v>8</v>
      </c>
      <c r="AC405" s="9" t="n">
        <v>10</v>
      </c>
      <c r="AD405" s="9" t="n">
        <v>13.5</v>
      </c>
      <c r="AE405" s="9" t="n">
        <v>16</v>
      </c>
      <c r="AF405" t="n">
        <v>2022</v>
      </c>
      <c r="AH405" t="inlineStr">
        <is>
          <t>Villa</t>
        </is>
      </c>
      <c r="AI405" t="inlineStr">
        <is>
          <t>MainstreamSelective</t>
        </is>
      </c>
      <c r="AJ405" t="inlineStr">
        <is>
          <t>MidTier</t>
        </is>
      </c>
      <c r="AK405" t="inlineStr">
        <is>
          <t>Family-villa resilient</t>
        </is>
      </c>
      <c r="AL405" s="7" t="inlineStr">
        <is>
          <t>Villa/townhouse demand remains relatively firmer, though growth should be slower than the post-2020 surge.</t>
        </is>
      </c>
      <c r="AM405" s="9" t="n">
        <v>9</v>
      </c>
      <c r="AN405" s="9" t="n">
        <v>5.75</v>
      </c>
      <c r="AO405" s="10" t="n">
        <v>0.55</v>
      </c>
      <c r="AP405" s="13" t="n">
        <v>0</v>
      </c>
      <c r="AQ405" s="13" t="n">
        <v>0.015</v>
      </c>
      <c r="AR405" s="13" t="n">
        <v>0</v>
      </c>
      <c r="AS405" s="13" t="n">
        <v>0.025</v>
      </c>
      <c r="AT405" s="13" t="n">
        <v>-0.005</v>
      </c>
      <c r="AU405" s="13" t="n">
        <v>0</v>
      </c>
      <c r="AV405" s="13" t="n">
        <v>-0.005</v>
      </c>
      <c r="AW405" s="13">
        <f>IF(X405="","",(AM405/100*AO405)+AP405+AQ405+AR405)</f>
        <v/>
      </c>
      <c r="AX405" s="13">
        <f>IF(X405="","",AS405+AT405+AU405+AV405)</f>
        <v/>
      </c>
      <c r="AY405" s="12">
        <f>IF(AZ405="","",ROUND(AZ405*(1+Assumptions!$B$10),0))</f>
        <v/>
      </c>
      <c r="AZ405" s="12">
        <f>IF(X405="","",ROUND(X405*(1+AW405),0))</f>
        <v/>
      </c>
      <c r="BA405" s="12">
        <f>IF(AZ405="","",ROUND(AZ405*(1+Assumptions!$B$11),0))</f>
        <v/>
      </c>
      <c r="BB405" s="12">
        <f>IF(AZ405="","",ROUND(AZ405*(1+AX405+Assumptions!$B$10),0))</f>
        <v/>
      </c>
      <c r="BC405" s="12">
        <f>IF(AZ405="","",ROUND(AZ405*(1+AX405),0))</f>
        <v/>
      </c>
      <c r="BD405" s="12">
        <f>IF(AZ405="","",ROUND(AZ405*(1+AX405+Assumptions!$B$11),0))</f>
        <v/>
      </c>
      <c r="BE405" s="12">
        <f>IF(AZ405="","",ROUND(AZ405*(1+AX405)*(1+AX405),0))</f>
        <v/>
      </c>
      <c r="BF405" s="7" t="inlineStr">
        <is>
          <t>Rules-based enrichment using launch-price anchor, cap-app realization, and 2026 segment conditions.</t>
        </is>
      </c>
      <c r="BG405" t="inlineStr">
        <is>
          <t>2026-03-17</t>
        </is>
      </c>
      <c r="BH405" s="7" t="inlineStr">
        <is>
          <t>DLD / Digital Dubai / CBUAE / Savills / Knight Frank-Moody’s / Reuters</t>
        </is>
      </c>
    </row>
    <row r="406">
      <c r="A406" t="n">
        <v>405</v>
      </c>
      <c r="B406" s="7" t="inlineStr">
        <is>
          <t>MAG City</t>
        </is>
      </c>
      <c r="C406" t="inlineStr">
        <is>
          <t>MAG Property Development</t>
        </is>
      </c>
      <c r="D406" t="inlineStr">
        <is>
          <t>MBR City (District 7)</t>
        </is>
      </c>
      <c r="E406" t="inlineStr">
        <is>
          <t>Townhouses &amp; Apts</t>
        </is>
      </c>
      <c r="F406" s="7" t="inlineStr">
        <is>
          <t>Gated / City</t>
        </is>
      </c>
      <c r="G406" t="inlineStr">
        <is>
          <t>1.2M</t>
        </is>
      </c>
      <c r="H406" t="inlineStr">
        <is>
          <t>1300</t>
        </is>
      </c>
      <c r="I406" t="inlineStr">
        <is>
          <t>15</t>
        </is>
      </c>
      <c r="J406" t="inlineStr">
        <is>
          <t>60/40</t>
        </is>
      </c>
      <c r="K406" t="inlineStr">
        <is>
          <t>2019</t>
        </is>
      </c>
      <c r="L406" t="inlineStr">
        <is>
          <t>6.5-7.0</t>
        </is>
      </c>
      <c r="M406" t="inlineStr">
        <is>
          <t>6-8</t>
        </is>
      </c>
      <c r="N406" t="inlineStr">
        <is>
          <t>12.5-15.0</t>
        </is>
      </c>
      <c r="O406" s="7" t="inlineStr">
        <is>
          <t>Hartland Intl</t>
        </is>
      </c>
      <c r="P406" s="7" t="inlineStr">
        <is>
          <t>American Hospital</t>
        </is>
      </c>
      <c r="Q406" s="7" t="inlineStr">
        <is>
          <t>Dubai Mall</t>
        </is>
      </c>
      <c r="R406" s="7" t="inlineStr">
        <is>
          <t>Ras Al Khor / E44</t>
        </is>
      </c>
      <c r="S406" t="inlineStr">
        <is>
          <t>12</t>
        </is>
      </c>
      <c r="T406" t="inlineStr">
        <is>
          <t>25</t>
        </is>
      </c>
      <c r="U406" t="inlineStr">
        <is>
          <t>15</t>
        </is>
      </c>
      <c r="V406" t="inlineStr">
        <is>
          <t>40</t>
        </is>
      </c>
      <c r="W406" t="n">
        <v>2</v>
      </c>
      <c r="X406" s="12" t="n">
        <v>1200000</v>
      </c>
      <c r="Y406" s="12" t="n">
        <v>1200000</v>
      </c>
      <c r="Z406" s="9" t="n">
        <v>6.5</v>
      </c>
      <c r="AA406" s="9" t="n">
        <v>7</v>
      </c>
      <c r="AB406" s="9" t="n">
        <v>6</v>
      </c>
      <c r="AC406" s="9" t="n">
        <v>8</v>
      </c>
      <c r="AD406" s="9" t="n">
        <v>12.5</v>
      </c>
      <c r="AE406" s="9" t="n">
        <v>15</v>
      </c>
      <c r="AF406" t="n">
        <v>2019</v>
      </c>
      <c r="AH406" t="inlineStr">
        <is>
          <t>Townhouse</t>
        </is>
      </c>
      <c r="AI406" t="inlineStr">
        <is>
          <t>MainstreamSelective</t>
        </is>
      </c>
      <c r="AJ406" t="inlineStr">
        <is>
          <t>MidTier</t>
        </is>
      </c>
      <c r="AK406" t="inlineStr">
        <is>
          <t>Family-villa resilient</t>
        </is>
      </c>
      <c r="AL406" s="7" t="inlineStr">
        <is>
          <t>Villa/townhouse demand remains relatively firmer, though growth should be slower than the post-2020 surge.</t>
        </is>
      </c>
      <c r="AM406" s="9" t="n">
        <v>7</v>
      </c>
      <c r="AN406" s="9" t="n">
        <v>6.75</v>
      </c>
      <c r="AO406" s="10" t="n">
        <v>0.55</v>
      </c>
      <c r="AP406" s="13" t="n">
        <v>0</v>
      </c>
      <c r="AQ406" s="13" t="n">
        <v>0.015</v>
      </c>
      <c r="AR406" s="13" t="n">
        <v>0</v>
      </c>
      <c r="AS406" s="13" t="n">
        <v>0.025</v>
      </c>
      <c r="AT406" s="13" t="n">
        <v>-0.005</v>
      </c>
      <c r="AU406" s="13" t="n">
        <v>0.0025</v>
      </c>
      <c r="AV406" s="13" t="n">
        <v>-0.005</v>
      </c>
      <c r="AW406" s="13">
        <f>IF(X406="","",(AM406/100*AO406)+AP406+AQ406+AR406)</f>
        <v/>
      </c>
      <c r="AX406" s="13">
        <f>IF(X406="","",AS406+AT406+AU406+AV406)</f>
        <v/>
      </c>
      <c r="AY406" s="12">
        <f>IF(AZ406="","",ROUND(AZ406*(1+Assumptions!$B$10),0))</f>
        <v/>
      </c>
      <c r="AZ406" s="12">
        <f>IF(X406="","",ROUND(X406*(1+AW406),0))</f>
        <v/>
      </c>
      <c r="BA406" s="12">
        <f>IF(AZ406="","",ROUND(AZ406*(1+Assumptions!$B$11),0))</f>
        <v/>
      </c>
      <c r="BB406" s="12">
        <f>IF(AZ406="","",ROUND(AZ406*(1+AX406+Assumptions!$B$10),0))</f>
        <v/>
      </c>
      <c r="BC406" s="12">
        <f>IF(AZ406="","",ROUND(AZ406*(1+AX406),0))</f>
        <v/>
      </c>
      <c r="BD406" s="12">
        <f>IF(AZ406="","",ROUND(AZ406*(1+AX406+Assumptions!$B$11),0))</f>
        <v/>
      </c>
      <c r="BE406" s="12">
        <f>IF(AZ406="","",ROUND(AZ406*(1+AX406)*(1+AX406),0))</f>
        <v/>
      </c>
      <c r="BF406" s="7" t="inlineStr">
        <is>
          <t>Rules-based enrichment using launch-price anchor, cap-app realization, and 2026 segment conditions.</t>
        </is>
      </c>
      <c r="BG406" t="inlineStr">
        <is>
          <t>2026-03-17</t>
        </is>
      </c>
      <c r="BH406" s="7" t="inlineStr">
        <is>
          <t>DLD / Digital Dubai / CBUAE / Savills / Knight Frank-Moody’s / Reuters</t>
        </is>
      </c>
    </row>
    <row r="407">
      <c r="A407" t="n">
        <v>406</v>
      </c>
      <c r="B407" s="7" t="inlineStr">
        <is>
          <t>MAG Park</t>
        </is>
      </c>
      <c r="C407" t="inlineStr">
        <is>
          <t>MAG Property Development</t>
        </is>
      </c>
      <c r="D407" t="inlineStr">
        <is>
          <t>MBR City</t>
        </is>
      </c>
      <c r="E407" t="inlineStr">
        <is>
          <t>Townhouses</t>
        </is>
      </c>
      <c r="F407" s="7" t="inlineStr">
        <is>
          <t>Gated / Park</t>
        </is>
      </c>
      <c r="G407" t="inlineStr">
        <is>
          <t>3.5M</t>
        </is>
      </c>
      <c r="H407" t="inlineStr">
        <is>
          <t>1400</t>
        </is>
      </c>
      <c r="I407" t="inlineStr">
        <is>
          <t>15</t>
        </is>
      </c>
      <c r="J407" t="inlineStr">
        <is>
          <t>60/40</t>
        </is>
      </c>
      <c r="K407" t="inlineStr">
        <is>
          <t>2021</t>
        </is>
      </c>
      <c r="L407" t="inlineStr">
        <is>
          <t>6.0-6.5</t>
        </is>
      </c>
      <c r="M407" t="inlineStr">
        <is>
          <t>6-8</t>
        </is>
      </c>
      <c r="N407" t="inlineStr">
        <is>
          <t>12.0-14.5</t>
        </is>
      </c>
      <c r="O407" s="7" t="inlineStr">
        <is>
          <t>Hartland Intl</t>
        </is>
      </c>
      <c r="P407" s="7" t="inlineStr">
        <is>
          <t>American Hospital</t>
        </is>
      </c>
      <c r="Q407" s="7" t="inlineStr">
        <is>
          <t>Dubai Mall</t>
        </is>
      </c>
      <c r="R407" s="7" t="inlineStr">
        <is>
          <t>Ras Al Khor / E44</t>
        </is>
      </c>
      <c r="S407" t="inlineStr">
        <is>
          <t>12</t>
        </is>
      </c>
      <c r="T407" t="inlineStr">
        <is>
          <t>25</t>
        </is>
      </c>
      <c r="U407" t="inlineStr">
        <is>
          <t>15</t>
        </is>
      </c>
      <c r="V407" t="inlineStr">
        <is>
          <t>40</t>
        </is>
      </c>
      <c r="W407" t="n">
        <v>2</v>
      </c>
      <c r="X407" s="12" t="n">
        <v>3500000</v>
      </c>
      <c r="Y407" s="12" t="n">
        <v>3500000</v>
      </c>
      <c r="Z407" s="9" t="n">
        <v>6</v>
      </c>
      <c r="AA407" s="9" t="n">
        <v>6.5</v>
      </c>
      <c r="AB407" s="9" t="n">
        <v>6</v>
      </c>
      <c r="AC407" s="9" t="n">
        <v>8</v>
      </c>
      <c r="AD407" s="9" t="n">
        <v>12</v>
      </c>
      <c r="AE407" s="9" t="n">
        <v>14.5</v>
      </c>
      <c r="AF407" t="n">
        <v>2021</v>
      </c>
      <c r="AH407" t="inlineStr">
        <is>
          <t>Townhouse</t>
        </is>
      </c>
      <c r="AI407" t="inlineStr">
        <is>
          <t>MainstreamSelective</t>
        </is>
      </c>
      <c r="AJ407" t="inlineStr">
        <is>
          <t>MidTier</t>
        </is>
      </c>
      <c r="AK407" t="inlineStr">
        <is>
          <t>Family-villa resilient</t>
        </is>
      </c>
      <c r="AL407" s="7" t="inlineStr">
        <is>
          <t>Villa/townhouse demand remains relatively firmer, though growth should be slower than the post-2020 surge.</t>
        </is>
      </c>
      <c r="AM407" s="9" t="n">
        <v>7</v>
      </c>
      <c r="AN407" s="9" t="n">
        <v>6.25</v>
      </c>
      <c r="AO407" s="10" t="n">
        <v>0.55</v>
      </c>
      <c r="AP407" s="13" t="n">
        <v>0</v>
      </c>
      <c r="AQ407" s="13" t="n">
        <v>0.015</v>
      </c>
      <c r="AR407" s="13" t="n">
        <v>0</v>
      </c>
      <c r="AS407" s="13" t="n">
        <v>0.025</v>
      </c>
      <c r="AT407" s="13" t="n">
        <v>-0.005</v>
      </c>
      <c r="AU407" s="13" t="n">
        <v>0.0025</v>
      </c>
      <c r="AV407" s="13" t="n">
        <v>-0.005</v>
      </c>
      <c r="AW407" s="13">
        <f>IF(X407="","",(AM407/100*AO407)+AP407+AQ407+AR407)</f>
        <v/>
      </c>
      <c r="AX407" s="13">
        <f>IF(X407="","",AS407+AT407+AU407+AV407)</f>
        <v/>
      </c>
      <c r="AY407" s="12">
        <f>IF(AZ407="","",ROUND(AZ407*(1+Assumptions!$B$10),0))</f>
        <v/>
      </c>
      <c r="AZ407" s="12">
        <f>IF(X407="","",ROUND(X407*(1+AW407),0))</f>
        <v/>
      </c>
      <c r="BA407" s="12">
        <f>IF(AZ407="","",ROUND(AZ407*(1+Assumptions!$B$11),0))</f>
        <v/>
      </c>
      <c r="BB407" s="12">
        <f>IF(AZ407="","",ROUND(AZ407*(1+AX407+Assumptions!$B$10),0))</f>
        <v/>
      </c>
      <c r="BC407" s="12">
        <f>IF(AZ407="","",ROUND(AZ407*(1+AX407),0))</f>
        <v/>
      </c>
      <c r="BD407" s="12">
        <f>IF(AZ407="","",ROUND(AZ407*(1+AX407+Assumptions!$B$11),0))</f>
        <v/>
      </c>
      <c r="BE407" s="12">
        <f>IF(AZ407="","",ROUND(AZ407*(1+AX407)*(1+AX407),0))</f>
        <v/>
      </c>
      <c r="BF407" s="7" t="inlineStr">
        <is>
          <t>Rules-based enrichment using launch-price anchor, cap-app realization, and 2026 segment conditions.</t>
        </is>
      </c>
      <c r="BG407" t="inlineStr">
        <is>
          <t>2026-03-17</t>
        </is>
      </c>
      <c r="BH407" s="7" t="inlineStr">
        <is>
          <t>DLD / Digital Dubai / CBUAE / Savills / Knight Frank-Moody’s / Reuters</t>
        </is>
      </c>
    </row>
    <row r="408">
      <c r="A408" t="n">
        <v>407</v>
      </c>
      <c r="B408" s="7" t="inlineStr">
        <is>
          <t>Keturah Resort</t>
        </is>
      </c>
      <c r="C408" t="inlineStr">
        <is>
          <t>MAG Property Development</t>
        </is>
      </c>
      <c r="D408" t="inlineStr">
        <is>
          <t>Creekside</t>
        </is>
      </c>
      <c r="E408" t="inlineStr">
        <is>
          <t>Villas (Mansion)</t>
        </is>
      </c>
      <c r="F408" s="7" t="inlineStr">
        <is>
          <t>Wellness / Creek</t>
        </is>
      </c>
      <c r="G408" t="inlineStr">
        <is>
          <t>20M+</t>
        </is>
      </c>
      <c r="H408" t="inlineStr">
        <is>
          <t>3000</t>
        </is>
      </c>
      <c r="I408" t="inlineStr">
        <is>
          <t>30</t>
        </is>
      </c>
      <c r="J408" t="inlineStr">
        <is>
          <t>50/50</t>
        </is>
      </c>
      <c r="K408" t="inlineStr">
        <is>
          <t>2022</t>
        </is>
      </c>
      <c r="L408" t="inlineStr">
        <is>
          <t>4.0-4.5</t>
        </is>
      </c>
      <c r="M408" t="inlineStr">
        <is>
          <t>8-12</t>
        </is>
      </c>
      <c r="N408" t="inlineStr">
        <is>
          <t>12.0-16.5</t>
        </is>
      </c>
      <c r="O408" s="7" t="inlineStr">
        <is>
          <t>Swiss Intl School</t>
        </is>
      </c>
      <c r="P408" s="7" t="inlineStr">
        <is>
          <t>American Hospital</t>
        </is>
      </c>
      <c r="Q408" s="7" t="inlineStr">
        <is>
          <t>Dubai Festival City</t>
        </is>
      </c>
      <c r="R408" s="7" t="inlineStr">
        <is>
          <t>Ras Al Khor / E44</t>
        </is>
      </c>
      <c r="S408" t="inlineStr">
        <is>
          <t>12</t>
        </is>
      </c>
      <c r="T408" t="inlineStr">
        <is>
          <t>25</t>
        </is>
      </c>
      <c r="U408" t="inlineStr">
        <is>
          <t>10</t>
        </is>
      </c>
      <c r="V408" t="inlineStr">
        <is>
          <t>40</t>
        </is>
      </c>
      <c r="W408" t="n">
        <v>2</v>
      </c>
      <c r="X408" s="12" t="n">
        <v>20000000</v>
      </c>
      <c r="Y408" s="12" t="n">
        <v>20000000</v>
      </c>
      <c r="Z408" s="9" t="n">
        <v>4</v>
      </c>
      <c r="AA408" s="9" t="n">
        <v>4.5</v>
      </c>
      <c r="AB408" s="9" t="n">
        <v>8</v>
      </c>
      <c r="AC408" s="9" t="n">
        <v>12</v>
      </c>
      <c r="AD408" s="9" t="n">
        <v>12</v>
      </c>
      <c r="AE408" s="9" t="n">
        <v>16.5</v>
      </c>
      <c r="AF408" t="n">
        <v>2022</v>
      </c>
      <c r="AH408" t="inlineStr">
        <is>
          <t>Villa</t>
        </is>
      </c>
      <c r="AI408" t="inlineStr">
        <is>
          <t>MainstreamSelective</t>
        </is>
      </c>
      <c r="AJ408" t="inlineStr">
        <is>
          <t>MidTier</t>
        </is>
      </c>
      <c r="AK408" t="inlineStr">
        <is>
          <t>Family-villa resilient</t>
        </is>
      </c>
      <c r="AL408" s="7" t="inlineStr">
        <is>
          <t>Villa/townhouse demand remains relatively firmer, though growth should be slower than the post-2020 surge.</t>
        </is>
      </c>
      <c r="AM408" s="9" t="n">
        <v>10</v>
      </c>
      <c r="AN408" s="9" t="n">
        <v>4.25</v>
      </c>
      <c r="AO408" s="10" t="n">
        <v>0.55</v>
      </c>
      <c r="AP408" s="13" t="n">
        <v>0</v>
      </c>
      <c r="AQ408" s="13" t="n">
        <v>0.015</v>
      </c>
      <c r="AR408" s="13" t="n">
        <v>0</v>
      </c>
      <c r="AS408" s="13" t="n">
        <v>0.025</v>
      </c>
      <c r="AT408" s="13" t="n">
        <v>-0.005</v>
      </c>
      <c r="AU408" s="13" t="n">
        <v>0</v>
      </c>
      <c r="AV408" s="13" t="n">
        <v>-0.005</v>
      </c>
      <c r="AW408" s="13">
        <f>IF(X408="","",(AM408/100*AO408)+AP408+AQ408+AR408)</f>
        <v/>
      </c>
      <c r="AX408" s="13">
        <f>IF(X408="","",AS408+AT408+AU408+AV408)</f>
        <v/>
      </c>
      <c r="AY408" s="12">
        <f>IF(AZ408="","",ROUND(AZ408*(1+Assumptions!$B$10),0))</f>
        <v/>
      </c>
      <c r="AZ408" s="12">
        <f>IF(X408="","",ROUND(X408*(1+AW408),0))</f>
        <v/>
      </c>
      <c r="BA408" s="12">
        <f>IF(AZ408="","",ROUND(AZ408*(1+Assumptions!$B$11),0))</f>
        <v/>
      </c>
      <c r="BB408" s="12">
        <f>IF(AZ408="","",ROUND(AZ408*(1+AX408+Assumptions!$B$10),0))</f>
        <v/>
      </c>
      <c r="BC408" s="12">
        <f>IF(AZ408="","",ROUND(AZ408*(1+AX408),0))</f>
        <v/>
      </c>
      <c r="BD408" s="12">
        <f>IF(AZ408="","",ROUND(AZ408*(1+AX408+Assumptions!$B$11),0))</f>
        <v/>
      </c>
      <c r="BE408" s="12">
        <f>IF(AZ408="","",ROUND(AZ408*(1+AX408)*(1+AX408),0))</f>
        <v/>
      </c>
      <c r="BF408" s="7" t="inlineStr">
        <is>
          <t>Rules-based enrichment using launch-price anchor, cap-app realization, and 2026 segment conditions.</t>
        </is>
      </c>
      <c r="BG408" t="inlineStr">
        <is>
          <t>2026-03-17</t>
        </is>
      </c>
      <c r="BH408" s="7" t="inlineStr">
        <is>
          <t>DLD / Digital Dubai / CBUAE / Savills / Knight Frank-Moody’s / Reuters</t>
        </is>
      </c>
    </row>
    <row r="409">
      <c r="A409" t="n">
        <v>408</v>
      </c>
      <c r="B409" s="7" t="inlineStr">
        <is>
          <t>Ritz-Carlton Residences Creekside</t>
        </is>
      </c>
      <c r="C409" t="inlineStr">
        <is>
          <t>MAG Property Development</t>
        </is>
      </c>
      <c r="D409" t="inlineStr">
        <is>
          <t>Creekside</t>
        </is>
      </c>
      <c r="E409" t="inlineStr">
        <is>
          <t>Branded Apts</t>
        </is>
      </c>
      <c r="F409" s="7" t="inlineStr">
        <is>
          <t>Ultra-Luxury / Wellness</t>
        </is>
      </c>
      <c r="G409" t="inlineStr">
        <is>
          <t>15M+</t>
        </is>
      </c>
      <c r="H409" t="inlineStr">
        <is>
          <t>4500</t>
        </is>
      </c>
      <c r="I409" t="inlineStr">
        <is>
          <t>45+</t>
        </is>
      </c>
      <c r="J409" t="inlineStr">
        <is>
          <t>50/50</t>
        </is>
      </c>
      <c r="K409" t="inlineStr">
        <is>
          <t>2022</t>
        </is>
      </c>
      <c r="L409" t="inlineStr">
        <is>
          <t>3.5-4.0</t>
        </is>
      </c>
      <c r="M409" t="inlineStr">
        <is>
          <t>8-12</t>
        </is>
      </c>
      <c r="N409" t="inlineStr">
        <is>
          <t>11.5-16.0</t>
        </is>
      </c>
      <c r="O409" s="7" t="inlineStr">
        <is>
          <t>Swiss Intl School</t>
        </is>
      </c>
      <c r="P409" s="7" t="inlineStr">
        <is>
          <t>American Hospital</t>
        </is>
      </c>
      <c r="Q409" s="7" t="inlineStr">
        <is>
          <t>Dubai Festival City</t>
        </is>
      </c>
      <c r="R409" s="7" t="inlineStr">
        <is>
          <t>Ras Al Khor / E44</t>
        </is>
      </c>
      <c r="S409" t="inlineStr">
        <is>
          <t>12</t>
        </is>
      </c>
      <c r="T409" t="inlineStr">
        <is>
          <t>25</t>
        </is>
      </c>
      <c r="U409" t="inlineStr">
        <is>
          <t>10</t>
        </is>
      </c>
      <c r="V409" t="inlineStr">
        <is>
          <t>40</t>
        </is>
      </c>
      <c r="W409" t="n">
        <v>2</v>
      </c>
      <c r="X409" s="12" t="n">
        <v>15000000</v>
      </c>
      <c r="Y409" s="12" t="n">
        <v>15000000</v>
      </c>
      <c r="Z409" s="9" t="n">
        <v>3.5</v>
      </c>
      <c r="AA409" s="9" t="n">
        <v>4</v>
      </c>
      <c r="AB409" s="9" t="n">
        <v>8</v>
      </c>
      <c r="AC409" s="9" t="n">
        <v>12</v>
      </c>
      <c r="AD409" s="9" t="n">
        <v>11.5</v>
      </c>
      <c r="AE409" s="9" t="n">
        <v>16</v>
      </c>
      <c r="AF409" t="n">
        <v>2022</v>
      </c>
      <c r="AH409" t="inlineStr">
        <is>
          <t>Apartment</t>
        </is>
      </c>
      <c r="AI409" t="inlineStr">
        <is>
          <t>MainstreamSelective</t>
        </is>
      </c>
      <c r="AJ409" t="inlineStr">
        <is>
          <t>MidTier</t>
        </is>
      </c>
      <c r="AK409" t="inlineStr">
        <is>
          <t>Balanced / selective</t>
        </is>
      </c>
      <c r="AL409" s="7" t="inlineStr">
        <is>
          <t>Market remains active but increasingly differentiated by developer, micro-location, livability, and pricing discipline.</t>
        </is>
      </c>
      <c r="AM409" s="9" t="n">
        <v>10</v>
      </c>
      <c r="AN409" s="9" t="n">
        <v>3.75</v>
      </c>
      <c r="AO409" s="10" t="n">
        <v>0.55</v>
      </c>
      <c r="AP409" s="13" t="n">
        <v>0</v>
      </c>
      <c r="AQ409" s="13" t="n">
        <v>0</v>
      </c>
      <c r="AR409" s="13" t="n">
        <v>0</v>
      </c>
      <c r="AS409" s="13" t="n">
        <v>0.01</v>
      </c>
      <c r="AT409" s="13" t="n">
        <v>-0.005</v>
      </c>
      <c r="AU409" s="13" t="n">
        <v>0</v>
      </c>
      <c r="AV409" s="13" t="n">
        <v>-0.005</v>
      </c>
      <c r="AW409" s="13">
        <f>IF(X409="","",(AM409/100*AO409)+AP409+AQ409+AR409)</f>
        <v/>
      </c>
      <c r="AX409" s="13">
        <f>IF(X409="","",AS409+AT409+AU409+AV409)</f>
        <v/>
      </c>
      <c r="AY409" s="12">
        <f>IF(AZ409="","",ROUND(AZ409*(1+Assumptions!$B$10),0))</f>
        <v/>
      </c>
      <c r="AZ409" s="12">
        <f>IF(X409="","",ROUND(X409*(1+AW409),0))</f>
        <v/>
      </c>
      <c r="BA409" s="12">
        <f>IF(AZ409="","",ROUND(AZ409*(1+Assumptions!$B$11),0))</f>
        <v/>
      </c>
      <c r="BB409" s="12">
        <f>IF(AZ409="","",ROUND(AZ409*(1+AX409+Assumptions!$B$10),0))</f>
        <v/>
      </c>
      <c r="BC409" s="12">
        <f>IF(AZ409="","",ROUND(AZ409*(1+AX409),0))</f>
        <v/>
      </c>
      <c r="BD409" s="12">
        <f>IF(AZ409="","",ROUND(AZ409*(1+AX409+Assumptions!$B$11),0))</f>
        <v/>
      </c>
      <c r="BE409" s="12">
        <f>IF(AZ409="","",ROUND(AZ409*(1+AX409)*(1+AX409),0))</f>
        <v/>
      </c>
      <c r="BF409" s="7" t="inlineStr">
        <is>
          <t>Rules-based enrichment using launch-price anchor, cap-app realization, and 2026 segment conditions.</t>
        </is>
      </c>
      <c r="BG409" t="inlineStr">
        <is>
          <t>2026-03-17</t>
        </is>
      </c>
      <c r="BH409" s="7" t="inlineStr">
        <is>
          <t>DLD / Digital Dubai / CBUAE / Savills / Knight Frank-Moody’s / Reuters</t>
        </is>
      </c>
    </row>
    <row r="410">
      <c r="A410" t="n">
        <v>409</v>
      </c>
      <c r="B410" s="7" t="inlineStr">
        <is>
          <t>MAG 777</t>
        </is>
      </c>
      <c r="C410" t="inlineStr">
        <is>
          <t>MAG Property Development</t>
        </is>
      </c>
      <c r="D410" t="inlineStr">
        <is>
          <t>Dubai Sports City</t>
        </is>
      </c>
      <c r="E410" t="inlineStr">
        <is>
          <t>Apartments</t>
        </is>
      </c>
      <c r="F410" s="7" t="inlineStr">
        <is>
          <t>Lake View</t>
        </is>
      </c>
      <c r="G410" t="inlineStr">
        <is>
          <t>900k</t>
        </is>
      </c>
      <c r="H410" t="inlineStr">
        <is>
          <t>1200</t>
        </is>
      </c>
      <c r="I410" t="inlineStr">
        <is>
          <t>15</t>
        </is>
      </c>
      <c r="J410" t="inlineStr">
        <is>
          <t>50/50</t>
        </is>
      </c>
      <c r="K410" t="inlineStr">
        <is>
          <t>2024</t>
        </is>
      </c>
      <c r="L410" t="inlineStr">
        <is>
          <t>7.5-8.0</t>
        </is>
      </c>
      <c r="M410" t="inlineStr">
        <is>
          <t>6-8</t>
        </is>
      </c>
      <c r="N410" t="inlineStr">
        <is>
          <t>13.5-16.0</t>
        </is>
      </c>
      <c r="O410" s="7" t="inlineStr">
        <is>
          <t>Victory Heights</t>
        </is>
      </c>
      <c r="P410" s="7" t="inlineStr">
        <is>
          <t>NMC Royal DIP</t>
        </is>
      </c>
      <c r="Q410" s="7" t="inlineStr">
        <is>
          <t>City Centre Me'aisem</t>
        </is>
      </c>
      <c r="R410" s="7" t="inlineStr">
        <is>
          <t>E311 / Hessa St</t>
        </is>
      </c>
      <c r="S410" t="inlineStr">
        <is>
          <t>20</t>
        </is>
      </c>
      <c r="T410" t="inlineStr">
        <is>
          <t>15</t>
        </is>
      </c>
      <c r="U410" t="inlineStr">
        <is>
          <t>25</t>
        </is>
      </c>
      <c r="V410" t="inlineStr">
        <is>
          <t>25</t>
        </is>
      </c>
      <c r="W410" t="n">
        <v>2</v>
      </c>
      <c r="X410" s="12" t="n">
        <v>900000</v>
      </c>
      <c r="Y410" s="12" t="n">
        <v>900000</v>
      </c>
      <c r="Z410" s="9" t="n">
        <v>7.5</v>
      </c>
      <c r="AA410" s="9" t="n">
        <v>8</v>
      </c>
      <c r="AB410" s="9" t="n">
        <v>6</v>
      </c>
      <c r="AC410" s="9" t="n">
        <v>8</v>
      </c>
      <c r="AD410" s="9" t="n">
        <v>13.5</v>
      </c>
      <c r="AE410" s="9" t="n">
        <v>16</v>
      </c>
      <c r="AF410" t="n">
        <v>2024</v>
      </c>
      <c r="AH410" t="inlineStr">
        <is>
          <t>Apartment</t>
        </is>
      </c>
      <c r="AI410" t="inlineStr">
        <is>
          <t>MainstreamSelective</t>
        </is>
      </c>
      <c r="AJ410" t="inlineStr">
        <is>
          <t>MidTier</t>
        </is>
      </c>
      <c r="AK410" t="inlineStr">
        <is>
          <t>Balanced / selective</t>
        </is>
      </c>
      <c r="AL410" s="7" t="inlineStr">
        <is>
          <t>Market remains active but increasingly differentiated by developer, micro-location, livability, and pricing discipline.</t>
        </is>
      </c>
      <c r="AM410" s="9" t="n">
        <v>7</v>
      </c>
      <c r="AN410" s="9" t="n">
        <v>7.75</v>
      </c>
      <c r="AO410" s="10" t="n">
        <v>0.55</v>
      </c>
      <c r="AP410" s="13" t="n">
        <v>0</v>
      </c>
      <c r="AQ410" s="13" t="n">
        <v>0</v>
      </c>
      <c r="AR410" s="13" t="n">
        <v>0</v>
      </c>
      <c r="AS410" s="13" t="n">
        <v>0.01</v>
      </c>
      <c r="AT410" s="13" t="n">
        <v>-0.005</v>
      </c>
      <c r="AU410" s="13" t="n">
        <v>0.0025</v>
      </c>
      <c r="AV410" s="13" t="n">
        <v>-0.005</v>
      </c>
      <c r="AW410" s="13">
        <f>IF(X410="","",(AM410/100*AO410)+AP410+AQ410+AR410)</f>
        <v/>
      </c>
      <c r="AX410" s="13">
        <f>IF(X410="","",AS410+AT410+AU410+AV410)</f>
        <v/>
      </c>
      <c r="AY410" s="12">
        <f>IF(AZ410="","",ROUND(AZ410*(1+Assumptions!$B$10),0))</f>
        <v/>
      </c>
      <c r="AZ410" s="12">
        <f>IF(X410="","",ROUND(X410*(1+AW410),0))</f>
        <v/>
      </c>
      <c r="BA410" s="12">
        <f>IF(AZ410="","",ROUND(AZ410*(1+Assumptions!$B$11),0))</f>
        <v/>
      </c>
      <c r="BB410" s="12">
        <f>IF(AZ410="","",ROUND(AZ410*(1+AX410+Assumptions!$B$10),0))</f>
        <v/>
      </c>
      <c r="BC410" s="12">
        <f>IF(AZ410="","",ROUND(AZ410*(1+AX410),0))</f>
        <v/>
      </c>
      <c r="BD410" s="12">
        <f>IF(AZ410="","",ROUND(AZ410*(1+AX410+Assumptions!$B$11),0))</f>
        <v/>
      </c>
      <c r="BE410" s="12">
        <f>IF(AZ410="","",ROUND(AZ410*(1+AX410)*(1+AX410),0))</f>
        <v/>
      </c>
      <c r="BF410" s="7" t="inlineStr">
        <is>
          <t>Rules-based enrichment using launch-price anchor, cap-app realization, and 2026 segment conditions.</t>
        </is>
      </c>
      <c r="BG410" t="inlineStr">
        <is>
          <t>2026-03-17</t>
        </is>
      </c>
      <c r="BH410" s="7" t="inlineStr">
        <is>
          <t>DLD / Digital Dubai / CBUAE / Savills / Knight Frank-Moody’s / Reuters</t>
        </is>
      </c>
    </row>
    <row r="411">
      <c r="A411" t="n">
        <v>410</v>
      </c>
      <c r="B411" s="7" t="inlineStr">
        <is>
          <t>MAG 330</t>
        </is>
      </c>
      <c r="C411" t="inlineStr">
        <is>
          <t>MAG Property Development</t>
        </is>
      </c>
      <c r="D411" t="inlineStr">
        <is>
          <t>City of Arabia</t>
        </is>
      </c>
      <c r="E411" t="inlineStr">
        <is>
          <t>Apartments</t>
        </is>
      </c>
      <c r="F411" s="7" t="inlineStr">
        <is>
          <t>Budget / Family</t>
        </is>
      </c>
      <c r="G411" t="inlineStr">
        <is>
          <t>800k</t>
        </is>
      </c>
      <c r="H411" t="inlineStr">
        <is>
          <t>1100</t>
        </is>
      </c>
      <c r="I411" t="inlineStr">
        <is>
          <t>15</t>
        </is>
      </c>
      <c r="J411" t="inlineStr">
        <is>
          <t>50/50</t>
        </is>
      </c>
      <c r="K411" t="inlineStr">
        <is>
          <t>2023</t>
        </is>
      </c>
      <c r="L411" t="inlineStr">
        <is>
          <t>7.0-7.5</t>
        </is>
      </c>
      <c r="M411" t="inlineStr">
        <is>
          <t>5-7</t>
        </is>
      </c>
      <c r="N411" t="inlineStr">
        <is>
          <t>12.0-14.5</t>
        </is>
      </c>
      <c r="O411" s="7" t="inlineStr">
        <is>
          <t>GEMS Winchester</t>
        </is>
      </c>
      <c r="P411" s="7" t="inlineStr">
        <is>
          <t>Fakeeh University Hosp</t>
        </is>
      </c>
      <c r="Q411" s="7" t="inlineStr">
        <is>
          <t>IMG Worlds / Outlet</t>
        </is>
      </c>
      <c r="R411" s="7" t="inlineStr">
        <is>
          <t>E311 / E66</t>
        </is>
      </c>
      <c r="S411" t="inlineStr">
        <is>
          <t>20</t>
        </is>
      </c>
      <c r="T411" t="inlineStr">
        <is>
          <t>25</t>
        </is>
      </c>
      <c r="U411" t="inlineStr">
        <is>
          <t>20</t>
        </is>
      </c>
      <c r="V411" t="inlineStr">
        <is>
          <t>30</t>
        </is>
      </c>
      <c r="W411" t="n">
        <v>2</v>
      </c>
      <c r="X411" s="12" t="n">
        <v>800000</v>
      </c>
      <c r="Y411" s="12" t="n">
        <v>800000</v>
      </c>
      <c r="Z411" s="9" t="n">
        <v>7</v>
      </c>
      <c r="AA411" s="9" t="n">
        <v>7.5</v>
      </c>
      <c r="AB411" s="9" t="n">
        <v>5</v>
      </c>
      <c r="AC411" s="9" t="n">
        <v>7</v>
      </c>
      <c r="AD411" s="9" t="n">
        <v>12</v>
      </c>
      <c r="AE411" s="9" t="n">
        <v>14.5</v>
      </c>
      <c r="AF411" t="n">
        <v>2023</v>
      </c>
      <c r="AH411" t="inlineStr">
        <is>
          <t>Apartment</t>
        </is>
      </c>
      <c r="AI411" t="inlineStr">
        <is>
          <t>MainstreamSelective</t>
        </is>
      </c>
      <c r="AJ411" t="inlineStr">
        <is>
          <t>MidTier</t>
        </is>
      </c>
      <c r="AK411" t="inlineStr">
        <is>
          <t>Balanced / selective</t>
        </is>
      </c>
      <c r="AL411" s="7" t="inlineStr">
        <is>
          <t>Market remains active but increasingly differentiated by developer, micro-location, livability, and pricing discipline.</t>
        </is>
      </c>
      <c r="AM411" s="9" t="n">
        <v>6</v>
      </c>
      <c r="AN411" s="9" t="n">
        <v>7.25</v>
      </c>
      <c r="AO411" s="10" t="n">
        <v>0.55</v>
      </c>
      <c r="AP411" s="13" t="n">
        <v>0</v>
      </c>
      <c r="AQ411" s="13" t="n">
        <v>0</v>
      </c>
      <c r="AR411" s="13" t="n">
        <v>0</v>
      </c>
      <c r="AS411" s="13" t="n">
        <v>0.01</v>
      </c>
      <c r="AT411" s="13" t="n">
        <v>-0.005</v>
      </c>
      <c r="AU411" s="13" t="n">
        <v>0.0025</v>
      </c>
      <c r="AV411" s="13" t="n">
        <v>-0.005</v>
      </c>
      <c r="AW411" s="13">
        <f>IF(X411="","",(AM411/100*AO411)+AP411+AQ411+AR411)</f>
        <v/>
      </c>
      <c r="AX411" s="13">
        <f>IF(X411="","",AS411+AT411+AU411+AV411)</f>
        <v/>
      </c>
      <c r="AY411" s="12">
        <f>IF(AZ411="","",ROUND(AZ411*(1+Assumptions!$B$10),0))</f>
        <v/>
      </c>
      <c r="AZ411" s="12">
        <f>IF(X411="","",ROUND(X411*(1+AW411),0))</f>
        <v/>
      </c>
      <c r="BA411" s="12">
        <f>IF(AZ411="","",ROUND(AZ411*(1+Assumptions!$B$11),0))</f>
        <v/>
      </c>
      <c r="BB411" s="12">
        <f>IF(AZ411="","",ROUND(AZ411*(1+AX411+Assumptions!$B$10),0))</f>
        <v/>
      </c>
      <c r="BC411" s="12">
        <f>IF(AZ411="","",ROUND(AZ411*(1+AX411),0))</f>
        <v/>
      </c>
      <c r="BD411" s="12">
        <f>IF(AZ411="","",ROUND(AZ411*(1+AX411+Assumptions!$B$11),0))</f>
        <v/>
      </c>
      <c r="BE411" s="12">
        <f>IF(AZ411="","",ROUND(AZ411*(1+AX411)*(1+AX411),0))</f>
        <v/>
      </c>
      <c r="BF411" s="7" t="inlineStr">
        <is>
          <t>Rules-based enrichment using launch-price anchor, cap-app realization, and 2026 segment conditions.</t>
        </is>
      </c>
      <c r="BG411" t="inlineStr">
        <is>
          <t>2026-03-17</t>
        </is>
      </c>
      <c r="BH411" s="7" t="inlineStr">
        <is>
          <t>DLD / Digital Dubai / CBUAE / Savills / Knight Frank-Moody’s / Reuters</t>
        </is>
      </c>
    </row>
    <row r="412">
      <c r="A412" t="n">
        <v>411</v>
      </c>
      <c r="B412" s="7" t="inlineStr">
        <is>
          <t>MBL Residence</t>
        </is>
      </c>
      <c r="C412" t="inlineStr">
        <is>
          <t>MAG Property Development</t>
        </is>
      </c>
      <c r="D412" t="inlineStr">
        <is>
          <t>JLT</t>
        </is>
      </c>
      <c r="E412" t="inlineStr">
        <is>
          <t>Apartments</t>
        </is>
      </c>
      <c r="F412" s="7" t="inlineStr">
        <is>
          <t>High-Rise / Lake</t>
        </is>
      </c>
      <c r="G412" t="inlineStr">
        <is>
          <t>Resale (1.5M+)</t>
        </is>
      </c>
      <c r="H412" t="inlineStr">
        <is>
          <t>1600</t>
        </is>
      </c>
      <c r="I412" t="inlineStr">
        <is>
          <t>18</t>
        </is>
      </c>
      <c r="J412" t="inlineStr">
        <is>
          <t>Completed</t>
        </is>
      </c>
      <c r="K412" t="inlineStr">
        <is>
          <t>2018</t>
        </is>
      </c>
      <c r="L412" t="inlineStr">
        <is>
          <t>6.5-7.0</t>
        </is>
      </c>
      <c r="M412" t="inlineStr">
        <is>
          <t>5-7</t>
        </is>
      </c>
      <c r="N412" t="inlineStr">
        <is>
          <t>11.5-14.0</t>
        </is>
      </c>
      <c r="O412" s="7" t="inlineStr">
        <is>
          <t>Emirates Intl School</t>
        </is>
      </c>
      <c r="P412" s="7" t="inlineStr">
        <is>
          <t>Saudi German Hospital</t>
        </is>
      </c>
      <c r="Q412" s="7" t="inlineStr">
        <is>
          <t>Dubai Marina Mall</t>
        </is>
      </c>
      <c r="R412" s="7" t="inlineStr">
        <is>
          <t>Sheikh Zayed E11</t>
        </is>
      </c>
      <c r="S412" t="inlineStr">
        <is>
          <t>20</t>
        </is>
      </c>
      <c r="T412" t="inlineStr">
        <is>
          <t>5</t>
        </is>
      </c>
      <c r="U412" t="inlineStr">
        <is>
          <t>25</t>
        </is>
      </c>
      <c r="V412" t="inlineStr">
        <is>
          <t>30</t>
        </is>
      </c>
      <c r="W412" t="n">
        <v>2</v>
      </c>
      <c r="X412" s="12" t="n">
        <v>1500000</v>
      </c>
      <c r="Y412" s="12" t="n">
        <v>1500000</v>
      </c>
      <c r="Z412" s="9" t="n">
        <v>6.5</v>
      </c>
      <c r="AA412" s="9" t="n">
        <v>7</v>
      </c>
      <c r="AB412" s="9" t="n">
        <v>5</v>
      </c>
      <c r="AC412" s="9" t="n">
        <v>7</v>
      </c>
      <c r="AD412" s="9" t="n">
        <v>11.5</v>
      </c>
      <c r="AE412" s="9" t="n">
        <v>14</v>
      </c>
      <c r="AF412" t="n">
        <v>2018</v>
      </c>
      <c r="AH412" t="inlineStr">
        <is>
          <t>Apartment</t>
        </is>
      </c>
      <c r="AI412" t="inlineStr">
        <is>
          <t>MainstreamSelective</t>
        </is>
      </c>
      <c r="AJ412" t="inlineStr">
        <is>
          <t>MidTier</t>
        </is>
      </c>
      <c r="AK412" t="inlineStr">
        <is>
          <t>Balanced / selective</t>
        </is>
      </c>
      <c r="AL412" s="7" t="inlineStr">
        <is>
          <t>Market remains active but increasingly differentiated by developer, micro-location, livability, and pricing discipline.</t>
        </is>
      </c>
      <c r="AM412" s="9" t="n">
        <v>6</v>
      </c>
      <c r="AN412" s="9" t="n">
        <v>6.75</v>
      </c>
      <c r="AO412" s="10" t="n">
        <v>0.55</v>
      </c>
      <c r="AP412" s="13" t="n">
        <v>0</v>
      </c>
      <c r="AQ412" s="13" t="n">
        <v>0</v>
      </c>
      <c r="AR412" s="13" t="n">
        <v>0</v>
      </c>
      <c r="AS412" s="13" t="n">
        <v>0.01</v>
      </c>
      <c r="AT412" s="13" t="n">
        <v>-0.005</v>
      </c>
      <c r="AU412" s="13" t="n">
        <v>0.0025</v>
      </c>
      <c r="AV412" s="13" t="n">
        <v>-0.005</v>
      </c>
      <c r="AW412" s="13">
        <f>IF(X412="","",(AM412/100*AO412)+AP412+AQ412+AR412)</f>
        <v/>
      </c>
      <c r="AX412" s="13">
        <f>IF(X412="","",AS412+AT412+AU412+AV412)</f>
        <v/>
      </c>
      <c r="AY412" s="12">
        <f>IF(AZ412="","",ROUND(AZ412*(1+Assumptions!$B$10),0))</f>
        <v/>
      </c>
      <c r="AZ412" s="12">
        <f>IF(X412="","",ROUND(X412*(1+AW412),0))</f>
        <v/>
      </c>
      <c r="BA412" s="12">
        <f>IF(AZ412="","",ROUND(AZ412*(1+Assumptions!$B$11),0))</f>
        <v/>
      </c>
      <c r="BB412" s="12">
        <f>IF(AZ412="","",ROUND(AZ412*(1+AX412+Assumptions!$B$10),0))</f>
        <v/>
      </c>
      <c r="BC412" s="12">
        <f>IF(AZ412="","",ROUND(AZ412*(1+AX412),0))</f>
        <v/>
      </c>
      <c r="BD412" s="12">
        <f>IF(AZ412="","",ROUND(AZ412*(1+AX412+Assumptions!$B$11),0))</f>
        <v/>
      </c>
      <c r="BE412" s="12">
        <f>IF(AZ412="","",ROUND(AZ412*(1+AX412)*(1+AX412),0))</f>
        <v/>
      </c>
      <c r="BF412" s="7" t="inlineStr">
        <is>
          <t>Rules-based enrichment using launch-price anchor, cap-app realization, and 2026 segment conditions.</t>
        </is>
      </c>
      <c r="BG412" t="inlineStr">
        <is>
          <t>2026-03-17</t>
        </is>
      </c>
      <c r="BH412" s="7" t="inlineStr">
        <is>
          <t>DLD / Digital Dubai / CBUAE / Savills / Knight Frank-Moody’s / Reuters</t>
        </is>
      </c>
    </row>
    <row r="413">
      <c r="A413" t="n">
        <v>412</v>
      </c>
      <c r="B413" s="7" t="inlineStr">
        <is>
          <t>MBL Royal</t>
        </is>
      </c>
      <c r="C413" t="inlineStr">
        <is>
          <t>MAG Property Development</t>
        </is>
      </c>
      <c r="D413" t="inlineStr">
        <is>
          <t>JLT</t>
        </is>
      </c>
      <c r="E413" t="inlineStr">
        <is>
          <t>Apartments</t>
        </is>
      </c>
      <c r="F413" s="7" t="inlineStr">
        <is>
          <t>High-Rise / Lake</t>
        </is>
      </c>
      <c r="G413" t="inlineStr">
        <is>
          <t>2.0M</t>
        </is>
      </c>
      <c r="H413" t="inlineStr">
        <is>
          <t>1800</t>
        </is>
      </c>
      <c r="I413" t="inlineStr">
        <is>
          <t>20</t>
        </is>
      </c>
      <c r="J413" t="inlineStr">
        <is>
          <t>60/40</t>
        </is>
      </c>
      <c r="K413" t="inlineStr">
        <is>
          <t>2022</t>
        </is>
      </c>
      <c r="L413" t="inlineStr">
        <is>
          <t>6.5-7.0</t>
        </is>
      </c>
      <c r="M413" t="inlineStr">
        <is>
          <t>6-8</t>
        </is>
      </c>
      <c r="N413" t="inlineStr">
        <is>
          <t>12.5-15.0</t>
        </is>
      </c>
      <c r="O413" s="7" t="inlineStr">
        <is>
          <t>Emirates Intl School</t>
        </is>
      </c>
      <c r="P413" s="7" t="inlineStr">
        <is>
          <t>Saudi German Hospital</t>
        </is>
      </c>
      <c r="Q413" s="7" t="inlineStr">
        <is>
          <t>Dubai Marina Mall</t>
        </is>
      </c>
      <c r="R413" s="7" t="inlineStr">
        <is>
          <t>Sheikh Zayed E11</t>
        </is>
      </c>
      <c r="S413" t="inlineStr">
        <is>
          <t>20</t>
        </is>
      </c>
      <c r="T413" t="inlineStr">
        <is>
          <t>5</t>
        </is>
      </c>
      <c r="U413" t="inlineStr">
        <is>
          <t>25</t>
        </is>
      </c>
      <c r="V413" t="inlineStr">
        <is>
          <t>30</t>
        </is>
      </c>
      <c r="W413" t="n">
        <v>2</v>
      </c>
      <c r="X413" s="12" t="n">
        <v>2000000</v>
      </c>
      <c r="Y413" s="12" t="n">
        <v>2000000</v>
      </c>
      <c r="Z413" s="9" t="n">
        <v>6.5</v>
      </c>
      <c r="AA413" s="9" t="n">
        <v>7</v>
      </c>
      <c r="AB413" s="9" t="n">
        <v>6</v>
      </c>
      <c r="AC413" s="9" t="n">
        <v>8</v>
      </c>
      <c r="AD413" s="9" t="n">
        <v>12.5</v>
      </c>
      <c r="AE413" s="9" t="n">
        <v>15</v>
      </c>
      <c r="AF413" t="n">
        <v>2022</v>
      </c>
      <c r="AH413" t="inlineStr">
        <is>
          <t>Apartment</t>
        </is>
      </c>
      <c r="AI413" t="inlineStr">
        <is>
          <t>MainstreamSelective</t>
        </is>
      </c>
      <c r="AJ413" t="inlineStr">
        <is>
          <t>MidTier</t>
        </is>
      </c>
      <c r="AK413" t="inlineStr">
        <is>
          <t>Balanced / selective</t>
        </is>
      </c>
      <c r="AL413" s="7" t="inlineStr">
        <is>
          <t>Market remains active but increasingly differentiated by developer, micro-location, livability, and pricing discipline.</t>
        </is>
      </c>
      <c r="AM413" s="9" t="n">
        <v>7</v>
      </c>
      <c r="AN413" s="9" t="n">
        <v>6.75</v>
      </c>
      <c r="AO413" s="10" t="n">
        <v>0.55</v>
      </c>
      <c r="AP413" s="13" t="n">
        <v>0</v>
      </c>
      <c r="AQ413" s="13" t="n">
        <v>0</v>
      </c>
      <c r="AR413" s="13" t="n">
        <v>0</v>
      </c>
      <c r="AS413" s="13" t="n">
        <v>0.01</v>
      </c>
      <c r="AT413" s="13" t="n">
        <v>-0.005</v>
      </c>
      <c r="AU413" s="13" t="n">
        <v>0.0025</v>
      </c>
      <c r="AV413" s="13" t="n">
        <v>-0.005</v>
      </c>
      <c r="AW413" s="13">
        <f>IF(X413="","",(AM413/100*AO413)+AP413+AQ413+AR413)</f>
        <v/>
      </c>
      <c r="AX413" s="13">
        <f>IF(X413="","",AS413+AT413+AU413+AV413)</f>
        <v/>
      </c>
      <c r="AY413" s="12">
        <f>IF(AZ413="","",ROUND(AZ413*(1+Assumptions!$B$10),0))</f>
        <v/>
      </c>
      <c r="AZ413" s="12">
        <f>IF(X413="","",ROUND(X413*(1+AW413),0))</f>
        <v/>
      </c>
      <c r="BA413" s="12">
        <f>IF(AZ413="","",ROUND(AZ413*(1+Assumptions!$B$11),0))</f>
        <v/>
      </c>
      <c r="BB413" s="12">
        <f>IF(AZ413="","",ROUND(AZ413*(1+AX413+Assumptions!$B$10),0))</f>
        <v/>
      </c>
      <c r="BC413" s="12">
        <f>IF(AZ413="","",ROUND(AZ413*(1+AX413),0))</f>
        <v/>
      </c>
      <c r="BD413" s="12">
        <f>IF(AZ413="","",ROUND(AZ413*(1+AX413+Assumptions!$B$11),0))</f>
        <v/>
      </c>
      <c r="BE413" s="12">
        <f>IF(AZ413="","",ROUND(AZ413*(1+AX413)*(1+AX413),0))</f>
        <v/>
      </c>
      <c r="BF413" s="7" t="inlineStr">
        <is>
          <t>Rules-based enrichment using launch-price anchor, cap-app realization, and 2026 segment conditions.</t>
        </is>
      </c>
      <c r="BG413" t="inlineStr">
        <is>
          <t>2026-03-17</t>
        </is>
      </c>
      <c r="BH413" s="7" t="inlineStr">
        <is>
          <t>DLD / Digital Dubai / CBUAE / Savills / Knight Frank-Moody’s / Reuters</t>
        </is>
      </c>
    </row>
    <row r="414">
      <c r="A414" t="n">
        <v>413</v>
      </c>
      <c r="B414" s="7" t="inlineStr">
        <is>
          <t>MBL Signature</t>
        </is>
      </c>
      <c r="C414" t="inlineStr">
        <is>
          <t>MAG Property Development</t>
        </is>
      </c>
      <c r="D414" t="inlineStr">
        <is>
          <t>JLT</t>
        </is>
      </c>
      <c r="E414" t="inlineStr">
        <is>
          <t>Apartments</t>
        </is>
      </c>
      <c r="F414" s="7" t="inlineStr">
        <is>
          <t>High-Rise / Lake</t>
        </is>
      </c>
      <c r="G414" t="inlineStr">
        <is>
          <t>2.2M</t>
        </is>
      </c>
      <c r="H414" t="inlineStr">
        <is>
          <t>2000</t>
        </is>
      </c>
      <c r="I414" t="inlineStr">
        <is>
          <t>20</t>
        </is>
      </c>
      <c r="J414" t="inlineStr">
        <is>
          <t>60/40</t>
        </is>
      </c>
      <c r="K414" t="inlineStr">
        <is>
          <t>2024</t>
        </is>
      </c>
      <c r="L414" t="inlineStr">
        <is>
          <t>6.5-7.0</t>
        </is>
      </c>
      <c r="M414" t="inlineStr">
        <is>
          <t>6-8</t>
        </is>
      </c>
      <c r="N414" t="inlineStr">
        <is>
          <t>12.5-15.0</t>
        </is>
      </c>
      <c r="O414" s="7" t="inlineStr">
        <is>
          <t>Emirates Intl School</t>
        </is>
      </c>
      <c r="P414" s="7" t="inlineStr">
        <is>
          <t>Saudi German Hospital</t>
        </is>
      </c>
      <c r="Q414" s="7" t="inlineStr">
        <is>
          <t>Dubai Marina Mall</t>
        </is>
      </c>
      <c r="R414" s="7" t="inlineStr">
        <is>
          <t>Sheikh Zayed E11</t>
        </is>
      </c>
      <c r="S414" t="inlineStr">
        <is>
          <t>20</t>
        </is>
      </c>
      <c r="T414" t="inlineStr">
        <is>
          <t>5</t>
        </is>
      </c>
      <c r="U414" t="inlineStr">
        <is>
          <t>25</t>
        </is>
      </c>
      <c r="V414" t="inlineStr">
        <is>
          <t>30</t>
        </is>
      </c>
      <c r="W414" t="n">
        <v>2</v>
      </c>
      <c r="X414" s="12" t="n">
        <v>2200000</v>
      </c>
      <c r="Y414" s="12" t="n">
        <v>2200000</v>
      </c>
      <c r="Z414" s="9" t="n">
        <v>6.5</v>
      </c>
      <c r="AA414" s="9" t="n">
        <v>7</v>
      </c>
      <c r="AB414" s="9" t="n">
        <v>6</v>
      </c>
      <c r="AC414" s="9" t="n">
        <v>8</v>
      </c>
      <c r="AD414" s="9" t="n">
        <v>12.5</v>
      </c>
      <c r="AE414" s="9" t="n">
        <v>15</v>
      </c>
      <c r="AF414" t="n">
        <v>2024</v>
      </c>
      <c r="AH414" t="inlineStr">
        <is>
          <t>Apartment</t>
        </is>
      </c>
      <c r="AI414" t="inlineStr">
        <is>
          <t>MainstreamSelective</t>
        </is>
      </c>
      <c r="AJ414" t="inlineStr">
        <is>
          <t>MidTier</t>
        </is>
      </c>
      <c r="AK414" t="inlineStr">
        <is>
          <t>Balanced / selective</t>
        </is>
      </c>
      <c r="AL414" s="7" t="inlineStr">
        <is>
          <t>Market remains active but increasingly differentiated by developer, micro-location, livability, and pricing discipline.</t>
        </is>
      </c>
      <c r="AM414" s="9" t="n">
        <v>7</v>
      </c>
      <c r="AN414" s="9" t="n">
        <v>6.75</v>
      </c>
      <c r="AO414" s="10" t="n">
        <v>0.55</v>
      </c>
      <c r="AP414" s="13" t="n">
        <v>0</v>
      </c>
      <c r="AQ414" s="13" t="n">
        <v>0</v>
      </c>
      <c r="AR414" s="13" t="n">
        <v>0</v>
      </c>
      <c r="AS414" s="13" t="n">
        <v>0.01</v>
      </c>
      <c r="AT414" s="13" t="n">
        <v>-0.005</v>
      </c>
      <c r="AU414" s="13" t="n">
        <v>0.0025</v>
      </c>
      <c r="AV414" s="13" t="n">
        <v>-0.005</v>
      </c>
      <c r="AW414" s="13">
        <f>IF(X414="","",(AM414/100*AO414)+AP414+AQ414+AR414)</f>
        <v/>
      </c>
      <c r="AX414" s="13">
        <f>IF(X414="","",AS414+AT414+AU414+AV414)</f>
        <v/>
      </c>
      <c r="AY414" s="12">
        <f>IF(AZ414="","",ROUND(AZ414*(1+Assumptions!$B$10),0))</f>
        <v/>
      </c>
      <c r="AZ414" s="12">
        <f>IF(X414="","",ROUND(X414*(1+AW414),0))</f>
        <v/>
      </c>
      <c r="BA414" s="12">
        <f>IF(AZ414="","",ROUND(AZ414*(1+Assumptions!$B$11),0))</f>
        <v/>
      </c>
      <c r="BB414" s="12">
        <f>IF(AZ414="","",ROUND(AZ414*(1+AX414+Assumptions!$B$10),0))</f>
        <v/>
      </c>
      <c r="BC414" s="12">
        <f>IF(AZ414="","",ROUND(AZ414*(1+AX414),0))</f>
        <v/>
      </c>
      <c r="BD414" s="12">
        <f>IF(AZ414="","",ROUND(AZ414*(1+AX414+Assumptions!$B$11),0))</f>
        <v/>
      </c>
      <c r="BE414" s="12">
        <f>IF(AZ414="","",ROUND(AZ414*(1+AX414)*(1+AX414),0))</f>
        <v/>
      </c>
      <c r="BF414" s="7" t="inlineStr">
        <is>
          <t>Rules-based enrichment using launch-price anchor, cap-app realization, and 2026 segment conditions.</t>
        </is>
      </c>
      <c r="BG414" t="inlineStr">
        <is>
          <t>2026-03-17</t>
        </is>
      </c>
      <c r="BH414" s="7" t="inlineStr">
        <is>
          <t>DLD / Digital Dubai / CBUAE / Savills / Knight Frank-Moody’s / Reuters</t>
        </is>
      </c>
    </row>
    <row r="415">
      <c r="A415" t="n">
        <v>414</v>
      </c>
      <c r="B415" s="7" t="inlineStr">
        <is>
          <t>MAG 318</t>
        </is>
      </c>
      <c r="C415" t="inlineStr">
        <is>
          <t>MAG Property Development</t>
        </is>
      </c>
      <c r="D415" t="inlineStr">
        <is>
          <t>Business Bay</t>
        </is>
      </c>
      <c r="E415" t="inlineStr">
        <is>
          <t>Apartments</t>
        </is>
      </c>
      <c r="F415" s="7" t="inlineStr">
        <is>
          <t>Canal / City</t>
        </is>
      </c>
      <c r="G415" t="inlineStr">
        <is>
          <t>Resale (1.2M+)</t>
        </is>
      </c>
      <c r="H415" t="inlineStr">
        <is>
          <t>1600</t>
        </is>
      </c>
      <c r="I415" t="inlineStr">
        <is>
          <t>18</t>
        </is>
      </c>
      <c r="J415" t="inlineStr">
        <is>
          <t>Completed</t>
        </is>
      </c>
      <c r="K415" t="inlineStr">
        <is>
          <t>2019</t>
        </is>
      </c>
      <c r="L415" t="inlineStr">
        <is>
          <t>6.0-6.5</t>
        </is>
      </c>
      <c r="M415" t="inlineStr">
        <is>
          <t>5-7</t>
        </is>
      </c>
      <c r="N415" t="inlineStr">
        <is>
          <t>11.0-13.5</t>
        </is>
      </c>
      <c r="O415" s="7" t="inlineStr">
        <is>
          <t>Hartland Intl</t>
        </is>
      </c>
      <c r="P415" s="7" t="inlineStr">
        <is>
          <t>Emirates Hospital BB</t>
        </is>
      </c>
      <c r="Q415" s="7" t="inlineStr">
        <is>
          <t>Dubai Mall</t>
        </is>
      </c>
      <c r="R415" s="7" t="inlineStr">
        <is>
          <t>Al Khail E44</t>
        </is>
      </c>
      <c r="S415" t="inlineStr">
        <is>
          <t>5</t>
        </is>
      </c>
      <c r="T415" t="inlineStr">
        <is>
          <t>20</t>
        </is>
      </c>
      <c r="U415" t="inlineStr">
        <is>
          <t>15</t>
        </is>
      </c>
      <c r="V415" t="inlineStr">
        <is>
          <t>35</t>
        </is>
      </c>
      <c r="W415" t="n">
        <v>2</v>
      </c>
      <c r="X415" s="12" t="n">
        <v>1200000</v>
      </c>
      <c r="Y415" s="12" t="n">
        <v>1200000</v>
      </c>
      <c r="Z415" s="9" t="n">
        <v>6</v>
      </c>
      <c r="AA415" s="9" t="n">
        <v>6.5</v>
      </c>
      <c r="AB415" s="9" t="n">
        <v>5</v>
      </c>
      <c r="AC415" s="9" t="n">
        <v>7</v>
      </c>
      <c r="AD415" s="9" t="n">
        <v>11</v>
      </c>
      <c r="AE415" s="9" t="n">
        <v>13.5</v>
      </c>
      <c r="AF415" t="n">
        <v>2019</v>
      </c>
      <c r="AH415" t="inlineStr">
        <is>
          <t>Apartment</t>
        </is>
      </c>
      <c r="AI415" t="inlineStr">
        <is>
          <t>Prime</t>
        </is>
      </c>
      <c r="AJ415" t="inlineStr">
        <is>
          <t>MidTier</t>
        </is>
      </c>
      <c r="AK415" t="inlineStr">
        <is>
          <t>Prime resilient / selective</t>
        </is>
      </c>
      <c r="AL415" s="7" t="inlineStr">
        <is>
          <t>Better support from quality, branding, and scarcer prime stock; still entry-price sensitive.</t>
        </is>
      </c>
      <c r="AM415" s="9" t="n">
        <v>6</v>
      </c>
      <c r="AN415" s="9" t="n">
        <v>6.25</v>
      </c>
      <c r="AO415" s="10" t="n">
        <v>0.55</v>
      </c>
      <c r="AP415" s="13" t="n">
        <v>0.02</v>
      </c>
      <c r="AQ415" s="13" t="n">
        <v>0</v>
      </c>
      <c r="AR415" s="13" t="n">
        <v>0</v>
      </c>
      <c r="AS415" s="13" t="n">
        <v>0.03</v>
      </c>
      <c r="AT415" s="13" t="n">
        <v>-0.005</v>
      </c>
      <c r="AU415" s="13" t="n">
        <v>0.0025</v>
      </c>
      <c r="AV415" s="13" t="n">
        <v>-0.005</v>
      </c>
      <c r="AW415" s="13">
        <f>IF(X415="","",(AM415/100*AO415)+AP415+AQ415+AR415)</f>
        <v/>
      </c>
      <c r="AX415" s="13">
        <f>IF(X415="","",AS415+AT415+AU415+AV415)</f>
        <v/>
      </c>
      <c r="AY415" s="12">
        <f>IF(AZ415="","",ROUND(AZ415*(1+Assumptions!$B$10),0))</f>
        <v/>
      </c>
      <c r="AZ415" s="12">
        <f>IF(X415="","",ROUND(X415*(1+AW415),0))</f>
        <v/>
      </c>
      <c r="BA415" s="12">
        <f>IF(AZ415="","",ROUND(AZ415*(1+Assumptions!$B$11),0))</f>
        <v/>
      </c>
      <c r="BB415" s="12">
        <f>IF(AZ415="","",ROUND(AZ415*(1+AX415+Assumptions!$B$10),0))</f>
        <v/>
      </c>
      <c r="BC415" s="12">
        <f>IF(AZ415="","",ROUND(AZ415*(1+AX415),0))</f>
        <v/>
      </c>
      <c r="BD415" s="12">
        <f>IF(AZ415="","",ROUND(AZ415*(1+AX415+Assumptions!$B$11),0))</f>
        <v/>
      </c>
      <c r="BE415" s="12">
        <f>IF(AZ415="","",ROUND(AZ415*(1+AX415)*(1+AX415),0))</f>
        <v/>
      </c>
      <c r="BF415" s="7" t="inlineStr">
        <is>
          <t>Rules-based enrichment using launch-price anchor, cap-app realization, and 2026 segment conditions.</t>
        </is>
      </c>
      <c r="BG415" t="inlineStr">
        <is>
          <t>2026-03-17</t>
        </is>
      </c>
      <c r="BH415" s="7" t="inlineStr">
        <is>
          <t>DLD / Digital Dubai / CBUAE / Savills / Knight Frank-Moody’s / Reuters</t>
        </is>
      </c>
    </row>
    <row r="416">
      <c r="A416" t="n">
        <v>415</v>
      </c>
      <c r="B416" s="7" t="inlineStr">
        <is>
          <t>MAG 218</t>
        </is>
      </c>
      <c r="C416" t="inlineStr">
        <is>
          <t>MAG Property Development</t>
        </is>
      </c>
      <c r="D416" t="inlineStr">
        <is>
          <t>Dubai Marina</t>
        </is>
      </c>
      <c r="E416" t="inlineStr">
        <is>
          <t>Apartments</t>
        </is>
      </c>
      <c r="F416" s="7" t="inlineStr">
        <is>
          <t>High-Rise</t>
        </is>
      </c>
      <c r="G416" t="inlineStr">
        <is>
          <t>Resale</t>
        </is>
      </c>
      <c r="H416" t="inlineStr">
        <is>
          <t>1200</t>
        </is>
      </c>
      <c r="I416" t="inlineStr">
        <is>
          <t>16</t>
        </is>
      </c>
      <c r="J416" t="inlineStr">
        <is>
          <t>Completed</t>
        </is>
      </c>
      <c r="K416" t="inlineStr">
        <is>
          <t>2010</t>
        </is>
      </c>
      <c r="L416" t="inlineStr">
        <is>
          <t>7.0-7.5</t>
        </is>
      </c>
      <c r="M416" t="inlineStr">
        <is>
          <t>4-6</t>
        </is>
      </c>
      <c r="N416" t="inlineStr">
        <is>
          <t>11.0-13.5</t>
        </is>
      </c>
      <c r="O416" s="7" t="inlineStr">
        <is>
          <t>American Univ. Dubai</t>
        </is>
      </c>
      <c r="P416" s="7" t="inlineStr">
        <is>
          <t>Saudi German Hospital</t>
        </is>
      </c>
      <c r="Q416" s="7" t="inlineStr">
        <is>
          <t>Dubai Marina Mall</t>
        </is>
      </c>
      <c r="R416" s="7" t="inlineStr">
        <is>
          <t>Sheikh Zayed E11</t>
        </is>
      </c>
      <c r="S416" t="inlineStr">
        <is>
          <t>20</t>
        </is>
      </c>
      <c r="T416" t="inlineStr">
        <is>
          <t>2</t>
        </is>
      </c>
      <c r="U416" t="inlineStr">
        <is>
          <t>25</t>
        </is>
      </c>
      <c r="V416" t="inlineStr">
        <is>
          <t>30</t>
        </is>
      </c>
      <c r="W416" t="n">
        <v>2</v>
      </c>
      <c r="X416" s="12" t="n"/>
      <c r="Y416" s="12" t="n"/>
      <c r="Z416" s="9" t="n">
        <v>7</v>
      </c>
      <c r="AA416" s="9" t="n">
        <v>7.5</v>
      </c>
      <c r="AB416" s="9" t="n">
        <v>4</v>
      </c>
      <c r="AC416" s="9" t="n">
        <v>6</v>
      </c>
      <c r="AD416" s="9" t="n">
        <v>11</v>
      </c>
      <c r="AE416" s="9" t="n">
        <v>13.5</v>
      </c>
      <c r="AF416" t="n">
        <v>2010</v>
      </c>
      <c r="AH416" t="inlineStr">
        <is>
          <t>Apartment</t>
        </is>
      </c>
      <c r="AI416" t="inlineStr">
        <is>
          <t>Prime</t>
        </is>
      </c>
      <c r="AJ416" t="inlineStr">
        <is>
          <t>MidTier</t>
        </is>
      </c>
      <c r="AK416" t="inlineStr">
        <is>
          <t>Prime resilient / selective</t>
        </is>
      </c>
      <c r="AL416" s="7" t="inlineStr">
        <is>
          <t>Better support from quality, branding, and scarcer prime stock; still entry-price sensitive.</t>
        </is>
      </c>
      <c r="AM416" s="9" t="n">
        <v>5</v>
      </c>
      <c r="AN416" s="9" t="n">
        <v>7.25</v>
      </c>
      <c r="AO416" s="10" t="n">
        <v>0.55</v>
      </c>
      <c r="AP416" s="13" t="n">
        <v>0.02</v>
      </c>
      <c r="AQ416" s="13" t="n">
        <v>0</v>
      </c>
      <c r="AR416" s="13" t="n">
        <v>0</v>
      </c>
      <c r="AS416" s="13" t="n">
        <v>0.03</v>
      </c>
      <c r="AT416" s="13" t="n">
        <v>-0.005</v>
      </c>
      <c r="AU416" s="13" t="n">
        <v>0.0025</v>
      </c>
      <c r="AV416" s="13" t="n">
        <v>-0.005</v>
      </c>
      <c r="AW416" s="13">
        <f>IF(X416="","",(AM416/100*AO416)+AP416+AQ416+AR416)</f>
        <v/>
      </c>
      <c r="AX416" s="13">
        <f>IF(X416="","",AS416+AT416+AU416+AV416)</f>
        <v/>
      </c>
      <c r="AY416" s="12">
        <f>IF(AZ416="","",ROUND(AZ416*(1+Assumptions!$B$10),0))</f>
        <v/>
      </c>
      <c r="AZ416" s="12">
        <f>IF(X416="","",ROUND(X416*(1+AW416),0))</f>
        <v/>
      </c>
      <c r="BA416" s="12">
        <f>IF(AZ416="","",ROUND(AZ416*(1+Assumptions!$B$11),0))</f>
        <v/>
      </c>
      <c r="BB416" s="12">
        <f>IF(AZ416="","",ROUND(AZ416*(1+AX416+Assumptions!$B$10),0))</f>
        <v/>
      </c>
      <c r="BC416" s="12">
        <f>IF(AZ416="","",ROUND(AZ416*(1+AX416),0))</f>
        <v/>
      </c>
      <c r="BD416" s="12">
        <f>IF(AZ416="","",ROUND(AZ416*(1+AX416+Assumptions!$B$11),0))</f>
        <v/>
      </c>
      <c r="BE416" s="12">
        <f>IF(AZ416="","",ROUND(AZ416*(1+AX416)*(1+AX416),0))</f>
        <v/>
      </c>
      <c r="BF416" s="7" t="inlineStr">
        <is>
          <t>Rules-based enrichment using launch-price anchor, cap-app realization, and 2026 segment conditions.</t>
        </is>
      </c>
      <c r="BG416" t="inlineStr">
        <is>
          <t>2026-03-17</t>
        </is>
      </c>
      <c r="BH416" s="7" t="inlineStr">
        <is>
          <t>DLD / Digital Dubai / CBUAE / Savills / Knight Frank-Moody’s / Reuters</t>
        </is>
      </c>
    </row>
    <row r="417">
      <c r="A417" t="n">
        <v>416</v>
      </c>
      <c r="B417" s="7" t="inlineStr">
        <is>
          <t>Mar Casa</t>
        </is>
      </c>
      <c r="C417" t="inlineStr">
        <is>
          <t>Deyaar</t>
        </is>
      </c>
      <c r="D417" t="inlineStr">
        <is>
          <t>Dubai Maritime City</t>
        </is>
      </c>
      <c r="E417" t="inlineStr">
        <is>
          <t>Apartments</t>
        </is>
      </c>
      <c r="F417" s="7" t="inlineStr">
        <is>
          <t>Sea View / Luxury</t>
        </is>
      </c>
      <c r="G417" t="inlineStr">
        <is>
          <t>2.2M</t>
        </is>
      </c>
      <c r="H417" t="inlineStr">
        <is>
          <t>2000</t>
        </is>
      </c>
      <c r="I417" t="inlineStr">
        <is>
          <t>20</t>
        </is>
      </c>
      <c r="J417" t="inlineStr">
        <is>
          <t>50/50</t>
        </is>
      </c>
      <c r="K417" t="inlineStr">
        <is>
          <t>2023</t>
        </is>
      </c>
      <c r="L417" t="inlineStr">
        <is>
          <t>6.5-7.0</t>
        </is>
      </c>
      <c r="M417" t="inlineStr">
        <is>
          <t>8-10</t>
        </is>
      </c>
      <c r="N417" t="inlineStr">
        <is>
          <t>14.5-17.0</t>
        </is>
      </c>
      <c r="O417" s="7" t="inlineStr">
        <is>
          <t>New Academy School</t>
        </is>
      </c>
      <c r="P417" s="7" t="inlineStr">
        <is>
          <t>Aster Hospital Mankhool</t>
        </is>
      </c>
      <c r="Q417" s="7" t="inlineStr">
        <is>
          <t>Dubai Mall</t>
        </is>
      </c>
      <c r="R417" s="7" t="inlineStr">
        <is>
          <t>Al Khaleej / E11</t>
        </is>
      </c>
      <c r="S417" t="inlineStr">
        <is>
          <t>15</t>
        </is>
      </c>
      <c r="T417" t="inlineStr">
        <is>
          <t>25</t>
        </is>
      </c>
      <c r="U417" t="inlineStr">
        <is>
          <t>15</t>
        </is>
      </c>
      <c r="V417" t="inlineStr">
        <is>
          <t>45</t>
        </is>
      </c>
      <c r="W417" t="n">
        <v>2</v>
      </c>
      <c r="X417" s="12" t="n">
        <v>2200000</v>
      </c>
      <c r="Y417" s="12" t="n">
        <v>2200000</v>
      </c>
      <c r="Z417" s="9" t="n">
        <v>6.5</v>
      </c>
      <c r="AA417" s="9" t="n">
        <v>7</v>
      </c>
      <c r="AB417" s="9" t="n">
        <v>8</v>
      </c>
      <c r="AC417" s="9" t="n">
        <v>10</v>
      </c>
      <c r="AD417" s="9" t="n">
        <v>14.5</v>
      </c>
      <c r="AE417" s="9" t="n">
        <v>17</v>
      </c>
      <c r="AF417" t="n">
        <v>2023</v>
      </c>
      <c r="AH417" t="inlineStr">
        <is>
          <t>Apartment</t>
        </is>
      </c>
      <c r="AI417" t="inlineStr">
        <is>
          <t>MainstreamSelective</t>
        </is>
      </c>
      <c r="AJ417" t="inlineStr">
        <is>
          <t>Established</t>
        </is>
      </c>
      <c r="AK417" t="inlineStr">
        <is>
          <t>Balanced / selective</t>
        </is>
      </c>
      <c r="AL417" s="7" t="inlineStr">
        <is>
          <t>Market remains active but increasingly differentiated by developer, micro-location, livability, and pricing discipline.</t>
        </is>
      </c>
      <c r="AM417" s="9" t="n">
        <v>9</v>
      </c>
      <c r="AN417" s="9" t="n">
        <v>6.75</v>
      </c>
      <c r="AO417" s="10" t="n">
        <v>0.55</v>
      </c>
      <c r="AP417" s="13" t="n">
        <v>0</v>
      </c>
      <c r="AQ417" s="13" t="n">
        <v>0</v>
      </c>
      <c r="AR417" s="13" t="n">
        <v>0</v>
      </c>
      <c r="AS417" s="13" t="n">
        <v>0.01</v>
      </c>
      <c r="AT417" s="13" t="n">
        <v>0</v>
      </c>
      <c r="AU417" s="13" t="n">
        <v>0.0025</v>
      </c>
      <c r="AV417" s="13" t="n">
        <v>-0.005</v>
      </c>
      <c r="AW417" s="13">
        <f>IF(X417="","",(AM417/100*AO417)+AP417+AQ417+AR417)</f>
        <v/>
      </c>
      <c r="AX417" s="13">
        <f>IF(X417="","",AS417+AT417+AU417+AV417)</f>
        <v/>
      </c>
      <c r="AY417" s="12">
        <f>IF(AZ417="","",ROUND(AZ417*(1+Assumptions!$B$10),0))</f>
        <v/>
      </c>
      <c r="AZ417" s="12">
        <f>IF(X417="","",ROUND(X417*(1+AW417),0))</f>
        <v/>
      </c>
      <c r="BA417" s="12">
        <f>IF(AZ417="","",ROUND(AZ417*(1+Assumptions!$B$11),0))</f>
        <v/>
      </c>
      <c r="BB417" s="12">
        <f>IF(AZ417="","",ROUND(AZ417*(1+AX417+Assumptions!$B$10),0))</f>
        <v/>
      </c>
      <c r="BC417" s="12">
        <f>IF(AZ417="","",ROUND(AZ417*(1+AX417),0))</f>
        <v/>
      </c>
      <c r="BD417" s="12">
        <f>IF(AZ417="","",ROUND(AZ417*(1+AX417+Assumptions!$B$11),0))</f>
        <v/>
      </c>
      <c r="BE417" s="12">
        <f>IF(AZ417="","",ROUND(AZ417*(1+AX417)*(1+AX417),0))</f>
        <v/>
      </c>
      <c r="BF417" s="7" t="inlineStr">
        <is>
          <t>Rules-based enrichment using launch-price anchor, cap-app realization, and 2026 segment conditions.</t>
        </is>
      </c>
      <c r="BG417" t="inlineStr">
        <is>
          <t>2026-03-17</t>
        </is>
      </c>
      <c r="BH417" s="7" t="inlineStr">
        <is>
          <t>DLD / Digital Dubai / CBUAE / Savills / Knight Frank-Moody’s / Reuters</t>
        </is>
      </c>
    </row>
    <row r="418">
      <c r="A418" t="n">
        <v>417</v>
      </c>
      <c r="B418" s="7" t="inlineStr">
        <is>
          <t>Regalia</t>
        </is>
      </c>
      <c r="C418" t="inlineStr">
        <is>
          <t>Deyaar</t>
        </is>
      </c>
      <c r="D418" t="inlineStr">
        <is>
          <t>Business Bay</t>
        </is>
      </c>
      <c r="E418" t="inlineStr">
        <is>
          <t>Apartments</t>
        </is>
      </c>
      <c r="F418" s="7" t="inlineStr">
        <is>
          <t>Luxury / Smart</t>
        </is>
      </c>
      <c r="G418" t="inlineStr">
        <is>
          <t>1.8M</t>
        </is>
      </c>
      <c r="H418" t="inlineStr">
        <is>
          <t>2100</t>
        </is>
      </c>
      <c r="I418" t="inlineStr">
        <is>
          <t>20</t>
        </is>
      </c>
      <c r="J418" t="inlineStr">
        <is>
          <t>Completed</t>
        </is>
      </c>
      <c r="K418" t="inlineStr">
        <is>
          <t>2021</t>
        </is>
      </c>
      <c r="L418" t="inlineStr">
        <is>
          <t>6.0-6.5</t>
        </is>
      </c>
      <c r="M418" t="inlineStr">
        <is>
          <t>6-8</t>
        </is>
      </c>
      <c r="N418" t="inlineStr">
        <is>
          <t>12.0-14.5</t>
        </is>
      </c>
      <c r="O418" s="7" t="inlineStr">
        <is>
          <t>Hartland Intl</t>
        </is>
      </c>
      <c r="P418" s="7" t="inlineStr">
        <is>
          <t>Emirates Hospital BB</t>
        </is>
      </c>
      <c r="Q418" s="7" t="inlineStr">
        <is>
          <t>Dubai Mall</t>
        </is>
      </c>
      <c r="R418" s="7" t="inlineStr">
        <is>
          <t>Al Khail E44</t>
        </is>
      </c>
      <c r="S418" t="inlineStr">
        <is>
          <t>5</t>
        </is>
      </c>
      <c r="T418" t="inlineStr">
        <is>
          <t>20</t>
        </is>
      </c>
      <c r="U418" t="inlineStr">
        <is>
          <t>15</t>
        </is>
      </c>
      <c r="V418" t="inlineStr">
        <is>
          <t>35</t>
        </is>
      </c>
      <c r="W418" t="n">
        <v>2</v>
      </c>
      <c r="X418" s="12" t="n">
        <v>1800000</v>
      </c>
      <c r="Y418" s="12" t="n">
        <v>1800000</v>
      </c>
      <c r="Z418" s="9" t="n">
        <v>6</v>
      </c>
      <c r="AA418" s="9" t="n">
        <v>6.5</v>
      </c>
      <c r="AB418" s="9" t="n">
        <v>6</v>
      </c>
      <c r="AC418" s="9" t="n">
        <v>8</v>
      </c>
      <c r="AD418" s="9" t="n">
        <v>12</v>
      </c>
      <c r="AE418" s="9" t="n">
        <v>14.5</v>
      </c>
      <c r="AF418" t="n">
        <v>2021</v>
      </c>
      <c r="AH418" t="inlineStr">
        <is>
          <t>Apartment</t>
        </is>
      </c>
      <c r="AI418" t="inlineStr">
        <is>
          <t>Prime</t>
        </is>
      </c>
      <c r="AJ418" t="inlineStr">
        <is>
          <t>Established</t>
        </is>
      </c>
      <c r="AK418" t="inlineStr">
        <is>
          <t>Prime resilient / selective</t>
        </is>
      </c>
      <c r="AL418" s="7" t="inlineStr">
        <is>
          <t>Better support from quality, branding, and scarcer prime stock; still entry-price sensitive.</t>
        </is>
      </c>
      <c r="AM418" s="9" t="n">
        <v>7</v>
      </c>
      <c r="AN418" s="9" t="n">
        <v>6.25</v>
      </c>
      <c r="AO418" s="10" t="n">
        <v>0.55</v>
      </c>
      <c r="AP418" s="13" t="n">
        <v>0.02</v>
      </c>
      <c r="AQ418" s="13" t="n">
        <v>0</v>
      </c>
      <c r="AR418" s="13" t="n">
        <v>0</v>
      </c>
      <c r="AS418" s="13" t="n">
        <v>0.03</v>
      </c>
      <c r="AT418" s="13" t="n">
        <v>0</v>
      </c>
      <c r="AU418" s="13" t="n">
        <v>0.0025</v>
      </c>
      <c r="AV418" s="13" t="n">
        <v>-0.005</v>
      </c>
      <c r="AW418" s="13">
        <f>IF(X418="","",(AM418/100*AO418)+AP418+AQ418+AR418)</f>
        <v/>
      </c>
      <c r="AX418" s="13">
        <f>IF(X418="","",AS418+AT418+AU418+AV418)</f>
        <v/>
      </c>
      <c r="AY418" s="12">
        <f>IF(AZ418="","",ROUND(AZ418*(1+Assumptions!$B$10),0))</f>
        <v/>
      </c>
      <c r="AZ418" s="12">
        <f>IF(X418="","",ROUND(X418*(1+AW418),0))</f>
        <v/>
      </c>
      <c r="BA418" s="12">
        <f>IF(AZ418="","",ROUND(AZ418*(1+Assumptions!$B$11),0))</f>
        <v/>
      </c>
      <c r="BB418" s="12">
        <f>IF(AZ418="","",ROUND(AZ418*(1+AX418+Assumptions!$B$10),0))</f>
        <v/>
      </c>
      <c r="BC418" s="12">
        <f>IF(AZ418="","",ROUND(AZ418*(1+AX418),0))</f>
        <v/>
      </c>
      <c r="BD418" s="12">
        <f>IF(AZ418="","",ROUND(AZ418*(1+AX418+Assumptions!$B$11),0))</f>
        <v/>
      </c>
      <c r="BE418" s="12">
        <f>IF(AZ418="","",ROUND(AZ418*(1+AX418)*(1+AX418),0))</f>
        <v/>
      </c>
      <c r="BF418" s="7" t="inlineStr">
        <is>
          <t>Rules-based enrichment using launch-price anchor, cap-app realization, and 2026 segment conditions.</t>
        </is>
      </c>
      <c r="BG418" t="inlineStr">
        <is>
          <t>2026-03-17</t>
        </is>
      </c>
      <c r="BH418" s="7" t="inlineStr">
        <is>
          <t>DLD / Digital Dubai / CBUAE / Savills / Knight Frank-Moody’s / Reuters</t>
        </is>
      </c>
    </row>
    <row r="419">
      <c r="A419" t="n">
        <v>418</v>
      </c>
      <c r="B419" s="7" t="inlineStr">
        <is>
          <t>Midtown Master Community</t>
        </is>
      </c>
      <c r="C419" t="inlineStr">
        <is>
          <t>Deyaar</t>
        </is>
      </c>
      <c r="D419" t="inlineStr">
        <is>
          <t>Dubai Production City</t>
        </is>
      </c>
      <c r="E419" t="inlineStr">
        <is>
          <t>Apartments</t>
        </is>
      </c>
      <c r="F419" s="7" t="inlineStr">
        <is>
          <t>Community / Family</t>
        </is>
      </c>
      <c r="G419" t="inlineStr">
        <is>
          <t>Resale (800k+)</t>
        </is>
      </c>
      <c r="H419" t="inlineStr">
        <is>
          <t>1100</t>
        </is>
      </c>
      <c r="I419" t="inlineStr">
        <is>
          <t>15</t>
        </is>
      </c>
      <c r="J419" t="inlineStr">
        <is>
          <t>Completed</t>
        </is>
      </c>
      <c r="K419" t="inlineStr">
        <is>
          <t>2015</t>
        </is>
      </c>
      <c r="L419" t="inlineStr">
        <is>
          <t>7.5-8.0</t>
        </is>
      </c>
      <c r="M419" t="inlineStr">
        <is>
          <t>5-7</t>
        </is>
      </c>
      <c r="N419" t="inlineStr">
        <is>
          <t>12.5-15.0</t>
        </is>
      </c>
      <c r="O419" s="7" t="inlineStr">
        <is>
          <t>Sunmarke School</t>
        </is>
      </c>
      <c r="P419" s="7" t="inlineStr">
        <is>
          <t>NMC Royal DIP</t>
        </is>
      </c>
      <c r="Q419" s="7" t="inlineStr">
        <is>
          <t>City Centre Me'aisem</t>
        </is>
      </c>
      <c r="R419" s="7" t="inlineStr">
        <is>
          <t>E311 / Yalayis</t>
        </is>
      </c>
      <c r="S419" t="inlineStr">
        <is>
          <t>25</t>
        </is>
      </c>
      <c r="T419" t="inlineStr">
        <is>
          <t>20</t>
        </is>
      </c>
      <c r="U419" t="inlineStr">
        <is>
          <t>30</t>
        </is>
      </c>
      <c r="V419" t="inlineStr">
        <is>
          <t>25</t>
        </is>
      </c>
      <c r="W419" t="n">
        <v>2</v>
      </c>
      <c r="X419" s="12" t="n">
        <v>800000</v>
      </c>
      <c r="Y419" s="12" t="n">
        <v>800000</v>
      </c>
      <c r="Z419" s="9" t="n">
        <v>7.5</v>
      </c>
      <c r="AA419" s="9" t="n">
        <v>8</v>
      </c>
      <c r="AB419" s="9" t="n">
        <v>5</v>
      </c>
      <c r="AC419" s="9" t="n">
        <v>7</v>
      </c>
      <c r="AD419" s="9" t="n">
        <v>12.5</v>
      </c>
      <c r="AE419" s="9" t="n">
        <v>15</v>
      </c>
      <c r="AF419" t="n">
        <v>2015</v>
      </c>
      <c r="AH419" t="inlineStr">
        <is>
          <t>Apartment</t>
        </is>
      </c>
      <c r="AI419" t="inlineStr">
        <is>
          <t>MainstreamSelective</t>
        </is>
      </c>
      <c r="AJ419" t="inlineStr">
        <is>
          <t>Established</t>
        </is>
      </c>
      <c r="AK419" t="inlineStr">
        <is>
          <t>Balanced / selective</t>
        </is>
      </c>
      <c r="AL419" s="7" t="inlineStr">
        <is>
          <t>Market remains active but increasingly differentiated by developer, micro-location, livability, and pricing discipline.</t>
        </is>
      </c>
      <c r="AM419" s="9" t="n">
        <v>6</v>
      </c>
      <c r="AN419" s="9" t="n">
        <v>7.75</v>
      </c>
      <c r="AO419" s="10" t="n">
        <v>0.55</v>
      </c>
      <c r="AP419" s="13" t="n">
        <v>0</v>
      </c>
      <c r="AQ419" s="13" t="n">
        <v>0</v>
      </c>
      <c r="AR419" s="13" t="n">
        <v>0</v>
      </c>
      <c r="AS419" s="13" t="n">
        <v>0.01</v>
      </c>
      <c r="AT419" s="13" t="n">
        <v>0</v>
      </c>
      <c r="AU419" s="13" t="n">
        <v>0.0025</v>
      </c>
      <c r="AV419" s="13" t="n">
        <v>-0.005</v>
      </c>
      <c r="AW419" s="13">
        <f>IF(X419="","",(AM419/100*AO419)+AP419+AQ419+AR419)</f>
        <v/>
      </c>
      <c r="AX419" s="13">
        <f>IF(X419="","",AS419+AT419+AU419+AV419)</f>
        <v/>
      </c>
      <c r="AY419" s="12">
        <f>IF(AZ419="","",ROUND(AZ419*(1+Assumptions!$B$10),0))</f>
        <v/>
      </c>
      <c r="AZ419" s="12">
        <f>IF(X419="","",ROUND(X419*(1+AW419),0))</f>
        <v/>
      </c>
      <c r="BA419" s="12">
        <f>IF(AZ419="","",ROUND(AZ419*(1+Assumptions!$B$11),0))</f>
        <v/>
      </c>
      <c r="BB419" s="12">
        <f>IF(AZ419="","",ROUND(AZ419*(1+AX419+Assumptions!$B$10),0))</f>
        <v/>
      </c>
      <c r="BC419" s="12">
        <f>IF(AZ419="","",ROUND(AZ419*(1+AX419),0))</f>
        <v/>
      </c>
      <c r="BD419" s="12">
        <f>IF(AZ419="","",ROUND(AZ419*(1+AX419+Assumptions!$B$11),0))</f>
        <v/>
      </c>
      <c r="BE419" s="12">
        <f>IF(AZ419="","",ROUND(AZ419*(1+AX419)*(1+AX419),0))</f>
        <v/>
      </c>
      <c r="BF419" s="7" t="inlineStr">
        <is>
          <t>Rules-based enrichment using launch-price anchor, cap-app realization, and 2026 segment conditions.</t>
        </is>
      </c>
      <c r="BG419" t="inlineStr">
        <is>
          <t>2026-03-17</t>
        </is>
      </c>
      <c r="BH419" s="7" t="inlineStr">
        <is>
          <t>DLD / Digital Dubai / CBUAE / Savills / Knight Frank-Moody’s / Reuters</t>
        </is>
      </c>
    </row>
    <row r="420">
      <c r="A420" t="n">
        <v>419</v>
      </c>
      <c r="B420" s="7" t="inlineStr">
        <is>
          <t>Jannat</t>
        </is>
      </c>
      <c r="C420" t="inlineStr">
        <is>
          <t>Deyaar</t>
        </is>
      </c>
      <c r="D420" t="inlineStr">
        <is>
          <t>Midtown</t>
        </is>
      </c>
      <c r="E420" t="inlineStr">
        <is>
          <t>Apartments</t>
        </is>
      </c>
      <c r="F420" s="7" t="inlineStr">
        <is>
          <t>Park View</t>
        </is>
      </c>
      <c r="G420" t="inlineStr">
        <is>
          <t>900k</t>
        </is>
      </c>
      <c r="H420" t="inlineStr">
        <is>
          <t>1200</t>
        </is>
      </c>
      <c r="I420" t="inlineStr">
        <is>
          <t>15</t>
        </is>
      </c>
      <c r="J420" t="inlineStr">
        <is>
          <t>50/50</t>
        </is>
      </c>
      <c r="K420" t="inlineStr">
        <is>
          <t>2023</t>
        </is>
      </c>
      <c r="L420" t="inlineStr">
        <is>
          <t>7.5-8.0</t>
        </is>
      </c>
      <c r="M420" t="inlineStr">
        <is>
          <t>6-8</t>
        </is>
      </c>
      <c r="N420" t="inlineStr">
        <is>
          <t>13.5-16.0</t>
        </is>
      </c>
      <c r="O420" s="7" t="inlineStr">
        <is>
          <t>Sunmarke School</t>
        </is>
      </c>
      <c r="P420" s="7" t="inlineStr">
        <is>
          <t>NMC Royal DIP</t>
        </is>
      </c>
      <c r="Q420" s="7" t="inlineStr">
        <is>
          <t>City Centre Me'aisem</t>
        </is>
      </c>
      <c r="R420" s="7" t="inlineStr">
        <is>
          <t>E311 / Yalayis</t>
        </is>
      </c>
      <c r="S420" t="inlineStr">
        <is>
          <t>25</t>
        </is>
      </c>
      <c r="T420" t="inlineStr">
        <is>
          <t>20</t>
        </is>
      </c>
      <c r="U420" t="inlineStr">
        <is>
          <t>30</t>
        </is>
      </c>
      <c r="V420" t="inlineStr">
        <is>
          <t>25</t>
        </is>
      </c>
      <c r="W420" t="n">
        <v>2</v>
      </c>
      <c r="X420" s="12" t="n">
        <v>900000</v>
      </c>
      <c r="Y420" s="12" t="n">
        <v>900000</v>
      </c>
      <c r="Z420" s="9" t="n">
        <v>7.5</v>
      </c>
      <c r="AA420" s="9" t="n">
        <v>8</v>
      </c>
      <c r="AB420" s="9" t="n">
        <v>6</v>
      </c>
      <c r="AC420" s="9" t="n">
        <v>8</v>
      </c>
      <c r="AD420" s="9" t="n">
        <v>13.5</v>
      </c>
      <c r="AE420" s="9" t="n">
        <v>16</v>
      </c>
      <c r="AF420" t="n">
        <v>2023</v>
      </c>
      <c r="AH420" t="inlineStr">
        <is>
          <t>Apartment</t>
        </is>
      </c>
      <c r="AI420" t="inlineStr">
        <is>
          <t>MainstreamSelective</t>
        </is>
      </c>
      <c r="AJ420" t="inlineStr">
        <is>
          <t>Established</t>
        </is>
      </c>
      <c r="AK420" t="inlineStr">
        <is>
          <t>Balanced / selective</t>
        </is>
      </c>
      <c r="AL420" s="7" t="inlineStr">
        <is>
          <t>Market remains active but increasingly differentiated by developer, micro-location, livability, and pricing discipline.</t>
        </is>
      </c>
      <c r="AM420" s="9" t="n">
        <v>7</v>
      </c>
      <c r="AN420" s="9" t="n">
        <v>7.75</v>
      </c>
      <c r="AO420" s="10" t="n">
        <v>0.55</v>
      </c>
      <c r="AP420" s="13" t="n">
        <v>0</v>
      </c>
      <c r="AQ420" s="13" t="n">
        <v>0</v>
      </c>
      <c r="AR420" s="13" t="n">
        <v>0</v>
      </c>
      <c r="AS420" s="13" t="n">
        <v>0.01</v>
      </c>
      <c r="AT420" s="13" t="n">
        <v>0</v>
      </c>
      <c r="AU420" s="13" t="n">
        <v>0.0025</v>
      </c>
      <c r="AV420" s="13" t="n">
        <v>-0.005</v>
      </c>
      <c r="AW420" s="13">
        <f>IF(X420="","",(AM420/100*AO420)+AP420+AQ420+AR420)</f>
        <v/>
      </c>
      <c r="AX420" s="13">
        <f>IF(X420="","",AS420+AT420+AU420+AV420)</f>
        <v/>
      </c>
      <c r="AY420" s="12">
        <f>IF(AZ420="","",ROUND(AZ420*(1+Assumptions!$B$10),0))</f>
        <v/>
      </c>
      <c r="AZ420" s="12">
        <f>IF(X420="","",ROUND(X420*(1+AW420),0))</f>
        <v/>
      </c>
      <c r="BA420" s="12">
        <f>IF(AZ420="","",ROUND(AZ420*(1+Assumptions!$B$11),0))</f>
        <v/>
      </c>
      <c r="BB420" s="12">
        <f>IF(AZ420="","",ROUND(AZ420*(1+AX420+Assumptions!$B$10),0))</f>
        <v/>
      </c>
      <c r="BC420" s="12">
        <f>IF(AZ420="","",ROUND(AZ420*(1+AX420),0))</f>
        <v/>
      </c>
      <c r="BD420" s="12">
        <f>IF(AZ420="","",ROUND(AZ420*(1+AX420+Assumptions!$B$11),0))</f>
        <v/>
      </c>
      <c r="BE420" s="12">
        <f>IF(AZ420="","",ROUND(AZ420*(1+AX420)*(1+AX420),0))</f>
        <v/>
      </c>
      <c r="BF420" s="7" t="inlineStr">
        <is>
          <t>Rules-based enrichment using launch-price anchor, cap-app realization, and 2026 segment conditions.</t>
        </is>
      </c>
      <c r="BG420" t="inlineStr">
        <is>
          <t>2026-03-17</t>
        </is>
      </c>
      <c r="BH420" s="7" t="inlineStr">
        <is>
          <t>DLD / Digital Dubai / CBUAE / Savills / Knight Frank-Moody’s / Reuters</t>
        </is>
      </c>
    </row>
    <row r="421">
      <c r="A421" t="n">
        <v>420</v>
      </c>
      <c r="B421" s="7" t="inlineStr">
        <is>
          <t>Rosalia Residences</t>
        </is>
      </c>
      <c r="C421" t="inlineStr">
        <is>
          <t>Deyaar</t>
        </is>
      </c>
      <c r="D421" t="inlineStr">
        <is>
          <t>Al Furjan</t>
        </is>
      </c>
      <c r="E421" t="inlineStr">
        <is>
          <t>Apartments</t>
        </is>
      </c>
      <c r="F421" s="7" t="inlineStr">
        <is>
          <t>Family / Metro</t>
        </is>
      </c>
      <c r="G421" t="inlineStr">
        <is>
          <t>1.0M</t>
        </is>
      </c>
      <c r="H421" t="inlineStr">
        <is>
          <t>1200</t>
        </is>
      </c>
      <c r="I421" t="inlineStr">
        <is>
          <t>14</t>
        </is>
      </c>
      <c r="J421" t="inlineStr">
        <is>
          <t>50/50</t>
        </is>
      </c>
      <c r="K421" t="inlineStr">
        <is>
          <t>2024</t>
        </is>
      </c>
      <c r="L421" t="inlineStr">
        <is>
          <t>7.0-7.5</t>
        </is>
      </c>
      <c r="M421" t="inlineStr">
        <is>
          <t>6-8</t>
        </is>
      </c>
      <c r="N421" t="inlineStr">
        <is>
          <t>13.0-15.5</t>
        </is>
      </c>
      <c r="O421" s="7" t="inlineStr">
        <is>
          <t>The Arbor School</t>
        </is>
      </c>
      <c r="P421" s="7" t="inlineStr">
        <is>
          <t>NMC Royal DIP</t>
        </is>
      </c>
      <c r="Q421" s="7" t="inlineStr">
        <is>
          <t>Ibn Battuta Mall</t>
        </is>
      </c>
      <c r="R421" s="7" t="inlineStr">
        <is>
          <t>Yalayis / E311</t>
        </is>
      </c>
      <c r="S421" t="inlineStr">
        <is>
          <t>25</t>
        </is>
      </c>
      <c r="T421" t="inlineStr">
        <is>
          <t>15</t>
        </is>
      </c>
      <c r="U421" t="inlineStr">
        <is>
          <t>30</t>
        </is>
      </c>
      <c r="V421" t="inlineStr">
        <is>
          <t>20</t>
        </is>
      </c>
      <c r="W421" t="n">
        <v>2</v>
      </c>
      <c r="X421" s="12" t="n">
        <v>1000000</v>
      </c>
      <c r="Y421" s="12" t="n">
        <v>1000000</v>
      </c>
      <c r="Z421" s="9" t="n">
        <v>7</v>
      </c>
      <c r="AA421" s="9" t="n">
        <v>7.5</v>
      </c>
      <c r="AB421" s="9" t="n">
        <v>6</v>
      </c>
      <c r="AC421" s="9" t="n">
        <v>8</v>
      </c>
      <c r="AD421" s="9" t="n">
        <v>13</v>
      </c>
      <c r="AE421" s="9" t="n">
        <v>15.5</v>
      </c>
      <c r="AF421" t="n">
        <v>2024</v>
      </c>
      <c r="AH421" t="inlineStr">
        <is>
          <t>Apartment</t>
        </is>
      </c>
      <c r="AI421" t="inlineStr">
        <is>
          <t>SupplySensitiveApartment</t>
        </is>
      </c>
      <c r="AJ421" t="inlineStr">
        <is>
          <t>Established</t>
        </is>
      </c>
      <c r="AK421" t="inlineStr">
        <is>
          <t>Supply-sensitive / selective</t>
        </is>
      </c>
      <c r="AL421" s="7" t="inlineStr">
        <is>
          <t>Higher delivery risk in more price-sensitive apartment clusters; building selection and exit liquidity matter.</t>
        </is>
      </c>
      <c r="AM421" s="9" t="n">
        <v>7</v>
      </c>
      <c r="AN421" s="9" t="n">
        <v>7.25</v>
      </c>
      <c r="AO421" s="10" t="n">
        <v>0.55</v>
      </c>
      <c r="AP421" s="13" t="n">
        <v>0</v>
      </c>
      <c r="AQ421" s="13" t="n">
        <v>0</v>
      </c>
      <c r="AR421" s="13" t="n">
        <v>-0.01</v>
      </c>
      <c r="AS421" s="13" t="n">
        <v>-0.01</v>
      </c>
      <c r="AT421" s="13" t="n">
        <v>0</v>
      </c>
      <c r="AU421" s="13" t="n">
        <v>0.0025</v>
      </c>
      <c r="AV421" s="13" t="n">
        <v>-0.005</v>
      </c>
      <c r="AW421" s="13">
        <f>IF(X421="","",(AM421/100*AO421)+AP421+AQ421+AR421)</f>
        <v/>
      </c>
      <c r="AX421" s="13">
        <f>IF(X421="","",AS421+AT421+AU421+AV421)</f>
        <v/>
      </c>
      <c r="AY421" s="12">
        <f>IF(AZ421="","",ROUND(AZ421*(1+Assumptions!$B$10),0))</f>
        <v/>
      </c>
      <c r="AZ421" s="12">
        <f>IF(X421="","",ROUND(X421*(1+AW421),0))</f>
        <v/>
      </c>
      <c r="BA421" s="12">
        <f>IF(AZ421="","",ROUND(AZ421*(1+Assumptions!$B$11),0))</f>
        <v/>
      </c>
      <c r="BB421" s="12">
        <f>IF(AZ421="","",ROUND(AZ421*(1+AX421+Assumptions!$B$10),0))</f>
        <v/>
      </c>
      <c r="BC421" s="12">
        <f>IF(AZ421="","",ROUND(AZ421*(1+AX421),0))</f>
        <v/>
      </c>
      <c r="BD421" s="12">
        <f>IF(AZ421="","",ROUND(AZ421*(1+AX421+Assumptions!$B$11),0))</f>
        <v/>
      </c>
      <c r="BE421" s="12">
        <f>IF(AZ421="","",ROUND(AZ421*(1+AX421)*(1+AX421),0))</f>
        <v/>
      </c>
      <c r="BF421" s="7" t="inlineStr">
        <is>
          <t>Rules-based enrichment using launch-price anchor, cap-app realization, and 2026 segment conditions.</t>
        </is>
      </c>
      <c r="BG421" t="inlineStr">
        <is>
          <t>2026-03-17</t>
        </is>
      </c>
      <c r="BH421" s="7" t="inlineStr">
        <is>
          <t>DLD / Digital Dubai / CBUAE / Savills / Knight Frank-Moody’s / Reuters</t>
        </is>
      </c>
    </row>
    <row r="422">
      <c r="A422" t="n">
        <v>421</v>
      </c>
      <c r="B422" s="7" t="inlineStr">
        <is>
          <t>Amalia Residences</t>
        </is>
      </c>
      <c r="C422" t="inlineStr">
        <is>
          <t>Deyaar</t>
        </is>
      </c>
      <c r="D422" t="inlineStr">
        <is>
          <t>Al Furjan</t>
        </is>
      </c>
      <c r="E422" t="inlineStr">
        <is>
          <t>Apartments</t>
        </is>
      </c>
      <c r="F422" s="7" t="inlineStr">
        <is>
          <t>Family / Metro</t>
        </is>
      </c>
      <c r="G422" t="inlineStr">
        <is>
          <t>900k</t>
        </is>
      </c>
      <c r="H422" t="inlineStr">
        <is>
          <t>1150</t>
        </is>
      </c>
      <c r="I422" t="inlineStr">
        <is>
          <t>14</t>
        </is>
      </c>
      <c r="J422" t="inlineStr">
        <is>
          <t>50/50</t>
        </is>
      </c>
      <c r="K422" t="inlineStr">
        <is>
          <t>2023</t>
        </is>
      </c>
      <c r="L422" t="inlineStr">
        <is>
          <t>7.0-7.5</t>
        </is>
      </c>
      <c r="M422" t="inlineStr">
        <is>
          <t>6-8</t>
        </is>
      </c>
      <c r="N422" t="inlineStr">
        <is>
          <t>13.0-15.5</t>
        </is>
      </c>
      <c r="O422" s="7" t="inlineStr">
        <is>
          <t>The Arbor School</t>
        </is>
      </c>
      <c r="P422" s="7" t="inlineStr">
        <is>
          <t>NMC Royal DIP</t>
        </is>
      </c>
      <c r="Q422" s="7" t="inlineStr">
        <is>
          <t>Ibn Battuta Mall</t>
        </is>
      </c>
      <c r="R422" s="7" t="inlineStr">
        <is>
          <t>Yalayis / E311</t>
        </is>
      </c>
      <c r="S422" t="inlineStr">
        <is>
          <t>25</t>
        </is>
      </c>
      <c r="T422" t="inlineStr">
        <is>
          <t>15</t>
        </is>
      </c>
      <c r="U422" t="inlineStr">
        <is>
          <t>30</t>
        </is>
      </c>
      <c r="V422" t="inlineStr">
        <is>
          <t>20</t>
        </is>
      </c>
      <c r="W422" t="n">
        <v>2</v>
      </c>
      <c r="X422" s="12" t="n">
        <v>900000</v>
      </c>
      <c r="Y422" s="12" t="n">
        <v>900000</v>
      </c>
      <c r="Z422" s="9" t="n">
        <v>7</v>
      </c>
      <c r="AA422" s="9" t="n">
        <v>7.5</v>
      </c>
      <c r="AB422" s="9" t="n">
        <v>6</v>
      </c>
      <c r="AC422" s="9" t="n">
        <v>8</v>
      </c>
      <c r="AD422" s="9" t="n">
        <v>13</v>
      </c>
      <c r="AE422" s="9" t="n">
        <v>15.5</v>
      </c>
      <c r="AF422" t="n">
        <v>2023</v>
      </c>
      <c r="AH422" t="inlineStr">
        <is>
          <t>Apartment</t>
        </is>
      </c>
      <c r="AI422" t="inlineStr">
        <is>
          <t>SupplySensitiveApartment</t>
        </is>
      </c>
      <c r="AJ422" t="inlineStr">
        <is>
          <t>Established</t>
        </is>
      </c>
      <c r="AK422" t="inlineStr">
        <is>
          <t>Supply-sensitive / selective</t>
        </is>
      </c>
      <c r="AL422" s="7" t="inlineStr">
        <is>
          <t>Higher delivery risk in more price-sensitive apartment clusters; building selection and exit liquidity matter.</t>
        </is>
      </c>
      <c r="AM422" s="9" t="n">
        <v>7</v>
      </c>
      <c r="AN422" s="9" t="n">
        <v>7.25</v>
      </c>
      <c r="AO422" s="10" t="n">
        <v>0.55</v>
      </c>
      <c r="AP422" s="13" t="n">
        <v>0</v>
      </c>
      <c r="AQ422" s="13" t="n">
        <v>0</v>
      </c>
      <c r="AR422" s="13" t="n">
        <v>-0.01</v>
      </c>
      <c r="AS422" s="13" t="n">
        <v>-0.01</v>
      </c>
      <c r="AT422" s="13" t="n">
        <v>0</v>
      </c>
      <c r="AU422" s="13" t="n">
        <v>0.0025</v>
      </c>
      <c r="AV422" s="13" t="n">
        <v>-0.005</v>
      </c>
      <c r="AW422" s="13">
        <f>IF(X422="","",(AM422/100*AO422)+AP422+AQ422+AR422)</f>
        <v/>
      </c>
      <c r="AX422" s="13">
        <f>IF(X422="","",AS422+AT422+AU422+AV422)</f>
        <v/>
      </c>
      <c r="AY422" s="12">
        <f>IF(AZ422="","",ROUND(AZ422*(1+Assumptions!$B$10),0))</f>
        <v/>
      </c>
      <c r="AZ422" s="12">
        <f>IF(X422="","",ROUND(X422*(1+AW422),0))</f>
        <v/>
      </c>
      <c r="BA422" s="12">
        <f>IF(AZ422="","",ROUND(AZ422*(1+Assumptions!$B$11),0))</f>
        <v/>
      </c>
      <c r="BB422" s="12">
        <f>IF(AZ422="","",ROUND(AZ422*(1+AX422+Assumptions!$B$10),0))</f>
        <v/>
      </c>
      <c r="BC422" s="12">
        <f>IF(AZ422="","",ROUND(AZ422*(1+AX422),0))</f>
        <v/>
      </c>
      <c r="BD422" s="12">
        <f>IF(AZ422="","",ROUND(AZ422*(1+AX422+Assumptions!$B$11),0))</f>
        <v/>
      </c>
      <c r="BE422" s="12">
        <f>IF(AZ422="","",ROUND(AZ422*(1+AX422)*(1+AX422),0))</f>
        <v/>
      </c>
      <c r="BF422" s="7" t="inlineStr">
        <is>
          <t>Rules-based enrichment using launch-price anchor, cap-app realization, and 2026 segment conditions.</t>
        </is>
      </c>
      <c r="BG422" t="inlineStr">
        <is>
          <t>2026-03-17</t>
        </is>
      </c>
      <c r="BH422" s="7" t="inlineStr">
        <is>
          <t>DLD / Digital Dubai / CBUAE / Savills / Knight Frank-Moody’s / Reuters</t>
        </is>
      </c>
    </row>
    <row r="423">
      <c r="A423" t="n">
        <v>422</v>
      </c>
      <c r="B423" s="7" t="inlineStr">
        <is>
          <t>Millennium Talia</t>
        </is>
      </c>
      <c r="C423" t="inlineStr">
        <is>
          <t>Deyaar</t>
        </is>
      </c>
      <c r="D423" t="inlineStr">
        <is>
          <t>Al Furjan</t>
        </is>
      </c>
      <c r="E423" t="inlineStr">
        <is>
          <t>Hotel Apts</t>
        </is>
      </c>
      <c r="F423" s="7" t="inlineStr">
        <is>
          <t>Investment</t>
        </is>
      </c>
      <c r="G423" t="inlineStr">
        <is>
          <t>1.1M</t>
        </is>
      </c>
      <c r="H423" t="inlineStr">
        <is>
          <t>1300</t>
        </is>
      </c>
      <c r="I423" t="inlineStr">
        <is>
          <t>18</t>
        </is>
      </c>
      <c r="J423" t="inlineStr">
        <is>
          <t>50/50</t>
        </is>
      </c>
      <c r="K423" t="inlineStr">
        <is>
          <t>2023</t>
        </is>
      </c>
      <c r="L423" t="inlineStr">
        <is>
          <t>8.0-9.0</t>
        </is>
      </c>
      <c r="M423" t="inlineStr">
        <is>
          <t>5-7</t>
        </is>
      </c>
      <c r="N423" t="inlineStr">
        <is>
          <t>13.0-16.0</t>
        </is>
      </c>
      <c r="O423" s="7" t="inlineStr">
        <is>
          <t>The Arbor School</t>
        </is>
      </c>
      <c r="P423" s="7" t="inlineStr">
        <is>
          <t>NMC Royal DIP</t>
        </is>
      </c>
      <c r="Q423" s="7" t="inlineStr">
        <is>
          <t>Ibn Battuta Mall</t>
        </is>
      </c>
      <c r="R423" s="7" t="inlineStr">
        <is>
          <t>Yalayis / E311</t>
        </is>
      </c>
      <c r="S423" t="inlineStr">
        <is>
          <t>25</t>
        </is>
      </c>
      <c r="T423" t="inlineStr">
        <is>
          <t>15</t>
        </is>
      </c>
      <c r="U423" t="inlineStr">
        <is>
          <t>30</t>
        </is>
      </c>
      <c r="V423" t="inlineStr">
        <is>
          <t>20</t>
        </is>
      </c>
      <c r="W423" t="n">
        <v>2</v>
      </c>
      <c r="X423" s="12" t="n">
        <v>1100000</v>
      </c>
      <c r="Y423" s="12" t="n">
        <v>1100000</v>
      </c>
      <c r="Z423" s="9" t="n">
        <v>8</v>
      </c>
      <c r="AA423" s="9" t="n">
        <v>9</v>
      </c>
      <c r="AB423" s="9" t="n">
        <v>5</v>
      </c>
      <c r="AC423" s="9" t="n">
        <v>7</v>
      </c>
      <c r="AD423" s="9" t="n">
        <v>13</v>
      </c>
      <c r="AE423" s="9" t="n">
        <v>16</v>
      </c>
      <c r="AF423" t="n">
        <v>2023</v>
      </c>
      <c r="AH423" t="inlineStr">
        <is>
          <t>Apartment</t>
        </is>
      </c>
      <c r="AI423" t="inlineStr">
        <is>
          <t>SupplySensitiveApartment</t>
        </is>
      </c>
      <c r="AJ423" t="inlineStr">
        <is>
          <t>Established</t>
        </is>
      </c>
      <c r="AK423" t="inlineStr">
        <is>
          <t>Supply-sensitive / selective</t>
        </is>
      </c>
      <c r="AL423" s="7" t="inlineStr">
        <is>
          <t>Higher delivery risk in more price-sensitive apartment clusters; building selection and exit liquidity matter.</t>
        </is>
      </c>
      <c r="AM423" s="9" t="n">
        <v>6</v>
      </c>
      <c r="AN423" s="9" t="n">
        <v>8.5</v>
      </c>
      <c r="AO423" s="10" t="n">
        <v>0.55</v>
      </c>
      <c r="AP423" s="13" t="n">
        <v>0</v>
      </c>
      <c r="AQ423" s="13" t="n">
        <v>0</v>
      </c>
      <c r="AR423" s="13" t="n">
        <v>-0.01</v>
      </c>
      <c r="AS423" s="13" t="n">
        <v>-0.01</v>
      </c>
      <c r="AT423" s="13" t="n">
        <v>0</v>
      </c>
      <c r="AU423" s="13" t="n">
        <v>0.0025</v>
      </c>
      <c r="AV423" s="13" t="n">
        <v>-0.005</v>
      </c>
      <c r="AW423" s="13">
        <f>IF(X423="","",(AM423/100*AO423)+AP423+AQ423+AR423)</f>
        <v/>
      </c>
      <c r="AX423" s="13">
        <f>IF(X423="","",AS423+AT423+AU423+AV423)</f>
        <v/>
      </c>
      <c r="AY423" s="12">
        <f>IF(AZ423="","",ROUND(AZ423*(1+Assumptions!$B$10),0))</f>
        <v/>
      </c>
      <c r="AZ423" s="12">
        <f>IF(X423="","",ROUND(X423*(1+AW423),0))</f>
        <v/>
      </c>
      <c r="BA423" s="12">
        <f>IF(AZ423="","",ROUND(AZ423*(1+Assumptions!$B$11),0))</f>
        <v/>
      </c>
      <c r="BB423" s="12">
        <f>IF(AZ423="","",ROUND(AZ423*(1+AX423+Assumptions!$B$10),0))</f>
        <v/>
      </c>
      <c r="BC423" s="12">
        <f>IF(AZ423="","",ROUND(AZ423*(1+AX423),0))</f>
        <v/>
      </c>
      <c r="BD423" s="12">
        <f>IF(AZ423="","",ROUND(AZ423*(1+AX423+Assumptions!$B$11),0))</f>
        <v/>
      </c>
      <c r="BE423" s="12">
        <f>IF(AZ423="","",ROUND(AZ423*(1+AX423)*(1+AX423),0))</f>
        <v/>
      </c>
      <c r="BF423" s="7" t="inlineStr">
        <is>
          <t>Rules-based enrichment using launch-price anchor, cap-app realization, and 2026 segment conditions.</t>
        </is>
      </c>
      <c r="BG423" t="inlineStr">
        <is>
          <t>2026-03-17</t>
        </is>
      </c>
      <c r="BH423" s="7" t="inlineStr">
        <is>
          <t>DLD / Digital Dubai / CBUAE / Savills / Knight Frank-Moody’s / Reuters</t>
        </is>
      </c>
    </row>
    <row r="424">
      <c r="A424" t="n">
        <v>423</v>
      </c>
      <c r="B424" s="7" t="inlineStr">
        <is>
          <t>Town Square (Master Community)</t>
        </is>
      </c>
      <c r="C424" t="inlineStr">
        <is>
          <t>Nshama</t>
        </is>
      </c>
      <c r="D424" t="inlineStr">
        <is>
          <t>Dubailand (Al Qudra)</t>
        </is>
      </c>
      <c r="E424" t="inlineStr">
        <is>
          <t>Mixed</t>
        </is>
      </c>
      <c r="F424" s="7" t="inlineStr">
        <is>
          <t>Family / Affordable</t>
        </is>
      </c>
      <c r="I424" t="inlineStr">
        <is>
          <t>12</t>
        </is>
      </c>
      <c r="J424" t="inlineStr">
        <is>
          <t>Varies</t>
        </is>
      </c>
      <c r="K424" t="inlineStr">
        <is>
          <t>Ongoing</t>
        </is>
      </c>
      <c r="L424" t="inlineStr">
        <is>
          <t>7.0-7.5</t>
        </is>
      </c>
      <c r="M424" t="inlineStr">
        <is>
          <t>5-7</t>
        </is>
      </c>
      <c r="N424" t="inlineStr">
        <is>
          <t>12.0-14.5</t>
        </is>
      </c>
      <c r="O424" s="7" t="inlineStr">
        <is>
          <t>Fairgreen Intl</t>
        </is>
      </c>
      <c r="P424" s="7" t="inlineStr">
        <is>
          <t>Saudi German Hospital</t>
        </is>
      </c>
      <c r="Q424" s="7" t="inlineStr">
        <is>
          <t>Town Square Comm. Ctr</t>
        </is>
      </c>
      <c r="R424" s="7" t="inlineStr">
        <is>
          <t>Al Qudra Rd</t>
        </is>
      </c>
      <c r="S424" t="inlineStr">
        <is>
          <t>25</t>
        </is>
      </c>
      <c r="T424" t="inlineStr">
        <is>
          <t>30</t>
        </is>
      </c>
      <c r="U424" t="inlineStr">
        <is>
          <t>30</t>
        </is>
      </c>
      <c r="V424" t="inlineStr">
        <is>
          <t>30</t>
        </is>
      </c>
      <c r="W424" t="n">
        <v>2</v>
      </c>
      <c r="X424" s="12" t="n"/>
      <c r="Y424" s="12" t="n"/>
      <c r="Z424" s="9" t="n">
        <v>7</v>
      </c>
      <c r="AA424" s="9" t="n">
        <v>7.5</v>
      </c>
      <c r="AB424" s="9" t="n">
        <v>5</v>
      </c>
      <c r="AC424" s="9" t="n">
        <v>7</v>
      </c>
      <c r="AD424" s="9" t="n">
        <v>12</v>
      </c>
      <c r="AE424" s="9" t="n">
        <v>14.5</v>
      </c>
      <c r="AH424" t="inlineStr">
        <is>
          <t>Mixed/Other</t>
        </is>
      </c>
      <c r="AI424" t="inlineStr">
        <is>
          <t>MainstreamSelective</t>
        </is>
      </c>
      <c r="AJ424" t="inlineStr">
        <is>
          <t>Established</t>
        </is>
      </c>
      <c r="AK424" t="inlineStr">
        <is>
          <t>Balanced / selective</t>
        </is>
      </c>
      <c r="AL424" s="7" t="inlineStr">
        <is>
          <t>Market remains active but increasingly differentiated by developer, micro-location, livability, and pricing discipline.</t>
        </is>
      </c>
      <c r="AM424" s="9" t="n">
        <v>6</v>
      </c>
      <c r="AN424" s="9" t="n">
        <v>7.25</v>
      </c>
      <c r="AO424" s="10" t="n">
        <v>0.25</v>
      </c>
      <c r="AP424" s="13" t="n">
        <v>0</v>
      </c>
      <c r="AQ424" s="13" t="n">
        <v>0</v>
      </c>
      <c r="AR424" s="13" t="n">
        <v>0</v>
      </c>
      <c r="AS424" s="13" t="n">
        <v>0.01</v>
      </c>
      <c r="AT424" s="13" t="n">
        <v>0</v>
      </c>
      <c r="AU424" s="13" t="n">
        <v>0.0025</v>
      </c>
      <c r="AV424" s="13" t="n">
        <v>-0.005</v>
      </c>
      <c r="AW424" s="13">
        <f>IF(X424="","",(AM424/100*AO424)+AP424+AQ424+AR424)</f>
        <v/>
      </c>
      <c r="AX424" s="13">
        <f>IF(X424="","",AS424+AT424+AU424+AV424)</f>
        <v/>
      </c>
      <c r="AY424" s="12">
        <f>IF(AZ424="","",ROUND(AZ424*(1+Assumptions!$B$10),0))</f>
        <v/>
      </c>
      <c r="AZ424" s="12">
        <f>IF(X424="","",ROUND(X424*(1+AW424),0))</f>
        <v/>
      </c>
      <c r="BA424" s="12">
        <f>IF(AZ424="","",ROUND(AZ424*(1+Assumptions!$B$11),0))</f>
        <v/>
      </c>
      <c r="BB424" s="12">
        <f>IF(AZ424="","",ROUND(AZ424*(1+AX424+Assumptions!$B$10),0))</f>
        <v/>
      </c>
      <c r="BC424" s="12">
        <f>IF(AZ424="","",ROUND(AZ424*(1+AX424),0))</f>
        <v/>
      </c>
      <c r="BD424" s="12">
        <f>IF(AZ424="","",ROUND(AZ424*(1+AX424+Assumptions!$B$11),0))</f>
        <v/>
      </c>
      <c r="BE424" s="12">
        <f>IF(AZ424="","",ROUND(AZ424*(1+AX424)*(1+AX424),0))</f>
        <v/>
      </c>
      <c r="BF424" s="7" t="inlineStr">
        <is>
          <t>Rules-based enrichment using launch-price anchor, cap-app realization, and 2026 segment conditions.</t>
        </is>
      </c>
      <c r="BG424" t="inlineStr">
        <is>
          <t>2026-03-17</t>
        </is>
      </c>
      <c r="BH424" s="7" t="inlineStr">
        <is>
          <t>DLD / Digital Dubai / CBUAE / Savills / Knight Frank-Moody’s / Reuters</t>
        </is>
      </c>
    </row>
    <row r="425">
      <c r="A425" t="n">
        <v>424</v>
      </c>
      <c r="B425" s="7" t="inlineStr">
        <is>
          <t>Fia</t>
        </is>
      </c>
      <c r="C425" t="inlineStr">
        <is>
          <t>Nshama</t>
        </is>
      </c>
      <c r="D425" t="inlineStr">
        <is>
          <t>Town Square</t>
        </is>
      </c>
      <c r="E425" t="inlineStr">
        <is>
          <t>Apartments</t>
        </is>
      </c>
      <c r="F425" s="7" t="inlineStr">
        <is>
          <t>Park View</t>
        </is>
      </c>
      <c r="G425" t="inlineStr">
        <is>
          <t>800k</t>
        </is>
      </c>
      <c r="H425" t="inlineStr">
        <is>
          <t>1100</t>
        </is>
      </c>
      <c r="I425" t="inlineStr">
        <is>
          <t>14</t>
        </is>
      </c>
      <c r="J425" t="inlineStr">
        <is>
          <t>50/50</t>
        </is>
      </c>
      <c r="K425" t="inlineStr">
        <is>
          <t>2024</t>
        </is>
      </c>
      <c r="L425" t="inlineStr">
        <is>
          <t>7.0-7.5</t>
        </is>
      </c>
      <c r="M425" t="inlineStr">
        <is>
          <t>6-8</t>
        </is>
      </c>
      <c r="N425" t="inlineStr">
        <is>
          <t>13.0-15.5</t>
        </is>
      </c>
      <c r="O425" s="7" t="inlineStr">
        <is>
          <t>Fairgreen Intl</t>
        </is>
      </c>
      <c r="P425" s="7" t="inlineStr">
        <is>
          <t>Saudi German Hospital</t>
        </is>
      </c>
      <c r="Q425" s="7" t="inlineStr">
        <is>
          <t>Town Square Comm. Ctr</t>
        </is>
      </c>
      <c r="R425" s="7" t="inlineStr">
        <is>
          <t>Al Qudra Rd</t>
        </is>
      </c>
      <c r="S425" t="inlineStr">
        <is>
          <t>25</t>
        </is>
      </c>
      <c r="T425" t="inlineStr">
        <is>
          <t>30</t>
        </is>
      </c>
      <c r="U425" t="inlineStr">
        <is>
          <t>30</t>
        </is>
      </c>
      <c r="V425" t="inlineStr">
        <is>
          <t>30</t>
        </is>
      </c>
      <c r="W425" t="n">
        <v>2</v>
      </c>
      <c r="X425" s="12" t="n">
        <v>800000</v>
      </c>
      <c r="Y425" s="12" t="n">
        <v>800000</v>
      </c>
      <c r="Z425" s="9" t="n">
        <v>7</v>
      </c>
      <c r="AA425" s="9" t="n">
        <v>7.5</v>
      </c>
      <c r="AB425" s="9" t="n">
        <v>6</v>
      </c>
      <c r="AC425" s="9" t="n">
        <v>8</v>
      </c>
      <c r="AD425" s="9" t="n">
        <v>13</v>
      </c>
      <c r="AE425" s="9" t="n">
        <v>15.5</v>
      </c>
      <c r="AF425" t="n">
        <v>2024</v>
      </c>
      <c r="AH425" t="inlineStr">
        <is>
          <t>Apartment</t>
        </is>
      </c>
      <c r="AI425" t="inlineStr">
        <is>
          <t>SupplySensitiveApartment</t>
        </is>
      </c>
      <c r="AJ425" t="inlineStr">
        <is>
          <t>Established</t>
        </is>
      </c>
      <c r="AK425" t="inlineStr">
        <is>
          <t>Supply-sensitive / selective</t>
        </is>
      </c>
      <c r="AL425" s="7" t="inlineStr">
        <is>
          <t>Higher delivery risk in more price-sensitive apartment clusters; building selection and exit liquidity matter.</t>
        </is>
      </c>
      <c r="AM425" s="9" t="n">
        <v>7</v>
      </c>
      <c r="AN425" s="9" t="n">
        <v>7.25</v>
      </c>
      <c r="AO425" s="10" t="n">
        <v>0.55</v>
      </c>
      <c r="AP425" s="13" t="n">
        <v>0</v>
      </c>
      <c r="AQ425" s="13" t="n">
        <v>0</v>
      </c>
      <c r="AR425" s="13" t="n">
        <v>-0.01</v>
      </c>
      <c r="AS425" s="13" t="n">
        <v>-0.01</v>
      </c>
      <c r="AT425" s="13" t="n">
        <v>0</v>
      </c>
      <c r="AU425" s="13" t="n">
        <v>0.0025</v>
      </c>
      <c r="AV425" s="13" t="n">
        <v>-0.005</v>
      </c>
      <c r="AW425" s="13">
        <f>IF(X425="","",(AM425/100*AO425)+AP425+AQ425+AR425)</f>
        <v/>
      </c>
      <c r="AX425" s="13">
        <f>IF(X425="","",AS425+AT425+AU425+AV425)</f>
        <v/>
      </c>
      <c r="AY425" s="12">
        <f>IF(AZ425="","",ROUND(AZ425*(1+Assumptions!$B$10),0))</f>
        <v/>
      </c>
      <c r="AZ425" s="12">
        <f>IF(X425="","",ROUND(X425*(1+AW425),0))</f>
        <v/>
      </c>
      <c r="BA425" s="12">
        <f>IF(AZ425="","",ROUND(AZ425*(1+Assumptions!$B$11),0))</f>
        <v/>
      </c>
      <c r="BB425" s="12">
        <f>IF(AZ425="","",ROUND(AZ425*(1+AX425+Assumptions!$B$10),0))</f>
        <v/>
      </c>
      <c r="BC425" s="12">
        <f>IF(AZ425="","",ROUND(AZ425*(1+AX425),0))</f>
        <v/>
      </c>
      <c r="BD425" s="12">
        <f>IF(AZ425="","",ROUND(AZ425*(1+AX425+Assumptions!$B$11),0))</f>
        <v/>
      </c>
      <c r="BE425" s="12">
        <f>IF(AZ425="","",ROUND(AZ425*(1+AX425)*(1+AX425),0))</f>
        <v/>
      </c>
      <c r="BF425" s="7" t="inlineStr">
        <is>
          <t>Rules-based enrichment using launch-price anchor, cap-app realization, and 2026 segment conditions.</t>
        </is>
      </c>
      <c r="BG425" t="inlineStr">
        <is>
          <t>2026-03-17</t>
        </is>
      </c>
      <c r="BH425" s="7" t="inlineStr">
        <is>
          <t>DLD / Digital Dubai / CBUAE / Savills / Knight Frank-Moody’s / Reuters</t>
        </is>
      </c>
    </row>
    <row r="426">
      <c r="A426" t="n">
        <v>425</v>
      </c>
      <c r="B426" s="7" t="inlineStr">
        <is>
          <t>Elaya</t>
        </is>
      </c>
      <c r="C426" t="inlineStr">
        <is>
          <t>Nshama</t>
        </is>
      </c>
      <c r="D426" t="inlineStr">
        <is>
          <t>Town Square</t>
        </is>
      </c>
      <c r="E426" t="inlineStr">
        <is>
          <t>Apartments</t>
        </is>
      </c>
      <c r="F426" s="7" t="inlineStr">
        <is>
          <t>Park View</t>
        </is>
      </c>
      <c r="G426" t="inlineStr">
        <is>
          <t>850k</t>
        </is>
      </c>
      <c r="H426" t="inlineStr">
        <is>
          <t>1150</t>
        </is>
      </c>
      <c r="I426" t="inlineStr">
        <is>
          <t>14</t>
        </is>
      </c>
      <c r="J426" t="inlineStr">
        <is>
          <t>50/50</t>
        </is>
      </c>
      <c r="K426" t="inlineStr">
        <is>
          <t>2024</t>
        </is>
      </c>
      <c r="L426" t="inlineStr">
        <is>
          <t>7.0-7.5</t>
        </is>
      </c>
      <c r="M426" t="inlineStr">
        <is>
          <t>6-8</t>
        </is>
      </c>
      <c r="N426" t="inlineStr">
        <is>
          <t>13.0-15.5</t>
        </is>
      </c>
      <c r="O426" s="7" t="inlineStr">
        <is>
          <t>Fairgreen Intl</t>
        </is>
      </c>
      <c r="P426" s="7" t="inlineStr">
        <is>
          <t>Saudi German Hospital</t>
        </is>
      </c>
      <c r="Q426" s="7" t="inlineStr">
        <is>
          <t>Town Square Comm. Ctr</t>
        </is>
      </c>
      <c r="R426" s="7" t="inlineStr">
        <is>
          <t>Al Qudra Rd</t>
        </is>
      </c>
      <c r="S426" t="inlineStr">
        <is>
          <t>25</t>
        </is>
      </c>
      <c r="T426" t="inlineStr">
        <is>
          <t>30</t>
        </is>
      </c>
      <c r="U426" t="inlineStr">
        <is>
          <t>30</t>
        </is>
      </c>
      <c r="V426" t="inlineStr">
        <is>
          <t>30</t>
        </is>
      </c>
      <c r="W426" t="n">
        <v>2</v>
      </c>
      <c r="X426" s="12" t="n">
        <v>850000</v>
      </c>
      <c r="Y426" s="12" t="n">
        <v>850000</v>
      </c>
      <c r="Z426" s="9" t="n">
        <v>7</v>
      </c>
      <c r="AA426" s="9" t="n">
        <v>7.5</v>
      </c>
      <c r="AB426" s="9" t="n">
        <v>6</v>
      </c>
      <c r="AC426" s="9" t="n">
        <v>8</v>
      </c>
      <c r="AD426" s="9" t="n">
        <v>13</v>
      </c>
      <c r="AE426" s="9" t="n">
        <v>15.5</v>
      </c>
      <c r="AF426" t="n">
        <v>2024</v>
      </c>
      <c r="AH426" t="inlineStr">
        <is>
          <t>Apartment</t>
        </is>
      </c>
      <c r="AI426" t="inlineStr">
        <is>
          <t>SupplySensitiveApartment</t>
        </is>
      </c>
      <c r="AJ426" t="inlineStr">
        <is>
          <t>Established</t>
        </is>
      </c>
      <c r="AK426" t="inlineStr">
        <is>
          <t>Supply-sensitive / selective</t>
        </is>
      </c>
      <c r="AL426" s="7" t="inlineStr">
        <is>
          <t>Higher delivery risk in more price-sensitive apartment clusters; building selection and exit liquidity matter.</t>
        </is>
      </c>
      <c r="AM426" s="9" t="n">
        <v>7</v>
      </c>
      <c r="AN426" s="9" t="n">
        <v>7.25</v>
      </c>
      <c r="AO426" s="10" t="n">
        <v>0.55</v>
      </c>
      <c r="AP426" s="13" t="n">
        <v>0</v>
      </c>
      <c r="AQ426" s="13" t="n">
        <v>0</v>
      </c>
      <c r="AR426" s="13" t="n">
        <v>-0.01</v>
      </c>
      <c r="AS426" s="13" t="n">
        <v>-0.01</v>
      </c>
      <c r="AT426" s="13" t="n">
        <v>0</v>
      </c>
      <c r="AU426" s="13" t="n">
        <v>0.0025</v>
      </c>
      <c r="AV426" s="13" t="n">
        <v>-0.005</v>
      </c>
      <c r="AW426" s="13">
        <f>IF(X426="","",(AM426/100*AO426)+AP426+AQ426+AR426)</f>
        <v/>
      </c>
      <c r="AX426" s="13">
        <f>IF(X426="","",AS426+AT426+AU426+AV426)</f>
        <v/>
      </c>
      <c r="AY426" s="12">
        <f>IF(AZ426="","",ROUND(AZ426*(1+Assumptions!$B$10),0))</f>
        <v/>
      </c>
      <c r="AZ426" s="12">
        <f>IF(X426="","",ROUND(X426*(1+AW426),0))</f>
        <v/>
      </c>
      <c r="BA426" s="12">
        <f>IF(AZ426="","",ROUND(AZ426*(1+Assumptions!$B$11),0))</f>
        <v/>
      </c>
      <c r="BB426" s="12">
        <f>IF(AZ426="","",ROUND(AZ426*(1+AX426+Assumptions!$B$10),0))</f>
        <v/>
      </c>
      <c r="BC426" s="12">
        <f>IF(AZ426="","",ROUND(AZ426*(1+AX426),0))</f>
        <v/>
      </c>
      <c r="BD426" s="12">
        <f>IF(AZ426="","",ROUND(AZ426*(1+AX426+Assumptions!$B$11),0))</f>
        <v/>
      </c>
      <c r="BE426" s="12">
        <f>IF(AZ426="","",ROUND(AZ426*(1+AX426)*(1+AX426),0))</f>
        <v/>
      </c>
      <c r="BF426" s="7" t="inlineStr">
        <is>
          <t>Rules-based enrichment using launch-price anchor, cap-app realization, and 2026 segment conditions.</t>
        </is>
      </c>
      <c r="BG426" t="inlineStr">
        <is>
          <t>2026-03-17</t>
        </is>
      </c>
      <c r="BH426" s="7" t="inlineStr">
        <is>
          <t>DLD / Digital Dubai / CBUAE / Savills / Knight Frank-Moody’s / Reuters</t>
        </is>
      </c>
    </row>
    <row r="427">
      <c r="A427" t="n">
        <v>426</v>
      </c>
      <c r="B427" s="7" t="inlineStr">
        <is>
          <t>Ayala</t>
        </is>
      </c>
      <c r="C427" t="inlineStr">
        <is>
          <t>Nshama</t>
        </is>
      </c>
      <c r="D427" t="inlineStr">
        <is>
          <t>Town Square</t>
        </is>
      </c>
      <c r="E427" t="inlineStr">
        <is>
          <t>Apartments</t>
        </is>
      </c>
      <c r="F427" s="7" t="inlineStr">
        <is>
          <t>Park View</t>
        </is>
      </c>
      <c r="G427" t="inlineStr">
        <is>
          <t>850k</t>
        </is>
      </c>
      <c r="H427" t="inlineStr">
        <is>
          <t>1150</t>
        </is>
      </c>
      <c r="I427" t="inlineStr">
        <is>
          <t>14</t>
        </is>
      </c>
      <c r="J427" t="inlineStr">
        <is>
          <t>50/50</t>
        </is>
      </c>
      <c r="K427" t="inlineStr">
        <is>
          <t>2024</t>
        </is>
      </c>
      <c r="L427" t="inlineStr">
        <is>
          <t>7.0-7.5</t>
        </is>
      </c>
      <c r="M427" t="inlineStr">
        <is>
          <t>6-8</t>
        </is>
      </c>
      <c r="N427" t="inlineStr">
        <is>
          <t>13.0-15.5</t>
        </is>
      </c>
      <c r="O427" s="7" t="inlineStr">
        <is>
          <t>Fairgreen Intl</t>
        </is>
      </c>
      <c r="P427" s="7" t="inlineStr">
        <is>
          <t>Saudi German Hospital</t>
        </is>
      </c>
      <c r="Q427" s="7" t="inlineStr">
        <is>
          <t>Town Square Comm. Ctr</t>
        </is>
      </c>
      <c r="R427" s="7" t="inlineStr">
        <is>
          <t>Al Qudra Rd</t>
        </is>
      </c>
      <c r="S427" t="inlineStr">
        <is>
          <t>25</t>
        </is>
      </c>
      <c r="T427" t="inlineStr">
        <is>
          <t>30</t>
        </is>
      </c>
      <c r="U427" t="inlineStr">
        <is>
          <t>30</t>
        </is>
      </c>
      <c r="V427" t="inlineStr">
        <is>
          <t>30</t>
        </is>
      </c>
      <c r="W427" t="n">
        <v>2</v>
      </c>
      <c r="X427" s="12" t="n">
        <v>850000</v>
      </c>
      <c r="Y427" s="12" t="n">
        <v>850000</v>
      </c>
      <c r="Z427" s="9" t="n">
        <v>7</v>
      </c>
      <c r="AA427" s="9" t="n">
        <v>7.5</v>
      </c>
      <c r="AB427" s="9" t="n">
        <v>6</v>
      </c>
      <c r="AC427" s="9" t="n">
        <v>8</v>
      </c>
      <c r="AD427" s="9" t="n">
        <v>13</v>
      </c>
      <c r="AE427" s="9" t="n">
        <v>15.5</v>
      </c>
      <c r="AF427" t="n">
        <v>2024</v>
      </c>
      <c r="AH427" t="inlineStr">
        <is>
          <t>Apartment</t>
        </is>
      </c>
      <c r="AI427" t="inlineStr">
        <is>
          <t>SupplySensitiveApartment</t>
        </is>
      </c>
      <c r="AJ427" t="inlineStr">
        <is>
          <t>Established</t>
        </is>
      </c>
      <c r="AK427" t="inlineStr">
        <is>
          <t>Supply-sensitive / selective</t>
        </is>
      </c>
      <c r="AL427" s="7" t="inlineStr">
        <is>
          <t>Higher delivery risk in more price-sensitive apartment clusters; building selection and exit liquidity matter.</t>
        </is>
      </c>
      <c r="AM427" s="9" t="n">
        <v>7</v>
      </c>
      <c r="AN427" s="9" t="n">
        <v>7.25</v>
      </c>
      <c r="AO427" s="10" t="n">
        <v>0.55</v>
      </c>
      <c r="AP427" s="13" t="n">
        <v>0</v>
      </c>
      <c r="AQ427" s="13" t="n">
        <v>0</v>
      </c>
      <c r="AR427" s="13" t="n">
        <v>-0.01</v>
      </c>
      <c r="AS427" s="13" t="n">
        <v>-0.01</v>
      </c>
      <c r="AT427" s="13" t="n">
        <v>0</v>
      </c>
      <c r="AU427" s="13" t="n">
        <v>0.0025</v>
      </c>
      <c r="AV427" s="13" t="n">
        <v>-0.005</v>
      </c>
      <c r="AW427" s="13">
        <f>IF(X427="","",(AM427/100*AO427)+AP427+AQ427+AR427)</f>
        <v/>
      </c>
      <c r="AX427" s="13">
        <f>IF(X427="","",AS427+AT427+AU427+AV427)</f>
        <v/>
      </c>
      <c r="AY427" s="12">
        <f>IF(AZ427="","",ROUND(AZ427*(1+Assumptions!$B$10),0))</f>
        <v/>
      </c>
      <c r="AZ427" s="12">
        <f>IF(X427="","",ROUND(X427*(1+AW427),0))</f>
        <v/>
      </c>
      <c r="BA427" s="12">
        <f>IF(AZ427="","",ROUND(AZ427*(1+Assumptions!$B$11),0))</f>
        <v/>
      </c>
      <c r="BB427" s="12">
        <f>IF(AZ427="","",ROUND(AZ427*(1+AX427+Assumptions!$B$10),0))</f>
        <v/>
      </c>
      <c r="BC427" s="12">
        <f>IF(AZ427="","",ROUND(AZ427*(1+AX427),0))</f>
        <v/>
      </c>
      <c r="BD427" s="12">
        <f>IF(AZ427="","",ROUND(AZ427*(1+AX427+Assumptions!$B$11),0))</f>
        <v/>
      </c>
      <c r="BE427" s="12">
        <f>IF(AZ427="","",ROUND(AZ427*(1+AX427)*(1+AX427),0))</f>
        <v/>
      </c>
      <c r="BF427" s="7" t="inlineStr">
        <is>
          <t>Rules-based enrichment using launch-price anchor, cap-app realization, and 2026 segment conditions.</t>
        </is>
      </c>
      <c r="BG427" t="inlineStr">
        <is>
          <t>2026-03-17</t>
        </is>
      </c>
      <c r="BH427" s="7" t="inlineStr">
        <is>
          <t>DLD / Digital Dubai / CBUAE / Savills / Knight Frank-Moody’s / Reuters</t>
        </is>
      </c>
    </row>
    <row r="428">
      <c r="A428" t="n">
        <v>427</v>
      </c>
      <c r="B428" s="7" t="inlineStr">
        <is>
          <t>Symphony</t>
        </is>
      </c>
      <c r="C428" t="inlineStr">
        <is>
          <t>Nshama</t>
        </is>
      </c>
      <c r="D428" t="inlineStr">
        <is>
          <t>Town Square</t>
        </is>
      </c>
      <c r="E428" t="inlineStr">
        <is>
          <t>Apartments</t>
        </is>
      </c>
      <c r="F428" s="7" t="inlineStr">
        <is>
          <t>Park View</t>
        </is>
      </c>
      <c r="G428" t="inlineStr">
        <is>
          <t>900k</t>
        </is>
      </c>
      <c r="H428" t="inlineStr">
        <is>
          <t>1200</t>
        </is>
      </c>
      <c r="I428" t="inlineStr">
        <is>
          <t>14</t>
        </is>
      </c>
      <c r="J428" t="inlineStr">
        <is>
          <t>50/50</t>
        </is>
      </c>
      <c r="K428" t="inlineStr">
        <is>
          <t>2023</t>
        </is>
      </c>
      <c r="L428" t="inlineStr">
        <is>
          <t>7.0-7.5</t>
        </is>
      </c>
      <c r="M428" t="inlineStr">
        <is>
          <t>6-8</t>
        </is>
      </c>
      <c r="N428" t="inlineStr">
        <is>
          <t>13.0-15.5</t>
        </is>
      </c>
      <c r="O428" s="7" t="inlineStr">
        <is>
          <t>Fairgreen Intl</t>
        </is>
      </c>
      <c r="P428" s="7" t="inlineStr">
        <is>
          <t>Saudi German Hospital</t>
        </is>
      </c>
      <c r="Q428" s="7" t="inlineStr">
        <is>
          <t>Town Square Comm. Ctr</t>
        </is>
      </c>
      <c r="R428" s="7" t="inlineStr">
        <is>
          <t>Al Qudra Rd</t>
        </is>
      </c>
      <c r="S428" t="inlineStr">
        <is>
          <t>25</t>
        </is>
      </c>
      <c r="T428" t="inlineStr">
        <is>
          <t>30</t>
        </is>
      </c>
      <c r="U428" t="inlineStr">
        <is>
          <t>30</t>
        </is>
      </c>
      <c r="V428" t="inlineStr">
        <is>
          <t>30</t>
        </is>
      </c>
      <c r="W428" t="n">
        <v>2</v>
      </c>
      <c r="X428" s="12" t="n">
        <v>900000</v>
      </c>
      <c r="Y428" s="12" t="n">
        <v>900000</v>
      </c>
      <c r="Z428" s="9" t="n">
        <v>7</v>
      </c>
      <c r="AA428" s="9" t="n">
        <v>7.5</v>
      </c>
      <c r="AB428" s="9" t="n">
        <v>6</v>
      </c>
      <c r="AC428" s="9" t="n">
        <v>8</v>
      </c>
      <c r="AD428" s="9" t="n">
        <v>13</v>
      </c>
      <c r="AE428" s="9" t="n">
        <v>15.5</v>
      </c>
      <c r="AF428" t="n">
        <v>2023</v>
      </c>
      <c r="AH428" t="inlineStr">
        <is>
          <t>Apartment</t>
        </is>
      </c>
      <c r="AI428" t="inlineStr">
        <is>
          <t>SupplySensitiveApartment</t>
        </is>
      </c>
      <c r="AJ428" t="inlineStr">
        <is>
          <t>Established</t>
        </is>
      </c>
      <c r="AK428" t="inlineStr">
        <is>
          <t>Supply-sensitive / selective</t>
        </is>
      </c>
      <c r="AL428" s="7" t="inlineStr">
        <is>
          <t>Higher delivery risk in more price-sensitive apartment clusters; building selection and exit liquidity matter.</t>
        </is>
      </c>
      <c r="AM428" s="9" t="n">
        <v>7</v>
      </c>
      <c r="AN428" s="9" t="n">
        <v>7.25</v>
      </c>
      <c r="AO428" s="10" t="n">
        <v>0.55</v>
      </c>
      <c r="AP428" s="13" t="n">
        <v>0</v>
      </c>
      <c r="AQ428" s="13" t="n">
        <v>0</v>
      </c>
      <c r="AR428" s="13" t="n">
        <v>-0.01</v>
      </c>
      <c r="AS428" s="13" t="n">
        <v>-0.01</v>
      </c>
      <c r="AT428" s="13" t="n">
        <v>0</v>
      </c>
      <c r="AU428" s="13" t="n">
        <v>0.0025</v>
      </c>
      <c r="AV428" s="13" t="n">
        <v>-0.005</v>
      </c>
      <c r="AW428" s="13">
        <f>IF(X428="","",(AM428/100*AO428)+AP428+AQ428+AR428)</f>
        <v/>
      </c>
      <c r="AX428" s="13">
        <f>IF(X428="","",AS428+AT428+AU428+AV428)</f>
        <v/>
      </c>
      <c r="AY428" s="12">
        <f>IF(AZ428="","",ROUND(AZ428*(1+Assumptions!$B$10),0))</f>
        <v/>
      </c>
      <c r="AZ428" s="12">
        <f>IF(X428="","",ROUND(X428*(1+AW428),0))</f>
        <v/>
      </c>
      <c r="BA428" s="12">
        <f>IF(AZ428="","",ROUND(AZ428*(1+Assumptions!$B$11),0))</f>
        <v/>
      </c>
      <c r="BB428" s="12">
        <f>IF(AZ428="","",ROUND(AZ428*(1+AX428+Assumptions!$B$10),0))</f>
        <v/>
      </c>
      <c r="BC428" s="12">
        <f>IF(AZ428="","",ROUND(AZ428*(1+AX428),0))</f>
        <v/>
      </c>
      <c r="BD428" s="12">
        <f>IF(AZ428="","",ROUND(AZ428*(1+AX428+Assumptions!$B$11),0))</f>
        <v/>
      </c>
      <c r="BE428" s="12">
        <f>IF(AZ428="","",ROUND(AZ428*(1+AX428)*(1+AX428),0))</f>
        <v/>
      </c>
      <c r="BF428" s="7" t="inlineStr">
        <is>
          <t>Rules-based enrichment using launch-price anchor, cap-app realization, and 2026 segment conditions.</t>
        </is>
      </c>
      <c r="BG428" t="inlineStr">
        <is>
          <t>2026-03-17</t>
        </is>
      </c>
      <c r="BH428" s="7" t="inlineStr">
        <is>
          <t>DLD / Digital Dubai / CBUAE / Savills / Knight Frank-Moody’s / Reuters</t>
        </is>
      </c>
    </row>
    <row r="429">
      <c r="A429" t="n">
        <v>428</v>
      </c>
      <c r="B429" s="7" t="inlineStr">
        <is>
          <t>Aroha</t>
        </is>
      </c>
      <c r="C429" t="inlineStr">
        <is>
          <t>Nshama</t>
        </is>
      </c>
      <c r="D429" t="inlineStr">
        <is>
          <t>Town Square</t>
        </is>
      </c>
      <c r="E429" t="inlineStr">
        <is>
          <t>Apartments</t>
        </is>
      </c>
      <c r="F429" s="7" t="inlineStr">
        <is>
          <t>Park View</t>
        </is>
      </c>
      <c r="G429" t="inlineStr">
        <is>
          <t>800k</t>
        </is>
      </c>
      <c r="H429" t="inlineStr">
        <is>
          <t>1100</t>
        </is>
      </c>
      <c r="I429" t="inlineStr">
        <is>
          <t>14</t>
        </is>
      </c>
      <c r="J429" t="inlineStr">
        <is>
          <t>50/50</t>
        </is>
      </c>
      <c r="K429" t="inlineStr">
        <is>
          <t>2023</t>
        </is>
      </c>
      <c r="L429" t="inlineStr">
        <is>
          <t>7.0-7.5</t>
        </is>
      </c>
      <c r="M429" t="inlineStr">
        <is>
          <t>6-8</t>
        </is>
      </c>
      <c r="N429" t="inlineStr">
        <is>
          <t>13.0-15.5</t>
        </is>
      </c>
      <c r="O429" s="7" t="inlineStr">
        <is>
          <t>Fairgreen Intl</t>
        </is>
      </c>
      <c r="P429" s="7" t="inlineStr">
        <is>
          <t>Saudi German Hospital</t>
        </is>
      </c>
      <c r="Q429" s="7" t="inlineStr">
        <is>
          <t>Town Square Comm. Ctr</t>
        </is>
      </c>
      <c r="R429" s="7" t="inlineStr">
        <is>
          <t>Al Qudra Rd</t>
        </is>
      </c>
      <c r="S429" t="inlineStr">
        <is>
          <t>25</t>
        </is>
      </c>
      <c r="T429" t="inlineStr">
        <is>
          <t>30</t>
        </is>
      </c>
      <c r="U429" t="inlineStr">
        <is>
          <t>30</t>
        </is>
      </c>
      <c r="V429" t="inlineStr">
        <is>
          <t>30</t>
        </is>
      </c>
      <c r="W429" t="n">
        <v>2</v>
      </c>
      <c r="X429" s="12" t="n">
        <v>800000</v>
      </c>
      <c r="Y429" s="12" t="n">
        <v>800000</v>
      </c>
      <c r="Z429" s="9" t="n">
        <v>7</v>
      </c>
      <c r="AA429" s="9" t="n">
        <v>7.5</v>
      </c>
      <c r="AB429" s="9" t="n">
        <v>6</v>
      </c>
      <c r="AC429" s="9" t="n">
        <v>8</v>
      </c>
      <c r="AD429" s="9" t="n">
        <v>13</v>
      </c>
      <c r="AE429" s="9" t="n">
        <v>15.5</v>
      </c>
      <c r="AF429" t="n">
        <v>2023</v>
      </c>
      <c r="AH429" t="inlineStr">
        <is>
          <t>Apartment</t>
        </is>
      </c>
      <c r="AI429" t="inlineStr">
        <is>
          <t>SupplySensitiveApartment</t>
        </is>
      </c>
      <c r="AJ429" t="inlineStr">
        <is>
          <t>Established</t>
        </is>
      </c>
      <c r="AK429" t="inlineStr">
        <is>
          <t>Supply-sensitive / selective</t>
        </is>
      </c>
      <c r="AL429" s="7" t="inlineStr">
        <is>
          <t>Higher delivery risk in more price-sensitive apartment clusters; building selection and exit liquidity matter.</t>
        </is>
      </c>
      <c r="AM429" s="9" t="n">
        <v>7</v>
      </c>
      <c r="AN429" s="9" t="n">
        <v>7.25</v>
      </c>
      <c r="AO429" s="10" t="n">
        <v>0.55</v>
      </c>
      <c r="AP429" s="13" t="n">
        <v>0</v>
      </c>
      <c r="AQ429" s="13" t="n">
        <v>0</v>
      </c>
      <c r="AR429" s="13" t="n">
        <v>-0.01</v>
      </c>
      <c r="AS429" s="13" t="n">
        <v>-0.01</v>
      </c>
      <c r="AT429" s="13" t="n">
        <v>0</v>
      </c>
      <c r="AU429" s="13" t="n">
        <v>0.0025</v>
      </c>
      <c r="AV429" s="13" t="n">
        <v>-0.005</v>
      </c>
      <c r="AW429" s="13">
        <f>IF(X429="","",(AM429/100*AO429)+AP429+AQ429+AR429)</f>
        <v/>
      </c>
      <c r="AX429" s="13">
        <f>IF(X429="","",AS429+AT429+AU429+AV429)</f>
        <v/>
      </c>
      <c r="AY429" s="12">
        <f>IF(AZ429="","",ROUND(AZ429*(1+Assumptions!$B$10),0))</f>
        <v/>
      </c>
      <c r="AZ429" s="12">
        <f>IF(X429="","",ROUND(X429*(1+AW429),0))</f>
        <v/>
      </c>
      <c r="BA429" s="12">
        <f>IF(AZ429="","",ROUND(AZ429*(1+Assumptions!$B$11),0))</f>
        <v/>
      </c>
      <c r="BB429" s="12">
        <f>IF(AZ429="","",ROUND(AZ429*(1+AX429+Assumptions!$B$10),0))</f>
        <v/>
      </c>
      <c r="BC429" s="12">
        <f>IF(AZ429="","",ROUND(AZ429*(1+AX429),0))</f>
        <v/>
      </c>
      <c r="BD429" s="12">
        <f>IF(AZ429="","",ROUND(AZ429*(1+AX429+Assumptions!$B$11),0))</f>
        <v/>
      </c>
      <c r="BE429" s="12">
        <f>IF(AZ429="","",ROUND(AZ429*(1+AX429)*(1+AX429),0))</f>
        <v/>
      </c>
      <c r="BF429" s="7" t="inlineStr">
        <is>
          <t>Rules-based enrichment using launch-price anchor, cap-app realization, and 2026 segment conditions.</t>
        </is>
      </c>
      <c r="BG429" t="inlineStr">
        <is>
          <t>2026-03-17</t>
        </is>
      </c>
      <c r="BH429" s="7" t="inlineStr">
        <is>
          <t>DLD / Digital Dubai / CBUAE / Savills / Knight Frank-Moody’s / Reuters</t>
        </is>
      </c>
    </row>
    <row r="430">
      <c r="A430" t="n">
        <v>429</v>
      </c>
      <c r="B430" s="7" t="inlineStr">
        <is>
          <t>The Hamilton</t>
        </is>
      </c>
      <c r="C430" t="inlineStr">
        <is>
          <t>Nshama</t>
        </is>
      </c>
      <c r="D430" t="inlineStr">
        <is>
          <t>Town Square</t>
        </is>
      </c>
      <c r="E430" t="inlineStr">
        <is>
          <t>Apartments</t>
        </is>
      </c>
      <c r="F430" s="7" t="inlineStr">
        <is>
          <t>Park View</t>
        </is>
      </c>
      <c r="G430" t="inlineStr">
        <is>
          <t>800k</t>
        </is>
      </c>
      <c r="H430" t="inlineStr">
        <is>
          <t>1100</t>
        </is>
      </c>
      <c r="I430" t="inlineStr">
        <is>
          <t>14</t>
        </is>
      </c>
      <c r="J430" t="inlineStr">
        <is>
          <t>50/50</t>
        </is>
      </c>
      <c r="K430" t="inlineStr">
        <is>
          <t>2023</t>
        </is>
      </c>
      <c r="L430" t="inlineStr">
        <is>
          <t>7.0-7.5</t>
        </is>
      </c>
      <c r="M430" t="inlineStr">
        <is>
          <t>6-8</t>
        </is>
      </c>
      <c r="N430" t="inlineStr">
        <is>
          <t>13.0-15.5</t>
        </is>
      </c>
      <c r="O430" s="7" t="inlineStr">
        <is>
          <t>Fairgreen Intl</t>
        </is>
      </c>
      <c r="P430" s="7" t="inlineStr">
        <is>
          <t>Saudi German Hospital</t>
        </is>
      </c>
      <c r="Q430" s="7" t="inlineStr">
        <is>
          <t>Town Square Comm. Ctr</t>
        </is>
      </c>
      <c r="R430" s="7" t="inlineStr">
        <is>
          <t>Al Qudra Rd</t>
        </is>
      </c>
      <c r="S430" t="inlineStr">
        <is>
          <t>25</t>
        </is>
      </c>
      <c r="T430" t="inlineStr">
        <is>
          <t>30</t>
        </is>
      </c>
      <c r="U430" t="inlineStr">
        <is>
          <t>30</t>
        </is>
      </c>
      <c r="V430" t="inlineStr">
        <is>
          <t>30</t>
        </is>
      </c>
      <c r="W430" t="n">
        <v>2</v>
      </c>
      <c r="X430" s="12" t="n">
        <v>800000</v>
      </c>
      <c r="Y430" s="12" t="n">
        <v>800000</v>
      </c>
      <c r="Z430" s="9" t="n">
        <v>7</v>
      </c>
      <c r="AA430" s="9" t="n">
        <v>7.5</v>
      </c>
      <c r="AB430" s="9" t="n">
        <v>6</v>
      </c>
      <c r="AC430" s="9" t="n">
        <v>8</v>
      </c>
      <c r="AD430" s="9" t="n">
        <v>13</v>
      </c>
      <c r="AE430" s="9" t="n">
        <v>15.5</v>
      </c>
      <c r="AF430" t="n">
        <v>2023</v>
      </c>
      <c r="AH430" t="inlineStr">
        <is>
          <t>Apartment</t>
        </is>
      </c>
      <c r="AI430" t="inlineStr">
        <is>
          <t>SupplySensitiveApartment</t>
        </is>
      </c>
      <c r="AJ430" t="inlineStr">
        <is>
          <t>Established</t>
        </is>
      </c>
      <c r="AK430" t="inlineStr">
        <is>
          <t>Supply-sensitive / selective</t>
        </is>
      </c>
      <c r="AL430" s="7" t="inlineStr">
        <is>
          <t>Higher delivery risk in more price-sensitive apartment clusters; building selection and exit liquidity matter.</t>
        </is>
      </c>
      <c r="AM430" s="9" t="n">
        <v>7</v>
      </c>
      <c r="AN430" s="9" t="n">
        <v>7.25</v>
      </c>
      <c r="AO430" s="10" t="n">
        <v>0.55</v>
      </c>
      <c r="AP430" s="13" t="n">
        <v>0</v>
      </c>
      <c r="AQ430" s="13" t="n">
        <v>0</v>
      </c>
      <c r="AR430" s="13" t="n">
        <v>-0.01</v>
      </c>
      <c r="AS430" s="13" t="n">
        <v>-0.01</v>
      </c>
      <c r="AT430" s="13" t="n">
        <v>0</v>
      </c>
      <c r="AU430" s="13" t="n">
        <v>0.0025</v>
      </c>
      <c r="AV430" s="13" t="n">
        <v>-0.005</v>
      </c>
      <c r="AW430" s="13">
        <f>IF(X430="","",(AM430/100*AO430)+AP430+AQ430+AR430)</f>
        <v/>
      </c>
      <c r="AX430" s="13">
        <f>IF(X430="","",AS430+AT430+AU430+AV430)</f>
        <v/>
      </c>
      <c r="AY430" s="12">
        <f>IF(AZ430="","",ROUND(AZ430*(1+Assumptions!$B$10),0))</f>
        <v/>
      </c>
      <c r="AZ430" s="12">
        <f>IF(X430="","",ROUND(X430*(1+AW430),0))</f>
        <v/>
      </c>
      <c r="BA430" s="12">
        <f>IF(AZ430="","",ROUND(AZ430*(1+Assumptions!$B$11),0))</f>
        <v/>
      </c>
      <c r="BB430" s="12">
        <f>IF(AZ430="","",ROUND(AZ430*(1+AX430+Assumptions!$B$10),0))</f>
        <v/>
      </c>
      <c r="BC430" s="12">
        <f>IF(AZ430="","",ROUND(AZ430*(1+AX430),0))</f>
        <v/>
      </c>
      <c r="BD430" s="12">
        <f>IF(AZ430="","",ROUND(AZ430*(1+AX430+Assumptions!$B$11),0))</f>
        <v/>
      </c>
      <c r="BE430" s="12">
        <f>IF(AZ430="","",ROUND(AZ430*(1+AX430)*(1+AX430),0))</f>
        <v/>
      </c>
      <c r="BF430" s="7" t="inlineStr">
        <is>
          <t>Rules-based enrichment using launch-price anchor, cap-app realization, and 2026 segment conditions.</t>
        </is>
      </c>
      <c r="BG430" t="inlineStr">
        <is>
          <t>2026-03-17</t>
        </is>
      </c>
      <c r="BH430" s="7" t="inlineStr">
        <is>
          <t>DLD / Digital Dubai / CBUAE / Savills / Knight Frank-Moody’s / Reuters</t>
        </is>
      </c>
    </row>
    <row r="431">
      <c r="A431" t="n">
        <v>430</v>
      </c>
      <c r="B431" s="7" t="inlineStr">
        <is>
          <t>Holland Gardens</t>
        </is>
      </c>
      <c r="C431" t="inlineStr">
        <is>
          <t>Nshama</t>
        </is>
      </c>
      <c r="D431" t="inlineStr">
        <is>
          <t>Town Square</t>
        </is>
      </c>
      <c r="E431" t="inlineStr">
        <is>
          <t>Apartments</t>
        </is>
      </c>
      <c r="F431" s="7" t="inlineStr">
        <is>
          <t>Park View</t>
        </is>
      </c>
      <c r="G431" t="inlineStr">
        <is>
          <t>800k</t>
        </is>
      </c>
      <c r="H431" t="inlineStr">
        <is>
          <t>1100</t>
        </is>
      </c>
      <c r="I431" t="inlineStr">
        <is>
          <t>14</t>
        </is>
      </c>
      <c r="J431" t="inlineStr">
        <is>
          <t>50/50</t>
        </is>
      </c>
      <c r="K431" t="inlineStr">
        <is>
          <t>2023</t>
        </is>
      </c>
      <c r="L431" t="inlineStr">
        <is>
          <t>7.0-7.5</t>
        </is>
      </c>
      <c r="M431" t="inlineStr">
        <is>
          <t>6-8</t>
        </is>
      </c>
      <c r="N431" t="inlineStr">
        <is>
          <t>13.0-15.5</t>
        </is>
      </c>
      <c r="O431" s="7" t="inlineStr">
        <is>
          <t>Fairgreen Intl</t>
        </is>
      </c>
      <c r="P431" s="7" t="inlineStr">
        <is>
          <t>Saudi German Hospital</t>
        </is>
      </c>
      <c r="Q431" s="7" t="inlineStr">
        <is>
          <t>Town Square Comm. Ctr</t>
        </is>
      </c>
      <c r="R431" s="7" t="inlineStr">
        <is>
          <t>Al Qudra Rd</t>
        </is>
      </c>
      <c r="S431" t="inlineStr">
        <is>
          <t>25</t>
        </is>
      </c>
      <c r="T431" t="inlineStr">
        <is>
          <t>30</t>
        </is>
      </c>
      <c r="U431" t="inlineStr">
        <is>
          <t>30</t>
        </is>
      </c>
      <c r="V431" t="inlineStr">
        <is>
          <t>30</t>
        </is>
      </c>
      <c r="W431" t="n">
        <v>2</v>
      </c>
      <c r="X431" s="12" t="n">
        <v>800000</v>
      </c>
      <c r="Y431" s="12" t="n">
        <v>800000</v>
      </c>
      <c r="Z431" s="9" t="n">
        <v>7</v>
      </c>
      <c r="AA431" s="9" t="n">
        <v>7.5</v>
      </c>
      <c r="AB431" s="9" t="n">
        <v>6</v>
      </c>
      <c r="AC431" s="9" t="n">
        <v>8</v>
      </c>
      <c r="AD431" s="9" t="n">
        <v>13</v>
      </c>
      <c r="AE431" s="9" t="n">
        <v>15.5</v>
      </c>
      <c r="AF431" t="n">
        <v>2023</v>
      </c>
      <c r="AH431" t="inlineStr">
        <is>
          <t>Apartment</t>
        </is>
      </c>
      <c r="AI431" t="inlineStr">
        <is>
          <t>SupplySensitiveApartment</t>
        </is>
      </c>
      <c r="AJ431" t="inlineStr">
        <is>
          <t>Established</t>
        </is>
      </c>
      <c r="AK431" t="inlineStr">
        <is>
          <t>Supply-sensitive / selective</t>
        </is>
      </c>
      <c r="AL431" s="7" t="inlineStr">
        <is>
          <t>Higher delivery risk in more price-sensitive apartment clusters; building selection and exit liquidity matter.</t>
        </is>
      </c>
      <c r="AM431" s="9" t="n">
        <v>7</v>
      </c>
      <c r="AN431" s="9" t="n">
        <v>7.25</v>
      </c>
      <c r="AO431" s="10" t="n">
        <v>0.55</v>
      </c>
      <c r="AP431" s="13" t="n">
        <v>0</v>
      </c>
      <c r="AQ431" s="13" t="n">
        <v>0</v>
      </c>
      <c r="AR431" s="13" t="n">
        <v>-0.01</v>
      </c>
      <c r="AS431" s="13" t="n">
        <v>-0.01</v>
      </c>
      <c r="AT431" s="13" t="n">
        <v>0</v>
      </c>
      <c r="AU431" s="13" t="n">
        <v>0.0025</v>
      </c>
      <c r="AV431" s="13" t="n">
        <v>-0.005</v>
      </c>
      <c r="AW431" s="13">
        <f>IF(X431="","",(AM431/100*AO431)+AP431+AQ431+AR431)</f>
        <v/>
      </c>
      <c r="AX431" s="13">
        <f>IF(X431="","",AS431+AT431+AU431+AV431)</f>
        <v/>
      </c>
      <c r="AY431" s="12">
        <f>IF(AZ431="","",ROUND(AZ431*(1+Assumptions!$B$10),0))</f>
        <v/>
      </c>
      <c r="AZ431" s="12">
        <f>IF(X431="","",ROUND(X431*(1+AW431),0))</f>
        <v/>
      </c>
      <c r="BA431" s="12">
        <f>IF(AZ431="","",ROUND(AZ431*(1+Assumptions!$B$11),0))</f>
        <v/>
      </c>
      <c r="BB431" s="12">
        <f>IF(AZ431="","",ROUND(AZ431*(1+AX431+Assumptions!$B$10),0))</f>
        <v/>
      </c>
      <c r="BC431" s="12">
        <f>IF(AZ431="","",ROUND(AZ431*(1+AX431),0))</f>
        <v/>
      </c>
      <c r="BD431" s="12">
        <f>IF(AZ431="","",ROUND(AZ431*(1+AX431+Assumptions!$B$11),0))</f>
        <v/>
      </c>
      <c r="BE431" s="12">
        <f>IF(AZ431="","",ROUND(AZ431*(1+AX431)*(1+AX431),0))</f>
        <v/>
      </c>
      <c r="BF431" s="7" t="inlineStr">
        <is>
          <t>Rules-based enrichment using launch-price anchor, cap-app realization, and 2026 segment conditions.</t>
        </is>
      </c>
      <c r="BG431" t="inlineStr">
        <is>
          <t>2026-03-17</t>
        </is>
      </c>
      <c r="BH431" s="7" t="inlineStr">
        <is>
          <t>DLD / Digital Dubai / CBUAE / Savills / Knight Frank-Moody’s / Reuters</t>
        </is>
      </c>
    </row>
    <row r="432">
      <c r="A432" t="n">
        <v>431</v>
      </c>
      <c r="B432" s="7" t="inlineStr">
        <is>
          <t>The Diplomat</t>
        </is>
      </c>
      <c r="C432" t="inlineStr">
        <is>
          <t>Nshama</t>
        </is>
      </c>
      <c r="D432" t="inlineStr">
        <is>
          <t>Town Square</t>
        </is>
      </c>
      <c r="E432" t="inlineStr">
        <is>
          <t>Apartments</t>
        </is>
      </c>
      <c r="F432" s="7" t="inlineStr">
        <is>
          <t>Park View</t>
        </is>
      </c>
      <c r="G432" t="inlineStr">
        <is>
          <t>850k</t>
        </is>
      </c>
      <c r="H432" t="inlineStr">
        <is>
          <t>1150</t>
        </is>
      </c>
      <c r="I432" t="inlineStr">
        <is>
          <t>14</t>
        </is>
      </c>
      <c r="J432" t="inlineStr">
        <is>
          <t>50/50</t>
        </is>
      </c>
      <c r="K432" t="inlineStr">
        <is>
          <t>2022</t>
        </is>
      </c>
      <c r="L432" t="inlineStr">
        <is>
          <t>7.0-7.5</t>
        </is>
      </c>
      <c r="M432" t="inlineStr">
        <is>
          <t>6-8</t>
        </is>
      </c>
      <c r="N432" t="inlineStr">
        <is>
          <t>13.0-15.5</t>
        </is>
      </c>
      <c r="O432" s="7" t="inlineStr">
        <is>
          <t>Fairgreen Intl</t>
        </is>
      </c>
      <c r="P432" s="7" t="inlineStr">
        <is>
          <t>Saudi German Hospital</t>
        </is>
      </c>
      <c r="Q432" s="7" t="inlineStr">
        <is>
          <t>Town Square Comm. Ctr</t>
        </is>
      </c>
      <c r="R432" s="7" t="inlineStr">
        <is>
          <t>Al Qudra Rd</t>
        </is>
      </c>
      <c r="S432" t="inlineStr">
        <is>
          <t>25</t>
        </is>
      </c>
      <c r="T432" t="inlineStr">
        <is>
          <t>30</t>
        </is>
      </c>
      <c r="U432" t="inlineStr">
        <is>
          <t>30</t>
        </is>
      </c>
      <c r="V432" t="inlineStr">
        <is>
          <t>30</t>
        </is>
      </c>
      <c r="W432" t="n">
        <v>2</v>
      </c>
      <c r="X432" s="12" t="n">
        <v>850000</v>
      </c>
      <c r="Y432" s="12" t="n">
        <v>850000</v>
      </c>
      <c r="Z432" s="9" t="n">
        <v>7</v>
      </c>
      <c r="AA432" s="9" t="n">
        <v>7.5</v>
      </c>
      <c r="AB432" s="9" t="n">
        <v>6</v>
      </c>
      <c r="AC432" s="9" t="n">
        <v>8</v>
      </c>
      <c r="AD432" s="9" t="n">
        <v>13</v>
      </c>
      <c r="AE432" s="9" t="n">
        <v>15.5</v>
      </c>
      <c r="AF432" t="n">
        <v>2022</v>
      </c>
      <c r="AH432" t="inlineStr">
        <is>
          <t>Apartment</t>
        </is>
      </c>
      <c r="AI432" t="inlineStr">
        <is>
          <t>SupplySensitiveApartment</t>
        </is>
      </c>
      <c r="AJ432" t="inlineStr">
        <is>
          <t>Established</t>
        </is>
      </c>
      <c r="AK432" t="inlineStr">
        <is>
          <t>Supply-sensitive / selective</t>
        </is>
      </c>
      <c r="AL432" s="7" t="inlineStr">
        <is>
          <t>Higher delivery risk in more price-sensitive apartment clusters; building selection and exit liquidity matter.</t>
        </is>
      </c>
      <c r="AM432" s="9" t="n">
        <v>7</v>
      </c>
      <c r="AN432" s="9" t="n">
        <v>7.25</v>
      </c>
      <c r="AO432" s="10" t="n">
        <v>0.55</v>
      </c>
      <c r="AP432" s="13" t="n">
        <v>0</v>
      </c>
      <c r="AQ432" s="13" t="n">
        <v>0</v>
      </c>
      <c r="AR432" s="13" t="n">
        <v>-0.01</v>
      </c>
      <c r="AS432" s="13" t="n">
        <v>-0.01</v>
      </c>
      <c r="AT432" s="13" t="n">
        <v>0</v>
      </c>
      <c r="AU432" s="13" t="n">
        <v>0.0025</v>
      </c>
      <c r="AV432" s="13" t="n">
        <v>-0.005</v>
      </c>
      <c r="AW432" s="13">
        <f>IF(X432="","",(AM432/100*AO432)+AP432+AQ432+AR432)</f>
        <v/>
      </c>
      <c r="AX432" s="13">
        <f>IF(X432="","",AS432+AT432+AU432+AV432)</f>
        <v/>
      </c>
      <c r="AY432" s="12">
        <f>IF(AZ432="","",ROUND(AZ432*(1+Assumptions!$B$10),0))</f>
        <v/>
      </c>
      <c r="AZ432" s="12">
        <f>IF(X432="","",ROUND(X432*(1+AW432),0))</f>
        <v/>
      </c>
      <c r="BA432" s="12">
        <f>IF(AZ432="","",ROUND(AZ432*(1+Assumptions!$B$11),0))</f>
        <v/>
      </c>
      <c r="BB432" s="12">
        <f>IF(AZ432="","",ROUND(AZ432*(1+AX432+Assumptions!$B$10),0))</f>
        <v/>
      </c>
      <c r="BC432" s="12">
        <f>IF(AZ432="","",ROUND(AZ432*(1+AX432),0))</f>
        <v/>
      </c>
      <c r="BD432" s="12">
        <f>IF(AZ432="","",ROUND(AZ432*(1+AX432+Assumptions!$B$11),0))</f>
        <v/>
      </c>
      <c r="BE432" s="12">
        <f>IF(AZ432="","",ROUND(AZ432*(1+AX432)*(1+AX432),0))</f>
        <v/>
      </c>
      <c r="BF432" s="7" t="inlineStr">
        <is>
          <t>Rules-based enrichment using launch-price anchor, cap-app realization, and 2026 segment conditions.</t>
        </is>
      </c>
      <c r="BG432" t="inlineStr">
        <is>
          <t>2026-03-17</t>
        </is>
      </c>
      <c r="BH432" s="7" t="inlineStr">
        <is>
          <t>DLD / Digital Dubai / CBUAE / Savills / Knight Frank-Moody’s / Reuters</t>
        </is>
      </c>
    </row>
    <row r="433">
      <c r="A433" t="n">
        <v>432</v>
      </c>
      <c r="B433" s="7" t="inlineStr">
        <is>
          <t>Liva</t>
        </is>
      </c>
      <c r="C433" t="inlineStr">
        <is>
          <t>Nshama</t>
        </is>
      </c>
      <c r="D433" t="inlineStr">
        <is>
          <t>Town Square</t>
        </is>
      </c>
      <c r="E433" t="inlineStr">
        <is>
          <t>Apartments</t>
        </is>
      </c>
      <c r="F433" s="7" t="inlineStr">
        <is>
          <t>Studio/1Bed</t>
        </is>
      </c>
      <c r="G433" t="inlineStr">
        <is>
          <t>500k</t>
        </is>
      </c>
      <c r="H433" t="inlineStr">
        <is>
          <t>1000</t>
        </is>
      </c>
      <c r="I433" t="inlineStr">
        <is>
          <t>14</t>
        </is>
      </c>
      <c r="J433" t="inlineStr">
        <is>
          <t>Completed</t>
        </is>
      </c>
      <c r="K433" t="inlineStr">
        <is>
          <t>2022</t>
        </is>
      </c>
      <c r="L433" t="inlineStr">
        <is>
          <t>7.5-8.0</t>
        </is>
      </c>
      <c r="M433" t="inlineStr">
        <is>
          <t>5-7</t>
        </is>
      </c>
      <c r="N433" t="inlineStr">
        <is>
          <t>12.5-15.0</t>
        </is>
      </c>
      <c r="O433" s="7" t="inlineStr">
        <is>
          <t>Fairgreen Intl</t>
        </is>
      </c>
      <c r="P433" s="7" t="inlineStr">
        <is>
          <t>Saudi German Hospital</t>
        </is>
      </c>
      <c r="Q433" s="7" t="inlineStr">
        <is>
          <t>Town Square Comm. Ctr</t>
        </is>
      </c>
      <c r="R433" s="7" t="inlineStr">
        <is>
          <t>Al Qudra Rd</t>
        </is>
      </c>
      <c r="S433" t="inlineStr">
        <is>
          <t>25</t>
        </is>
      </c>
      <c r="T433" t="inlineStr">
        <is>
          <t>30</t>
        </is>
      </c>
      <c r="U433" t="inlineStr">
        <is>
          <t>30</t>
        </is>
      </c>
      <c r="V433" t="inlineStr">
        <is>
          <t>30</t>
        </is>
      </c>
      <c r="W433" t="n">
        <v>2</v>
      </c>
      <c r="X433" s="12" t="n">
        <v>500000</v>
      </c>
      <c r="Y433" s="12" t="n">
        <v>500000</v>
      </c>
      <c r="Z433" s="9" t="n">
        <v>7.5</v>
      </c>
      <c r="AA433" s="9" t="n">
        <v>8</v>
      </c>
      <c r="AB433" s="9" t="n">
        <v>5</v>
      </c>
      <c r="AC433" s="9" t="n">
        <v>7</v>
      </c>
      <c r="AD433" s="9" t="n">
        <v>12.5</v>
      </c>
      <c r="AE433" s="9" t="n">
        <v>15</v>
      </c>
      <c r="AF433" t="n">
        <v>2022</v>
      </c>
      <c r="AH433" t="inlineStr">
        <is>
          <t>Apartment</t>
        </is>
      </c>
      <c r="AI433" t="inlineStr">
        <is>
          <t>SupplySensitiveApartment</t>
        </is>
      </c>
      <c r="AJ433" t="inlineStr">
        <is>
          <t>Established</t>
        </is>
      </c>
      <c r="AK433" t="inlineStr">
        <is>
          <t>Supply-sensitive / selective</t>
        </is>
      </c>
      <c r="AL433" s="7" t="inlineStr">
        <is>
          <t>Higher delivery risk in more price-sensitive apartment clusters; building selection and exit liquidity matter.</t>
        </is>
      </c>
      <c r="AM433" s="9" t="n">
        <v>6</v>
      </c>
      <c r="AN433" s="9" t="n">
        <v>7.75</v>
      </c>
      <c r="AO433" s="10" t="n">
        <v>0.55</v>
      </c>
      <c r="AP433" s="13" t="n">
        <v>0</v>
      </c>
      <c r="AQ433" s="13" t="n">
        <v>0</v>
      </c>
      <c r="AR433" s="13" t="n">
        <v>-0.01</v>
      </c>
      <c r="AS433" s="13" t="n">
        <v>-0.01</v>
      </c>
      <c r="AT433" s="13" t="n">
        <v>0</v>
      </c>
      <c r="AU433" s="13" t="n">
        <v>0.0025</v>
      </c>
      <c r="AV433" s="13" t="n">
        <v>-0.005</v>
      </c>
      <c r="AW433" s="13">
        <f>IF(X433="","",(AM433/100*AO433)+AP433+AQ433+AR433)</f>
        <v/>
      </c>
      <c r="AX433" s="13">
        <f>IF(X433="","",AS433+AT433+AU433+AV433)</f>
        <v/>
      </c>
      <c r="AY433" s="12">
        <f>IF(AZ433="","",ROUND(AZ433*(1+Assumptions!$B$10),0))</f>
        <v/>
      </c>
      <c r="AZ433" s="12">
        <f>IF(X433="","",ROUND(X433*(1+AW433),0))</f>
        <v/>
      </c>
      <c r="BA433" s="12">
        <f>IF(AZ433="","",ROUND(AZ433*(1+Assumptions!$B$11),0))</f>
        <v/>
      </c>
      <c r="BB433" s="12">
        <f>IF(AZ433="","",ROUND(AZ433*(1+AX433+Assumptions!$B$10),0))</f>
        <v/>
      </c>
      <c r="BC433" s="12">
        <f>IF(AZ433="","",ROUND(AZ433*(1+AX433),0))</f>
        <v/>
      </c>
      <c r="BD433" s="12">
        <f>IF(AZ433="","",ROUND(AZ433*(1+AX433+Assumptions!$B$11),0))</f>
        <v/>
      </c>
      <c r="BE433" s="12">
        <f>IF(AZ433="","",ROUND(AZ433*(1+AX433)*(1+AX433),0))</f>
        <v/>
      </c>
      <c r="BF433" s="7" t="inlineStr">
        <is>
          <t>Rules-based enrichment using launch-price anchor, cap-app realization, and 2026 segment conditions.</t>
        </is>
      </c>
      <c r="BG433" t="inlineStr">
        <is>
          <t>2026-03-17</t>
        </is>
      </c>
      <c r="BH433" s="7" t="inlineStr">
        <is>
          <t>DLD / Digital Dubai / CBUAE / Savills / Knight Frank-Moody’s / Reuters</t>
        </is>
      </c>
    </row>
    <row r="434">
      <c r="A434" t="n">
        <v>433</v>
      </c>
      <c r="B434" s="7" t="inlineStr">
        <is>
          <t>Una</t>
        </is>
      </c>
      <c r="C434" t="inlineStr">
        <is>
          <t>Nshama</t>
        </is>
      </c>
      <c r="D434" t="inlineStr">
        <is>
          <t>Town Square</t>
        </is>
      </c>
      <c r="E434" t="inlineStr">
        <is>
          <t>Apartments</t>
        </is>
      </c>
      <c r="F434" s="7" t="inlineStr">
        <is>
          <t>Co-Living / Youth</t>
        </is>
      </c>
      <c r="G434" t="inlineStr">
        <is>
          <t>Resale (500k+)</t>
        </is>
      </c>
      <c r="H434" t="inlineStr">
        <is>
          <t>1000</t>
        </is>
      </c>
      <c r="I434" t="inlineStr">
        <is>
          <t>15</t>
        </is>
      </c>
      <c r="J434" t="inlineStr">
        <is>
          <t>Completed</t>
        </is>
      </c>
      <c r="K434" t="inlineStr">
        <is>
          <t>2019</t>
        </is>
      </c>
      <c r="L434" t="inlineStr">
        <is>
          <t>7.5-8.0</t>
        </is>
      </c>
      <c r="M434" t="inlineStr">
        <is>
          <t>5-7</t>
        </is>
      </c>
      <c r="N434" t="inlineStr">
        <is>
          <t>12.5-15.0</t>
        </is>
      </c>
      <c r="O434" s="7" t="inlineStr">
        <is>
          <t>Fairgreen Intl</t>
        </is>
      </c>
      <c r="P434" s="7" t="inlineStr">
        <is>
          <t>Saudi German Hospital</t>
        </is>
      </c>
      <c r="Q434" s="7" t="inlineStr">
        <is>
          <t>Town Square Comm. Ctr</t>
        </is>
      </c>
      <c r="R434" s="7" t="inlineStr">
        <is>
          <t>Al Qudra Rd</t>
        </is>
      </c>
      <c r="S434" t="inlineStr">
        <is>
          <t>25</t>
        </is>
      </c>
      <c r="T434" t="inlineStr">
        <is>
          <t>30</t>
        </is>
      </c>
      <c r="U434" t="inlineStr">
        <is>
          <t>30</t>
        </is>
      </c>
      <c r="V434" t="inlineStr">
        <is>
          <t>30</t>
        </is>
      </c>
      <c r="W434" t="n">
        <v>2</v>
      </c>
      <c r="X434" s="12" t="n">
        <v>500000</v>
      </c>
      <c r="Y434" s="12" t="n">
        <v>500000</v>
      </c>
      <c r="Z434" s="9" t="n">
        <v>7.5</v>
      </c>
      <c r="AA434" s="9" t="n">
        <v>8</v>
      </c>
      <c r="AB434" s="9" t="n">
        <v>5</v>
      </c>
      <c r="AC434" s="9" t="n">
        <v>7</v>
      </c>
      <c r="AD434" s="9" t="n">
        <v>12.5</v>
      </c>
      <c r="AE434" s="9" t="n">
        <v>15</v>
      </c>
      <c r="AF434" t="n">
        <v>2019</v>
      </c>
      <c r="AH434" t="inlineStr">
        <is>
          <t>Apartment</t>
        </is>
      </c>
      <c r="AI434" t="inlineStr">
        <is>
          <t>SupplySensitiveApartment</t>
        </is>
      </c>
      <c r="AJ434" t="inlineStr">
        <is>
          <t>Established</t>
        </is>
      </c>
      <c r="AK434" t="inlineStr">
        <is>
          <t>Supply-sensitive / selective</t>
        </is>
      </c>
      <c r="AL434" s="7" t="inlineStr">
        <is>
          <t>Higher delivery risk in more price-sensitive apartment clusters; building selection and exit liquidity matter.</t>
        </is>
      </c>
      <c r="AM434" s="9" t="n">
        <v>6</v>
      </c>
      <c r="AN434" s="9" t="n">
        <v>7.75</v>
      </c>
      <c r="AO434" s="10" t="n">
        <v>0.55</v>
      </c>
      <c r="AP434" s="13" t="n">
        <v>0</v>
      </c>
      <c r="AQ434" s="13" t="n">
        <v>0</v>
      </c>
      <c r="AR434" s="13" t="n">
        <v>-0.01</v>
      </c>
      <c r="AS434" s="13" t="n">
        <v>-0.01</v>
      </c>
      <c r="AT434" s="13" t="n">
        <v>0</v>
      </c>
      <c r="AU434" s="13" t="n">
        <v>0.0025</v>
      </c>
      <c r="AV434" s="13" t="n">
        <v>-0.005</v>
      </c>
      <c r="AW434" s="13">
        <f>IF(X434="","",(AM434/100*AO434)+AP434+AQ434+AR434)</f>
        <v/>
      </c>
      <c r="AX434" s="13">
        <f>IF(X434="","",AS434+AT434+AU434+AV434)</f>
        <v/>
      </c>
      <c r="AY434" s="12">
        <f>IF(AZ434="","",ROUND(AZ434*(1+Assumptions!$B$10),0))</f>
        <v/>
      </c>
      <c r="AZ434" s="12">
        <f>IF(X434="","",ROUND(X434*(1+AW434),0))</f>
        <v/>
      </c>
      <c r="BA434" s="12">
        <f>IF(AZ434="","",ROUND(AZ434*(1+Assumptions!$B$11),0))</f>
        <v/>
      </c>
      <c r="BB434" s="12">
        <f>IF(AZ434="","",ROUND(AZ434*(1+AX434+Assumptions!$B$10),0))</f>
        <v/>
      </c>
      <c r="BC434" s="12">
        <f>IF(AZ434="","",ROUND(AZ434*(1+AX434),0))</f>
        <v/>
      </c>
      <c r="BD434" s="12">
        <f>IF(AZ434="","",ROUND(AZ434*(1+AX434+Assumptions!$B$11),0))</f>
        <v/>
      </c>
      <c r="BE434" s="12">
        <f>IF(AZ434="","",ROUND(AZ434*(1+AX434)*(1+AX434),0))</f>
        <v/>
      </c>
      <c r="BF434" s="7" t="inlineStr">
        <is>
          <t>Rules-based enrichment using launch-price anchor, cap-app realization, and 2026 segment conditions.</t>
        </is>
      </c>
      <c r="BG434" t="inlineStr">
        <is>
          <t>2026-03-17</t>
        </is>
      </c>
      <c r="BH434" s="7" t="inlineStr">
        <is>
          <t>DLD / Digital Dubai / CBUAE / Savills / Knight Frank-Moody’s / Reuters</t>
        </is>
      </c>
    </row>
    <row r="435">
      <c r="A435" t="n">
        <v>434</v>
      </c>
      <c r="B435" s="7" t="inlineStr">
        <is>
          <t>Rawda / Zahra / Hayat</t>
        </is>
      </c>
      <c r="C435" t="inlineStr">
        <is>
          <t>Nshama</t>
        </is>
      </c>
      <c r="D435" t="inlineStr">
        <is>
          <t>Town Square</t>
        </is>
      </c>
      <c r="E435" t="inlineStr">
        <is>
          <t>Apartments</t>
        </is>
      </c>
      <c r="F435" s="7" t="inlineStr">
        <is>
          <t>Park View</t>
        </is>
      </c>
      <c r="G435" t="inlineStr">
        <is>
          <t>Resale (600k+)</t>
        </is>
      </c>
      <c r="H435" t="inlineStr">
        <is>
          <t>900</t>
        </is>
      </c>
      <c r="I435" t="inlineStr">
        <is>
          <t>14</t>
        </is>
      </c>
      <c r="J435" t="inlineStr">
        <is>
          <t>Completed</t>
        </is>
      </c>
      <c r="K435" t="inlineStr">
        <is>
          <t>2015-2019</t>
        </is>
      </c>
      <c r="L435" t="inlineStr">
        <is>
          <t>7.0-7.5</t>
        </is>
      </c>
      <c r="M435" t="inlineStr">
        <is>
          <t>5-7</t>
        </is>
      </c>
      <c r="N435" t="inlineStr">
        <is>
          <t>12.0-14.5</t>
        </is>
      </c>
      <c r="O435" s="7" t="inlineStr">
        <is>
          <t>Fairgreen Intl</t>
        </is>
      </c>
      <c r="P435" s="7" t="inlineStr">
        <is>
          <t>Saudi German Hospital</t>
        </is>
      </c>
      <c r="Q435" s="7" t="inlineStr">
        <is>
          <t>Town Square Comm. Ctr</t>
        </is>
      </c>
      <c r="R435" s="7" t="inlineStr">
        <is>
          <t>Al Qudra Rd</t>
        </is>
      </c>
      <c r="S435" t="inlineStr">
        <is>
          <t>25</t>
        </is>
      </c>
      <c r="T435" t="inlineStr">
        <is>
          <t>30</t>
        </is>
      </c>
      <c r="U435" t="inlineStr">
        <is>
          <t>30</t>
        </is>
      </c>
      <c r="V435" t="inlineStr">
        <is>
          <t>30</t>
        </is>
      </c>
      <c r="W435" t="n">
        <v>2</v>
      </c>
      <c r="X435" s="12" t="n">
        <v>600000</v>
      </c>
      <c r="Y435" s="12" t="n">
        <v>600000</v>
      </c>
      <c r="Z435" s="9" t="n">
        <v>7</v>
      </c>
      <c r="AA435" s="9" t="n">
        <v>7.5</v>
      </c>
      <c r="AB435" s="9" t="n">
        <v>5</v>
      </c>
      <c r="AC435" s="9" t="n">
        <v>7</v>
      </c>
      <c r="AD435" s="9" t="n">
        <v>12</v>
      </c>
      <c r="AE435" s="9" t="n">
        <v>14.5</v>
      </c>
      <c r="AF435" t="n">
        <v>2015</v>
      </c>
      <c r="AH435" t="inlineStr">
        <is>
          <t>Apartment</t>
        </is>
      </c>
      <c r="AI435" t="inlineStr">
        <is>
          <t>SupplySensitiveApartment</t>
        </is>
      </c>
      <c r="AJ435" t="inlineStr">
        <is>
          <t>Established</t>
        </is>
      </c>
      <c r="AK435" t="inlineStr">
        <is>
          <t>Supply-sensitive / selective</t>
        </is>
      </c>
      <c r="AL435" s="7" t="inlineStr">
        <is>
          <t>Higher delivery risk in more price-sensitive apartment clusters; building selection and exit liquidity matter.</t>
        </is>
      </c>
      <c r="AM435" s="9" t="n">
        <v>6</v>
      </c>
      <c r="AN435" s="9" t="n">
        <v>7.25</v>
      </c>
      <c r="AO435" s="10" t="n">
        <v>0.55</v>
      </c>
      <c r="AP435" s="13" t="n">
        <v>0</v>
      </c>
      <c r="AQ435" s="13" t="n">
        <v>0</v>
      </c>
      <c r="AR435" s="13" t="n">
        <v>-0.01</v>
      </c>
      <c r="AS435" s="13" t="n">
        <v>-0.01</v>
      </c>
      <c r="AT435" s="13" t="n">
        <v>0</v>
      </c>
      <c r="AU435" s="13" t="n">
        <v>0.0025</v>
      </c>
      <c r="AV435" s="13" t="n">
        <v>-0.005</v>
      </c>
      <c r="AW435" s="13">
        <f>IF(X435="","",(AM435/100*AO435)+AP435+AQ435+AR435)</f>
        <v/>
      </c>
      <c r="AX435" s="13">
        <f>IF(X435="","",AS435+AT435+AU435+AV435)</f>
        <v/>
      </c>
      <c r="AY435" s="12">
        <f>IF(AZ435="","",ROUND(AZ435*(1+Assumptions!$B$10),0))</f>
        <v/>
      </c>
      <c r="AZ435" s="12">
        <f>IF(X435="","",ROUND(X435*(1+AW435),0))</f>
        <v/>
      </c>
      <c r="BA435" s="12">
        <f>IF(AZ435="","",ROUND(AZ435*(1+Assumptions!$B$11),0))</f>
        <v/>
      </c>
      <c r="BB435" s="12">
        <f>IF(AZ435="","",ROUND(AZ435*(1+AX435+Assumptions!$B$10),0))</f>
        <v/>
      </c>
      <c r="BC435" s="12">
        <f>IF(AZ435="","",ROUND(AZ435*(1+AX435),0))</f>
        <v/>
      </c>
      <c r="BD435" s="12">
        <f>IF(AZ435="","",ROUND(AZ435*(1+AX435+Assumptions!$B$11),0))</f>
        <v/>
      </c>
      <c r="BE435" s="12">
        <f>IF(AZ435="","",ROUND(AZ435*(1+AX435)*(1+AX435),0))</f>
        <v/>
      </c>
      <c r="BF435" s="7" t="inlineStr">
        <is>
          <t>Rules-based enrichment using launch-price anchor, cap-app realization, and 2026 segment conditions.</t>
        </is>
      </c>
      <c r="BG435" t="inlineStr">
        <is>
          <t>2026-03-17</t>
        </is>
      </c>
      <c r="BH435" s="7" t="inlineStr">
        <is>
          <t>DLD / Digital Dubai / CBUAE / Savills / Knight Frank-Moody’s / Reuters</t>
        </is>
      </c>
    </row>
    <row r="436">
      <c r="A436" t="n">
        <v>435</v>
      </c>
      <c r="B436" s="7" t="inlineStr">
        <is>
          <t>Verdana Phase 1</t>
        </is>
      </c>
      <c r="C436" t="inlineStr">
        <is>
          <t>Reportage Properties</t>
        </is>
      </c>
      <c r="D436" t="inlineStr">
        <is>
          <t>DIP</t>
        </is>
      </c>
      <c r="E436" t="inlineStr">
        <is>
          <t>Townhouses</t>
        </is>
      </c>
      <c r="F436" s="7" t="inlineStr">
        <is>
          <t>Family / Budget</t>
        </is>
      </c>
      <c r="G436" t="inlineStr">
        <is>
          <t>1.5M</t>
        </is>
      </c>
      <c r="H436" t="inlineStr">
        <is>
          <t>900</t>
        </is>
      </c>
      <c r="I436" t="inlineStr">
        <is>
          <t>12</t>
        </is>
      </c>
      <c r="J436" t="inlineStr">
        <is>
          <t>Varies</t>
        </is>
      </c>
      <c r="K436" t="inlineStr">
        <is>
          <t>2022</t>
        </is>
      </c>
      <c r="L436" t="inlineStr">
        <is>
          <t>7.0-7.5</t>
        </is>
      </c>
      <c r="M436" t="inlineStr">
        <is>
          <t>6-8</t>
        </is>
      </c>
      <c r="N436" t="inlineStr">
        <is>
          <t>13.0-15.5</t>
        </is>
      </c>
      <c r="O436" s="7" t="inlineStr">
        <is>
          <t>Greenfield Intl</t>
        </is>
      </c>
      <c r="P436" s="7" t="inlineStr">
        <is>
          <t>NMC Royal DIP</t>
        </is>
      </c>
      <c r="Q436" s="7" t="inlineStr">
        <is>
          <t>Souq Extra DIP</t>
        </is>
      </c>
      <c r="R436" s="7" t="inlineStr">
        <is>
          <t>Yalayis / E611</t>
        </is>
      </c>
      <c r="S436" t="inlineStr">
        <is>
          <t>30</t>
        </is>
      </c>
      <c r="T436" t="inlineStr">
        <is>
          <t>20</t>
        </is>
      </c>
      <c r="U436" t="inlineStr">
        <is>
          <t>35</t>
        </is>
      </c>
      <c r="V436" t="inlineStr">
        <is>
          <t>15</t>
        </is>
      </c>
      <c r="W436" t="n">
        <v>2</v>
      </c>
      <c r="X436" s="12" t="n">
        <v>1500000</v>
      </c>
      <c r="Y436" s="12" t="n">
        <v>1500000</v>
      </c>
      <c r="Z436" s="9" t="n">
        <v>7</v>
      </c>
      <c r="AA436" s="9" t="n">
        <v>7.5</v>
      </c>
      <c r="AB436" s="9" t="n">
        <v>6</v>
      </c>
      <c r="AC436" s="9" t="n">
        <v>8</v>
      </c>
      <c r="AD436" s="9" t="n">
        <v>13</v>
      </c>
      <c r="AE436" s="9" t="n">
        <v>15.5</v>
      </c>
      <c r="AF436" t="n">
        <v>2022</v>
      </c>
      <c r="AH436" t="inlineStr">
        <is>
          <t>Townhouse</t>
        </is>
      </c>
      <c r="AI436" t="inlineStr">
        <is>
          <t>MainstreamSelective</t>
        </is>
      </c>
      <c r="AJ436" t="inlineStr">
        <is>
          <t>MidTier</t>
        </is>
      </c>
      <c r="AK436" t="inlineStr">
        <is>
          <t>Family-villa resilient</t>
        </is>
      </c>
      <c r="AL436" s="7" t="inlineStr">
        <is>
          <t>Villa/townhouse demand remains relatively firmer, though growth should be slower than the post-2020 surge.</t>
        </is>
      </c>
      <c r="AM436" s="9" t="n">
        <v>7</v>
      </c>
      <c r="AN436" s="9" t="n">
        <v>7.25</v>
      </c>
      <c r="AO436" s="10" t="n">
        <v>0.55</v>
      </c>
      <c r="AP436" s="13" t="n">
        <v>0</v>
      </c>
      <c r="AQ436" s="13" t="n">
        <v>0.015</v>
      </c>
      <c r="AR436" s="13" t="n">
        <v>0</v>
      </c>
      <c r="AS436" s="13" t="n">
        <v>0.025</v>
      </c>
      <c r="AT436" s="13" t="n">
        <v>-0.005</v>
      </c>
      <c r="AU436" s="13" t="n">
        <v>0.0025</v>
      </c>
      <c r="AV436" s="13" t="n">
        <v>-0.005</v>
      </c>
      <c r="AW436" s="13">
        <f>IF(X436="","",(AM436/100*AO436)+AP436+AQ436+AR436)</f>
        <v/>
      </c>
      <c r="AX436" s="13">
        <f>IF(X436="","",AS436+AT436+AU436+AV436)</f>
        <v/>
      </c>
      <c r="AY436" s="12">
        <f>IF(AZ436="","",ROUND(AZ436*(1+Assumptions!$B$10),0))</f>
        <v/>
      </c>
      <c r="AZ436" s="12">
        <f>IF(X436="","",ROUND(X436*(1+AW436),0))</f>
        <v/>
      </c>
      <c r="BA436" s="12">
        <f>IF(AZ436="","",ROUND(AZ436*(1+Assumptions!$B$11),0))</f>
        <v/>
      </c>
      <c r="BB436" s="12">
        <f>IF(AZ436="","",ROUND(AZ436*(1+AX436+Assumptions!$B$10),0))</f>
        <v/>
      </c>
      <c r="BC436" s="12">
        <f>IF(AZ436="","",ROUND(AZ436*(1+AX436),0))</f>
        <v/>
      </c>
      <c r="BD436" s="12">
        <f>IF(AZ436="","",ROUND(AZ436*(1+AX436+Assumptions!$B$11),0))</f>
        <v/>
      </c>
      <c r="BE436" s="12">
        <f>IF(AZ436="","",ROUND(AZ436*(1+AX436)*(1+AX436),0))</f>
        <v/>
      </c>
      <c r="BF436" s="7" t="inlineStr">
        <is>
          <t>Rules-based enrichment using launch-price anchor, cap-app realization, and 2026 segment conditions.</t>
        </is>
      </c>
      <c r="BG436" t="inlineStr">
        <is>
          <t>2026-03-17</t>
        </is>
      </c>
      <c r="BH436" s="7" t="inlineStr">
        <is>
          <t>DLD / Digital Dubai / CBUAE / Savills / Knight Frank-Moody’s / Reuters</t>
        </is>
      </c>
    </row>
    <row r="437">
      <c r="A437" t="n">
        <v>436</v>
      </c>
      <c r="B437" s="7" t="inlineStr">
        <is>
          <t>Verdana Phase 2</t>
        </is>
      </c>
      <c r="C437" t="inlineStr">
        <is>
          <t>Reportage Properties</t>
        </is>
      </c>
      <c r="D437" t="inlineStr">
        <is>
          <t>DIP</t>
        </is>
      </c>
      <c r="E437" t="inlineStr">
        <is>
          <t>Townhouses</t>
        </is>
      </c>
      <c r="F437" s="7" t="inlineStr">
        <is>
          <t>Family / Budget</t>
        </is>
      </c>
      <c r="G437" t="inlineStr">
        <is>
          <t>1.6M</t>
        </is>
      </c>
      <c r="H437" t="inlineStr">
        <is>
          <t>950</t>
        </is>
      </c>
      <c r="I437" t="inlineStr">
        <is>
          <t>12</t>
        </is>
      </c>
      <c r="J437" t="inlineStr">
        <is>
          <t>Varies</t>
        </is>
      </c>
      <c r="K437" t="inlineStr">
        <is>
          <t>2022</t>
        </is>
      </c>
      <c r="L437" t="inlineStr">
        <is>
          <t>7.0-7.5</t>
        </is>
      </c>
      <c r="M437" t="inlineStr">
        <is>
          <t>6-8</t>
        </is>
      </c>
      <c r="N437" t="inlineStr">
        <is>
          <t>13.0-15.5</t>
        </is>
      </c>
      <c r="O437" s="7" t="inlineStr">
        <is>
          <t>Greenfield Intl</t>
        </is>
      </c>
      <c r="P437" s="7" t="inlineStr">
        <is>
          <t>NMC Royal DIP</t>
        </is>
      </c>
      <c r="Q437" s="7" t="inlineStr">
        <is>
          <t>Souq Extra DIP</t>
        </is>
      </c>
      <c r="R437" s="7" t="inlineStr">
        <is>
          <t>Yalayis / E611</t>
        </is>
      </c>
      <c r="S437" t="inlineStr">
        <is>
          <t>30</t>
        </is>
      </c>
      <c r="T437" t="inlineStr">
        <is>
          <t>20</t>
        </is>
      </c>
      <c r="U437" t="inlineStr">
        <is>
          <t>35</t>
        </is>
      </c>
      <c r="V437" t="inlineStr">
        <is>
          <t>15</t>
        </is>
      </c>
      <c r="W437" t="n">
        <v>2</v>
      </c>
      <c r="X437" s="12" t="n">
        <v>1600000</v>
      </c>
      <c r="Y437" s="12" t="n">
        <v>1600000</v>
      </c>
      <c r="Z437" s="9" t="n">
        <v>7</v>
      </c>
      <c r="AA437" s="9" t="n">
        <v>7.5</v>
      </c>
      <c r="AB437" s="9" t="n">
        <v>6</v>
      </c>
      <c r="AC437" s="9" t="n">
        <v>8</v>
      </c>
      <c r="AD437" s="9" t="n">
        <v>13</v>
      </c>
      <c r="AE437" s="9" t="n">
        <v>15.5</v>
      </c>
      <c r="AF437" t="n">
        <v>2022</v>
      </c>
      <c r="AH437" t="inlineStr">
        <is>
          <t>Townhouse</t>
        </is>
      </c>
      <c r="AI437" t="inlineStr">
        <is>
          <t>MainstreamSelective</t>
        </is>
      </c>
      <c r="AJ437" t="inlineStr">
        <is>
          <t>MidTier</t>
        </is>
      </c>
      <c r="AK437" t="inlineStr">
        <is>
          <t>Family-villa resilient</t>
        </is>
      </c>
      <c r="AL437" s="7" t="inlineStr">
        <is>
          <t>Villa/townhouse demand remains relatively firmer, though growth should be slower than the post-2020 surge.</t>
        </is>
      </c>
      <c r="AM437" s="9" t="n">
        <v>7</v>
      </c>
      <c r="AN437" s="9" t="n">
        <v>7.25</v>
      </c>
      <c r="AO437" s="10" t="n">
        <v>0.55</v>
      </c>
      <c r="AP437" s="13" t="n">
        <v>0</v>
      </c>
      <c r="AQ437" s="13" t="n">
        <v>0.015</v>
      </c>
      <c r="AR437" s="13" t="n">
        <v>0</v>
      </c>
      <c r="AS437" s="13" t="n">
        <v>0.025</v>
      </c>
      <c r="AT437" s="13" t="n">
        <v>-0.005</v>
      </c>
      <c r="AU437" s="13" t="n">
        <v>0.0025</v>
      </c>
      <c r="AV437" s="13" t="n">
        <v>-0.005</v>
      </c>
      <c r="AW437" s="13">
        <f>IF(X437="","",(AM437/100*AO437)+AP437+AQ437+AR437)</f>
        <v/>
      </c>
      <c r="AX437" s="13">
        <f>IF(X437="","",AS437+AT437+AU437+AV437)</f>
        <v/>
      </c>
      <c r="AY437" s="12">
        <f>IF(AZ437="","",ROUND(AZ437*(1+Assumptions!$B$10),0))</f>
        <v/>
      </c>
      <c r="AZ437" s="12">
        <f>IF(X437="","",ROUND(X437*(1+AW437),0))</f>
        <v/>
      </c>
      <c r="BA437" s="12">
        <f>IF(AZ437="","",ROUND(AZ437*(1+Assumptions!$B$11),0))</f>
        <v/>
      </c>
      <c r="BB437" s="12">
        <f>IF(AZ437="","",ROUND(AZ437*(1+AX437+Assumptions!$B$10),0))</f>
        <v/>
      </c>
      <c r="BC437" s="12">
        <f>IF(AZ437="","",ROUND(AZ437*(1+AX437),0))</f>
        <v/>
      </c>
      <c r="BD437" s="12">
        <f>IF(AZ437="","",ROUND(AZ437*(1+AX437+Assumptions!$B$11),0))</f>
        <v/>
      </c>
      <c r="BE437" s="12">
        <f>IF(AZ437="","",ROUND(AZ437*(1+AX437)*(1+AX437),0))</f>
        <v/>
      </c>
      <c r="BF437" s="7" t="inlineStr">
        <is>
          <t>Rules-based enrichment using launch-price anchor, cap-app realization, and 2026 segment conditions.</t>
        </is>
      </c>
      <c r="BG437" t="inlineStr">
        <is>
          <t>2026-03-17</t>
        </is>
      </c>
      <c r="BH437" s="7" t="inlineStr">
        <is>
          <t>DLD / Digital Dubai / CBUAE / Savills / Knight Frank-Moody’s / Reuters</t>
        </is>
      </c>
    </row>
    <row r="438">
      <c r="A438" t="n">
        <v>437</v>
      </c>
      <c r="B438" s="7" t="inlineStr">
        <is>
          <t>Verdana Phase 3</t>
        </is>
      </c>
      <c r="C438" t="inlineStr">
        <is>
          <t>Reportage Properties</t>
        </is>
      </c>
      <c r="D438" t="inlineStr">
        <is>
          <t>DIP</t>
        </is>
      </c>
      <c r="E438" t="inlineStr">
        <is>
          <t>Townhouses</t>
        </is>
      </c>
      <c r="F438" s="7" t="inlineStr">
        <is>
          <t>Family / Budget</t>
        </is>
      </c>
      <c r="G438" t="inlineStr">
        <is>
          <t>1.7M</t>
        </is>
      </c>
      <c r="H438" t="inlineStr">
        <is>
          <t>950</t>
        </is>
      </c>
      <c r="I438" t="inlineStr">
        <is>
          <t>12</t>
        </is>
      </c>
      <c r="J438" t="inlineStr">
        <is>
          <t>Varies</t>
        </is>
      </c>
      <c r="K438" t="inlineStr">
        <is>
          <t>2023</t>
        </is>
      </c>
      <c r="L438" t="inlineStr">
        <is>
          <t>7.0-7.5</t>
        </is>
      </c>
      <c r="M438" t="inlineStr">
        <is>
          <t>6-8</t>
        </is>
      </c>
      <c r="N438" t="inlineStr">
        <is>
          <t>13.0-15.5</t>
        </is>
      </c>
      <c r="O438" s="7" t="inlineStr">
        <is>
          <t>Greenfield Intl</t>
        </is>
      </c>
      <c r="P438" s="7" t="inlineStr">
        <is>
          <t>NMC Royal DIP</t>
        </is>
      </c>
      <c r="Q438" s="7" t="inlineStr">
        <is>
          <t>Souq Extra DIP</t>
        </is>
      </c>
      <c r="R438" s="7" t="inlineStr">
        <is>
          <t>Yalayis / E611</t>
        </is>
      </c>
      <c r="S438" t="inlineStr">
        <is>
          <t>30</t>
        </is>
      </c>
      <c r="T438" t="inlineStr">
        <is>
          <t>20</t>
        </is>
      </c>
      <c r="U438" t="inlineStr">
        <is>
          <t>35</t>
        </is>
      </c>
      <c r="V438" t="inlineStr">
        <is>
          <t>15</t>
        </is>
      </c>
      <c r="W438" t="n">
        <v>2</v>
      </c>
      <c r="X438" s="12" t="n">
        <v>1700000</v>
      </c>
      <c r="Y438" s="12" t="n">
        <v>1700000</v>
      </c>
      <c r="Z438" s="9" t="n">
        <v>7</v>
      </c>
      <c r="AA438" s="9" t="n">
        <v>7.5</v>
      </c>
      <c r="AB438" s="9" t="n">
        <v>6</v>
      </c>
      <c r="AC438" s="9" t="n">
        <v>8</v>
      </c>
      <c r="AD438" s="9" t="n">
        <v>13</v>
      </c>
      <c r="AE438" s="9" t="n">
        <v>15.5</v>
      </c>
      <c r="AF438" t="n">
        <v>2023</v>
      </c>
      <c r="AH438" t="inlineStr">
        <is>
          <t>Townhouse</t>
        </is>
      </c>
      <c r="AI438" t="inlineStr">
        <is>
          <t>MainstreamSelective</t>
        </is>
      </c>
      <c r="AJ438" t="inlineStr">
        <is>
          <t>MidTier</t>
        </is>
      </c>
      <c r="AK438" t="inlineStr">
        <is>
          <t>Family-villa resilient</t>
        </is>
      </c>
      <c r="AL438" s="7" t="inlineStr">
        <is>
          <t>Villa/townhouse demand remains relatively firmer, though growth should be slower than the post-2020 surge.</t>
        </is>
      </c>
      <c r="AM438" s="9" t="n">
        <v>7</v>
      </c>
      <c r="AN438" s="9" t="n">
        <v>7.25</v>
      </c>
      <c r="AO438" s="10" t="n">
        <v>0.55</v>
      </c>
      <c r="AP438" s="13" t="n">
        <v>0</v>
      </c>
      <c r="AQ438" s="13" t="n">
        <v>0.015</v>
      </c>
      <c r="AR438" s="13" t="n">
        <v>0</v>
      </c>
      <c r="AS438" s="13" t="n">
        <v>0.025</v>
      </c>
      <c r="AT438" s="13" t="n">
        <v>-0.005</v>
      </c>
      <c r="AU438" s="13" t="n">
        <v>0.0025</v>
      </c>
      <c r="AV438" s="13" t="n">
        <v>-0.005</v>
      </c>
      <c r="AW438" s="13">
        <f>IF(X438="","",(AM438/100*AO438)+AP438+AQ438+AR438)</f>
        <v/>
      </c>
      <c r="AX438" s="13">
        <f>IF(X438="","",AS438+AT438+AU438+AV438)</f>
        <v/>
      </c>
      <c r="AY438" s="12">
        <f>IF(AZ438="","",ROUND(AZ438*(1+Assumptions!$B$10),0))</f>
        <v/>
      </c>
      <c r="AZ438" s="12">
        <f>IF(X438="","",ROUND(X438*(1+AW438),0))</f>
        <v/>
      </c>
      <c r="BA438" s="12">
        <f>IF(AZ438="","",ROUND(AZ438*(1+Assumptions!$B$11),0))</f>
        <v/>
      </c>
      <c r="BB438" s="12">
        <f>IF(AZ438="","",ROUND(AZ438*(1+AX438+Assumptions!$B$10),0))</f>
        <v/>
      </c>
      <c r="BC438" s="12">
        <f>IF(AZ438="","",ROUND(AZ438*(1+AX438),0))</f>
        <v/>
      </c>
      <c r="BD438" s="12">
        <f>IF(AZ438="","",ROUND(AZ438*(1+AX438+Assumptions!$B$11),0))</f>
        <v/>
      </c>
      <c r="BE438" s="12">
        <f>IF(AZ438="","",ROUND(AZ438*(1+AX438)*(1+AX438),0))</f>
        <v/>
      </c>
      <c r="BF438" s="7" t="inlineStr">
        <is>
          <t>Rules-based enrichment using launch-price anchor, cap-app realization, and 2026 segment conditions.</t>
        </is>
      </c>
      <c r="BG438" t="inlineStr">
        <is>
          <t>2026-03-17</t>
        </is>
      </c>
      <c r="BH438" s="7" t="inlineStr">
        <is>
          <t>DLD / Digital Dubai / CBUAE / Savills / Knight Frank-Moody’s / Reuters</t>
        </is>
      </c>
    </row>
    <row r="439">
      <c r="A439" t="n">
        <v>438</v>
      </c>
      <c r="B439" s="7" t="inlineStr">
        <is>
          <t>Verdana Phase 4</t>
        </is>
      </c>
      <c r="C439" t="inlineStr">
        <is>
          <t>Reportage Properties</t>
        </is>
      </c>
      <c r="D439" t="inlineStr">
        <is>
          <t>DIP</t>
        </is>
      </c>
      <c r="E439" t="inlineStr">
        <is>
          <t>Townhouses</t>
        </is>
      </c>
      <c r="F439" s="7" t="inlineStr">
        <is>
          <t>Family / Budget</t>
        </is>
      </c>
      <c r="G439" t="inlineStr">
        <is>
          <t>1.75M</t>
        </is>
      </c>
      <c r="H439" t="inlineStr">
        <is>
          <t>1000</t>
        </is>
      </c>
      <c r="I439" t="inlineStr">
        <is>
          <t>12</t>
        </is>
      </c>
      <c r="J439" t="inlineStr">
        <is>
          <t>Varies</t>
        </is>
      </c>
      <c r="K439" t="inlineStr">
        <is>
          <t>2023</t>
        </is>
      </c>
      <c r="L439" t="inlineStr">
        <is>
          <t>7.0-7.5</t>
        </is>
      </c>
      <c r="M439" t="inlineStr">
        <is>
          <t>6-8</t>
        </is>
      </c>
      <c r="N439" t="inlineStr">
        <is>
          <t>13.0-15.5</t>
        </is>
      </c>
      <c r="O439" s="7" t="inlineStr">
        <is>
          <t>Greenfield Intl</t>
        </is>
      </c>
      <c r="P439" s="7" t="inlineStr">
        <is>
          <t>NMC Royal DIP</t>
        </is>
      </c>
      <c r="Q439" s="7" t="inlineStr">
        <is>
          <t>Souq Extra DIP</t>
        </is>
      </c>
      <c r="R439" s="7" t="inlineStr">
        <is>
          <t>Yalayis / E611</t>
        </is>
      </c>
      <c r="S439" t="inlineStr">
        <is>
          <t>30</t>
        </is>
      </c>
      <c r="T439" t="inlineStr">
        <is>
          <t>20</t>
        </is>
      </c>
      <c r="U439" t="inlineStr">
        <is>
          <t>35</t>
        </is>
      </c>
      <c r="V439" t="inlineStr">
        <is>
          <t>15</t>
        </is>
      </c>
      <c r="W439" t="n">
        <v>2</v>
      </c>
      <c r="X439" s="12" t="n">
        <v>1750000</v>
      </c>
      <c r="Y439" s="12" t="n">
        <v>1750000</v>
      </c>
      <c r="Z439" s="9" t="n">
        <v>7</v>
      </c>
      <c r="AA439" s="9" t="n">
        <v>7.5</v>
      </c>
      <c r="AB439" s="9" t="n">
        <v>6</v>
      </c>
      <c r="AC439" s="9" t="n">
        <v>8</v>
      </c>
      <c r="AD439" s="9" t="n">
        <v>13</v>
      </c>
      <c r="AE439" s="9" t="n">
        <v>15.5</v>
      </c>
      <c r="AF439" t="n">
        <v>2023</v>
      </c>
      <c r="AH439" t="inlineStr">
        <is>
          <t>Townhouse</t>
        </is>
      </c>
      <c r="AI439" t="inlineStr">
        <is>
          <t>MainstreamSelective</t>
        </is>
      </c>
      <c r="AJ439" t="inlineStr">
        <is>
          <t>MidTier</t>
        </is>
      </c>
      <c r="AK439" t="inlineStr">
        <is>
          <t>Family-villa resilient</t>
        </is>
      </c>
      <c r="AL439" s="7" t="inlineStr">
        <is>
          <t>Villa/townhouse demand remains relatively firmer, though growth should be slower than the post-2020 surge.</t>
        </is>
      </c>
      <c r="AM439" s="9" t="n">
        <v>7</v>
      </c>
      <c r="AN439" s="9" t="n">
        <v>7.25</v>
      </c>
      <c r="AO439" s="10" t="n">
        <v>0.55</v>
      </c>
      <c r="AP439" s="13" t="n">
        <v>0</v>
      </c>
      <c r="AQ439" s="13" t="n">
        <v>0.015</v>
      </c>
      <c r="AR439" s="13" t="n">
        <v>0</v>
      </c>
      <c r="AS439" s="13" t="n">
        <v>0.025</v>
      </c>
      <c r="AT439" s="13" t="n">
        <v>-0.005</v>
      </c>
      <c r="AU439" s="13" t="n">
        <v>0.0025</v>
      </c>
      <c r="AV439" s="13" t="n">
        <v>-0.005</v>
      </c>
      <c r="AW439" s="13">
        <f>IF(X439="","",(AM439/100*AO439)+AP439+AQ439+AR439)</f>
        <v/>
      </c>
      <c r="AX439" s="13">
        <f>IF(X439="","",AS439+AT439+AU439+AV439)</f>
        <v/>
      </c>
      <c r="AY439" s="12">
        <f>IF(AZ439="","",ROUND(AZ439*(1+Assumptions!$B$10),0))</f>
        <v/>
      </c>
      <c r="AZ439" s="12">
        <f>IF(X439="","",ROUND(X439*(1+AW439),0))</f>
        <v/>
      </c>
      <c r="BA439" s="12">
        <f>IF(AZ439="","",ROUND(AZ439*(1+Assumptions!$B$11),0))</f>
        <v/>
      </c>
      <c r="BB439" s="12">
        <f>IF(AZ439="","",ROUND(AZ439*(1+AX439+Assumptions!$B$10),0))</f>
        <v/>
      </c>
      <c r="BC439" s="12">
        <f>IF(AZ439="","",ROUND(AZ439*(1+AX439),0))</f>
        <v/>
      </c>
      <c r="BD439" s="12">
        <f>IF(AZ439="","",ROUND(AZ439*(1+AX439+Assumptions!$B$11),0))</f>
        <v/>
      </c>
      <c r="BE439" s="12">
        <f>IF(AZ439="","",ROUND(AZ439*(1+AX439)*(1+AX439),0))</f>
        <v/>
      </c>
      <c r="BF439" s="7" t="inlineStr">
        <is>
          <t>Rules-based enrichment using launch-price anchor, cap-app realization, and 2026 segment conditions.</t>
        </is>
      </c>
      <c r="BG439" t="inlineStr">
        <is>
          <t>2026-03-17</t>
        </is>
      </c>
      <c r="BH439" s="7" t="inlineStr">
        <is>
          <t>DLD / Digital Dubai / CBUAE / Savills / Knight Frank-Moody’s / Reuters</t>
        </is>
      </c>
    </row>
    <row r="440">
      <c r="A440" t="n">
        <v>439</v>
      </c>
      <c r="B440" s="7" t="inlineStr">
        <is>
          <t>Verdana Phase 5</t>
        </is>
      </c>
      <c r="C440" t="inlineStr">
        <is>
          <t>Reportage Properties</t>
        </is>
      </c>
      <c r="D440" t="inlineStr">
        <is>
          <t>DIP</t>
        </is>
      </c>
      <c r="E440" t="inlineStr">
        <is>
          <t>Townhouses</t>
        </is>
      </c>
      <c r="F440" s="7" t="inlineStr">
        <is>
          <t>Family / Budget</t>
        </is>
      </c>
      <c r="G440" t="inlineStr">
        <is>
          <t>1.8M</t>
        </is>
      </c>
      <c r="H440" t="inlineStr">
        <is>
          <t>1000</t>
        </is>
      </c>
      <c r="I440" t="inlineStr">
        <is>
          <t>12</t>
        </is>
      </c>
      <c r="J440" t="inlineStr">
        <is>
          <t>Varies</t>
        </is>
      </c>
      <c r="K440" t="inlineStr">
        <is>
          <t>2024</t>
        </is>
      </c>
      <c r="L440" t="inlineStr">
        <is>
          <t>7.0-7.5</t>
        </is>
      </c>
      <c r="M440" t="inlineStr">
        <is>
          <t>6-8</t>
        </is>
      </c>
      <c r="N440" t="inlineStr">
        <is>
          <t>13.0-15.5</t>
        </is>
      </c>
      <c r="O440" s="7" t="inlineStr">
        <is>
          <t>Greenfield Intl</t>
        </is>
      </c>
      <c r="P440" s="7" t="inlineStr">
        <is>
          <t>NMC Royal DIP</t>
        </is>
      </c>
      <c r="Q440" s="7" t="inlineStr">
        <is>
          <t>Souq Extra DIP</t>
        </is>
      </c>
      <c r="R440" s="7" t="inlineStr">
        <is>
          <t>Yalayis / E611</t>
        </is>
      </c>
      <c r="S440" t="inlineStr">
        <is>
          <t>30</t>
        </is>
      </c>
      <c r="T440" t="inlineStr">
        <is>
          <t>20</t>
        </is>
      </c>
      <c r="U440" t="inlineStr">
        <is>
          <t>35</t>
        </is>
      </c>
      <c r="V440" t="inlineStr">
        <is>
          <t>15</t>
        </is>
      </c>
      <c r="W440" t="n">
        <v>2</v>
      </c>
      <c r="X440" s="12" t="n">
        <v>1800000</v>
      </c>
      <c r="Y440" s="12" t="n">
        <v>1800000</v>
      </c>
      <c r="Z440" s="9" t="n">
        <v>7</v>
      </c>
      <c r="AA440" s="9" t="n">
        <v>7.5</v>
      </c>
      <c r="AB440" s="9" t="n">
        <v>6</v>
      </c>
      <c r="AC440" s="9" t="n">
        <v>8</v>
      </c>
      <c r="AD440" s="9" t="n">
        <v>13</v>
      </c>
      <c r="AE440" s="9" t="n">
        <v>15.5</v>
      </c>
      <c r="AF440" t="n">
        <v>2024</v>
      </c>
      <c r="AH440" t="inlineStr">
        <is>
          <t>Townhouse</t>
        </is>
      </c>
      <c r="AI440" t="inlineStr">
        <is>
          <t>MainstreamSelective</t>
        </is>
      </c>
      <c r="AJ440" t="inlineStr">
        <is>
          <t>MidTier</t>
        </is>
      </c>
      <c r="AK440" t="inlineStr">
        <is>
          <t>Family-villa resilient</t>
        </is>
      </c>
      <c r="AL440" s="7" t="inlineStr">
        <is>
          <t>Villa/townhouse demand remains relatively firmer, though growth should be slower than the post-2020 surge.</t>
        </is>
      </c>
      <c r="AM440" s="9" t="n">
        <v>7</v>
      </c>
      <c r="AN440" s="9" t="n">
        <v>7.25</v>
      </c>
      <c r="AO440" s="10" t="n">
        <v>0.55</v>
      </c>
      <c r="AP440" s="13" t="n">
        <v>0</v>
      </c>
      <c r="AQ440" s="13" t="n">
        <v>0.015</v>
      </c>
      <c r="AR440" s="13" t="n">
        <v>0</v>
      </c>
      <c r="AS440" s="13" t="n">
        <v>0.025</v>
      </c>
      <c r="AT440" s="13" t="n">
        <v>-0.005</v>
      </c>
      <c r="AU440" s="13" t="n">
        <v>0.0025</v>
      </c>
      <c r="AV440" s="13" t="n">
        <v>-0.005</v>
      </c>
      <c r="AW440" s="13">
        <f>IF(X440="","",(AM440/100*AO440)+AP440+AQ440+AR440)</f>
        <v/>
      </c>
      <c r="AX440" s="13">
        <f>IF(X440="","",AS440+AT440+AU440+AV440)</f>
        <v/>
      </c>
      <c r="AY440" s="12">
        <f>IF(AZ440="","",ROUND(AZ440*(1+Assumptions!$B$10),0))</f>
        <v/>
      </c>
      <c r="AZ440" s="12">
        <f>IF(X440="","",ROUND(X440*(1+AW440),0))</f>
        <v/>
      </c>
      <c r="BA440" s="12">
        <f>IF(AZ440="","",ROUND(AZ440*(1+Assumptions!$B$11),0))</f>
        <v/>
      </c>
      <c r="BB440" s="12">
        <f>IF(AZ440="","",ROUND(AZ440*(1+AX440+Assumptions!$B$10),0))</f>
        <v/>
      </c>
      <c r="BC440" s="12">
        <f>IF(AZ440="","",ROUND(AZ440*(1+AX440),0))</f>
        <v/>
      </c>
      <c r="BD440" s="12">
        <f>IF(AZ440="","",ROUND(AZ440*(1+AX440+Assumptions!$B$11),0))</f>
        <v/>
      </c>
      <c r="BE440" s="12">
        <f>IF(AZ440="","",ROUND(AZ440*(1+AX440)*(1+AX440),0))</f>
        <v/>
      </c>
      <c r="BF440" s="7" t="inlineStr">
        <is>
          <t>Rules-based enrichment using launch-price anchor, cap-app realization, and 2026 segment conditions.</t>
        </is>
      </c>
      <c r="BG440" t="inlineStr">
        <is>
          <t>2026-03-17</t>
        </is>
      </c>
      <c r="BH440" s="7" t="inlineStr">
        <is>
          <t>DLD / Digital Dubai / CBUAE / Savills / Knight Frank-Moody’s / Reuters</t>
        </is>
      </c>
    </row>
    <row r="441">
      <c r="A441" t="n">
        <v>440</v>
      </c>
      <c r="B441" s="7" t="inlineStr">
        <is>
          <t>Rukan Lofts</t>
        </is>
      </c>
      <c r="C441" t="inlineStr">
        <is>
          <t>Reportage Properties</t>
        </is>
      </c>
      <c r="D441" t="inlineStr">
        <is>
          <t>Dubailand (Wadi Al Safa)</t>
        </is>
      </c>
      <c r="E441" t="inlineStr">
        <is>
          <t>Townhouses</t>
        </is>
      </c>
      <c r="F441" s="7" t="inlineStr">
        <is>
          <t>Budget / Loft</t>
        </is>
      </c>
      <c r="G441" t="inlineStr">
        <is>
          <t>Resale (900k+)</t>
        </is>
      </c>
      <c r="H441" t="inlineStr">
        <is>
          <t>800</t>
        </is>
      </c>
      <c r="I441" t="inlineStr">
        <is>
          <t>10</t>
        </is>
      </c>
      <c r="J441" t="inlineStr">
        <is>
          <t>Completed</t>
        </is>
      </c>
      <c r="K441" t="inlineStr">
        <is>
          <t>2019</t>
        </is>
      </c>
      <c r="L441" t="inlineStr">
        <is>
          <t>7.0-7.5</t>
        </is>
      </c>
      <c r="M441" t="inlineStr">
        <is>
          <t>5-7</t>
        </is>
      </c>
      <c r="N441" t="inlineStr">
        <is>
          <t>12.0-14.5</t>
        </is>
      </c>
      <c r="O441" s="7" t="inlineStr">
        <is>
          <t>GEMS Metropole</t>
        </is>
      </c>
      <c r="P441" s="7" t="inlineStr">
        <is>
          <t>Mediclinic Parkview</t>
        </is>
      </c>
      <c r="Q441" s="7" t="inlineStr">
        <is>
          <t>Cityland Mall</t>
        </is>
      </c>
      <c r="R441" s="7" t="inlineStr">
        <is>
          <t>E611 / Al Ain Rd</t>
        </is>
      </c>
      <c r="S441" t="inlineStr">
        <is>
          <t>20</t>
        </is>
      </c>
      <c r="T441" t="inlineStr">
        <is>
          <t>25</t>
        </is>
      </c>
      <c r="U441" t="inlineStr">
        <is>
          <t>25</t>
        </is>
      </c>
      <c r="V441" t="inlineStr">
        <is>
          <t>30</t>
        </is>
      </c>
      <c r="W441" t="n">
        <v>2</v>
      </c>
      <c r="X441" s="12" t="n">
        <v>900000</v>
      </c>
      <c r="Y441" s="12" t="n">
        <v>900000</v>
      </c>
      <c r="Z441" s="9" t="n">
        <v>7</v>
      </c>
      <c r="AA441" s="9" t="n">
        <v>7.5</v>
      </c>
      <c r="AB441" s="9" t="n">
        <v>5</v>
      </c>
      <c r="AC441" s="9" t="n">
        <v>7</v>
      </c>
      <c r="AD441" s="9" t="n">
        <v>12</v>
      </c>
      <c r="AE441" s="9" t="n">
        <v>14.5</v>
      </c>
      <c r="AF441" t="n">
        <v>2019</v>
      </c>
      <c r="AH441" t="inlineStr">
        <is>
          <t>Townhouse</t>
        </is>
      </c>
      <c r="AI441" t="inlineStr">
        <is>
          <t>MainstreamSelective</t>
        </is>
      </c>
      <c r="AJ441" t="inlineStr">
        <is>
          <t>MidTier</t>
        </is>
      </c>
      <c r="AK441" t="inlineStr">
        <is>
          <t>Family-villa resilient</t>
        </is>
      </c>
      <c r="AL441" s="7" t="inlineStr">
        <is>
          <t>Villa/townhouse demand remains relatively firmer, though growth should be slower than the post-2020 surge.</t>
        </is>
      </c>
      <c r="AM441" s="9" t="n">
        <v>6</v>
      </c>
      <c r="AN441" s="9" t="n">
        <v>7.25</v>
      </c>
      <c r="AO441" s="10" t="n">
        <v>0.55</v>
      </c>
      <c r="AP441" s="13" t="n">
        <v>0</v>
      </c>
      <c r="AQ441" s="13" t="n">
        <v>0.015</v>
      </c>
      <c r="AR441" s="13" t="n">
        <v>0</v>
      </c>
      <c r="AS441" s="13" t="n">
        <v>0.025</v>
      </c>
      <c r="AT441" s="13" t="n">
        <v>-0.005</v>
      </c>
      <c r="AU441" s="13" t="n">
        <v>0.0025</v>
      </c>
      <c r="AV441" s="13" t="n">
        <v>-0.005</v>
      </c>
      <c r="AW441" s="13">
        <f>IF(X441="","",(AM441/100*AO441)+AP441+AQ441+AR441)</f>
        <v/>
      </c>
      <c r="AX441" s="13">
        <f>IF(X441="","",AS441+AT441+AU441+AV441)</f>
        <v/>
      </c>
      <c r="AY441" s="12">
        <f>IF(AZ441="","",ROUND(AZ441*(1+Assumptions!$B$10),0))</f>
        <v/>
      </c>
      <c r="AZ441" s="12">
        <f>IF(X441="","",ROUND(X441*(1+AW441),0))</f>
        <v/>
      </c>
      <c r="BA441" s="12">
        <f>IF(AZ441="","",ROUND(AZ441*(1+Assumptions!$B$11),0))</f>
        <v/>
      </c>
      <c r="BB441" s="12">
        <f>IF(AZ441="","",ROUND(AZ441*(1+AX441+Assumptions!$B$10),0))</f>
        <v/>
      </c>
      <c r="BC441" s="12">
        <f>IF(AZ441="","",ROUND(AZ441*(1+AX441),0))</f>
        <v/>
      </c>
      <c r="BD441" s="12">
        <f>IF(AZ441="","",ROUND(AZ441*(1+AX441+Assumptions!$B$11),0))</f>
        <v/>
      </c>
      <c r="BE441" s="12">
        <f>IF(AZ441="","",ROUND(AZ441*(1+AX441)*(1+AX441),0))</f>
        <v/>
      </c>
      <c r="BF441" s="7" t="inlineStr">
        <is>
          <t>Rules-based enrichment using launch-price anchor, cap-app realization, and 2026 segment conditions.</t>
        </is>
      </c>
      <c r="BG441" t="inlineStr">
        <is>
          <t>2026-03-17</t>
        </is>
      </c>
      <c r="BH441" s="7" t="inlineStr">
        <is>
          <t>DLD / Digital Dubai / CBUAE / Savills / Knight Frank-Moody’s / Reuters</t>
        </is>
      </c>
    </row>
    <row r="442">
      <c r="A442" t="n">
        <v>441</v>
      </c>
      <c r="B442" s="7" t="inlineStr">
        <is>
          <t>Rukan Tower</t>
        </is>
      </c>
      <c r="C442" t="inlineStr">
        <is>
          <t>Reportage Properties</t>
        </is>
      </c>
      <c r="D442" t="inlineStr">
        <is>
          <t>Dubailand</t>
        </is>
      </c>
      <c r="E442" t="inlineStr">
        <is>
          <t>Apartments</t>
        </is>
      </c>
      <c r="F442" s="7" t="inlineStr">
        <is>
          <t>Budget</t>
        </is>
      </c>
      <c r="G442" t="inlineStr">
        <is>
          <t>500k</t>
        </is>
      </c>
      <c r="H442" t="inlineStr">
        <is>
          <t>800</t>
        </is>
      </c>
      <c r="I442" t="inlineStr">
        <is>
          <t>10</t>
        </is>
      </c>
      <c r="J442" t="inlineStr">
        <is>
          <t>Completed</t>
        </is>
      </c>
      <c r="K442" t="inlineStr">
        <is>
          <t>2020</t>
        </is>
      </c>
      <c r="L442" t="inlineStr">
        <is>
          <t>7.5-8.0</t>
        </is>
      </c>
      <c r="M442" t="inlineStr">
        <is>
          <t>5-7</t>
        </is>
      </c>
      <c r="N442" t="inlineStr">
        <is>
          <t>12.5-15.0</t>
        </is>
      </c>
      <c r="O442" s="7" t="inlineStr">
        <is>
          <t>GEMS Metropole</t>
        </is>
      </c>
      <c r="P442" s="7" t="inlineStr">
        <is>
          <t>Mediclinic Parkview</t>
        </is>
      </c>
      <c r="Q442" s="7" t="inlineStr">
        <is>
          <t>Cityland Mall</t>
        </is>
      </c>
      <c r="R442" s="7" t="inlineStr">
        <is>
          <t>E611 / Al Ain Rd</t>
        </is>
      </c>
      <c r="S442" t="inlineStr">
        <is>
          <t>20</t>
        </is>
      </c>
      <c r="T442" t="inlineStr">
        <is>
          <t>25</t>
        </is>
      </c>
      <c r="U442" t="inlineStr">
        <is>
          <t>25</t>
        </is>
      </c>
      <c r="V442" t="inlineStr">
        <is>
          <t>30</t>
        </is>
      </c>
      <c r="W442" t="n">
        <v>2</v>
      </c>
      <c r="X442" s="12" t="n">
        <v>500000</v>
      </c>
      <c r="Y442" s="12" t="n">
        <v>500000</v>
      </c>
      <c r="Z442" s="9" t="n">
        <v>7.5</v>
      </c>
      <c r="AA442" s="9" t="n">
        <v>8</v>
      </c>
      <c r="AB442" s="9" t="n">
        <v>5</v>
      </c>
      <c r="AC442" s="9" t="n">
        <v>7</v>
      </c>
      <c r="AD442" s="9" t="n">
        <v>12.5</v>
      </c>
      <c r="AE442" s="9" t="n">
        <v>15</v>
      </c>
      <c r="AF442" t="n">
        <v>2020</v>
      </c>
      <c r="AH442" t="inlineStr">
        <is>
          <t>Apartment</t>
        </is>
      </c>
      <c r="AI442" t="inlineStr">
        <is>
          <t>SupplySensitiveApartment</t>
        </is>
      </c>
      <c r="AJ442" t="inlineStr">
        <is>
          <t>MidTier</t>
        </is>
      </c>
      <c r="AK442" t="inlineStr">
        <is>
          <t>Supply-sensitive / selective</t>
        </is>
      </c>
      <c r="AL442" s="7" t="inlineStr">
        <is>
          <t>Higher delivery risk in more price-sensitive apartment clusters; building selection and exit liquidity matter.</t>
        </is>
      </c>
      <c r="AM442" s="9" t="n">
        <v>6</v>
      </c>
      <c r="AN442" s="9" t="n">
        <v>7.75</v>
      </c>
      <c r="AO442" s="10" t="n">
        <v>0.55</v>
      </c>
      <c r="AP442" s="13" t="n">
        <v>0</v>
      </c>
      <c r="AQ442" s="13" t="n">
        <v>0</v>
      </c>
      <c r="AR442" s="13" t="n">
        <v>-0.01</v>
      </c>
      <c r="AS442" s="13" t="n">
        <v>-0.01</v>
      </c>
      <c r="AT442" s="13" t="n">
        <v>-0.005</v>
      </c>
      <c r="AU442" s="13" t="n">
        <v>0.0025</v>
      </c>
      <c r="AV442" s="13" t="n">
        <v>-0.005</v>
      </c>
      <c r="AW442" s="13">
        <f>IF(X442="","",(AM442/100*AO442)+AP442+AQ442+AR442)</f>
        <v/>
      </c>
      <c r="AX442" s="13">
        <f>IF(X442="","",AS442+AT442+AU442+AV442)</f>
        <v/>
      </c>
      <c r="AY442" s="12">
        <f>IF(AZ442="","",ROUND(AZ442*(1+Assumptions!$B$10),0))</f>
        <v/>
      </c>
      <c r="AZ442" s="12">
        <f>IF(X442="","",ROUND(X442*(1+AW442),0))</f>
        <v/>
      </c>
      <c r="BA442" s="12">
        <f>IF(AZ442="","",ROUND(AZ442*(1+Assumptions!$B$11),0))</f>
        <v/>
      </c>
      <c r="BB442" s="12">
        <f>IF(AZ442="","",ROUND(AZ442*(1+AX442+Assumptions!$B$10),0))</f>
        <v/>
      </c>
      <c r="BC442" s="12">
        <f>IF(AZ442="","",ROUND(AZ442*(1+AX442),0))</f>
        <v/>
      </c>
      <c r="BD442" s="12">
        <f>IF(AZ442="","",ROUND(AZ442*(1+AX442+Assumptions!$B$11),0))</f>
        <v/>
      </c>
      <c r="BE442" s="12">
        <f>IF(AZ442="","",ROUND(AZ442*(1+AX442)*(1+AX442),0))</f>
        <v/>
      </c>
      <c r="BF442" s="7" t="inlineStr">
        <is>
          <t>Rules-based enrichment using launch-price anchor, cap-app realization, and 2026 segment conditions.</t>
        </is>
      </c>
      <c r="BG442" t="inlineStr">
        <is>
          <t>2026-03-17</t>
        </is>
      </c>
      <c r="BH442" s="7" t="inlineStr">
        <is>
          <t>DLD / Digital Dubai / CBUAE / Savills / Knight Frank-Moody’s / Reuters</t>
        </is>
      </c>
    </row>
    <row r="443">
      <c r="A443" t="n">
        <v>442</v>
      </c>
      <c r="B443" s="7" t="inlineStr">
        <is>
          <t>Bianchi</t>
        </is>
      </c>
      <c r="C443" t="inlineStr">
        <is>
          <t>Reportage Properties</t>
        </is>
      </c>
      <c r="D443" t="inlineStr">
        <is>
          <t>Rukan (Dubailand)</t>
        </is>
      </c>
      <c r="E443" t="inlineStr">
        <is>
          <t>Townhouses</t>
        </is>
      </c>
      <c r="F443" s="7" t="inlineStr">
        <is>
          <t>Budget / Modern</t>
        </is>
      </c>
      <c r="G443" t="inlineStr">
        <is>
          <t>1.2M</t>
        </is>
      </c>
      <c r="H443" t="inlineStr">
        <is>
          <t>900</t>
        </is>
      </c>
      <c r="I443" t="inlineStr">
        <is>
          <t>10</t>
        </is>
      </c>
      <c r="J443" t="inlineStr">
        <is>
          <t>Varies</t>
        </is>
      </c>
      <c r="K443" t="inlineStr">
        <is>
          <t>2023</t>
        </is>
      </c>
      <c r="L443" t="inlineStr">
        <is>
          <t>7.0-7.5</t>
        </is>
      </c>
      <c r="M443" t="inlineStr">
        <is>
          <t>6-8</t>
        </is>
      </c>
      <c r="N443" t="inlineStr">
        <is>
          <t>13.0-15.5</t>
        </is>
      </c>
      <c r="O443" s="7" t="inlineStr">
        <is>
          <t>GEMS Metropole</t>
        </is>
      </c>
      <c r="P443" s="7" t="inlineStr">
        <is>
          <t>Mediclinic Parkview</t>
        </is>
      </c>
      <c r="Q443" s="7" t="inlineStr">
        <is>
          <t>Cityland Mall</t>
        </is>
      </c>
      <c r="R443" s="7" t="inlineStr">
        <is>
          <t>E611 / Al Ain Rd</t>
        </is>
      </c>
      <c r="S443" t="inlineStr">
        <is>
          <t>20</t>
        </is>
      </c>
      <c r="T443" t="inlineStr">
        <is>
          <t>25</t>
        </is>
      </c>
      <c r="U443" t="inlineStr">
        <is>
          <t>25</t>
        </is>
      </c>
      <c r="V443" t="inlineStr">
        <is>
          <t>30</t>
        </is>
      </c>
      <c r="W443" t="n">
        <v>2</v>
      </c>
      <c r="X443" s="12" t="n">
        <v>1200000</v>
      </c>
      <c r="Y443" s="12" t="n">
        <v>1200000</v>
      </c>
      <c r="Z443" s="9" t="n">
        <v>7</v>
      </c>
      <c r="AA443" s="9" t="n">
        <v>7.5</v>
      </c>
      <c r="AB443" s="9" t="n">
        <v>6</v>
      </c>
      <c r="AC443" s="9" t="n">
        <v>8</v>
      </c>
      <c r="AD443" s="9" t="n">
        <v>13</v>
      </c>
      <c r="AE443" s="9" t="n">
        <v>15.5</v>
      </c>
      <c r="AF443" t="n">
        <v>2023</v>
      </c>
      <c r="AH443" t="inlineStr">
        <is>
          <t>Townhouse</t>
        </is>
      </c>
      <c r="AI443" t="inlineStr">
        <is>
          <t>MainstreamSelective</t>
        </is>
      </c>
      <c r="AJ443" t="inlineStr">
        <is>
          <t>MidTier</t>
        </is>
      </c>
      <c r="AK443" t="inlineStr">
        <is>
          <t>Family-villa resilient</t>
        </is>
      </c>
      <c r="AL443" s="7" t="inlineStr">
        <is>
          <t>Villa/townhouse demand remains relatively firmer, though growth should be slower than the post-2020 surge.</t>
        </is>
      </c>
      <c r="AM443" s="9" t="n">
        <v>7</v>
      </c>
      <c r="AN443" s="9" t="n">
        <v>7.25</v>
      </c>
      <c r="AO443" s="10" t="n">
        <v>0.55</v>
      </c>
      <c r="AP443" s="13" t="n">
        <v>0</v>
      </c>
      <c r="AQ443" s="13" t="n">
        <v>0.015</v>
      </c>
      <c r="AR443" s="13" t="n">
        <v>0</v>
      </c>
      <c r="AS443" s="13" t="n">
        <v>0.025</v>
      </c>
      <c r="AT443" s="13" t="n">
        <v>-0.005</v>
      </c>
      <c r="AU443" s="13" t="n">
        <v>0.0025</v>
      </c>
      <c r="AV443" s="13" t="n">
        <v>-0.005</v>
      </c>
      <c r="AW443" s="13">
        <f>IF(X443="","",(AM443/100*AO443)+AP443+AQ443+AR443)</f>
        <v/>
      </c>
      <c r="AX443" s="13">
        <f>IF(X443="","",AS443+AT443+AU443+AV443)</f>
        <v/>
      </c>
      <c r="AY443" s="12">
        <f>IF(AZ443="","",ROUND(AZ443*(1+Assumptions!$B$10),0))</f>
        <v/>
      </c>
      <c r="AZ443" s="12">
        <f>IF(X443="","",ROUND(X443*(1+AW443),0))</f>
        <v/>
      </c>
      <c r="BA443" s="12">
        <f>IF(AZ443="","",ROUND(AZ443*(1+Assumptions!$B$11),0))</f>
        <v/>
      </c>
      <c r="BB443" s="12">
        <f>IF(AZ443="","",ROUND(AZ443*(1+AX443+Assumptions!$B$10),0))</f>
        <v/>
      </c>
      <c r="BC443" s="12">
        <f>IF(AZ443="","",ROUND(AZ443*(1+AX443),0))</f>
        <v/>
      </c>
      <c r="BD443" s="12">
        <f>IF(AZ443="","",ROUND(AZ443*(1+AX443+Assumptions!$B$11),0))</f>
        <v/>
      </c>
      <c r="BE443" s="12">
        <f>IF(AZ443="","",ROUND(AZ443*(1+AX443)*(1+AX443),0))</f>
        <v/>
      </c>
      <c r="BF443" s="7" t="inlineStr">
        <is>
          <t>Rules-based enrichment using launch-price anchor, cap-app realization, and 2026 segment conditions.</t>
        </is>
      </c>
      <c r="BG443" t="inlineStr">
        <is>
          <t>2026-03-17</t>
        </is>
      </c>
      <c r="BH443" s="7" t="inlineStr">
        <is>
          <t>DLD / Digital Dubai / CBUAE / Savills / Knight Frank-Moody’s / Reuters</t>
        </is>
      </c>
    </row>
    <row r="444">
      <c r="A444" t="n">
        <v>443</v>
      </c>
      <c r="B444" s="7" t="inlineStr">
        <is>
          <t>Taormina Village</t>
        </is>
      </c>
      <c r="C444" t="inlineStr">
        <is>
          <t>Reportage Properties</t>
        </is>
      </c>
      <c r="D444" t="inlineStr">
        <is>
          <t>Dubailand</t>
        </is>
      </c>
      <c r="E444" t="inlineStr">
        <is>
          <t>Townhouses</t>
        </is>
      </c>
      <c r="F444" s="7" t="inlineStr">
        <is>
          <t>Italian Style</t>
        </is>
      </c>
      <c r="G444" t="inlineStr">
        <is>
          <t>1.5M</t>
        </is>
      </c>
      <c r="H444" t="inlineStr">
        <is>
          <t>1000</t>
        </is>
      </c>
      <c r="I444" t="inlineStr">
        <is>
          <t>10</t>
        </is>
      </c>
      <c r="J444" t="inlineStr">
        <is>
          <t>Varies</t>
        </is>
      </c>
      <c r="K444" t="inlineStr">
        <is>
          <t>2024</t>
        </is>
      </c>
      <c r="L444" t="inlineStr">
        <is>
          <t>7.0-7.5</t>
        </is>
      </c>
      <c r="M444" t="inlineStr">
        <is>
          <t>6-8</t>
        </is>
      </c>
      <c r="N444" t="inlineStr">
        <is>
          <t>13.0-15.5</t>
        </is>
      </c>
      <c r="O444" s="7" t="inlineStr">
        <is>
          <t>GEMS Metropole</t>
        </is>
      </c>
      <c r="P444" s="7" t="inlineStr">
        <is>
          <t>Mediclinic Parkview</t>
        </is>
      </c>
      <c r="Q444" s="7" t="inlineStr">
        <is>
          <t>Cityland Mall</t>
        </is>
      </c>
      <c r="R444" s="7" t="inlineStr">
        <is>
          <t>E611 / Al Ain Rd</t>
        </is>
      </c>
      <c r="S444" t="inlineStr">
        <is>
          <t>20</t>
        </is>
      </c>
      <c r="T444" t="inlineStr">
        <is>
          <t>25</t>
        </is>
      </c>
      <c r="U444" t="inlineStr">
        <is>
          <t>25</t>
        </is>
      </c>
      <c r="V444" t="inlineStr">
        <is>
          <t>30</t>
        </is>
      </c>
      <c r="W444" t="n">
        <v>2</v>
      </c>
      <c r="X444" s="12" t="n">
        <v>1500000</v>
      </c>
      <c r="Y444" s="12" t="n">
        <v>1500000</v>
      </c>
      <c r="Z444" s="9" t="n">
        <v>7</v>
      </c>
      <c r="AA444" s="9" t="n">
        <v>7.5</v>
      </c>
      <c r="AB444" s="9" t="n">
        <v>6</v>
      </c>
      <c r="AC444" s="9" t="n">
        <v>8</v>
      </c>
      <c r="AD444" s="9" t="n">
        <v>13</v>
      </c>
      <c r="AE444" s="9" t="n">
        <v>15.5</v>
      </c>
      <c r="AF444" t="n">
        <v>2024</v>
      </c>
      <c r="AH444" t="inlineStr">
        <is>
          <t>Townhouse</t>
        </is>
      </c>
      <c r="AI444" t="inlineStr">
        <is>
          <t>MainstreamSelective</t>
        </is>
      </c>
      <c r="AJ444" t="inlineStr">
        <is>
          <t>MidTier</t>
        </is>
      </c>
      <c r="AK444" t="inlineStr">
        <is>
          <t>Family-villa resilient</t>
        </is>
      </c>
      <c r="AL444" s="7" t="inlineStr">
        <is>
          <t>Villa/townhouse demand remains relatively firmer, though growth should be slower than the post-2020 surge.</t>
        </is>
      </c>
      <c r="AM444" s="9" t="n">
        <v>7</v>
      </c>
      <c r="AN444" s="9" t="n">
        <v>7.25</v>
      </c>
      <c r="AO444" s="10" t="n">
        <v>0.55</v>
      </c>
      <c r="AP444" s="13" t="n">
        <v>0</v>
      </c>
      <c r="AQ444" s="13" t="n">
        <v>0.015</v>
      </c>
      <c r="AR444" s="13" t="n">
        <v>0</v>
      </c>
      <c r="AS444" s="13" t="n">
        <v>0.025</v>
      </c>
      <c r="AT444" s="13" t="n">
        <v>-0.005</v>
      </c>
      <c r="AU444" s="13" t="n">
        <v>0.0025</v>
      </c>
      <c r="AV444" s="13" t="n">
        <v>-0.005</v>
      </c>
      <c r="AW444" s="13">
        <f>IF(X444="","",(AM444/100*AO444)+AP444+AQ444+AR444)</f>
        <v/>
      </c>
      <c r="AX444" s="13">
        <f>IF(X444="","",AS444+AT444+AU444+AV444)</f>
        <v/>
      </c>
      <c r="AY444" s="12">
        <f>IF(AZ444="","",ROUND(AZ444*(1+Assumptions!$B$10),0))</f>
        <v/>
      </c>
      <c r="AZ444" s="12">
        <f>IF(X444="","",ROUND(X444*(1+AW444),0))</f>
        <v/>
      </c>
      <c r="BA444" s="12">
        <f>IF(AZ444="","",ROUND(AZ444*(1+Assumptions!$B$11),0))</f>
        <v/>
      </c>
      <c r="BB444" s="12">
        <f>IF(AZ444="","",ROUND(AZ444*(1+AX444+Assumptions!$B$10),0))</f>
        <v/>
      </c>
      <c r="BC444" s="12">
        <f>IF(AZ444="","",ROUND(AZ444*(1+AX444),0))</f>
        <v/>
      </c>
      <c r="BD444" s="12">
        <f>IF(AZ444="","",ROUND(AZ444*(1+AX444+Assumptions!$B$11),0))</f>
        <v/>
      </c>
      <c r="BE444" s="12">
        <f>IF(AZ444="","",ROUND(AZ444*(1+AX444)*(1+AX444),0))</f>
        <v/>
      </c>
      <c r="BF444" s="7" t="inlineStr">
        <is>
          <t>Rules-based enrichment using launch-price anchor, cap-app realization, and 2026 segment conditions.</t>
        </is>
      </c>
      <c r="BG444" t="inlineStr">
        <is>
          <t>2026-03-17</t>
        </is>
      </c>
      <c r="BH444" s="7" t="inlineStr">
        <is>
          <t>DLD / Digital Dubai / CBUAE / Savills / Knight Frank-Moody’s / Reuters</t>
        </is>
      </c>
    </row>
    <row r="445">
      <c r="A445" t="n">
        <v>444</v>
      </c>
      <c r="B445" s="7" t="inlineStr">
        <is>
          <t>Alexis Tower</t>
        </is>
      </c>
      <c r="C445" t="inlineStr">
        <is>
          <t>Reportage Properties</t>
        </is>
      </c>
      <c r="D445" t="inlineStr">
        <is>
          <t>Jebel Ali</t>
        </is>
      </c>
      <c r="E445" t="inlineStr">
        <is>
          <t>Apartments</t>
        </is>
      </c>
      <c r="F445" s="7" t="inlineStr">
        <is>
          <t>Budget</t>
        </is>
      </c>
      <c r="G445" t="inlineStr">
        <is>
          <t>600k</t>
        </is>
      </c>
      <c r="H445" t="inlineStr">
        <is>
          <t>900</t>
        </is>
      </c>
      <c r="I445" t="inlineStr">
        <is>
          <t>12</t>
        </is>
      </c>
      <c r="J445" t="inlineStr">
        <is>
          <t>Completed</t>
        </is>
      </c>
      <c r="K445" t="inlineStr">
        <is>
          <t>2020</t>
        </is>
      </c>
      <c r="L445" t="inlineStr">
        <is>
          <t>7.5-8.0</t>
        </is>
      </c>
      <c r="M445" t="inlineStr">
        <is>
          <t>5-7</t>
        </is>
      </c>
      <c r="N445" t="inlineStr">
        <is>
          <t>12.5-15.0</t>
        </is>
      </c>
      <c r="O445" s="7" t="inlineStr">
        <is>
          <t>The Winchester</t>
        </is>
      </c>
      <c r="P445" s="7" t="inlineStr">
        <is>
          <t>Aster Cedars Jebel Ali</t>
        </is>
      </c>
      <c r="Q445" s="7" t="inlineStr">
        <is>
          <t>Ibn Battuta Mall</t>
        </is>
      </c>
      <c r="R445" s="7" t="inlineStr">
        <is>
          <t>Sheikh Zayed E11</t>
        </is>
      </c>
      <c r="S445" t="inlineStr">
        <is>
          <t>25</t>
        </is>
      </c>
      <c r="T445" t="inlineStr">
        <is>
          <t>10</t>
        </is>
      </c>
      <c r="U445" t="inlineStr">
        <is>
          <t>35</t>
        </is>
      </c>
      <c r="V445" t="inlineStr">
        <is>
          <t>20</t>
        </is>
      </c>
      <c r="W445" t="n">
        <v>2</v>
      </c>
      <c r="X445" s="12" t="n">
        <v>600000</v>
      </c>
      <c r="Y445" s="12" t="n">
        <v>600000</v>
      </c>
      <c r="Z445" s="9" t="n">
        <v>7.5</v>
      </c>
      <c r="AA445" s="9" t="n">
        <v>8</v>
      </c>
      <c r="AB445" s="9" t="n">
        <v>5</v>
      </c>
      <c r="AC445" s="9" t="n">
        <v>7</v>
      </c>
      <c r="AD445" s="9" t="n">
        <v>12.5</v>
      </c>
      <c r="AE445" s="9" t="n">
        <v>15</v>
      </c>
      <c r="AF445" t="n">
        <v>2020</v>
      </c>
      <c r="AH445" t="inlineStr">
        <is>
          <t>Apartment</t>
        </is>
      </c>
      <c r="AI445" t="inlineStr">
        <is>
          <t>MainstreamSelective</t>
        </is>
      </c>
      <c r="AJ445" t="inlineStr">
        <is>
          <t>MidTier</t>
        </is>
      </c>
      <c r="AK445" t="inlineStr">
        <is>
          <t>Balanced / selective</t>
        </is>
      </c>
      <c r="AL445" s="7" t="inlineStr">
        <is>
          <t>Market remains active but increasingly differentiated by developer, micro-location, livability, and pricing discipline.</t>
        </is>
      </c>
      <c r="AM445" s="9" t="n">
        <v>6</v>
      </c>
      <c r="AN445" s="9" t="n">
        <v>7.75</v>
      </c>
      <c r="AO445" s="10" t="n">
        <v>0.55</v>
      </c>
      <c r="AP445" s="13" t="n">
        <v>0</v>
      </c>
      <c r="AQ445" s="13" t="n">
        <v>0</v>
      </c>
      <c r="AR445" s="13" t="n">
        <v>0</v>
      </c>
      <c r="AS445" s="13" t="n">
        <v>0.01</v>
      </c>
      <c r="AT445" s="13" t="n">
        <v>-0.005</v>
      </c>
      <c r="AU445" s="13" t="n">
        <v>0.0025</v>
      </c>
      <c r="AV445" s="13" t="n">
        <v>-0.005</v>
      </c>
      <c r="AW445" s="13">
        <f>IF(X445="","",(AM445/100*AO445)+AP445+AQ445+AR445)</f>
        <v/>
      </c>
      <c r="AX445" s="13">
        <f>IF(X445="","",AS445+AT445+AU445+AV445)</f>
        <v/>
      </c>
      <c r="AY445" s="12">
        <f>IF(AZ445="","",ROUND(AZ445*(1+Assumptions!$B$10),0))</f>
        <v/>
      </c>
      <c r="AZ445" s="12">
        <f>IF(X445="","",ROUND(X445*(1+AW445),0))</f>
        <v/>
      </c>
      <c r="BA445" s="12">
        <f>IF(AZ445="","",ROUND(AZ445*(1+Assumptions!$B$11),0))</f>
        <v/>
      </c>
      <c r="BB445" s="12">
        <f>IF(AZ445="","",ROUND(AZ445*(1+AX445+Assumptions!$B$10),0))</f>
        <v/>
      </c>
      <c r="BC445" s="12">
        <f>IF(AZ445="","",ROUND(AZ445*(1+AX445),0))</f>
        <v/>
      </c>
      <c r="BD445" s="12">
        <f>IF(AZ445="","",ROUND(AZ445*(1+AX445+Assumptions!$B$11),0))</f>
        <v/>
      </c>
      <c r="BE445" s="12">
        <f>IF(AZ445="","",ROUND(AZ445*(1+AX445)*(1+AX445),0))</f>
        <v/>
      </c>
      <c r="BF445" s="7" t="inlineStr">
        <is>
          <t>Rules-based enrichment using launch-price anchor, cap-app realization, and 2026 segment conditions.</t>
        </is>
      </c>
      <c r="BG445" t="inlineStr">
        <is>
          <t>2026-03-17</t>
        </is>
      </c>
      <c r="BH445" s="7" t="inlineStr">
        <is>
          <t>DLD / Digital Dubai / CBUAE / Savills / Knight Frank-Moody’s / Reuters</t>
        </is>
      </c>
    </row>
    <row r="446">
      <c r="A446" t="n">
        <v>445</v>
      </c>
      <c r="B446" s="7" t="inlineStr">
        <is>
          <t>The Gate</t>
        </is>
      </c>
      <c r="C446" t="inlineStr">
        <is>
          <t>Reportage Properties</t>
        </is>
      </c>
      <c r="D446" t="inlineStr">
        <is>
          <t>Masdar City (AD)</t>
        </is>
      </c>
      <c r="E446" t="inlineStr">
        <is>
          <t>Apartments</t>
        </is>
      </c>
      <c r="F446" s="7" t="inlineStr">
        <is>
          <t>Modern / Eco</t>
        </is>
      </c>
      <c r="G446" t="inlineStr">
        <is>
          <t>800k</t>
        </is>
      </c>
      <c r="H446" t="inlineStr">
        <is>
          <t>1100</t>
        </is>
      </c>
      <c r="I446" t="inlineStr">
        <is>
          <t>14</t>
        </is>
      </c>
      <c r="J446" t="inlineStr">
        <is>
          <t>Varies</t>
        </is>
      </c>
      <c r="K446" t="inlineStr">
        <is>
          <t>2020</t>
        </is>
      </c>
      <c r="L446" t="inlineStr">
        <is>
          <t>7.0-7.5</t>
        </is>
      </c>
      <c r="M446" t="inlineStr">
        <is>
          <t>5-7</t>
        </is>
      </c>
      <c r="N446" t="inlineStr">
        <is>
          <t>12.0-14.5</t>
        </is>
      </c>
      <c r="O446" s="7" t="inlineStr">
        <is>
          <t>GEMS United (AD)</t>
        </is>
      </c>
      <c r="P446" s="7" t="inlineStr">
        <is>
          <t>Cleveland Clinic AD</t>
        </is>
      </c>
      <c r="Q446" s="7" t="inlineStr">
        <is>
          <t>Yas Mall</t>
        </is>
      </c>
      <c r="R446" s="7" t="inlineStr">
        <is>
          <t>E10 (Abu Dhabi)</t>
        </is>
      </c>
      <c r="S446" t="inlineStr">
        <is>
          <t>75</t>
        </is>
      </c>
      <c r="T446" t="inlineStr">
        <is>
          <t>60</t>
        </is>
      </c>
      <c r="U446" t="inlineStr">
        <is>
          <t>80</t>
        </is>
      </c>
      <c r="V446" t="inlineStr">
        <is>
          <t>65</t>
        </is>
      </c>
      <c r="W446" t="n">
        <v>2</v>
      </c>
      <c r="X446" s="12" t="n">
        <v>800000</v>
      </c>
      <c r="Y446" s="12" t="n">
        <v>800000</v>
      </c>
      <c r="Z446" s="9" t="n">
        <v>7</v>
      </c>
      <c r="AA446" s="9" t="n">
        <v>7.5</v>
      </c>
      <c r="AB446" s="9" t="n">
        <v>5</v>
      </c>
      <c r="AC446" s="9" t="n">
        <v>7</v>
      </c>
      <c r="AD446" s="9" t="n">
        <v>12</v>
      </c>
      <c r="AE446" s="9" t="n">
        <v>14.5</v>
      </c>
      <c r="AF446" t="n">
        <v>2020</v>
      </c>
      <c r="AH446" t="inlineStr">
        <is>
          <t>Apartment</t>
        </is>
      </c>
      <c r="AI446" t="inlineStr">
        <is>
          <t>MainstreamSelective</t>
        </is>
      </c>
      <c r="AJ446" t="inlineStr">
        <is>
          <t>MidTier</t>
        </is>
      </c>
      <c r="AK446" t="inlineStr">
        <is>
          <t>Balanced / selective</t>
        </is>
      </c>
      <c r="AL446" s="7" t="inlineStr">
        <is>
          <t>Market remains active but increasingly differentiated by developer, micro-location, livability, and pricing discipline.</t>
        </is>
      </c>
      <c r="AM446" s="9" t="n">
        <v>6</v>
      </c>
      <c r="AN446" s="9" t="n">
        <v>7.25</v>
      </c>
      <c r="AO446" s="10" t="n">
        <v>0.55</v>
      </c>
      <c r="AP446" s="13" t="n">
        <v>0</v>
      </c>
      <c r="AQ446" s="13" t="n">
        <v>0</v>
      </c>
      <c r="AR446" s="13" t="n">
        <v>0</v>
      </c>
      <c r="AS446" s="13" t="n">
        <v>0.01</v>
      </c>
      <c r="AT446" s="13" t="n">
        <v>-0.005</v>
      </c>
      <c r="AU446" s="13" t="n">
        <v>0.0025</v>
      </c>
      <c r="AV446" s="13" t="n">
        <v>-0.005</v>
      </c>
      <c r="AW446" s="13">
        <f>IF(X446="","",(AM446/100*AO446)+AP446+AQ446+AR446)</f>
        <v/>
      </c>
      <c r="AX446" s="13">
        <f>IF(X446="","",AS446+AT446+AU446+AV446)</f>
        <v/>
      </c>
      <c r="AY446" s="12">
        <f>IF(AZ446="","",ROUND(AZ446*(1+Assumptions!$B$10),0))</f>
        <v/>
      </c>
      <c r="AZ446" s="12">
        <f>IF(X446="","",ROUND(X446*(1+AW446),0))</f>
        <v/>
      </c>
      <c r="BA446" s="12">
        <f>IF(AZ446="","",ROUND(AZ446*(1+Assumptions!$B$11),0))</f>
        <v/>
      </c>
      <c r="BB446" s="12">
        <f>IF(AZ446="","",ROUND(AZ446*(1+AX446+Assumptions!$B$10),0))</f>
        <v/>
      </c>
      <c r="BC446" s="12">
        <f>IF(AZ446="","",ROUND(AZ446*(1+AX446),0))</f>
        <v/>
      </c>
      <c r="BD446" s="12">
        <f>IF(AZ446="","",ROUND(AZ446*(1+AX446+Assumptions!$B$11),0))</f>
        <v/>
      </c>
      <c r="BE446" s="12">
        <f>IF(AZ446="","",ROUND(AZ446*(1+AX446)*(1+AX446),0))</f>
        <v/>
      </c>
      <c r="BF446" s="7" t="inlineStr">
        <is>
          <t>Rules-based enrichment using launch-price anchor, cap-app realization, and 2026 segment conditions.</t>
        </is>
      </c>
      <c r="BG446" t="inlineStr">
        <is>
          <t>2026-03-17</t>
        </is>
      </c>
      <c r="BH446" s="7" t="inlineStr">
        <is>
          <t>DLD / Digital Dubai / CBUAE / Savills / Knight Frank-Moody’s / Reuters</t>
        </is>
      </c>
    </row>
    <row r="447">
      <c r="A447" t="n">
        <v>446</v>
      </c>
      <c r="B447" s="7" t="inlineStr">
        <is>
          <t>LIV LUX</t>
        </is>
      </c>
      <c r="C447" t="inlineStr">
        <is>
          <t>LIV Developers</t>
        </is>
      </c>
      <c r="D447" t="inlineStr">
        <is>
          <t>Dubai Marina</t>
        </is>
      </c>
      <c r="E447" t="inlineStr">
        <is>
          <t>Luxury Apts</t>
        </is>
      </c>
      <c r="F447" s="7" t="inlineStr">
        <is>
          <t>High-Rise / View</t>
        </is>
      </c>
      <c r="G447" t="inlineStr">
        <is>
          <t>3.5M</t>
        </is>
      </c>
      <c r="H447" t="inlineStr">
        <is>
          <t>3000</t>
        </is>
      </c>
      <c r="I447" t="inlineStr">
        <is>
          <t>25</t>
        </is>
      </c>
      <c r="J447" t="inlineStr">
        <is>
          <t>60/40</t>
        </is>
      </c>
      <c r="K447" t="inlineStr">
        <is>
          <t>2022</t>
        </is>
      </c>
      <c r="L447" t="inlineStr">
        <is>
          <t>5.5-6.0</t>
        </is>
      </c>
      <c r="M447" t="inlineStr">
        <is>
          <t>7-9</t>
        </is>
      </c>
      <c r="N447" t="inlineStr">
        <is>
          <t>12.5-15.0</t>
        </is>
      </c>
      <c r="O447" s="7" t="inlineStr">
        <is>
          <t>American Univ. Dubai</t>
        </is>
      </c>
      <c r="P447" s="7" t="inlineStr">
        <is>
          <t>Saudi German Hospital</t>
        </is>
      </c>
      <c r="Q447" s="7" t="inlineStr">
        <is>
          <t>Dubai Marina Mall</t>
        </is>
      </c>
      <c r="R447" s="7" t="inlineStr">
        <is>
          <t>Sheikh Zayed E11</t>
        </is>
      </c>
      <c r="S447" t="inlineStr">
        <is>
          <t>20</t>
        </is>
      </c>
      <c r="T447" t="inlineStr">
        <is>
          <t>5</t>
        </is>
      </c>
      <c r="U447" t="inlineStr">
        <is>
          <t>25</t>
        </is>
      </c>
      <c r="V447" t="inlineStr">
        <is>
          <t>30</t>
        </is>
      </c>
      <c r="W447" t="n">
        <v>2</v>
      </c>
      <c r="X447" s="12" t="n">
        <v>3500000</v>
      </c>
      <c r="Y447" s="12" t="n">
        <v>3500000</v>
      </c>
      <c r="Z447" s="9" t="n">
        <v>5.5</v>
      </c>
      <c r="AA447" s="9" t="n">
        <v>6</v>
      </c>
      <c r="AB447" s="9" t="n">
        <v>7</v>
      </c>
      <c r="AC447" s="9" t="n">
        <v>9</v>
      </c>
      <c r="AD447" s="9" t="n">
        <v>12.5</v>
      </c>
      <c r="AE447" s="9" t="n">
        <v>15</v>
      </c>
      <c r="AF447" t="n">
        <v>2022</v>
      </c>
      <c r="AH447" t="inlineStr">
        <is>
          <t>Apartment</t>
        </is>
      </c>
      <c r="AI447" t="inlineStr">
        <is>
          <t>Prime</t>
        </is>
      </c>
      <c r="AJ447" t="inlineStr">
        <is>
          <t>Established</t>
        </is>
      </c>
      <c r="AK447" t="inlineStr">
        <is>
          <t>Prime resilient / selective</t>
        </is>
      </c>
      <c r="AL447" s="7" t="inlineStr">
        <is>
          <t>Better support from quality, branding, and scarcer prime stock; still entry-price sensitive.</t>
        </is>
      </c>
      <c r="AM447" s="9" t="n">
        <v>8</v>
      </c>
      <c r="AN447" s="9" t="n">
        <v>5.75</v>
      </c>
      <c r="AO447" s="10" t="n">
        <v>0.55</v>
      </c>
      <c r="AP447" s="13" t="n">
        <v>0.02</v>
      </c>
      <c r="AQ447" s="13" t="n">
        <v>0</v>
      </c>
      <c r="AR447" s="13" t="n">
        <v>0</v>
      </c>
      <c r="AS447" s="13" t="n">
        <v>0.03</v>
      </c>
      <c r="AT447" s="13" t="n">
        <v>0</v>
      </c>
      <c r="AU447" s="13" t="n">
        <v>0</v>
      </c>
      <c r="AV447" s="13" t="n">
        <v>-0.005</v>
      </c>
      <c r="AW447" s="13">
        <f>IF(X447="","",(AM447/100*AO447)+AP447+AQ447+AR447)</f>
        <v/>
      </c>
      <c r="AX447" s="13">
        <f>IF(X447="","",AS447+AT447+AU447+AV447)</f>
        <v/>
      </c>
      <c r="AY447" s="12">
        <f>IF(AZ447="","",ROUND(AZ447*(1+Assumptions!$B$10),0))</f>
        <v/>
      </c>
      <c r="AZ447" s="12">
        <f>IF(X447="","",ROUND(X447*(1+AW447),0))</f>
        <v/>
      </c>
      <c r="BA447" s="12">
        <f>IF(AZ447="","",ROUND(AZ447*(1+Assumptions!$B$11),0))</f>
        <v/>
      </c>
      <c r="BB447" s="12">
        <f>IF(AZ447="","",ROUND(AZ447*(1+AX447+Assumptions!$B$10),0))</f>
        <v/>
      </c>
      <c r="BC447" s="12">
        <f>IF(AZ447="","",ROUND(AZ447*(1+AX447),0))</f>
        <v/>
      </c>
      <c r="BD447" s="12">
        <f>IF(AZ447="","",ROUND(AZ447*(1+AX447+Assumptions!$B$11),0))</f>
        <v/>
      </c>
      <c r="BE447" s="12">
        <f>IF(AZ447="","",ROUND(AZ447*(1+AX447)*(1+AX447),0))</f>
        <v/>
      </c>
      <c r="BF447" s="7" t="inlineStr">
        <is>
          <t>Rules-based enrichment using launch-price anchor, cap-app realization, and 2026 segment conditions.</t>
        </is>
      </c>
      <c r="BG447" t="inlineStr">
        <is>
          <t>2026-03-17</t>
        </is>
      </c>
      <c r="BH447" s="7" t="inlineStr">
        <is>
          <t>DLD / Digital Dubai / CBUAE / Savills / Knight Frank-Moody’s / Reuters</t>
        </is>
      </c>
    </row>
    <row r="448">
      <c r="A448" t="n">
        <v>447</v>
      </c>
      <c r="B448" s="7" t="inlineStr">
        <is>
          <t>LIV Marina</t>
        </is>
      </c>
      <c r="C448" t="inlineStr">
        <is>
          <t>LIV Developers</t>
        </is>
      </c>
      <c r="D448" t="inlineStr">
        <is>
          <t>Dubai Marina</t>
        </is>
      </c>
      <c r="E448" t="inlineStr">
        <is>
          <t>Luxury Apts</t>
        </is>
      </c>
      <c r="F448" s="7" t="inlineStr">
        <is>
          <t>High-Rise / View</t>
        </is>
      </c>
      <c r="G448" t="inlineStr">
        <is>
          <t>Resale (2.5M+)</t>
        </is>
      </c>
      <c r="H448" t="inlineStr">
        <is>
          <t>2800</t>
        </is>
      </c>
      <c r="I448" t="inlineStr">
        <is>
          <t>25</t>
        </is>
      </c>
      <c r="J448" t="inlineStr">
        <is>
          <t>Completed</t>
        </is>
      </c>
      <c r="K448" t="inlineStr">
        <is>
          <t>2021</t>
        </is>
      </c>
      <c r="L448" t="inlineStr">
        <is>
          <t>6.0-6.5</t>
        </is>
      </c>
      <c r="M448" t="inlineStr">
        <is>
          <t>5-7</t>
        </is>
      </c>
      <c r="N448" t="inlineStr">
        <is>
          <t>11.0-13.5</t>
        </is>
      </c>
      <c r="O448" s="7" t="inlineStr">
        <is>
          <t>American Univ. Dubai</t>
        </is>
      </c>
      <c r="P448" s="7" t="inlineStr">
        <is>
          <t>Saudi German Hospital</t>
        </is>
      </c>
      <c r="Q448" s="7" t="inlineStr">
        <is>
          <t>Dubai Marina Mall</t>
        </is>
      </c>
      <c r="R448" s="7" t="inlineStr">
        <is>
          <t>Sheikh Zayed E11</t>
        </is>
      </c>
      <c r="S448" t="inlineStr">
        <is>
          <t>20</t>
        </is>
      </c>
      <c r="T448" t="inlineStr">
        <is>
          <t>5</t>
        </is>
      </c>
      <c r="U448" t="inlineStr">
        <is>
          <t>25</t>
        </is>
      </c>
      <c r="V448" t="inlineStr">
        <is>
          <t>30</t>
        </is>
      </c>
      <c r="W448" t="n">
        <v>2</v>
      </c>
      <c r="X448" s="12" t="n">
        <v>2500000</v>
      </c>
      <c r="Y448" s="12" t="n">
        <v>2500000</v>
      </c>
      <c r="Z448" s="9" t="n">
        <v>6</v>
      </c>
      <c r="AA448" s="9" t="n">
        <v>6.5</v>
      </c>
      <c r="AB448" s="9" t="n">
        <v>5</v>
      </c>
      <c r="AC448" s="9" t="n">
        <v>7</v>
      </c>
      <c r="AD448" s="9" t="n">
        <v>11</v>
      </c>
      <c r="AE448" s="9" t="n">
        <v>13.5</v>
      </c>
      <c r="AF448" t="n">
        <v>2021</v>
      </c>
      <c r="AH448" t="inlineStr">
        <is>
          <t>Apartment</t>
        </is>
      </c>
      <c r="AI448" t="inlineStr">
        <is>
          <t>Prime</t>
        </is>
      </c>
      <c r="AJ448" t="inlineStr">
        <is>
          <t>Established</t>
        </is>
      </c>
      <c r="AK448" t="inlineStr">
        <is>
          <t>Prime resilient / selective</t>
        </is>
      </c>
      <c r="AL448" s="7" t="inlineStr">
        <is>
          <t>Better support from quality, branding, and scarcer prime stock; still entry-price sensitive.</t>
        </is>
      </c>
      <c r="AM448" s="9" t="n">
        <v>6</v>
      </c>
      <c r="AN448" s="9" t="n">
        <v>6.25</v>
      </c>
      <c r="AO448" s="10" t="n">
        <v>0.55</v>
      </c>
      <c r="AP448" s="13" t="n">
        <v>0.02</v>
      </c>
      <c r="AQ448" s="13" t="n">
        <v>0</v>
      </c>
      <c r="AR448" s="13" t="n">
        <v>0</v>
      </c>
      <c r="AS448" s="13" t="n">
        <v>0.03</v>
      </c>
      <c r="AT448" s="13" t="n">
        <v>0</v>
      </c>
      <c r="AU448" s="13" t="n">
        <v>0.0025</v>
      </c>
      <c r="AV448" s="13" t="n">
        <v>-0.005</v>
      </c>
      <c r="AW448" s="13">
        <f>IF(X448="","",(AM448/100*AO448)+AP448+AQ448+AR448)</f>
        <v/>
      </c>
      <c r="AX448" s="13">
        <f>IF(X448="","",AS448+AT448+AU448+AV448)</f>
        <v/>
      </c>
      <c r="AY448" s="12">
        <f>IF(AZ448="","",ROUND(AZ448*(1+Assumptions!$B$10),0))</f>
        <v/>
      </c>
      <c r="AZ448" s="12">
        <f>IF(X448="","",ROUND(X448*(1+AW448),0))</f>
        <v/>
      </c>
      <c r="BA448" s="12">
        <f>IF(AZ448="","",ROUND(AZ448*(1+Assumptions!$B$11),0))</f>
        <v/>
      </c>
      <c r="BB448" s="12">
        <f>IF(AZ448="","",ROUND(AZ448*(1+AX448+Assumptions!$B$10),0))</f>
        <v/>
      </c>
      <c r="BC448" s="12">
        <f>IF(AZ448="","",ROUND(AZ448*(1+AX448),0))</f>
        <v/>
      </c>
      <c r="BD448" s="12">
        <f>IF(AZ448="","",ROUND(AZ448*(1+AX448+Assumptions!$B$11),0))</f>
        <v/>
      </c>
      <c r="BE448" s="12">
        <f>IF(AZ448="","",ROUND(AZ448*(1+AX448)*(1+AX448),0))</f>
        <v/>
      </c>
      <c r="BF448" s="7" t="inlineStr">
        <is>
          <t>Rules-based enrichment using launch-price anchor, cap-app realization, and 2026 segment conditions.</t>
        </is>
      </c>
      <c r="BG448" t="inlineStr">
        <is>
          <t>2026-03-17</t>
        </is>
      </c>
      <c r="BH448" s="7" t="inlineStr">
        <is>
          <t>DLD / Digital Dubai / CBUAE / Savills / Knight Frank-Moody’s / Reuters</t>
        </is>
      </c>
    </row>
    <row r="449">
      <c r="A449" t="n">
        <v>448</v>
      </c>
      <c r="B449" s="7" t="inlineStr">
        <is>
          <t>LIV Residence</t>
        </is>
      </c>
      <c r="C449" t="inlineStr">
        <is>
          <t>LIV Developers</t>
        </is>
      </c>
      <c r="D449" t="inlineStr">
        <is>
          <t>Dubai Marina</t>
        </is>
      </c>
      <c r="E449" t="inlineStr">
        <is>
          <t>Luxury Apts</t>
        </is>
      </c>
      <c r="F449" s="7" t="inlineStr">
        <is>
          <t>High-Rise / View</t>
        </is>
      </c>
      <c r="G449" t="inlineStr">
        <is>
          <t>Resale (2.2M+)</t>
        </is>
      </c>
      <c r="H449" t="inlineStr">
        <is>
          <t>2500</t>
        </is>
      </c>
      <c r="I449" t="inlineStr">
        <is>
          <t>25</t>
        </is>
      </c>
      <c r="J449" t="inlineStr">
        <is>
          <t>Completed</t>
        </is>
      </c>
      <c r="K449" t="inlineStr">
        <is>
          <t>2018</t>
        </is>
      </c>
      <c r="L449" t="inlineStr">
        <is>
          <t>6.0-6.5</t>
        </is>
      </c>
      <c r="M449" t="inlineStr">
        <is>
          <t>5-7</t>
        </is>
      </c>
      <c r="N449" t="inlineStr">
        <is>
          <t>11.0-13.5</t>
        </is>
      </c>
      <c r="O449" s="7" t="inlineStr">
        <is>
          <t>American Univ. Dubai</t>
        </is>
      </c>
      <c r="P449" s="7" t="inlineStr">
        <is>
          <t>Saudi German Hospital</t>
        </is>
      </c>
      <c r="Q449" s="7" t="inlineStr">
        <is>
          <t>Dubai Marina Mall</t>
        </is>
      </c>
      <c r="R449" s="7" t="inlineStr">
        <is>
          <t>Sheikh Zayed E11</t>
        </is>
      </c>
      <c r="S449" t="inlineStr">
        <is>
          <t>20</t>
        </is>
      </c>
      <c r="T449" t="inlineStr">
        <is>
          <t>5</t>
        </is>
      </c>
      <c r="U449" t="inlineStr">
        <is>
          <t>25</t>
        </is>
      </c>
      <c r="V449" t="inlineStr">
        <is>
          <t>30</t>
        </is>
      </c>
      <c r="W449" t="n">
        <v>2</v>
      </c>
      <c r="X449" s="12" t="n">
        <v>2200000</v>
      </c>
      <c r="Y449" s="12" t="n">
        <v>2200000</v>
      </c>
      <c r="Z449" s="9" t="n">
        <v>6</v>
      </c>
      <c r="AA449" s="9" t="n">
        <v>6.5</v>
      </c>
      <c r="AB449" s="9" t="n">
        <v>5</v>
      </c>
      <c r="AC449" s="9" t="n">
        <v>7</v>
      </c>
      <c r="AD449" s="9" t="n">
        <v>11</v>
      </c>
      <c r="AE449" s="9" t="n">
        <v>13.5</v>
      </c>
      <c r="AF449" t="n">
        <v>2018</v>
      </c>
      <c r="AH449" t="inlineStr">
        <is>
          <t>Apartment</t>
        </is>
      </c>
      <c r="AI449" t="inlineStr">
        <is>
          <t>Prime</t>
        </is>
      </c>
      <c r="AJ449" t="inlineStr">
        <is>
          <t>Established</t>
        </is>
      </c>
      <c r="AK449" t="inlineStr">
        <is>
          <t>Prime resilient / selective</t>
        </is>
      </c>
      <c r="AL449" s="7" t="inlineStr">
        <is>
          <t>Better support from quality, branding, and scarcer prime stock; still entry-price sensitive.</t>
        </is>
      </c>
      <c r="AM449" s="9" t="n">
        <v>6</v>
      </c>
      <c r="AN449" s="9" t="n">
        <v>6.25</v>
      </c>
      <c r="AO449" s="10" t="n">
        <v>0.55</v>
      </c>
      <c r="AP449" s="13" t="n">
        <v>0.02</v>
      </c>
      <c r="AQ449" s="13" t="n">
        <v>0</v>
      </c>
      <c r="AR449" s="13" t="n">
        <v>0</v>
      </c>
      <c r="AS449" s="13" t="n">
        <v>0.03</v>
      </c>
      <c r="AT449" s="13" t="n">
        <v>0</v>
      </c>
      <c r="AU449" s="13" t="n">
        <v>0.0025</v>
      </c>
      <c r="AV449" s="13" t="n">
        <v>-0.005</v>
      </c>
      <c r="AW449" s="13">
        <f>IF(X449="","",(AM449/100*AO449)+AP449+AQ449+AR449)</f>
        <v/>
      </c>
      <c r="AX449" s="13">
        <f>IF(X449="","",AS449+AT449+AU449+AV449)</f>
        <v/>
      </c>
      <c r="AY449" s="12">
        <f>IF(AZ449="","",ROUND(AZ449*(1+Assumptions!$B$10),0))</f>
        <v/>
      </c>
      <c r="AZ449" s="12">
        <f>IF(X449="","",ROUND(X449*(1+AW449),0))</f>
        <v/>
      </c>
      <c r="BA449" s="12">
        <f>IF(AZ449="","",ROUND(AZ449*(1+Assumptions!$B$11),0))</f>
        <v/>
      </c>
      <c r="BB449" s="12">
        <f>IF(AZ449="","",ROUND(AZ449*(1+AX449+Assumptions!$B$10),0))</f>
        <v/>
      </c>
      <c r="BC449" s="12">
        <f>IF(AZ449="","",ROUND(AZ449*(1+AX449),0))</f>
        <v/>
      </c>
      <c r="BD449" s="12">
        <f>IF(AZ449="","",ROUND(AZ449*(1+AX449+Assumptions!$B$11),0))</f>
        <v/>
      </c>
      <c r="BE449" s="12">
        <f>IF(AZ449="","",ROUND(AZ449*(1+AX449)*(1+AX449),0))</f>
        <v/>
      </c>
      <c r="BF449" s="7" t="inlineStr">
        <is>
          <t>Rules-based enrichment using launch-price anchor, cap-app realization, and 2026 segment conditions.</t>
        </is>
      </c>
      <c r="BG449" t="inlineStr">
        <is>
          <t>2026-03-17</t>
        </is>
      </c>
      <c r="BH449" s="7" t="inlineStr">
        <is>
          <t>DLD / Digital Dubai / CBUAE / Savills / Knight Frank-Moody’s / Reuters</t>
        </is>
      </c>
    </row>
    <row r="450">
      <c r="A450" t="n">
        <v>449</v>
      </c>
      <c r="B450" s="7" t="inlineStr">
        <is>
          <t>LIV Waterside</t>
        </is>
      </c>
      <c r="C450" t="inlineStr">
        <is>
          <t>LIV Developers</t>
        </is>
      </c>
      <c r="D450" t="inlineStr">
        <is>
          <t>Dubai Marina</t>
        </is>
      </c>
      <c r="E450" t="inlineStr">
        <is>
          <t>Luxury Apts/Villas</t>
        </is>
      </c>
      <c r="F450" s="7" t="inlineStr">
        <is>
          <t>Waterfront</t>
        </is>
      </c>
      <c r="G450" t="inlineStr">
        <is>
          <t>4.0M</t>
        </is>
      </c>
      <c r="H450" t="inlineStr">
        <is>
          <t>3200</t>
        </is>
      </c>
      <c r="I450" t="inlineStr">
        <is>
          <t>25</t>
        </is>
      </c>
      <c r="J450" t="inlineStr">
        <is>
          <t>60/40</t>
        </is>
      </c>
      <c r="K450" t="inlineStr">
        <is>
          <t>2023</t>
        </is>
      </c>
      <c r="L450" t="inlineStr">
        <is>
          <t>5.0-5.5</t>
        </is>
      </c>
      <c r="M450" t="inlineStr">
        <is>
          <t>8-12</t>
        </is>
      </c>
      <c r="N450" t="inlineStr">
        <is>
          <t>13.0-17.5</t>
        </is>
      </c>
      <c r="O450" s="7" t="inlineStr">
        <is>
          <t>American Univ. Dubai</t>
        </is>
      </c>
      <c r="P450" s="7" t="inlineStr">
        <is>
          <t>Saudi German Hospital</t>
        </is>
      </c>
      <c r="Q450" s="7" t="inlineStr">
        <is>
          <t>Dubai Marina Mall</t>
        </is>
      </c>
      <c r="R450" s="7" t="inlineStr">
        <is>
          <t>Sheikh Zayed E11</t>
        </is>
      </c>
      <c r="S450" t="inlineStr">
        <is>
          <t>20</t>
        </is>
      </c>
      <c r="T450" t="inlineStr">
        <is>
          <t>5</t>
        </is>
      </c>
      <c r="U450" t="inlineStr">
        <is>
          <t>25</t>
        </is>
      </c>
      <c r="V450" t="inlineStr">
        <is>
          <t>30</t>
        </is>
      </c>
      <c r="W450" t="n">
        <v>2</v>
      </c>
      <c r="X450" s="12" t="n">
        <v>4000000</v>
      </c>
      <c r="Y450" s="12" t="n">
        <v>4000000</v>
      </c>
      <c r="Z450" s="9" t="n">
        <v>5</v>
      </c>
      <c r="AA450" s="9" t="n">
        <v>5.5</v>
      </c>
      <c r="AB450" s="9" t="n">
        <v>8</v>
      </c>
      <c r="AC450" s="9" t="n">
        <v>12</v>
      </c>
      <c r="AD450" s="9" t="n">
        <v>13</v>
      </c>
      <c r="AE450" s="9" t="n">
        <v>17.5</v>
      </c>
      <c r="AF450" t="n">
        <v>2023</v>
      </c>
      <c r="AH450" t="inlineStr">
        <is>
          <t>Villa</t>
        </is>
      </c>
      <c r="AI450" t="inlineStr">
        <is>
          <t>Prime</t>
        </is>
      </c>
      <c r="AJ450" t="inlineStr">
        <is>
          <t>Established</t>
        </is>
      </c>
      <c r="AK450" t="inlineStr">
        <is>
          <t>Prime resilient / selective</t>
        </is>
      </c>
      <c r="AL450" s="7" t="inlineStr">
        <is>
          <t>Better support from quality, branding, and scarcer prime stock; still entry-price sensitive.</t>
        </is>
      </c>
      <c r="AM450" s="9" t="n">
        <v>10</v>
      </c>
      <c r="AN450" s="9" t="n">
        <v>5.25</v>
      </c>
      <c r="AO450" s="10" t="n">
        <v>0.55</v>
      </c>
      <c r="AP450" s="13" t="n">
        <v>0.02</v>
      </c>
      <c r="AQ450" s="13" t="n">
        <v>0.015</v>
      </c>
      <c r="AR450" s="13" t="n">
        <v>0</v>
      </c>
      <c r="AS450" s="13" t="n">
        <v>0.03</v>
      </c>
      <c r="AT450" s="13" t="n">
        <v>0</v>
      </c>
      <c r="AU450" s="13" t="n">
        <v>0</v>
      </c>
      <c r="AV450" s="13" t="n">
        <v>-0.005</v>
      </c>
      <c r="AW450" s="13">
        <f>IF(X450="","",(AM450/100*AO450)+AP450+AQ450+AR450)</f>
        <v/>
      </c>
      <c r="AX450" s="13">
        <f>IF(X450="","",AS450+AT450+AU450+AV450)</f>
        <v/>
      </c>
      <c r="AY450" s="12">
        <f>IF(AZ450="","",ROUND(AZ450*(1+Assumptions!$B$10),0))</f>
        <v/>
      </c>
      <c r="AZ450" s="12">
        <f>IF(X450="","",ROUND(X450*(1+AW450),0))</f>
        <v/>
      </c>
      <c r="BA450" s="12">
        <f>IF(AZ450="","",ROUND(AZ450*(1+Assumptions!$B$11),0))</f>
        <v/>
      </c>
      <c r="BB450" s="12">
        <f>IF(AZ450="","",ROUND(AZ450*(1+AX450+Assumptions!$B$10),0))</f>
        <v/>
      </c>
      <c r="BC450" s="12">
        <f>IF(AZ450="","",ROUND(AZ450*(1+AX450),0))</f>
        <v/>
      </c>
      <c r="BD450" s="12">
        <f>IF(AZ450="","",ROUND(AZ450*(1+AX450+Assumptions!$B$11),0))</f>
        <v/>
      </c>
      <c r="BE450" s="12">
        <f>IF(AZ450="","",ROUND(AZ450*(1+AX450)*(1+AX450),0))</f>
        <v/>
      </c>
      <c r="BF450" s="7" t="inlineStr">
        <is>
          <t>Rules-based enrichment using launch-price anchor, cap-app realization, and 2026 segment conditions.</t>
        </is>
      </c>
      <c r="BG450" t="inlineStr">
        <is>
          <t>2026-03-17</t>
        </is>
      </c>
      <c r="BH450" s="7" t="inlineStr">
        <is>
          <t>DLD / Digital Dubai / CBUAE / Savills / Knight Frank-Moody’s / Reuters</t>
        </is>
      </c>
    </row>
    <row r="451">
      <c r="A451" t="n">
        <v>450</v>
      </c>
      <c r="B451" s="7" t="inlineStr">
        <is>
          <t>LIV Maritime</t>
        </is>
      </c>
      <c r="C451" t="inlineStr">
        <is>
          <t>LIV Developers</t>
        </is>
      </c>
      <c r="D451" t="inlineStr">
        <is>
          <t>Dubai Maritime City</t>
        </is>
      </c>
      <c r="E451" t="inlineStr">
        <is>
          <t>Apartments</t>
        </is>
      </c>
      <c r="F451" s="7" t="inlineStr">
        <is>
          <t>Sea View</t>
        </is>
      </c>
      <c r="G451" t="inlineStr">
        <is>
          <t>1.8M</t>
        </is>
      </c>
      <c r="H451" t="inlineStr">
        <is>
          <t>2200</t>
        </is>
      </c>
      <c r="I451" t="inlineStr">
        <is>
          <t>20</t>
        </is>
      </c>
      <c r="J451" t="inlineStr">
        <is>
          <t>60/40</t>
        </is>
      </c>
      <c r="K451" t="inlineStr">
        <is>
          <t>2024</t>
        </is>
      </c>
      <c r="L451" t="inlineStr">
        <is>
          <t>6.5-7.0</t>
        </is>
      </c>
      <c r="M451" t="inlineStr">
        <is>
          <t>8-10</t>
        </is>
      </c>
      <c r="N451" t="inlineStr">
        <is>
          <t>14.5-17.0</t>
        </is>
      </c>
      <c r="O451" s="7" t="inlineStr">
        <is>
          <t>New Academy School</t>
        </is>
      </c>
      <c r="P451" s="7" t="inlineStr">
        <is>
          <t>Aster Hospital Mankhool</t>
        </is>
      </c>
      <c r="Q451" s="7" t="inlineStr">
        <is>
          <t>Dubai Mall</t>
        </is>
      </c>
      <c r="R451" s="7" t="inlineStr">
        <is>
          <t>Al Khaleej / E11</t>
        </is>
      </c>
      <c r="S451" t="inlineStr">
        <is>
          <t>15</t>
        </is>
      </c>
      <c r="T451" t="inlineStr">
        <is>
          <t>25</t>
        </is>
      </c>
      <c r="U451" t="inlineStr">
        <is>
          <t>15</t>
        </is>
      </c>
      <c r="V451" t="inlineStr">
        <is>
          <t>45</t>
        </is>
      </c>
      <c r="W451" t="n">
        <v>2</v>
      </c>
      <c r="X451" s="12" t="n">
        <v>1800000</v>
      </c>
      <c r="Y451" s="12" t="n">
        <v>1800000</v>
      </c>
      <c r="Z451" s="9" t="n">
        <v>6.5</v>
      </c>
      <c r="AA451" s="9" t="n">
        <v>7</v>
      </c>
      <c r="AB451" s="9" t="n">
        <v>8</v>
      </c>
      <c r="AC451" s="9" t="n">
        <v>10</v>
      </c>
      <c r="AD451" s="9" t="n">
        <v>14.5</v>
      </c>
      <c r="AE451" s="9" t="n">
        <v>17</v>
      </c>
      <c r="AF451" t="n">
        <v>2024</v>
      </c>
      <c r="AH451" t="inlineStr">
        <is>
          <t>Apartment</t>
        </is>
      </c>
      <c r="AI451" t="inlineStr">
        <is>
          <t>MainstreamSelective</t>
        </is>
      </c>
      <c r="AJ451" t="inlineStr">
        <is>
          <t>Established</t>
        </is>
      </c>
      <c r="AK451" t="inlineStr">
        <is>
          <t>Balanced / selective</t>
        </is>
      </c>
      <c r="AL451" s="7" t="inlineStr">
        <is>
          <t>Market remains active but increasingly differentiated by developer, micro-location, livability, and pricing discipline.</t>
        </is>
      </c>
      <c r="AM451" s="9" t="n">
        <v>9</v>
      </c>
      <c r="AN451" s="9" t="n">
        <v>6.75</v>
      </c>
      <c r="AO451" s="10" t="n">
        <v>0.55</v>
      </c>
      <c r="AP451" s="13" t="n">
        <v>0</v>
      </c>
      <c r="AQ451" s="13" t="n">
        <v>0</v>
      </c>
      <c r="AR451" s="13" t="n">
        <v>0</v>
      </c>
      <c r="AS451" s="13" t="n">
        <v>0.01</v>
      </c>
      <c r="AT451" s="13" t="n">
        <v>0</v>
      </c>
      <c r="AU451" s="13" t="n">
        <v>0.0025</v>
      </c>
      <c r="AV451" s="13" t="n">
        <v>-0.005</v>
      </c>
      <c r="AW451" s="13">
        <f>IF(X451="","",(AM451/100*AO451)+AP451+AQ451+AR451)</f>
        <v/>
      </c>
      <c r="AX451" s="13">
        <f>IF(X451="","",AS451+AT451+AU451+AV451)</f>
        <v/>
      </c>
      <c r="AY451" s="12">
        <f>IF(AZ451="","",ROUND(AZ451*(1+Assumptions!$B$10),0))</f>
        <v/>
      </c>
      <c r="AZ451" s="12">
        <f>IF(X451="","",ROUND(X451*(1+AW451),0))</f>
        <v/>
      </c>
      <c r="BA451" s="12">
        <f>IF(AZ451="","",ROUND(AZ451*(1+Assumptions!$B$11),0))</f>
        <v/>
      </c>
      <c r="BB451" s="12">
        <f>IF(AZ451="","",ROUND(AZ451*(1+AX451+Assumptions!$B$10),0))</f>
        <v/>
      </c>
      <c r="BC451" s="12">
        <f>IF(AZ451="","",ROUND(AZ451*(1+AX451),0))</f>
        <v/>
      </c>
      <c r="BD451" s="12">
        <f>IF(AZ451="","",ROUND(AZ451*(1+AX451+Assumptions!$B$11),0))</f>
        <v/>
      </c>
      <c r="BE451" s="12">
        <f>IF(AZ451="","",ROUND(AZ451*(1+AX451)*(1+AX451),0))</f>
        <v/>
      </c>
      <c r="BF451" s="7" t="inlineStr">
        <is>
          <t>Rules-based enrichment using launch-price anchor, cap-app realization, and 2026 segment conditions.</t>
        </is>
      </c>
      <c r="BG451" t="inlineStr">
        <is>
          <t>2026-03-17</t>
        </is>
      </c>
      <c r="BH451" s="7" t="inlineStr">
        <is>
          <t>DLD / Digital Dubai / CBUAE / Savills / Knight Frank-Moody’s / Reuters</t>
        </is>
      </c>
    </row>
    <row r="452">
      <c r="A452" t="n">
        <v>451</v>
      </c>
      <c r="B452" s="7" t="inlineStr">
        <is>
          <t>LIV Oceanside</t>
        </is>
      </c>
      <c r="C452" t="inlineStr">
        <is>
          <t>LIV Developers</t>
        </is>
      </c>
      <c r="D452" t="inlineStr">
        <is>
          <t>Dubai Maritime City</t>
        </is>
      </c>
      <c r="E452" t="inlineStr">
        <is>
          <t>Apartments</t>
        </is>
      </c>
      <c r="F452" s="7" t="inlineStr">
        <is>
          <t>Sea View</t>
        </is>
      </c>
      <c r="G452" t="inlineStr">
        <is>
          <t>1.9M</t>
        </is>
      </c>
      <c r="H452" t="inlineStr">
        <is>
          <t>2300</t>
        </is>
      </c>
      <c r="I452" t="inlineStr">
        <is>
          <t>20</t>
        </is>
      </c>
      <c r="J452" t="inlineStr">
        <is>
          <t>60/40</t>
        </is>
      </c>
      <c r="K452" t="inlineStr">
        <is>
          <t>2024</t>
        </is>
      </c>
      <c r="L452" t="inlineStr">
        <is>
          <t>6.5-7.0</t>
        </is>
      </c>
      <c r="M452" t="inlineStr">
        <is>
          <t>8-10</t>
        </is>
      </c>
      <c r="N452" t="inlineStr">
        <is>
          <t>14.5-17.0</t>
        </is>
      </c>
      <c r="O452" s="7" t="inlineStr">
        <is>
          <t>New Academy School</t>
        </is>
      </c>
      <c r="P452" s="7" t="inlineStr">
        <is>
          <t>Aster Hospital Mankhool</t>
        </is>
      </c>
      <c r="Q452" s="7" t="inlineStr">
        <is>
          <t>Dubai Mall</t>
        </is>
      </c>
      <c r="R452" s="7" t="inlineStr">
        <is>
          <t>Al Khaleej / E11</t>
        </is>
      </c>
      <c r="S452" t="inlineStr">
        <is>
          <t>15</t>
        </is>
      </c>
      <c r="T452" t="inlineStr">
        <is>
          <t>25</t>
        </is>
      </c>
      <c r="U452" t="inlineStr">
        <is>
          <t>15</t>
        </is>
      </c>
      <c r="V452" t="inlineStr">
        <is>
          <t>45</t>
        </is>
      </c>
      <c r="W452" t="n">
        <v>2</v>
      </c>
      <c r="X452" s="12" t="n">
        <v>1900000</v>
      </c>
      <c r="Y452" s="12" t="n">
        <v>1900000</v>
      </c>
      <c r="Z452" s="9" t="n">
        <v>6.5</v>
      </c>
      <c r="AA452" s="9" t="n">
        <v>7</v>
      </c>
      <c r="AB452" s="9" t="n">
        <v>8</v>
      </c>
      <c r="AC452" s="9" t="n">
        <v>10</v>
      </c>
      <c r="AD452" s="9" t="n">
        <v>14.5</v>
      </c>
      <c r="AE452" s="9" t="n">
        <v>17</v>
      </c>
      <c r="AF452" t="n">
        <v>2024</v>
      </c>
      <c r="AH452" t="inlineStr">
        <is>
          <t>Apartment</t>
        </is>
      </c>
      <c r="AI452" t="inlineStr">
        <is>
          <t>MainstreamSelective</t>
        </is>
      </c>
      <c r="AJ452" t="inlineStr">
        <is>
          <t>Established</t>
        </is>
      </c>
      <c r="AK452" t="inlineStr">
        <is>
          <t>Balanced / selective</t>
        </is>
      </c>
      <c r="AL452" s="7" t="inlineStr">
        <is>
          <t>Market remains active but increasingly differentiated by developer, micro-location, livability, and pricing discipline.</t>
        </is>
      </c>
      <c r="AM452" s="9" t="n">
        <v>9</v>
      </c>
      <c r="AN452" s="9" t="n">
        <v>6.75</v>
      </c>
      <c r="AO452" s="10" t="n">
        <v>0.55</v>
      </c>
      <c r="AP452" s="13" t="n">
        <v>0</v>
      </c>
      <c r="AQ452" s="13" t="n">
        <v>0</v>
      </c>
      <c r="AR452" s="13" t="n">
        <v>0</v>
      </c>
      <c r="AS452" s="13" t="n">
        <v>0.01</v>
      </c>
      <c r="AT452" s="13" t="n">
        <v>0</v>
      </c>
      <c r="AU452" s="13" t="n">
        <v>0.0025</v>
      </c>
      <c r="AV452" s="13" t="n">
        <v>-0.005</v>
      </c>
      <c r="AW452" s="13">
        <f>IF(X452="","",(AM452/100*AO452)+AP452+AQ452+AR452)</f>
        <v/>
      </c>
      <c r="AX452" s="13">
        <f>IF(X452="","",AS452+AT452+AU452+AV452)</f>
        <v/>
      </c>
      <c r="AY452" s="12">
        <f>IF(AZ452="","",ROUND(AZ452*(1+Assumptions!$B$10),0))</f>
        <v/>
      </c>
      <c r="AZ452" s="12">
        <f>IF(X452="","",ROUND(X452*(1+AW452),0))</f>
        <v/>
      </c>
      <c r="BA452" s="12">
        <f>IF(AZ452="","",ROUND(AZ452*(1+Assumptions!$B$11),0))</f>
        <v/>
      </c>
      <c r="BB452" s="12">
        <f>IF(AZ452="","",ROUND(AZ452*(1+AX452+Assumptions!$B$10),0))</f>
        <v/>
      </c>
      <c r="BC452" s="12">
        <f>IF(AZ452="","",ROUND(AZ452*(1+AX452),0))</f>
        <v/>
      </c>
      <c r="BD452" s="12">
        <f>IF(AZ452="","",ROUND(AZ452*(1+AX452+Assumptions!$B$11),0))</f>
        <v/>
      </c>
      <c r="BE452" s="12">
        <f>IF(AZ452="","",ROUND(AZ452*(1+AX452)*(1+AX452),0))</f>
        <v/>
      </c>
      <c r="BF452" s="7" t="inlineStr">
        <is>
          <t>Rules-based enrichment using launch-price anchor, cap-app realization, and 2026 segment conditions.</t>
        </is>
      </c>
      <c r="BG452" t="inlineStr">
        <is>
          <t>2026-03-17</t>
        </is>
      </c>
      <c r="BH452" s="7" t="inlineStr">
        <is>
          <t>DLD / Digital Dubai / CBUAE / Savills / Knight Frank-Moody’s / Reuters</t>
        </is>
      </c>
    </row>
    <row r="453">
      <c r="A453" t="n">
        <v>452</v>
      </c>
      <c r="B453" s="7" t="inlineStr">
        <is>
          <t>Nordic</t>
        </is>
      </c>
      <c r="C453" t="inlineStr">
        <is>
          <t>LIV Developers</t>
        </is>
      </c>
      <c r="D453" t="inlineStr">
        <is>
          <t>JVC (Planned)</t>
        </is>
      </c>
      <c r="E453" t="inlineStr">
        <is>
          <t>Apartments</t>
        </is>
      </c>
      <c r="F453" s="7" t="inlineStr">
        <is>
          <t>Scandinavian</t>
        </is>
      </c>
      <c r="G453" t="inlineStr">
        <is>
          <t>TBA</t>
        </is>
      </c>
      <c r="H453" t="inlineStr">
        <is>
          <t>TBA</t>
        </is>
      </c>
      <c r="I453" t="inlineStr">
        <is>
          <t>15</t>
        </is>
      </c>
      <c r="J453" t="inlineStr">
        <is>
          <t>TBA</t>
        </is>
      </c>
      <c r="K453" t="inlineStr">
        <is>
          <t>Planned</t>
        </is>
      </c>
      <c r="L453" t="inlineStr">
        <is>
          <t>7.5-8.0</t>
        </is>
      </c>
      <c r="M453" t="inlineStr">
        <is>
          <t>6-8</t>
        </is>
      </c>
      <c r="N453" t="inlineStr">
        <is>
          <t>13.5-16.0</t>
        </is>
      </c>
      <c r="O453" s="7" t="inlineStr">
        <is>
          <t>JSS International</t>
        </is>
      </c>
      <c r="P453" s="7" t="inlineStr">
        <is>
          <t>Saudi German Hospital</t>
        </is>
      </c>
      <c r="Q453" s="7" t="inlineStr">
        <is>
          <t>Circle Mall</t>
        </is>
      </c>
      <c r="R453" s="7" t="inlineStr">
        <is>
          <t>Hessa St / E44</t>
        </is>
      </c>
      <c r="S453" t="inlineStr">
        <is>
          <t>20</t>
        </is>
      </c>
      <c r="T453" t="inlineStr">
        <is>
          <t>15</t>
        </is>
      </c>
      <c r="U453" t="inlineStr">
        <is>
          <t>25</t>
        </is>
      </c>
      <c r="V453" t="inlineStr">
        <is>
          <t>30</t>
        </is>
      </c>
      <c r="W453" t="n">
        <v>2</v>
      </c>
      <c r="X453" s="12" t="n"/>
      <c r="Y453" s="12" t="n"/>
      <c r="Z453" s="9" t="n">
        <v>7.5</v>
      </c>
      <c r="AA453" s="9" t="n">
        <v>8</v>
      </c>
      <c r="AB453" s="9" t="n">
        <v>6</v>
      </c>
      <c r="AC453" s="9" t="n">
        <v>8</v>
      </c>
      <c r="AD453" s="9" t="n">
        <v>13.5</v>
      </c>
      <c r="AE453" s="9" t="n">
        <v>16</v>
      </c>
      <c r="AH453" t="inlineStr">
        <is>
          <t>Apartment</t>
        </is>
      </c>
      <c r="AI453" t="inlineStr">
        <is>
          <t>MainstreamSelective</t>
        </is>
      </c>
      <c r="AJ453" t="inlineStr">
        <is>
          <t>Established</t>
        </is>
      </c>
      <c r="AK453" t="inlineStr">
        <is>
          <t>Balanced / selective</t>
        </is>
      </c>
      <c r="AL453" s="7" t="inlineStr">
        <is>
          <t>Market remains active but increasingly differentiated by developer, micro-location, livability, and pricing discipline.</t>
        </is>
      </c>
      <c r="AM453" s="9" t="n">
        <v>7</v>
      </c>
      <c r="AN453" s="9" t="n">
        <v>7.75</v>
      </c>
      <c r="AO453" s="10" t="n">
        <v>0.25</v>
      </c>
      <c r="AP453" s="13" t="n">
        <v>0</v>
      </c>
      <c r="AQ453" s="13" t="n">
        <v>0</v>
      </c>
      <c r="AR453" s="13" t="n">
        <v>0</v>
      </c>
      <c r="AS453" s="13" t="n">
        <v>0.01</v>
      </c>
      <c r="AT453" s="13" t="n">
        <v>0</v>
      </c>
      <c r="AU453" s="13" t="n">
        <v>0.0025</v>
      </c>
      <c r="AV453" s="13" t="n">
        <v>-0.005</v>
      </c>
      <c r="AW453" s="13">
        <f>IF(X453="","",(AM453/100*AO453)+AP453+AQ453+AR453)</f>
        <v/>
      </c>
      <c r="AX453" s="13">
        <f>IF(X453="","",AS453+AT453+AU453+AV453)</f>
        <v/>
      </c>
      <c r="AY453" s="12">
        <f>IF(AZ453="","",ROUND(AZ453*(1+Assumptions!$B$10),0))</f>
        <v/>
      </c>
      <c r="AZ453" s="12">
        <f>IF(X453="","",ROUND(X453*(1+AW453),0))</f>
        <v/>
      </c>
      <c r="BA453" s="12">
        <f>IF(AZ453="","",ROUND(AZ453*(1+Assumptions!$B$11),0))</f>
        <v/>
      </c>
      <c r="BB453" s="12">
        <f>IF(AZ453="","",ROUND(AZ453*(1+AX453+Assumptions!$B$10),0))</f>
        <v/>
      </c>
      <c r="BC453" s="12">
        <f>IF(AZ453="","",ROUND(AZ453*(1+AX453),0))</f>
        <v/>
      </c>
      <c r="BD453" s="12">
        <f>IF(AZ453="","",ROUND(AZ453*(1+AX453+Assumptions!$B$11),0))</f>
        <v/>
      </c>
      <c r="BE453" s="12">
        <f>IF(AZ453="","",ROUND(AZ453*(1+AX453)*(1+AX453),0))</f>
        <v/>
      </c>
      <c r="BF453" s="7" t="inlineStr">
        <is>
          <t>Rules-based enrichment using launch-price anchor, cap-app realization, and 2026 segment conditions.</t>
        </is>
      </c>
      <c r="BG453" t="inlineStr">
        <is>
          <t>2026-03-17</t>
        </is>
      </c>
      <c r="BH453" s="7" t="inlineStr">
        <is>
          <t>DLD / Digital Dubai / CBUAE / Savills / Knight Frank-Moody’s / Reuters</t>
        </is>
      </c>
    </row>
    <row r="454">
      <c r="A454" t="n">
        <v>453</v>
      </c>
      <c r="B454" s="7" t="inlineStr">
        <is>
          <t>Hollywood</t>
        </is>
      </c>
      <c r="C454" t="inlineStr">
        <is>
          <t>LIV Developers</t>
        </is>
      </c>
      <c r="D454" t="inlineStr">
        <is>
          <t>JVC (Planned)</t>
        </is>
      </c>
      <c r="E454" t="inlineStr">
        <is>
          <t>Apartments</t>
        </is>
      </c>
      <c r="F454" s="7" t="inlineStr">
        <is>
          <t>Themed</t>
        </is>
      </c>
      <c r="G454" t="inlineStr">
        <is>
          <t>TBA</t>
        </is>
      </c>
      <c r="H454" t="inlineStr">
        <is>
          <t>TBA</t>
        </is>
      </c>
      <c r="I454" t="inlineStr">
        <is>
          <t>15</t>
        </is>
      </c>
      <c r="J454" t="inlineStr">
        <is>
          <t>TBA</t>
        </is>
      </c>
      <c r="K454" t="inlineStr">
        <is>
          <t>Planned</t>
        </is>
      </c>
      <c r="L454" t="inlineStr">
        <is>
          <t>7.5-8.0</t>
        </is>
      </c>
      <c r="M454" t="inlineStr">
        <is>
          <t>6-8</t>
        </is>
      </c>
      <c r="N454" t="inlineStr">
        <is>
          <t>13.5-16.0</t>
        </is>
      </c>
      <c r="O454" s="7" t="inlineStr">
        <is>
          <t>JSS International</t>
        </is>
      </c>
      <c r="P454" s="7" t="inlineStr">
        <is>
          <t>Saudi German Hospital</t>
        </is>
      </c>
      <c r="Q454" s="7" t="inlineStr">
        <is>
          <t>Circle Mall</t>
        </is>
      </c>
      <c r="R454" s="7" t="inlineStr">
        <is>
          <t>Hessa St / E44</t>
        </is>
      </c>
      <c r="S454" t="inlineStr">
        <is>
          <t>20</t>
        </is>
      </c>
      <c r="T454" t="inlineStr">
        <is>
          <t>15</t>
        </is>
      </c>
      <c r="U454" t="inlineStr">
        <is>
          <t>25</t>
        </is>
      </c>
      <c r="V454" t="inlineStr">
        <is>
          <t>30</t>
        </is>
      </c>
      <c r="W454" t="n">
        <v>2</v>
      </c>
      <c r="X454" s="12" t="n"/>
      <c r="Y454" s="12" t="n"/>
      <c r="Z454" s="9" t="n">
        <v>7.5</v>
      </c>
      <c r="AA454" s="9" t="n">
        <v>8</v>
      </c>
      <c r="AB454" s="9" t="n">
        <v>6</v>
      </c>
      <c r="AC454" s="9" t="n">
        <v>8</v>
      </c>
      <c r="AD454" s="9" t="n">
        <v>13.5</v>
      </c>
      <c r="AE454" s="9" t="n">
        <v>16</v>
      </c>
      <c r="AH454" t="inlineStr">
        <is>
          <t>Apartment</t>
        </is>
      </c>
      <c r="AI454" t="inlineStr">
        <is>
          <t>MainstreamSelective</t>
        </is>
      </c>
      <c r="AJ454" t="inlineStr">
        <is>
          <t>Established</t>
        </is>
      </c>
      <c r="AK454" t="inlineStr">
        <is>
          <t>Balanced / selective</t>
        </is>
      </c>
      <c r="AL454" s="7" t="inlineStr">
        <is>
          <t>Market remains active but increasingly differentiated by developer, micro-location, livability, and pricing discipline.</t>
        </is>
      </c>
      <c r="AM454" s="9" t="n">
        <v>7</v>
      </c>
      <c r="AN454" s="9" t="n">
        <v>7.75</v>
      </c>
      <c r="AO454" s="10" t="n">
        <v>0.25</v>
      </c>
      <c r="AP454" s="13" t="n">
        <v>0</v>
      </c>
      <c r="AQ454" s="13" t="n">
        <v>0</v>
      </c>
      <c r="AR454" s="13" t="n">
        <v>0</v>
      </c>
      <c r="AS454" s="13" t="n">
        <v>0.01</v>
      </c>
      <c r="AT454" s="13" t="n">
        <v>0</v>
      </c>
      <c r="AU454" s="13" t="n">
        <v>0.0025</v>
      </c>
      <c r="AV454" s="13" t="n">
        <v>-0.005</v>
      </c>
      <c r="AW454" s="13">
        <f>IF(X454="","",(AM454/100*AO454)+AP454+AQ454+AR454)</f>
        <v/>
      </c>
      <c r="AX454" s="13">
        <f>IF(X454="","",AS454+AT454+AU454+AV454)</f>
        <v/>
      </c>
      <c r="AY454" s="12">
        <f>IF(AZ454="","",ROUND(AZ454*(1+Assumptions!$B$10),0))</f>
        <v/>
      </c>
      <c r="AZ454" s="12">
        <f>IF(X454="","",ROUND(X454*(1+AW454),0))</f>
        <v/>
      </c>
      <c r="BA454" s="12">
        <f>IF(AZ454="","",ROUND(AZ454*(1+Assumptions!$B$11),0))</f>
        <v/>
      </c>
      <c r="BB454" s="12">
        <f>IF(AZ454="","",ROUND(AZ454*(1+AX454+Assumptions!$B$10),0))</f>
        <v/>
      </c>
      <c r="BC454" s="12">
        <f>IF(AZ454="","",ROUND(AZ454*(1+AX454),0))</f>
        <v/>
      </c>
      <c r="BD454" s="12">
        <f>IF(AZ454="","",ROUND(AZ454*(1+AX454+Assumptions!$B$11),0))</f>
        <v/>
      </c>
      <c r="BE454" s="12">
        <f>IF(AZ454="","",ROUND(AZ454*(1+AX454)*(1+AX454),0))</f>
        <v/>
      </c>
      <c r="BF454" s="7" t="inlineStr">
        <is>
          <t>Rules-based enrichment using launch-price anchor, cap-app realization, and 2026 segment conditions.</t>
        </is>
      </c>
      <c r="BG454" t="inlineStr">
        <is>
          <t>2026-03-17</t>
        </is>
      </c>
      <c r="BH454" s="7" t="inlineStr">
        <is>
          <t>DLD / Digital Dubai / CBUAE / Savills / Knight Frank-Moody’s / Reuters</t>
        </is>
      </c>
    </row>
    <row r="455">
      <c r="A455" t="n">
        <v>454</v>
      </c>
      <c r="B455" s="7" t="inlineStr">
        <is>
          <t>New York</t>
        </is>
      </c>
      <c r="C455" t="inlineStr">
        <is>
          <t>LIV Developers</t>
        </is>
      </c>
      <c r="D455" t="inlineStr">
        <is>
          <t>JVC (Planned)</t>
        </is>
      </c>
      <c r="E455" t="inlineStr">
        <is>
          <t>Apartments</t>
        </is>
      </c>
      <c r="F455" s="7" t="inlineStr">
        <is>
          <t>Themed</t>
        </is>
      </c>
      <c r="G455" t="inlineStr">
        <is>
          <t>TBA</t>
        </is>
      </c>
      <c r="H455" t="inlineStr">
        <is>
          <t>TBA</t>
        </is>
      </c>
      <c r="I455" t="inlineStr">
        <is>
          <t>15</t>
        </is>
      </c>
      <c r="J455" t="inlineStr">
        <is>
          <t>TBA</t>
        </is>
      </c>
      <c r="K455" t="inlineStr">
        <is>
          <t>Planned</t>
        </is>
      </c>
      <c r="L455" t="inlineStr">
        <is>
          <t>7.5-8.0</t>
        </is>
      </c>
      <c r="M455" t="inlineStr">
        <is>
          <t>6-8</t>
        </is>
      </c>
      <c r="N455" t="inlineStr">
        <is>
          <t>13.5-16.0</t>
        </is>
      </c>
      <c r="O455" s="7" t="inlineStr">
        <is>
          <t>JSS International</t>
        </is>
      </c>
      <c r="P455" s="7" t="inlineStr">
        <is>
          <t>Saudi German Hospital</t>
        </is>
      </c>
      <c r="Q455" s="7" t="inlineStr">
        <is>
          <t>Circle Mall</t>
        </is>
      </c>
      <c r="R455" s="7" t="inlineStr">
        <is>
          <t>Hessa St / E44</t>
        </is>
      </c>
      <c r="S455" t="inlineStr">
        <is>
          <t>20</t>
        </is>
      </c>
      <c r="T455" t="inlineStr">
        <is>
          <t>15</t>
        </is>
      </c>
      <c r="U455" t="inlineStr">
        <is>
          <t>25</t>
        </is>
      </c>
      <c r="V455" t="inlineStr">
        <is>
          <t>30</t>
        </is>
      </c>
      <c r="W455" t="n">
        <v>2</v>
      </c>
      <c r="X455" s="12" t="n"/>
      <c r="Y455" s="12" t="n"/>
      <c r="Z455" s="9" t="n">
        <v>7.5</v>
      </c>
      <c r="AA455" s="9" t="n">
        <v>8</v>
      </c>
      <c r="AB455" s="9" t="n">
        <v>6</v>
      </c>
      <c r="AC455" s="9" t="n">
        <v>8</v>
      </c>
      <c r="AD455" s="9" t="n">
        <v>13.5</v>
      </c>
      <c r="AE455" s="9" t="n">
        <v>16</v>
      </c>
      <c r="AH455" t="inlineStr">
        <is>
          <t>Apartment</t>
        </is>
      </c>
      <c r="AI455" t="inlineStr">
        <is>
          <t>MainstreamSelective</t>
        </is>
      </c>
      <c r="AJ455" t="inlineStr">
        <is>
          <t>Established</t>
        </is>
      </c>
      <c r="AK455" t="inlineStr">
        <is>
          <t>Balanced / selective</t>
        </is>
      </c>
      <c r="AL455" s="7" t="inlineStr">
        <is>
          <t>Market remains active but increasingly differentiated by developer, micro-location, livability, and pricing discipline.</t>
        </is>
      </c>
      <c r="AM455" s="9" t="n">
        <v>7</v>
      </c>
      <c r="AN455" s="9" t="n">
        <v>7.75</v>
      </c>
      <c r="AO455" s="10" t="n">
        <v>0.25</v>
      </c>
      <c r="AP455" s="13" t="n">
        <v>0</v>
      </c>
      <c r="AQ455" s="13" t="n">
        <v>0</v>
      </c>
      <c r="AR455" s="13" t="n">
        <v>0</v>
      </c>
      <c r="AS455" s="13" t="n">
        <v>0.01</v>
      </c>
      <c r="AT455" s="13" t="n">
        <v>0</v>
      </c>
      <c r="AU455" s="13" t="n">
        <v>0.0025</v>
      </c>
      <c r="AV455" s="13" t="n">
        <v>-0.005</v>
      </c>
      <c r="AW455" s="13">
        <f>IF(X455="","",(AM455/100*AO455)+AP455+AQ455+AR455)</f>
        <v/>
      </c>
      <c r="AX455" s="13">
        <f>IF(X455="","",AS455+AT455+AU455+AV455)</f>
        <v/>
      </c>
      <c r="AY455" s="12">
        <f>IF(AZ455="","",ROUND(AZ455*(1+Assumptions!$B$10),0))</f>
        <v/>
      </c>
      <c r="AZ455" s="12">
        <f>IF(X455="","",ROUND(X455*(1+AW455),0))</f>
        <v/>
      </c>
      <c r="BA455" s="12">
        <f>IF(AZ455="","",ROUND(AZ455*(1+Assumptions!$B$11),0))</f>
        <v/>
      </c>
      <c r="BB455" s="12">
        <f>IF(AZ455="","",ROUND(AZ455*(1+AX455+Assumptions!$B$10),0))</f>
        <v/>
      </c>
      <c r="BC455" s="12">
        <f>IF(AZ455="","",ROUND(AZ455*(1+AX455),0))</f>
        <v/>
      </c>
      <c r="BD455" s="12">
        <f>IF(AZ455="","",ROUND(AZ455*(1+AX455+Assumptions!$B$11),0))</f>
        <v/>
      </c>
      <c r="BE455" s="12">
        <f>IF(AZ455="","",ROUND(AZ455*(1+AX455)*(1+AX455),0))</f>
        <v/>
      </c>
      <c r="BF455" s="7" t="inlineStr">
        <is>
          <t>Rules-based enrichment using launch-price anchor, cap-app realization, and 2026 segment conditions.</t>
        </is>
      </c>
      <c r="BG455" t="inlineStr">
        <is>
          <t>2026-03-17</t>
        </is>
      </c>
      <c r="BH455" s="7" t="inlineStr">
        <is>
          <t>DLD / Digital Dubai / CBUAE / Savills / Knight Frank-Moody’s / Reuters</t>
        </is>
      </c>
    </row>
    <row r="456">
      <c r="A456" t="n">
        <v>455</v>
      </c>
      <c r="B456" s="7" t="inlineStr">
        <is>
          <t>Luce</t>
        </is>
      </c>
      <c r="C456" t="inlineStr">
        <is>
          <t>Taraf Properties</t>
        </is>
      </c>
      <c r="D456" t="inlineStr">
        <is>
          <t>Palm Jumeirah</t>
        </is>
      </c>
      <c r="E456" t="inlineStr">
        <is>
          <t>Apartments</t>
        </is>
      </c>
      <c r="F456" s="7" t="inlineStr">
        <is>
          <t>Luxury / Beach</t>
        </is>
      </c>
      <c r="G456" t="inlineStr">
        <is>
          <t>8.0M+</t>
        </is>
      </c>
      <c r="H456" t="inlineStr">
        <is>
          <t>4000</t>
        </is>
      </c>
      <c r="I456" t="inlineStr">
        <is>
          <t>30</t>
        </is>
      </c>
      <c r="J456" t="inlineStr">
        <is>
          <t>60/40</t>
        </is>
      </c>
      <c r="K456" t="inlineStr">
        <is>
          <t>2023</t>
        </is>
      </c>
      <c r="L456" t="inlineStr">
        <is>
          <t>4.0-4.5</t>
        </is>
      </c>
      <c r="M456" t="inlineStr">
        <is>
          <t>8-10</t>
        </is>
      </c>
      <c r="N456" t="inlineStr">
        <is>
          <t>12.0-14.5</t>
        </is>
      </c>
      <c r="O456" s="7" t="inlineStr">
        <is>
          <t>Chevalier College</t>
        </is>
      </c>
      <c r="P456" s="7" t="inlineStr">
        <is>
          <t>Emirates Hospital</t>
        </is>
      </c>
      <c r="Q456" s="7" t="inlineStr">
        <is>
          <t>Nakheel Mall</t>
        </is>
      </c>
      <c r="R456" s="7" t="inlineStr">
        <is>
          <t>Sheikh Zayed E11</t>
        </is>
      </c>
      <c r="S456" t="inlineStr">
        <is>
          <t>20</t>
        </is>
      </c>
      <c r="T456" t="inlineStr">
        <is>
          <t>10</t>
        </is>
      </c>
      <c r="U456" t="inlineStr">
        <is>
          <t>25</t>
        </is>
      </c>
      <c r="V456" t="inlineStr">
        <is>
          <t>35</t>
        </is>
      </c>
      <c r="W456" t="n">
        <v>2</v>
      </c>
      <c r="X456" s="12" t="n">
        <v>8000000</v>
      </c>
      <c r="Y456" s="12" t="n">
        <v>8000000</v>
      </c>
      <c r="Z456" s="9" t="n">
        <v>4</v>
      </c>
      <c r="AA456" s="9" t="n">
        <v>4.5</v>
      </c>
      <c r="AB456" s="9" t="n">
        <v>8</v>
      </c>
      <c r="AC456" s="9" t="n">
        <v>10</v>
      </c>
      <c r="AD456" s="9" t="n">
        <v>12</v>
      </c>
      <c r="AE456" s="9" t="n">
        <v>14.5</v>
      </c>
      <c r="AF456" t="n">
        <v>2023</v>
      </c>
      <c r="AH456" t="inlineStr">
        <is>
          <t>Apartment</t>
        </is>
      </c>
      <c r="AI456" t="inlineStr">
        <is>
          <t>Prime</t>
        </is>
      </c>
      <c r="AJ456" t="inlineStr">
        <is>
          <t>Established</t>
        </is>
      </c>
      <c r="AK456" t="inlineStr">
        <is>
          <t>Prime resilient / selective</t>
        </is>
      </c>
      <c r="AL456" s="7" t="inlineStr">
        <is>
          <t>Better support from quality, branding, and scarcer prime stock; still entry-price sensitive.</t>
        </is>
      </c>
      <c r="AM456" s="9" t="n">
        <v>9</v>
      </c>
      <c r="AN456" s="9" t="n">
        <v>4.25</v>
      </c>
      <c r="AO456" s="10" t="n">
        <v>0.55</v>
      </c>
      <c r="AP456" s="13" t="n">
        <v>0.02</v>
      </c>
      <c r="AQ456" s="13" t="n">
        <v>0</v>
      </c>
      <c r="AR456" s="13" t="n">
        <v>0</v>
      </c>
      <c r="AS456" s="13" t="n">
        <v>0.03</v>
      </c>
      <c r="AT456" s="13" t="n">
        <v>0</v>
      </c>
      <c r="AU456" s="13" t="n">
        <v>0</v>
      </c>
      <c r="AV456" s="13" t="n">
        <v>-0.005</v>
      </c>
      <c r="AW456" s="13">
        <f>IF(X456="","",(AM456/100*AO456)+AP456+AQ456+AR456)</f>
        <v/>
      </c>
      <c r="AX456" s="13">
        <f>IF(X456="","",AS456+AT456+AU456+AV456)</f>
        <v/>
      </c>
      <c r="AY456" s="12">
        <f>IF(AZ456="","",ROUND(AZ456*(1+Assumptions!$B$10),0))</f>
        <v/>
      </c>
      <c r="AZ456" s="12">
        <f>IF(X456="","",ROUND(X456*(1+AW456),0))</f>
        <v/>
      </c>
      <c r="BA456" s="12">
        <f>IF(AZ456="","",ROUND(AZ456*(1+Assumptions!$B$11),0))</f>
        <v/>
      </c>
      <c r="BB456" s="12">
        <f>IF(AZ456="","",ROUND(AZ456*(1+AX456+Assumptions!$B$10),0))</f>
        <v/>
      </c>
      <c r="BC456" s="12">
        <f>IF(AZ456="","",ROUND(AZ456*(1+AX456),0))</f>
        <v/>
      </c>
      <c r="BD456" s="12">
        <f>IF(AZ456="","",ROUND(AZ456*(1+AX456+Assumptions!$B$11),0))</f>
        <v/>
      </c>
      <c r="BE456" s="12">
        <f>IF(AZ456="","",ROUND(AZ456*(1+AX456)*(1+AX456),0))</f>
        <v/>
      </c>
      <c r="BF456" s="7" t="inlineStr">
        <is>
          <t>Rules-based enrichment using launch-price anchor, cap-app realization, and 2026 segment conditions.</t>
        </is>
      </c>
      <c r="BG456" t="inlineStr">
        <is>
          <t>2026-03-17</t>
        </is>
      </c>
      <c r="BH456" s="7" t="inlineStr">
        <is>
          <t>DLD / Digital Dubai / CBUAE / Savills / Knight Frank-Moody’s / Reuters</t>
        </is>
      </c>
    </row>
    <row r="457">
      <c r="A457" t="n">
        <v>456</v>
      </c>
      <c r="B457" s="7" t="inlineStr">
        <is>
          <t>Terra Golf Collection</t>
        </is>
      </c>
      <c r="C457" t="inlineStr">
        <is>
          <t>Taraf Properties</t>
        </is>
      </c>
      <c r="D457" t="inlineStr">
        <is>
          <t>Jumeirah Golf Estates</t>
        </is>
      </c>
      <c r="E457" t="inlineStr">
        <is>
          <t>Villas</t>
        </is>
      </c>
      <c r="F457" s="7" t="inlineStr">
        <is>
          <t>Golf / Luxury</t>
        </is>
      </c>
      <c r="G457" t="inlineStr">
        <is>
          <t>8.0M+</t>
        </is>
      </c>
      <c r="H457" t="inlineStr">
        <is>
          <t>2200</t>
        </is>
      </c>
      <c r="I457" t="inlineStr">
        <is>
          <t>20</t>
        </is>
      </c>
      <c r="J457" t="inlineStr">
        <is>
          <t>60/40</t>
        </is>
      </c>
      <c r="K457" t="inlineStr">
        <is>
          <t>2023</t>
        </is>
      </c>
      <c r="L457" t="inlineStr">
        <is>
          <t>5.0-5.5</t>
        </is>
      </c>
      <c r="M457" t="inlineStr">
        <is>
          <t>8-10</t>
        </is>
      </c>
      <c r="N457" t="inlineStr">
        <is>
          <t>13.0-15.5</t>
        </is>
      </c>
      <c r="O457" s="7" t="inlineStr">
        <is>
          <t>Victory Heights</t>
        </is>
      </c>
      <c r="P457" s="7" t="inlineStr">
        <is>
          <t>NMC Royal DIP</t>
        </is>
      </c>
      <c r="Q457" s="7" t="inlineStr">
        <is>
          <t>City Centre Me'aisem</t>
        </is>
      </c>
      <c r="R457" s="7" t="inlineStr">
        <is>
          <t>E311 / Yalayis</t>
        </is>
      </c>
      <c r="S457" t="inlineStr">
        <is>
          <t>25</t>
        </is>
      </c>
      <c r="T457" t="inlineStr">
        <is>
          <t>20</t>
        </is>
      </c>
      <c r="U457" t="inlineStr">
        <is>
          <t>30</t>
        </is>
      </c>
      <c r="V457" t="inlineStr">
        <is>
          <t>20</t>
        </is>
      </c>
      <c r="W457" t="n">
        <v>2</v>
      </c>
      <c r="X457" s="12" t="n">
        <v>8000000</v>
      </c>
      <c r="Y457" s="12" t="n">
        <v>8000000</v>
      </c>
      <c r="Z457" s="9" t="n">
        <v>5</v>
      </c>
      <c r="AA457" s="9" t="n">
        <v>5.5</v>
      </c>
      <c r="AB457" s="9" t="n">
        <v>8</v>
      </c>
      <c r="AC457" s="9" t="n">
        <v>10</v>
      </c>
      <c r="AD457" s="9" t="n">
        <v>13</v>
      </c>
      <c r="AE457" s="9" t="n">
        <v>15.5</v>
      </c>
      <c r="AF457" t="n">
        <v>2023</v>
      </c>
      <c r="AH457" t="inlineStr">
        <is>
          <t>Villa</t>
        </is>
      </c>
      <c r="AI457" t="inlineStr">
        <is>
          <t>MainstreamSelective</t>
        </is>
      </c>
      <c r="AJ457" t="inlineStr">
        <is>
          <t>Established</t>
        </is>
      </c>
      <c r="AK457" t="inlineStr">
        <is>
          <t>Family-villa resilient</t>
        </is>
      </c>
      <c r="AL457" s="7" t="inlineStr">
        <is>
          <t>Villa/townhouse demand remains relatively firmer, though growth should be slower than the post-2020 surge.</t>
        </is>
      </c>
      <c r="AM457" s="9" t="n">
        <v>9</v>
      </c>
      <c r="AN457" s="9" t="n">
        <v>5.25</v>
      </c>
      <c r="AO457" s="10" t="n">
        <v>0.55</v>
      </c>
      <c r="AP457" s="13" t="n">
        <v>0</v>
      </c>
      <c r="AQ457" s="13" t="n">
        <v>0.015</v>
      </c>
      <c r="AR457" s="13" t="n">
        <v>0</v>
      </c>
      <c r="AS457" s="13" t="n">
        <v>0.025</v>
      </c>
      <c r="AT457" s="13" t="n">
        <v>0</v>
      </c>
      <c r="AU457" s="13" t="n">
        <v>0</v>
      </c>
      <c r="AV457" s="13" t="n">
        <v>-0.005</v>
      </c>
      <c r="AW457" s="13">
        <f>IF(X457="","",(AM457/100*AO457)+AP457+AQ457+AR457)</f>
        <v/>
      </c>
      <c r="AX457" s="13">
        <f>IF(X457="","",AS457+AT457+AU457+AV457)</f>
        <v/>
      </c>
      <c r="AY457" s="12">
        <f>IF(AZ457="","",ROUND(AZ457*(1+Assumptions!$B$10),0))</f>
        <v/>
      </c>
      <c r="AZ457" s="12">
        <f>IF(X457="","",ROUND(X457*(1+AW457),0))</f>
        <v/>
      </c>
      <c r="BA457" s="12">
        <f>IF(AZ457="","",ROUND(AZ457*(1+Assumptions!$B$11),0))</f>
        <v/>
      </c>
      <c r="BB457" s="12">
        <f>IF(AZ457="","",ROUND(AZ457*(1+AX457+Assumptions!$B$10),0))</f>
        <v/>
      </c>
      <c r="BC457" s="12">
        <f>IF(AZ457="","",ROUND(AZ457*(1+AX457),0))</f>
        <v/>
      </c>
      <c r="BD457" s="12">
        <f>IF(AZ457="","",ROUND(AZ457*(1+AX457+Assumptions!$B$11),0))</f>
        <v/>
      </c>
      <c r="BE457" s="12">
        <f>IF(AZ457="","",ROUND(AZ457*(1+AX457)*(1+AX457),0))</f>
        <v/>
      </c>
      <c r="BF457" s="7" t="inlineStr">
        <is>
          <t>Rules-based enrichment using launch-price anchor, cap-app realization, and 2026 segment conditions.</t>
        </is>
      </c>
      <c r="BG457" t="inlineStr">
        <is>
          <t>2026-03-17</t>
        </is>
      </c>
      <c r="BH457" s="7" t="inlineStr">
        <is>
          <t>DLD / Digital Dubai / CBUAE / Savills / Knight Frank-Moody’s / Reuters</t>
        </is>
      </c>
    </row>
    <row r="458">
      <c r="A458" t="n">
        <v>457</v>
      </c>
      <c r="B458" s="7" t="inlineStr">
        <is>
          <t>Terrazzo</t>
        </is>
      </c>
      <c r="C458" t="inlineStr">
        <is>
          <t>Taraf Properties</t>
        </is>
      </c>
      <c r="D458" t="inlineStr">
        <is>
          <t>JVC</t>
        </is>
      </c>
      <c r="E458" t="inlineStr">
        <is>
          <t>Apartments</t>
        </is>
      </c>
      <c r="F458" s="7" t="inlineStr">
        <is>
          <t>Modern / Design</t>
        </is>
      </c>
      <c r="G458" t="inlineStr">
        <is>
          <t>1.1M</t>
        </is>
      </c>
      <c r="H458" t="inlineStr">
        <is>
          <t>1400</t>
        </is>
      </c>
      <c r="I458" t="inlineStr">
        <is>
          <t>15</t>
        </is>
      </c>
      <c r="J458" t="inlineStr">
        <is>
          <t>60/40</t>
        </is>
      </c>
      <c r="K458" t="inlineStr">
        <is>
          <t>2023</t>
        </is>
      </c>
      <c r="L458" t="inlineStr">
        <is>
          <t>7.5-8.0</t>
        </is>
      </c>
      <c r="M458" t="inlineStr">
        <is>
          <t>6-8</t>
        </is>
      </c>
      <c r="N458" t="inlineStr">
        <is>
          <t>13.5-16.0</t>
        </is>
      </c>
      <c r="O458" s="7" t="inlineStr">
        <is>
          <t>JSS International</t>
        </is>
      </c>
      <c r="P458" s="7" t="inlineStr">
        <is>
          <t>Saudi German Hospital</t>
        </is>
      </c>
      <c r="Q458" s="7" t="inlineStr">
        <is>
          <t>Circle Mall</t>
        </is>
      </c>
      <c r="R458" s="7" t="inlineStr">
        <is>
          <t>Hessa St / E44</t>
        </is>
      </c>
      <c r="S458" t="inlineStr">
        <is>
          <t>20</t>
        </is>
      </c>
      <c r="T458" t="inlineStr">
        <is>
          <t>15</t>
        </is>
      </c>
      <c r="U458" t="inlineStr">
        <is>
          <t>25</t>
        </is>
      </c>
      <c r="V458" t="inlineStr">
        <is>
          <t>30</t>
        </is>
      </c>
      <c r="W458" t="n">
        <v>2</v>
      </c>
      <c r="X458" s="12" t="n">
        <v>1100000</v>
      </c>
      <c r="Y458" s="12" t="n">
        <v>1100000</v>
      </c>
      <c r="Z458" s="9" t="n">
        <v>7.5</v>
      </c>
      <c r="AA458" s="9" t="n">
        <v>8</v>
      </c>
      <c r="AB458" s="9" t="n">
        <v>6</v>
      </c>
      <c r="AC458" s="9" t="n">
        <v>8</v>
      </c>
      <c r="AD458" s="9" t="n">
        <v>13.5</v>
      </c>
      <c r="AE458" s="9" t="n">
        <v>16</v>
      </c>
      <c r="AF458" t="n">
        <v>2023</v>
      </c>
      <c r="AH458" t="inlineStr">
        <is>
          <t>Apartment</t>
        </is>
      </c>
      <c r="AI458" t="inlineStr">
        <is>
          <t>SupplySensitiveApartment</t>
        </is>
      </c>
      <c r="AJ458" t="inlineStr">
        <is>
          <t>Established</t>
        </is>
      </c>
      <c r="AK458" t="inlineStr">
        <is>
          <t>Supply-sensitive / selective</t>
        </is>
      </c>
      <c r="AL458" s="7" t="inlineStr">
        <is>
          <t>Higher delivery risk in more price-sensitive apartment clusters; building selection and exit liquidity matter.</t>
        </is>
      </c>
      <c r="AM458" s="9" t="n">
        <v>7</v>
      </c>
      <c r="AN458" s="9" t="n">
        <v>7.75</v>
      </c>
      <c r="AO458" s="10" t="n">
        <v>0.55</v>
      </c>
      <c r="AP458" s="13" t="n">
        <v>0</v>
      </c>
      <c r="AQ458" s="13" t="n">
        <v>0</v>
      </c>
      <c r="AR458" s="13" t="n">
        <v>-0.01</v>
      </c>
      <c r="AS458" s="13" t="n">
        <v>-0.01</v>
      </c>
      <c r="AT458" s="13" t="n">
        <v>0</v>
      </c>
      <c r="AU458" s="13" t="n">
        <v>0.0025</v>
      </c>
      <c r="AV458" s="13" t="n">
        <v>-0.005</v>
      </c>
      <c r="AW458" s="13">
        <f>IF(X458="","",(AM458/100*AO458)+AP458+AQ458+AR458)</f>
        <v/>
      </c>
      <c r="AX458" s="13">
        <f>IF(X458="","",AS458+AT458+AU458+AV458)</f>
        <v/>
      </c>
      <c r="AY458" s="12">
        <f>IF(AZ458="","",ROUND(AZ458*(1+Assumptions!$B$10),0))</f>
        <v/>
      </c>
      <c r="AZ458" s="12">
        <f>IF(X458="","",ROUND(X458*(1+AW458),0))</f>
        <v/>
      </c>
      <c r="BA458" s="12">
        <f>IF(AZ458="","",ROUND(AZ458*(1+Assumptions!$B$11),0))</f>
        <v/>
      </c>
      <c r="BB458" s="12">
        <f>IF(AZ458="","",ROUND(AZ458*(1+AX458+Assumptions!$B$10),0))</f>
        <v/>
      </c>
      <c r="BC458" s="12">
        <f>IF(AZ458="","",ROUND(AZ458*(1+AX458),0))</f>
        <v/>
      </c>
      <c r="BD458" s="12">
        <f>IF(AZ458="","",ROUND(AZ458*(1+AX458+Assumptions!$B$11),0))</f>
        <v/>
      </c>
      <c r="BE458" s="12">
        <f>IF(AZ458="","",ROUND(AZ458*(1+AX458)*(1+AX458),0))</f>
        <v/>
      </c>
      <c r="BF458" s="7" t="inlineStr">
        <is>
          <t>Rules-based enrichment using launch-price anchor, cap-app realization, and 2026 segment conditions.</t>
        </is>
      </c>
      <c r="BG458" t="inlineStr">
        <is>
          <t>2026-03-17</t>
        </is>
      </c>
      <c r="BH458" s="7" t="inlineStr">
        <is>
          <t>DLD / Digital Dubai / CBUAE / Savills / Knight Frank-Moody’s / Reuters</t>
        </is>
      </c>
    </row>
    <row r="459">
      <c r="A459" t="n">
        <v>458</v>
      </c>
      <c r="B459" s="7" t="inlineStr">
        <is>
          <t>Cello</t>
        </is>
      </c>
      <c r="C459" t="inlineStr">
        <is>
          <t>Taraf Properties</t>
        </is>
      </c>
      <c r="D459" t="inlineStr">
        <is>
          <t>JVC</t>
        </is>
      </c>
      <c r="E459" t="inlineStr">
        <is>
          <t>Apartments</t>
        </is>
      </c>
      <c r="F459" s="7" t="inlineStr">
        <is>
          <t>Music / Design</t>
        </is>
      </c>
      <c r="G459" t="inlineStr">
        <is>
          <t>1.0M</t>
        </is>
      </c>
      <c r="H459" t="inlineStr">
        <is>
          <t>1350</t>
        </is>
      </c>
      <c r="I459" t="inlineStr">
        <is>
          <t>15</t>
        </is>
      </c>
      <c r="J459" t="inlineStr">
        <is>
          <t>60/40</t>
        </is>
      </c>
      <c r="K459" t="inlineStr">
        <is>
          <t>2023</t>
        </is>
      </c>
      <c r="L459" t="inlineStr">
        <is>
          <t>7.5-8.0</t>
        </is>
      </c>
      <c r="M459" t="inlineStr">
        <is>
          <t>6-8</t>
        </is>
      </c>
      <c r="N459" t="inlineStr">
        <is>
          <t>13.5-16.0</t>
        </is>
      </c>
      <c r="O459" s="7" t="inlineStr">
        <is>
          <t>JSS International</t>
        </is>
      </c>
      <c r="P459" s="7" t="inlineStr">
        <is>
          <t>Saudi German Hospital</t>
        </is>
      </c>
      <c r="Q459" s="7" t="inlineStr">
        <is>
          <t>Circle Mall</t>
        </is>
      </c>
      <c r="R459" s="7" t="inlineStr">
        <is>
          <t>Hessa St / E44</t>
        </is>
      </c>
      <c r="S459" t="inlineStr">
        <is>
          <t>20</t>
        </is>
      </c>
      <c r="T459" t="inlineStr">
        <is>
          <t>15</t>
        </is>
      </c>
      <c r="U459" t="inlineStr">
        <is>
          <t>25</t>
        </is>
      </c>
      <c r="V459" t="inlineStr">
        <is>
          <t>30</t>
        </is>
      </c>
      <c r="W459" t="n">
        <v>2</v>
      </c>
      <c r="X459" s="12" t="n">
        <v>1000000</v>
      </c>
      <c r="Y459" s="12" t="n">
        <v>1000000</v>
      </c>
      <c r="Z459" s="9" t="n">
        <v>7.5</v>
      </c>
      <c r="AA459" s="9" t="n">
        <v>8</v>
      </c>
      <c r="AB459" s="9" t="n">
        <v>6</v>
      </c>
      <c r="AC459" s="9" t="n">
        <v>8</v>
      </c>
      <c r="AD459" s="9" t="n">
        <v>13.5</v>
      </c>
      <c r="AE459" s="9" t="n">
        <v>16</v>
      </c>
      <c r="AF459" t="n">
        <v>2023</v>
      </c>
      <c r="AH459" t="inlineStr">
        <is>
          <t>Apartment</t>
        </is>
      </c>
      <c r="AI459" t="inlineStr">
        <is>
          <t>SupplySensitiveApartment</t>
        </is>
      </c>
      <c r="AJ459" t="inlineStr">
        <is>
          <t>Established</t>
        </is>
      </c>
      <c r="AK459" t="inlineStr">
        <is>
          <t>Supply-sensitive / selective</t>
        </is>
      </c>
      <c r="AL459" s="7" t="inlineStr">
        <is>
          <t>Higher delivery risk in more price-sensitive apartment clusters; building selection and exit liquidity matter.</t>
        </is>
      </c>
      <c r="AM459" s="9" t="n">
        <v>7</v>
      </c>
      <c r="AN459" s="9" t="n">
        <v>7.75</v>
      </c>
      <c r="AO459" s="10" t="n">
        <v>0.55</v>
      </c>
      <c r="AP459" s="13" t="n">
        <v>0</v>
      </c>
      <c r="AQ459" s="13" t="n">
        <v>0</v>
      </c>
      <c r="AR459" s="13" t="n">
        <v>-0.01</v>
      </c>
      <c r="AS459" s="13" t="n">
        <v>-0.01</v>
      </c>
      <c r="AT459" s="13" t="n">
        <v>0</v>
      </c>
      <c r="AU459" s="13" t="n">
        <v>0.0025</v>
      </c>
      <c r="AV459" s="13" t="n">
        <v>-0.005</v>
      </c>
      <c r="AW459" s="13">
        <f>IF(X459="","",(AM459/100*AO459)+AP459+AQ459+AR459)</f>
        <v/>
      </c>
      <c r="AX459" s="13">
        <f>IF(X459="","",AS459+AT459+AU459+AV459)</f>
        <v/>
      </c>
      <c r="AY459" s="12">
        <f>IF(AZ459="","",ROUND(AZ459*(1+Assumptions!$B$10),0))</f>
        <v/>
      </c>
      <c r="AZ459" s="12">
        <f>IF(X459="","",ROUND(X459*(1+AW459),0))</f>
        <v/>
      </c>
      <c r="BA459" s="12">
        <f>IF(AZ459="","",ROUND(AZ459*(1+Assumptions!$B$11),0))</f>
        <v/>
      </c>
      <c r="BB459" s="12">
        <f>IF(AZ459="","",ROUND(AZ459*(1+AX459+Assumptions!$B$10),0))</f>
        <v/>
      </c>
      <c r="BC459" s="12">
        <f>IF(AZ459="","",ROUND(AZ459*(1+AX459),0))</f>
        <v/>
      </c>
      <c r="BD459" s="12">
        <f>IF(AZ459="","",ROUND(AZ459*(1+AX459+Assumptions!$B$11),0))</f>
        <v/>
      </c>
      <c r="BE459" s="12">
        <f>IF(AZ459="","",ROUND(AZ459*(1+AX459)*(1+AX459),0))</f>
        <v/>
      </c>
      <c r="BF459" s="7" t="inlineStr">
        <is>
          <t>Rules-based enrichment using launch-price anchor, cap-app realization, and 2026 segment conditions.</t>
        </is>
      </c>
      <c r="BG459" t="inlineStr">
        <is>
          <t>2026-03-17</t>
        </is>
      </c>
      <c r="BH459" s="7" t="inlineStr">
        <is>
          <t>DLD / Digital Dubai / CBUAE / Savills / Knight Frank-Moody’s / Reuters</t>
        </is>
      </c>
    </row>
    <row r="460">
      <c r="A460" t="n">
        <v>459</v>
      </c>
      <c r="B460" s="7" t="inlineStr">
        <is>
          <t>Karl Lagerfeld Villas</t>
        </is>
      </c>
      <c r="C460" t="inlineStr">
        <is>
          <t>Taraf Properties</t>
        </is>
      </c>
      <c r="D460" t="inlineStr">
        <is>
          <t>MBR City (Meydan)</t>
        </is>
      </c>
      <c r="E460" t="inlineStr">
        <is>
          <t>Villas</t>
        </is>
      </c>
      <c r="F460" s="7" t="inlineStr">
        <is>
          <t>Branded / Fashion</t>
        </is>
      </c>
      <c r="G460" t="inlineStr">
        <is>
          <t>15M+</t>
        </is>
      </c>
      <c r="H460" t="inlineStr">
        <is>
          <t>3000</t>
        </is>
      </c>
      <c r="I460" t="inlineStr">
        <is>
          <t>25</t>
        </is>
      </c>
      <c r="J460" t="inlineStr">
        <is>
          <t>60/40</t>
        </is>
      </c>
      <c r="K460" t="inlineStr">
        <is>
          <t>2024</t>
        </is>
      </c>
      <c r="L460" t="inlineStr">
        <is>
          <t>4.5-5.0</t>
        </is>
      </c>
      <c r="M460" t="inlineStr">
        <is>
          <t>8-12</t>
        </is>
      </c>
      <c r="N460" t="inlineStr">
        <is>
          <t>12.5-17.0</t>
        </is>
      </c>
      <c r="O460" s="7" t="inlineStr">
        <is>
          <t>Hartland Intl</t>
        </is>
      </c>
      <c r="P460" s="7" t="inlineStr">
        <is>
          <t>American Hospital</t>
        </is>
      </c>
      <c r="Q460" s="7" t="inlineStr">
        <is>
          <t>Dubai Mall</t>
        </is>
      </c>
      <c r="R460" s="7" t="inlineStr">
        <is>
          <t>Ras Al Khor / E44</t>
        </is>
      </c>
      <c r="S460" t="inlineStr">
        <is>
          <t>12</t>
        </is>
      </c>
      <c r="T460" t="inlineStr">
        <is>
          <t>25</t>
        </is>
      </c>
      <c r="U460" t="inlineStr">
        <is>
          <t>15</t>
        </is>
      </c>
      <c r="V460" t="inlineStr">
        <is>
          <t>40</t>
        </is>
      </c>
      <c r="W460" t="n">
        <v>2</v>
      </c>
      <c r="X460" s="12" t="n">
        <v>15000000</v>
      </c>
      <c r="Y460" s="12" t="n">
        <v>15000000</v>
      </c>
      <c r="Z460" s="9" t="n">
        <v>4.5</v>
      </c>
      <c r="AA460" s="9" t="n">
        <v>5</v>
      </c>
      <c r="AB460" s="9" t="n">
        <v>8</v>
      </c>
      <c r="AC460" s="9" t="n">
        <v>12</v>
      </c>
      <c r="AD460" s="9" t="n">
        <v>12.5</v>
      </c>
      <c r="AE460" s="9" t="n">
        <v>17</v>
      </c>
      <c r="AF460" t="n">
        <v>2024</v>
      </c>
      <c r="AH460" t="inlineStr">
        <is>
          <t>Villa</t>
        </is>
      </c>
      <c r="AI460" t="inlineStr">
        <is>
          <t>MainstreamSelective</t>
        </is>
      </c>
      <c r="AJ460" t="inlineStr">
        <is>
          <t>Established</t>
        </is>
      </c>
      <c r="AK460" t="inlineStr">
        <is>
          <t>Family-villa resilient</t>
        </is>
      </c>
      <c r="AL460" s="7" t="inlineStr">
        <is>
          <t>Villa/townhouse demand remains relatively firmer, though growth should be slower than the post-2020 surge.</t>
        </is>
      </c>
      <c r="AM460" s="9" t="n">
        <v>10</v>
      </c>
      <c r="AN460" s="9" t="n">
        <v>4.75</v>
      </c>
      <c r="AO460" s="10" t="n">
        <v>0.55</v>
      </c>
      <c r="AP460" s="13" t="n">
        <v>0</v>
      </c>
      <c r="AQ460" s="13" t="n">
        <v>0.015</v>
      </c>
      <c r="AR460" s="13" t="n">
        <v>0</v>
      </c>
      <c r="AS460" s="13" t="n">
        <v>0.025</v>
      </c>
      <c r="AT460" s="13" t="n">
        <v>0</v>
      </c>
      <c r="AU460" s="13" t="n">
        <v>0</v>
      </c>
      <c r="AV460" s="13" t="n">
        <v>-0.005</v>
      </c>
      <c r="AW460" s="13">
        <f>IF(X460="","",(AM460/100*AO460)+AP460+AQ460+AR460)</f>
        <v/>
      </c>
      <c r="AX460" s="13">
        <f>IF(X460="","",AS460+AT460+AU460+AV460)</f>
        <v/>
      </c>
      <c r="AY460" s="12">
        <f>IF(AZ460="","",ROUND(AZ460*(1+Assumptions!$B$10),0))</f>
        <v/>
      </c>
      <c r="AZ460" s="12">
        <f>IF(X460="","",ROUND(X460*(1+AW460),0))</f>
        <v/>
      </c>
      <c r="BA460" s="12">
        <f>IF(AZ460="","",ROUND(AZ460*(1+Assumptions!$B$11),0))</f>
        <v/>
      </c>
      <c r="BB460" s="12">
        <f>IF(AZ460="","",ROUND(AZ460*(1+AX460+Assumptions!$B$10),0))</f>
        <v/>
      </c>
      <c r="BC460" s="12">
        <f>IF(AZ460="","",ROUND(AZ460*(1+AX460),0))</f>
        <v/>
      </c>
      <c r="BD460" s="12">
        <f>IF(AZ460="","",ROUND(AZ460*(1+AX460+Assumptions!$B$11),0))</f>
        <v/>
      </c>
      <c r="BE460" s="12">
        <f>IF(AZ460="","",ROUND(AZ460*(1+AX460)*(1+AX460),0))</f>
        <v/>
      </c>
      <c r="BF460" s="7" t="inlineStr">
        <is>
          <t>Rules-based enrichment using launch-price anchor, cap-app realization, and 2026 segment conditions.</t>
        </is>
      </c>
      <c r="BG460" t="inlineStr">
        <is>
          <t>2026-03-17</t>
        </is>
      </c>
      <c r="BH460" s="7" t="inlineStr">
        <is>
          <t>DLD / Digital Dubai / CBUAE / Savills / Knight Frank-Moody’s / Reuters</t>
        </is>
      </c>
    </row>
    <row r="461">
      <c r="A461" t="n">
        <v>460</v>
      </c>
      <c r="B461" s="7" t="inlineStr">
        <is>
          <t>Muraba Residences</t>
        </is>
      </c>
      <c r="C461" t="inlineStr">
        <is>
          <t>Muraba</t>
        </is>
      </c>
      <c r="D461" t="inlineStr">
        <is>
          <t>Palm Jumeirah</t>
        </is>
      </c>
      <c r="E461" t="inlineStr">
        <is>
          <t>Apartments</t>
        </is>
      </c>
      <c r="F461" s="7" t="inlineStr">
        <is>
          <t>Pritzker Design</t>
        </is>
      </c>
      <c r="G461" t="inlineStr">
        <is>
          <t>Resale (5M+)</t>
        </is>
      </c>
      <c r="H461" t="inlineStr">
        <is>
          <t>3500</t>
        </is>
      </c>
      <c r="I461" t="inlineStr">
        <is>
          <t>30</t>
        </is>
      </c>
      <c r="J461" t="inlineStr">
        <is>
          <t>Completed</t>
        </is>
      </c>
      <c r="K461" t="inlineStr">
        <is>
          <t>2016</t>
        </is>
      </c>
      <c r="L461" t="inlineStr">
        <is>
          <t>4.5-5.0</t>
        </is>
      </c>
      <c r="M461" t="inlineStr">
        <is>
          <t>5-7</t>
        </is>
      </c>
      <c r="N461" t="inlineStr">
        <is>
          <t>9.5-12.0</t>
        </is>
      </c>
      <c r="O461" s="7" t="inlineStr">
        <is>
          <t>Chevalier College</t>
        </is>
      </c>
      <c r="P461" s="7" t="inlineStr">
        <is>
          <t>Emirates Hospital</t>
        </is>
      </c>
      <c r="Q461" s="7" t="inlineStr">
        <is>
          <t>Nakheel Mall</t>
        </is>
      </c>
      <c r="R461" s="7" t="inlineStr">
        <is>
          <t>Sheikh Zayed E11</t>
        </is>
      </c>
      <c r="S461" t="inlineStr">
        <is>
          <t>20</t>
        </is>
      </c>
      <c r="T461" t="inlineStr">
        <is>
          <t>10</t>
        </is>
      </c>
      <c r="U461" t="inlineStr">
        <is>
          <t>25</t>
        </is>
      </c>
      <c r="V461" t="inlineStr">
        <is>
          <t>35</t>
        </is>
      </c>
      <c r="W461" t="n">
        <v>2</v>
      </c>
      <c r="X461" s="12" t="n">
        <v>5000000</v>
      </c>
      <c r="Y461" s="12" t="n">
        <v>5000000</v>
      </c>
      <c r="Z461" s="9" t="n">
        <v>4.5</v>
      </c>
      <c r="AA461" s="9" t="n">
        <v>5</v>
      </c>
      <c r="AB461" s="9" t="n">
        <v>5</v>
      </c>
      <c r="AC461" s="9" t="n">
        <v>7</v>
      </c>
      <c r="AD461" s="9" t="n">
        <v>9.5</v>
      </c>
      <c r="AE461" s="9" t="n">
        <v>12</v>
      </c>
      <c r="AF461" t="n">
        <v>2016</v>
      </c>
      <c r="AH461" t="inlineStr">
        <is>
          <t>Apartment</t>
        </is>
      </c>
      <c r="AI461" t="inlineStr">
        <is>
          <t>Prime</t>
        </is>
      </c>
      <c r="AJ461" t="inlineStr">
        <is>
          <t>Established</t>
        </is>
      </c>
      <c r="AK461" t="inlineStr">
        <is>
          <t>Prime resilient / selective</t>
        </is>
      </c>
      <c r="AL461" s="7" t="inlineStr">
        <is>
          <t>Better support from quality, branding, and scarcer prime stock; still entry-price sensitive.</t>
        </is>
      </c>
      <c r="AM461" s="9" t="n">
        <v>6</v>
      </c>
      <c r="AN461" s="9" t="n">
        <v>4.75</v>
      </c>
      <c r="AO461" s="10" t="n">
        <v>0.55</v>
      </c>
      <c r="AP461" s="13" t="n">
        <v>0.02</v>
      </c>
      <c r="AQ461" s="13" t="n">
        <v>0</v>
      </c>
      <c r="AR461" s="13" t="n">
        <v>0</v>
      </c>
      <c r="AS461" s="13" t="n">
        <v>0.03</v>
      </c>
      <c r="AT461" s="13" t="n">
        <v>0</v>
      </c>
      <c r="AU461" s="13" t="n">
        <v>0</v>
      </c>
      <c r="AV461" s="13" t="n">
        <v>-0.005</v>
      </c>
      <c r="AW461" s="13">
        <f>IF(X461="","",(AM461/100*AO461)+AP461+AQ461+AR461)</f>
        <v/>
      </c>
      <c r="AX461" s="13">
        <f>IF(X461="","",AS461+AT461+AU461+AV461)</f>
        <v/>
      </c>
      <c r="AY461" s="12">
        <f>IF(AZ461="","",ROUND(AZ461*(1+Assumptions!$B$10),0))</f>
        <v/>
      </c>
      <c r="AZ461" s="12">
        <f>IF(X461="","",ROUND(X461*(1+AW461),0))</f>
        <v/>
      </c>
      <c r="BA461" s="12">
        <f>IF(AZ461="","",ROUND(AZ461*(1+Assumptions!$B$11),0))</f>
        <v/>
      </c>
      <c r="BB461" s="12">
        <f>IF(AZ461="","",ROUND(AZ461*(1+AX461+Assumptions!$B$10),0))</f>
        <v/>
      </c>
      <c r="BC461" s="12">
        <f>IF(AZ461="","",ROUND(AZ461*(1+AX461),0))</f>
        <v/>
      </c>
      <c r="BD461" s="12">
        <f>IF(AZ461="","",ROUND(AZ461*(1+AX461+Assumptions!$B$11),0))</f>
        <v/>
      </c>
      <c r="BE461" s="12">
        <f>IF(AZ461="","",ROUND(AZ461*(1+AX461)*(1+AX461),0))</f>
        <v/>
      </c>
      <c r="BF461" s="7" t="inlineStr">
        <is>
          <t>Rules-based enrichment using launch-price anchor, cap-app realization, and 2026 segment conditions.</t>
        </is>
      </c>
      <c r="BG461" t="inlineStr">
        <is>
          <t>2026-03-17</t>
        </is>
      </c>
      <c r="BH461" s="7" t="inlineStr">
        <is>
          <t>DLD / Digital Dubai / CBUAE / Savills / Knight Frank-Moody’s / Reuters</t>
        </is>
      </c>
    </row>
    <row r="462">
      <c r="A462" t="n">
        <v>461</v>
      </c>
      <c r="B462" s="7" t="inlineStr">
        <is>
          <t>Muraba Veil</t>
        </is>
      </c>
      <c r="C462" t="inlineStr">
        <is>
          <t>Muraba</t>
        </is>
      </c>
      <c r="D462" t="inlineStr">
        <is>
          <t>Sheikh Zayed Road</t>
        </is>
      </c>
      <c r="E462" t="inlineStr">
        <is>
          <t>Apartments</t>
        </is>
      </c>
      <c r="F462" s="7" t="inlineStr">
        <is>
          <t>Thin Tower</t>
        </is>
      </c>
      <c r="G462" t="inlineStr">
        <is>
          <t>TBA</t>
        </is>
      </c>
      <c r="H462" t="inlineStr">
        <is>
          <t>TBA</t>
        </is>
      </c>
      <c r="I462" t="inlineStr">
        <is>
          <t>30+</t>
        </is>
      </c>
      <c r="J462" t="inlineStr">
        <is>
          <t>TBA</t>
        </is>
      </c>
      <c r="K462" t="inlineStr">
        <is>
          <t>2024</t>
        </is>
      </c>
      <c r="L462" t="inlineStr">
        <is>
          <t>5.0-5.5</t>
        </is>
      </c>
      <c r="M462" t="inlineStr">
        <is>
          <t>8-12</t>
        </is>
      </c>
      <c r="N462" t="inlineStr">
        <is>
          <t>13.0-17.5</t>
        </is>
      </c>
      <c r="O462" s="7" t="inlineStr">
        <is>
          <t>JESS Jumeirah</t>
        </is>
      </c>
      <c r="P462" s="7" t="inlineStr">
        <is>
          <t>Medcare Hospital</t>
        </is>
      </c>
      <c r="Q462" s="7" t="inlineStr">
        <is>
          <t>Dubai Mall</t>
        </is>
      </c>
      <c r="R462" s="7" t="inlineStr">
        <is>
          <t>Sheikh Zayed E11</t>
        </is>
      </c>
      <c r="S462" t="inlineStr">
        <is>
          <t>5</t>
        </is>
      </c>
      <c r="T462" t="inlineStr">
        <is>
          <t>15</t>
        </is>
      </c>
      <c r="U462" t="inlineStr">
        <is>
          <t>15</t>
        </is>
      </c>
      <c r="V462" t="inlineStr">
        <is>
          <t>35</t>
        </is>
      </c>
      <c r="W462" t="n">
        <v>2</v>
      </c>
      <c r="X462" s="12" t="n"/>
      <c r="Y462" s="12" t="n"/>
      <c r="Z462" s="9" t="n">
        <v>5</v>
      </c>
      <c r="AA462" s="9" t="n">
        <v>5.5</v>
      </c>
      <c r="AB462" s="9" t="n">
        <v>8</v>
      </c>
      <c r="AC462" s="9" t="n">
        <v>12</v>
      </c>
      <c r="AD462" s="9" t="n">
        <v>13</v>
      </c>
      <c r="AE462" s="9" t="n">
        <v>17.5</v>
      </c>
      <c r="AF462" t="n">
        <v>2024</v>
      </c>
      <c r="AH462" t="inlineStr">
        <is>
          <t>Apartment</t>
        </is>
      </c>
      <c r="AI462" t="inlineStr">
        <is>
          <t>MainstreamSelective</t>
        </is>
      </c>
      <c r="AJ462" t="inlineStr">
        <is>
          <t>Established</t>
        </is>
      </c>
      <c r="AK462" t="inlineStr">
        <is>
          <t>Balanced / selective</t>
        </is>
      </c>
      <c r="AL462" s="7" t="inlineStr">
        <is>
          <t>Market remains active but increasingly differentiated by developer, micro-location, livability, and pricing discipline.</t>
        </is>
      </c>
      <c r="AM462" s="9" t="n">
        <v>10</v>
      </c>
      <c r="AN462" s="9" t="n">
        <v>5.25</v>
      </c>
      <c r="AO462" s="10" t="n">
        <v>0.55</v>
      </c>
      <c r="AP462" s="13" t="n">
        <v>0</v>
      </c>
      <c r="AQ462" s="13" t="n">
        <v>0</v>
      </c>
      <c r="AR462" s="13" t="n">
        <v>0</v>
      </c>
      <c r="AS462" s="13" t="n">
        <v>0.01</v>
      </c>
      <c r="AT462" s="13" t="n">
        <v>0</v>
      </c>
      <c r="AU462" s="13" t="n">
        <v>0</v>
      </c>
      <c r="AV462" s="13" t="n">
        <v>-0.005</v>
      </c>
      <c r="AW462" s="13">
        <f>IF(X462="","",(AM462/100*AO462)+AP462+AQ462+AR462)</f>
        <v/>
      </c>
      <c r="AX462" s="13">
        <f>IF(X462="","",AS462+AT462+AU462+AV462)</f>
        <v/>
      </c>
      <c r="AY462" s="12">
        <f>IF(AZ462="","",ROUND(AZ462*(1+Assumptions!$B$10),0))</f>
        <v/>
      </c>
      <c r="AZ462" s="12">
        <f>IF(X462="","",ROUND(X462*(1+AW462),0))</f>
        <v/>
      </c>
      <c r="BA462" s="12">
        <f>IF(AZ462="","",ROUND(AZ462*(1+Assumptions!$B$11),0))</f>
        <v/>
      </c>
      <c r="BB462" s="12">
        <f>IF(AZ462="","",ROUND(AZ462*(1+AX462+Assumptions!$B$10),0))</f>
        <v/>
      </c>
      <c r="BC462" s="12">
        <f>IF(AZ462="","",ROUND(AZ462*(1+AX462),0))</f>
        <v/>
      </c>
      <c r="BD462" s="12">
        <f>IF(AZ462="","",ROUND(AZ462*(1+AX462+Assumptions!$B$11),0))</f>
        <v/>
      </c>
      <c r="BE462" s="12">
        <f>IF(AZ462="","",ROUND(AZ462*(1+AX462)*(1+AX462),0))</f>
        <v/>
      </c>
      <c r="BF462" s="7" t="inlineStr">
        <is>
          <t>Rules-based enrichment using launch-price anchor, cap-app realization, and 2026 segment conditions.</t>
        </is>
      </c>
      <c r="BG462" t="inlineStr">
        <is>
          <t>2026-03-17</t>
        </is>
      </c>
      <c r="BH462" s="7" t="inlineStr">
        <is>
          <t>DLD / Digital Dubai / CBUAE / Savills / Knight Frank-Moody’s / Reuters</t>
        </is>
      </c>
    </row>
    <row r="463">
      <c r="A463" t="n">
        <v>462</v>
      </c>
      <c r="B463" s="7" t="inlineStr">
        <is>
          <t>Muraba Dia (Planned)</t>
        </is>
      </c>
      <c r="C463" t="inlineStr">
        <is>
          <t>Muraba</t>
        </is>
      </c>
      <c r="D463" t="inlineStr">
        <is>
          <t>TBA</t>
        </is>
      </c>
      <c r="E463" t="inlineStr">
        <is>
          <t>Apartments</t>
        </is>
      </c>
      <c r="F463" s="7" t="inlineStr">
        <is>
          <t>Design</t>
        </is>
      </c>
      <c r="G463" t="inlineStr">
        <is>
          <t>TBA</t>
        </is>
      </c>
      <c r="H463" t="inlineStr">
        <is>
          <t>TBA</t>
        </is>
      </c>
      <c r="I463" t="inlineStr">
        <is>
          <t>TBA</t>
        </is>
      </c>
      <c r="J463" t="inlineStr">
        <is>
          <t>TBA</t>
        </is>
      </c>
      <c r="K463" t="inlineStr">
        <is>
          <t>Planned</t>
        </is>
      </c>
      <c r="L463" t="inlineStr">
        <is>
          <t>TBA</t>
        </is>
      </c>
      <c r="M463" t="inlineStr">
        <is>
          <t>TBA</t>
        </is>
      </c>
      <c r="N463" t="inlineStr">
        <is>
          <t>TBA</t>
        </is>
      </c>
      <c r="O463" s="7" t="inlineStr">
        <is>
          <t>TBA</t>
        </is>
      </c>
      <c r="P463" s="7" t="inlineStr">
        <is>
          <t>TBA</t>
        </is>
      </c>
      <c r="Q463" s="7" t="inlineStr">
        <is>
          <t>TBA</t>
        </is>
      </c>
      <c r="R463" s="7" t="inlineStr">
        <is>
          <t>TBA</t>
        </is>
      </c>
      <c r="S463" t="inlineStr">
        <is>
          <t>TBA</t>
        </is>
      </c>
      <c r="T463" t="inlineStr">
        <is>
          <t>TBA</t>
        </is>
      </c>
      <c r="U463" t="inlineStr">
        <is>
          <t>TBA</t>
        </is>
      </c>
      <c r="V463" t="inlineStr">
        <is>
          <t>TBA</t>
        </is>
      </c>
      <c r="W463" t="n">
        <v>2</v>
      </c>
      <c r="X463" s="12" t="n"/>
      <c r="Y463" s="12" t="n"/>
      <c r="Z463" s="9" t="n"/>
      <c r="AA463" s="9" t="n"/>
      <c r="AB463" s="9" t="n"/>
      <c r="AC463" s="9" t="n"/>
      <c r="AD463" s="9" t="n"/>
      <c r="AE463" s="9" t="n"/>
      <c r="AH463" t="inlineStr">
        <is>
          <t>Apartment</t>
        </is>
      </c>
      <c r="AI463" t="inlineStr">
        <is>
          <t>MainstreamSelective</t>
        </is>
      </c>
      <c r="AJ463" t="inlineStr">
        <is>
          <t>Established</t>
        </is>
      </c>
      <c r="AK463" t="inlineStr">
        <is>
          <t>Balanced / selective</t>
        </is>
      </c>
      <c r="AL463" s="7" t="inlineStr">
        <is>
          <t>Market remains active but increasingly differentiated by developer, micro-location, livability, and pricing discipline.</t>
        </is>
      </c>
      <c r="AM463" s="9" t="n">
        <v>0</v>
      </c>
      <c r="AN463" s="9" t="n">
        <v>0</v>
      </c>
      <c r="AO463" s="10" t="n">
        <v>0.25</v>
      </c>
      <c r="AP463" s="13" t="n">
        <v>0</v>
      </c>
      <c r="AQ463" s="13" t="n">
        <v>0</v>
      </c>
      <c r="AR463" s="13" t="n">
        <v>0</v>
      </c>
      <c r="AS463" s="13" t="n">
        <v>0.01</v>
      </c>
      <c r="AT463" s="13" t="n">
        <v>0</v>
      </c>
      <c r="AU463" s="13" t="n">
        <v>0</v>
      </c>
      <c r="AV463" s="13" t="n">
        <v>-0.005</v>
      </c>
      <c r="AW463" s="13">
        <f>IF(X463="","",(AM463/100*AO463)+AP463+AQ463+AR463)</f>
        <v/>
      </c>
      <c r="AX463" s="13">
        <f>IF(X463="","",AS463+AT463+AU463+AV463)</f>
        <v/>
      </c>
      <c r="AY463" s="12">
        <f>IF(AZ463="","",ROUND(AZ463*(1+Assumptions!$B$10),0))</f>
        <v/>
      </c>
      <c r="AZ463" s="12">
        <f>IF(X463="","",ROUND(X463*(1+AW463),0))</f>
        <v/>
      </c>
      <c r="BA463" s="12">
        <f>IF(AZ463="","",ROUND(AZ463*(1+Assumptions!$B$11),0))</f>
        <v/>
      </c>
      <c r="BB463" s="12">
        <f>IF(AZ463="","",ROUND(AZ463*(1+AX463+Assumptions!$B$10),0))</f>
        <v/>
      </c>
      <c r="BC463" s="12">
        <f>IF(AZ463="","",ROUND(AZ463*(1+AX463),0))</f>
        <v/>
      </c>
      <c r="BD463" s="12">
        <f>IF(AZ463="","",ROUND(AZ463*(1+AX463+Assumptions!$B$11),0))</f>
        <v/>
      </c>
      <c r="BE463" s="12">
        <f>IF(AZ463="","",ROUND(AZ463*(1+AX463)*(1+AX463),0))</f>
        <v/>
      </c>
      <c r="BF463" s="7" t="inlineStr">
        <is>
          <t>Rules-based enrichment using launch-price anchor, cap-app realization, and 2026 segment conditions.</t>
        </is>
      </c>
      <c r="BG463" t="inlineStr">
        <is>
          <t>2026-03-17</t>
        </is>
      </c>
      <c r="BH463" s="7" t="inlineStr">
        <is>
          <t>DLD / Digital Dubai / CBUAE / Savills / Knight Frank-Moody’s / Reuters</t>
        </is>
      </c>
    </row>
    <row r="464">
      <c r="A464" t="n">
        <v>463</v>
      </c>
      <c r="B464" s="7" t="inlineStr">
        <is>
          <t>Eywa</t>
        </is>
      </c>
      <c r="C464" t="inlineStr">
        <is>
          <t>R.Evolution</t>
        </is>
      </c>
      <c r="D464" t="inlineStr">
        <is>
          <t>Business Bay</t>
        </is>
      </c>
      <c r="E464" t="inlineStr">
        <is>
          <t>Apartments</t>
        </is>
      </c>
      <c r="F464" s="7" t="inlineStr">
        <is>
          <t>Wellness / Tree of Life</t>
        </is>
      </c>
      <c r="G464" t="inlineStr">
        <is>
          <t>8.0M</t>
        </is>
      </c>
      <c r="H464" t="inlineStr">
        <is>
          <t>4000</t>
        </is>
      </c>
      <c r="I464" t="inlineStr">
        <is>
          <t>35</t>
        </is>
      </c>
      <c r="J464" t="inlineStr">
        <is>
          <t>60/40</t>
        </is>
      </c>
      <c r="K464" t="inlineStr">
        <is>
          <t>2023</t>
        </is>
      </c>
      <c r="L464" t="inlineStr">
        <is>
          <t>5.0-5.5</t>
        </is>
      </c>
      <c r="M464" t="inlineStr">
        <is>
          <t>8-12</t>
        </is>
      </c>
      <c r="N464" t="inlineStr">
        <is>
          <t>13.0-17.5</t>
        </is>
      </c>
      <c r="O464" s="7" t="inlineStr">
        <is>
          <t>Hartland Intl</t>
        </is>
      </c>
      <c r="P464" s="7" t="inlineStr">
        <is>
          <t>Emirates Hospital BB</t>
        </is>
      </c>
      <c r="Q464" s="7" t="inlineStr">
        <is>
          <t>Dubai Mall</t>
        </is>
      </c>
      <c r="R464" s="7" t="inlineStr">
        <is>
          <t>Al Khail E44</t>
        </is>
      </c>
      <c r="S464" t="inlineStr">
        <is>
          <t>5</t>
        </is>
      </c>
      <c r="T464" t="inlineStr">
        <is>
          <t>20</t>
        </is>
      </c>
      <c r="U464" t="inlineStr">
        <is>
          <t>15</t>
        </is>
      </c>
      <c r="V464" t="inlineStr">
        <is>
          <t>35</t>
        </is>
      </c>
      <c r="W464" t="n">
        <v>2</v>
      </c>
      <c r="X464" s="12" t="n">
        <v>8000000</v>
      </c>
      <c r="Y464" s="12" t="n">
        <v>8000000</v>
      </c>
      <c r="Z464" s="9" t="n">
        <v>5</v>
      </c>
      <c r="AA464" s="9" t="n">
        <v>5.5</v>
      </c>
      <c r="AB464" s="9" t="n">
        <v>8</v>
      </c>
      <c r="AC464" s="9" t="n">
        <v>12</v>
      </c>
      <c r="AD464" s="9" t="n">
        <v>13</v>
      </c>
      <c r="AE464" s="9" t="n">
        <v>17.5</v>
      </c>
      <c r="AF464" t="n">
        <v>2023</v>
      </c>
      <c r="AH464" t="inlineStr">
        <is>
          <t>Apartment</t>
        </is>
      </c>
      <c r="AI464" t="inlineStr">
        <is>
          <t>Prime</t>
        </is>
      </c>
      <c r="AJ464" t="inlineStr">
        <is>
          <t>Established</t>
        </is>
      </c>
      <c r="AK464" t="inlineStr">
        <is>
          <t>Prime resilient / selective</t>
        </is>
      </c>
      <c r="AL464" s="7" t="inlineStr">
        <is>
          <t>Better support from quality, branding, and scarcer prime stock; still entry-price sensitive.</t>
        </is>
      </c>
      <c r="AM464" s="9" t="n">
        <v>10</v>
      </c>
      <c r="AN464" s="9" t="n">
        <v>5.25</v>
      </c>
      <c r="AO464" s="10" t="n">
        <v>0.55</v>
      </c>
      <c r="AP464" s="13" t="n">
        <v>0.02</v>
      </c>
      <c r="AQ464" s="13" t="n">
        <v>0</v>
      </c>
      <c r="AR464" s="13" t="n">
        <v>0</v>
      </c>
      <c r="AS464" s="13" t="n">
        <v>0.03</v>
      </c>
      <c r="AT464" s="13" t="n">
        <v>0</v>
      </c>
      <c r="AU464" s="13" t="n">
        <v>0</v>
      </c>
      <c r="AV464" s="13" t="n">
        <v>-0.005</v>
      </c>
      <c r="AW464" s="13">
        <f>IF(X464="","",(AM464/100*AO464)+AP464+AQ464+AR464)</f>
        <v/>
      </c>
      <c r="AX464" s="13">
        <f>IF(X464="","",AS464+AT464+AU464+AV464)</f>
        <v/>
      </c>
      <c r="AY464" s="12">
        <f>IF(AZ464="","",ROUND(AZ464*(1+Assumptions!$B$10),0))</f>
        <v/>
      </c>
      <c r="AZ464" s="12">
        <f>IF(X464="","",ROUND(X464*(1+AW464),0))</f>
        <v/>
      </c>
      <c r="BA464" s="12">
        <f>IF(AZ464="","",ROUND(AZ464*(1+Assumptions!$B$11),0))</f>
        <v/>
      </c>
      <c r="BB464" s="12">
        <f>IF(AZ464="","",ROUND(AZ464*(1+AX464+Assumptions!$B$10),0))</f>
        <v/>
      </c>
      <c r="BC464" s="12">
        <f>IF(AZ464="","",ROUND(AZ464*(1+AX464),0))</f>
        <v/>
      </c>
      <c r="BD464" s="12">
        <f>IF(AZ464="","",ROUND(AZ464*(1+AX464+Assumptions!$B$11),0))</f>
        <v/>
      </c>
      <c r="BE464" s="12">
        <f>IF(AZ464="","",ROUND(AZ464*(1+AX464)*(1+AX464),0))</f>
        <v/>
      </c>
      <c r="BF464" s="7" t="inlineStr">
        <is>
          <t>Rules-based enrichment using launch-price anchor, cap-app realization, and 2026 segment conditions.</t>
        </is>
      </c>
      <c r="BG464" t="inlineStr">
        <is>
          <t>2026-03-17</t>
        </is>
      </c>
      <c r="BH464" s="7" t="inlineStr">
        <is>
          <t>DLD / Digital Dubai / CBUAE / Savills / Knight Frank-Moody’s / Reuters</t>
        </is>
      </c>
    </row>
    <row r="465">
      <c r="A465" t="n">
        <v>464</v>
      </c>
      <c r="B465" s="7" t="inlineStr">
        <is>
          <t>Eywa 2 (Planned)</t>
        </is>
      </c>
      <c r="C465" t="inlineStr">
        <is>
          <t>R.Evolution</t>
        </is>
      </c>
      <c r="D465" t="inlineStr">
        <is>
          <t>TBA</t>
        </is>
      </c>
      <c r="E465" t="inlineStr">
        <is>
          <t>Apartments</t>
        </is>
      </c>
      <c r="F465" s="7" t="inlineStr">
        <is>
          <t>Wellness</t>
        </is>
      </c>
      <c r="G465" t="inlineStr">
        <is>
          <t>TBA</t>
        </is>
      </c>
      <c r="H465" t="inlineStr">
        <is>
          <t>TBA</t>
        </is>
      </c>
      <c r="I465" t="inlineStr">
        <is>
          <t>TBA</t>
        </is>
      </c>
      <c r="J465" t="inlineStr">
        <is>
          <t>TBA</t>
        </is>
      </c>
      <c r="K465" t="inlineStr">
        <is>
          <t>Planned</t>
        </is>
      </c>
      <c r="L465" t="inlineStr">
        <is>
          <t>TBA</t>
        </is>
      </c>
      <c r="M465" t="inlineStr">
        <is>
          <t>TBA</t>
        </is>
      </c>
      <c r="N465" t="inlineStr">
        <is>
          <t>TBA</t>
        </is>
      </c>
      <c r="O465" s="7" t="inlineStr">
        <is>
          <t>Hartland Intl</t>
        </is>
      </c>
      <c r="P465" s="7" t="inlineStr">
        <is>
          <t>Emirates Hospital BB</t>
        </is>
      </c>
      <c r="Q465" s="7" t="inlineStr">
        <is>
          <t>Dubai Mall</t>
        </is>
      </c>
      <c r="R465" s="7" t="inlineStr">
        <is>
          <t>Al Khail E44</t>
        </is>
      </c>
      <c r="S465" t="inlineStr">
        <is>
          <t>5</t>
        </is>
      </c>
      <c r="T465" t="inlineStr">
        <is>
          <t>20</t>
        </is>
      </c>
      <c r="U465" t="inlineStr">
        <is>
          <t>15</t>
        </is>
      </c>
      <c r="V465" t="inlineStr">
        <is>
          <t>35</t>
        </is>
      </c>
      <c r="W465" t="n">
        <v>2</v>
      </c>
      <c r="X465" s="12" t="n"/>
      <c r="Y465" s="12" t="n"/>
      <c r="Z465" s="9" t="n"/>
      <c r="AA465" s="9" t="n"/>
      <c r="AB465" s="9" t="n"/>
      <c r="AC465" s="9" t="n"/>
      <c r="AD465" s="9" t="n"/>
      <c r="AE465" s="9" t="n"/>
      <c r="AH465" t="inlineStr">
        <is>
          <t>Apartment</t>
        </is>
      </c>
      <c r="AI465" t="inlineStr">
        <is>
          <t>MainstreamSelective</t>
        </is>
      </c>
      <c r="AJ465" t="inlineStr">
        <is>
          <t>Established</t>
        </is>
      </c>
      <c r="AK465" t="inlineStr">
        <is>
          <t>Balanced / selective</t>
        </is>
      </c>
      <c r="AL465" s="7" t="inlineStr">
        <is>
          <t>Market remains active but increasingly differentiated by developer, micro-location, livability, and pricing discipline.</t>
        </is>
      </c>
      <c r="AM465" s="9" t="n">
        <v>0</v>
      </c>
      <c r="AN465" s="9" t="n">
        <v>0</v>
      </c>
      <c r="AO465" s="10" t="n">
        <v>0.25</v>
      </c>
      <c r="AP465" s="13" t="n">
        <v>0</v>
      </c>
      <c r="AQ465" s="13" t="n">
        <v>0</v>
      </c>
      <c r="AR465" s="13" t="n">
        <v>0</v>
      </c>
      <c r="AS465" s="13" t="n">
        <v>0.01</v>
      </c>
      <c r="AT465" s="13" t="n">
        <v>0</v>
      </c>
      <c r="AU465" s="13" t="n">
        <v>0</v>
      </c>
      <c r="AV465" s="13" t="n">
        <v>-0.005</v>
      </c>
      <c r="AW465" s="13">
        <f>IF(X465="","",(AM465/100*AO465)+AP465+AQ465+AR465)</f>
        <v/>
      </c>
      <c r="AX465" s="13">
        <f>IF(X465="","",AS465+AT465+AU465+AV465)</f>
        <v/>
      </c>
      <c r="AY465" s="12">
        <f>IF(AZ465="","",ROUND(AZ465*(1+Assumptions!$B$10),0))</f>
        <v/>
      </c>
      <c r="AZ465" s="12">
        <f>IF(X465="","",ROUND(X465*(1+AW465),0))</f>
        <v/>
      </c>
      <c r="BA465" s="12">
        <f>IF(AZ465="","",ROUND(AZ465*(1+Assumptions!$B$11),0))</f>
        <v/>
      </c>
      <c r="BB465" s="12">
        <f>IF(AZ465="","",ROUND(AZ465*(1+AX465+Assumptions!$B$10),0))</f>
        <v/>
      </c>
      <c r="BC465" s="12">
        <f>IF(AZ465="","",ROUND(AZ465*(1+AX465),0))</f>
        <v/>
      </c>
      <c r="BD465" s="12">
        <f>IF(AZ465="","",ROUND(AZ465*(1+AX465+Assumptions!$B$11),0))</f>
        <v/>
      </c>
      <c r="BE465" s="12">
        <f>IF(AZ465="","",ROUND(AZ465*(1+AX465)*(1+AX465),0))</f>
        <v/>
      </c>
      <c r="BF465" s="7" t="inlineStr">
        <is>
          <t>Rules-based enrichment using launch-price anchor, cap-app realization, and 2026 segment conditions.</t>
        </is>
      </c>
      <c r="BG465" t="inlineStr">
        <is>
          <t>2026-03-17</t>
        </is>
      </c>
      <c r="BH465" s="7" t="inlineStr">
        <is>
          <t>DLD / Digital Dubai / CBUAE / Savills / Knight Frank-Moody’s / Reuters</t>
        </is>
      </c>
    </row>
    <row r="466">
      <c r="A466" t="n">
        <v>465</v>
      </c>
      <c r="B466" s="7" t="inlineStr">
        <is>
          <t>The Fields</t>
        </is>
      </c>
      <c r="C466" t="inlineStr">
        <is>
          <t>G&amp;Co</t>
        </is>
      </c>
      <c r="D466" t="inlineStr">
        <is>
          <t>MBR City (District 11)</t>
        </is>
      </c>
      <c r="E466" t="inlineStr">
        <is>
          <t>Townhouses</t>
        </is>
      </c>
      <c r="F466" s="7" t="inlineStr">
        <is>
          <t>Gated / Family</t>
        </is>
      </c>
      <c r="G466" t="inlineStr">
        <is>
          <t>Resale (3.5M+)</t>
        </is>
      </c>
      <c r="H466" t="inlineStr">
        <is>
          <t>1200</t>
        </is>
      </c>
      <c r="I466" t="inlineStr">
        <is>
          <t>12</t>
        </is>
      </c>
      <c r="J466" t="inlineStr">
        <is>
          <t>Completed</t>
        </is>
      </c>
      <c r="K466" t="inlineStr">
        <is>
          <t>2019-2023</t>
        </is>
      </c>
      <c r="L466" t="inlineStr">
        <is>
          <t>6.0-6.5</t>
        </is>
      </c>
      <c r="M466" t="inlineStr">
        <is>
          <t>5-7</t>
        </is>
      </c>
      <c r="N466" t="inlineStr">
        <is>
          <t>11.0-13.5</t>
        </is>
      </c>
      <c r="O466" s="7" t="inlineStr">
        <is>
          <t>Kent College</t>
        </is>
      </c>
      <c r="P466" s="7" t="inlineStr">
        <is>
          <t>Fakeeh University Hosp</t>
        </is>
      </c>
      <c r="Q466" s="7" t="inlineStr">
        <is>
          <t>Dubai Outlet Mall</t>
        </is>
      </c>
      <c r="R466" s="7" t="inlineStr">
        <is>
          <t>Al Ain Rd E66</t>
        </is>
      </c>
      <c r="S466" t="inlineStr">
        <is>
          <t>15</t>
        </is>
      </c>
      <c r="T466" t="inlineStr">
        <is>
          <t>20</t>
        </is>
      </c>
      <c r="U466" t="inlineStr">
        <is>
          <t>20</t>
        </is>
      </c>
      <c r="V466" t="inlineStr">
        <is>
          <t>30</t>
        </is>
      </c>
      <c r="W466" t="n">
        <v>2</v>
      </c>
      <c r="X466" s="12" t="n">
        <v>3500000</v>
      </c>
      <c r="Y466" s="12" t="n">
        <v>3500000</v>
      </c>
      <c r="Z466" s="9" t="n">
        <v>6</v>
      </c>
      <c r="AA466" s="9" t="n">
        <v>6.5</v>
      </c>
      <c r="AB466" s="9" t="n">
        <v>5</v>
      </c>
      <c r="AC466" s="9" t="n">
        <v>7</v>
      </c>
      <c r="AD466" s="9" t="n">
        <v>11</v>
      </c>
      <c r="AE466" s="9" t="n">
        <v>13.5</v>
      </c>
      <c r="AF466" t="n">
        <v>2019</v>
      </c>
      <c r="AH466" t="inlineStr">
        <is>
          <t>Townhouse</t>
        </is>
      </c>
      <c r="AI466" t="inlineStr">
        <is>
          <t>MainstreamSelective</t>
        </is>
      </c>
      <c r="AJ466" t="inlineStr">
        <is>
          <t>Established</t>
        </is>
      </c>
      <c r="AK466" t="inlineStr">
        <is>
          <t>Family-villa resilient</t>
        </is>
      </c>
      <c r="AL466" s="7" t="inlineStr">
        <is>
          <t>Villa/townhouse demand remains relatively firmer, though growth should be slower than the post-2020 surge.</t>
        </is>
      </c>
      <c r="AM466" s="9" t="n">
        <v>6</v>
      </c>
      <c r="AN466" s="9" t="n">
        <v>6.25</v>
      </c>
      <c r="AO466" s="10" t="n">
        <v>0.55</v>
      </c>
      <c r="AP466" s="13" t="n">
        <v>0</v>
      </c>
      <c r="AQ466" s="13" t="n">
        <v>0.015</v>
      </c>
      <c r="AR466" s="13" t="n">
        <v>0</v>
      </c>
      <c r="AS466" s="13" t="n">
        <v>0.025</v>
      </c>
      <c r="AT466" s="13" t="n">
        <v>0</v>
      </c>
      <c r="AU466" s="13" t="n">
        <v>0.0025</v>
      </c>
      <c r="AV466" s="13" t="n">
        <v>-0.005</v>
      </c>
      <c r="AW466" s="13">
        <f>IF(X466="","",(AM466/100*AO466)+AP466+AQ466+AR466)</f>
        <v/>
      </c>
      <c r="AX466" s="13">
        <f>IF(X466="","",AS466+AT466+AU466+AV466)</f>
        <v/>
      </c>
      <c r="AY466" s="12">
        <f>IF(AZ466="","",ROUND(AZ466*(1+Assumptions!$B$10),0))</f>
        <v/>
      </c>
      <c r="AZ466" s="12">
        <f>IF(X466="","",ROUND(X466*(1+AW466),0))</f>
        <v/>
      </c>
      <c r="BA466" s="12">
        <f>IF(AZ466="","",ROUND(AZ466*(1+Assumptions!$B$11),0))</f>
        <v/>
      </c>
      <c r="BB466" s="12">
        <f>IF(AZ466="","",ROUND(AZ466*(1+AX466+Assumptions!$B$10),0))</f>
        <v/>
      </c>
      <c r="BC466" s="12">
        <f>IF(AZ466="","",ROUND(AZ466*(1+AX466),0))</f>
        <v/>
      </c>
      <c r="BD466" s="12">
        <f>IF(AZ466="","",ROUND(AZ466*(1+AX466+Assumptions!$B$11),0))</f>
        <v/>
      </c>
      <c r="BE466" s="12">
        <f>IF(AZ466="","",ROUND(AZ466*(1+AX466)*(1+AX466),0))</f>
        <v/>
      </c>
      <c r="BF466" s="7" t="inlineStr">
        <is>
          <t>Rules-based enrichment using launch-price anchor, cap-app realization, and 2026 segment conditions.</t>
        </is>
      </c>
      <c r="BG466" t="inlineStr">
        <is>
          <t>2026-03-17</t>
        </is>
      </c>
      <c r="BH466" s="7" t="inlineStr">
        <is>
          <t>DLD / Digital Dubai / CBUAE / Savills / Knight Frank-Moody’s / Reuters</t>
        </is>
      </c>
    </row>
    <row r="467">
      <c r="A467" t="n">
        <v>466</v>
      </c>
      <c r="B467" s="7" t="inlineStr">
        <is>
          <t>Elie Saab Townhouses</t>
        </is>
      </c>
      <c r="C467" t="inlineStr">
        <is>
          <t>G&amp;Co</t>
        </is>
      </c>
      <c r="D467" t="inlineStr">
        <is>
          <t>The Fields (MBR City)</t>
        </is>
      </c>
      <c r="E467" t="inlineStr">
        <is>
          <t>Branded TH</t>
        </is>
      </c>
      <c r="F467" s="7" t="inlineStr">
        <is>
          <t>Fashion / Design</t>
        </is>
      </c>
      <c r="G467" t="inlineStr">
        <is>
          <t>4.5M</t>
        </is>
      </c>
      <c r="H467" t="inlineStr">
        <is>
          <t>1400</t>
        </is>
      </c>
      <c r="I467" t="inlineStr">
        <is>
          <t>15</t>
        </is>
      </c>
      <c r="J467" t="inlineStr">
        <is>
          <t>Completed</t>
        </is>
      </c>
      <c r="K467" t="inlineStr">
        <is>
          <t>2022</t>
        </is>
      </c>
      <c r="L467" t="inlineStr">
        <is>
          <t>6.0-6.5</t>
        </is>
      </c>
      <c r="M467" t="inlineStr">
        <is>
          <t>5-7</t>
        </is>
      </c>
      <c r="N467" t="inlineStr">
        <is>
          <t>11.0-13.5</t>
        </is>
      </c>
      <c r="O467" s="7" t="inlineStr">
        <is>
          <t>Kent College</t>
        </is>
      </c>
      <c r="P467" s="7" t="inlineStr">
        <is>
          <t>Fakeeh University Hosp</t>
        </is>
      </c>
      <c r="Q467" s="7" t="inlineStr">
        <is>
          <t>Dubai Outlet Mall</t>
        </is>
      </c>
      <c r="R467" s="7" t="inlineStr">
        <is>
          <t>Al Ain Rd E66</t>
        </is>
      </c>
      <c r="S467" t="inlineStr">
        <is>
          <t>15</t>
        </is>
      </c>
      <c r="T467" t="inlineStr">
        <is>
          <t>20</t>
        </is>
      </c>
      <c r="U467" t="inlineStr">
        <is>
          <t>20</t>
        </is>
      </c>
      <c r="V467" t="inlineStr">
        <is>
          <t>30</t>
        </is>
      </c>
      <c r="W467" t="n">
        <v>2</v>
      </c>
      <c r="X467" s="12" t="n">
        <v>4500000</v>
      </c>
      <c r="Y467" s="12" t="n">
        <v>4500000</v>
      </c>
      <c r="Z467" s="9" t="n">
        <v>6</v>
      </c>
      <c r="AA467" s="9" t="n">
        <v>6.5</v>
      </c>
      <c r="AB467" s="9" t="n">
        <v>5</v>
      </c>
      <c r="AC467" s="9" t="n">
        <v>7</v>
      </c>
      <c r="AD467" s="9" t="n">
        <v>11</v>
      </c>
      <c r="AE467" s="9" t="n">
        <v>13.5</v>
      </c>
      <c r="AF467" t="n">
        <v>2022</v>
      </c>
      <c r="AH467" t="inlineStr">
        <is>
          <t>Mixed/Other</t>
        </is>
      </c>
      <c r="AI467" t="inlineStr">
        <is>
          <t>MainstreamSelective</t>
        </is>
      </c>
      <c r="AJ467" t="inlineStr">
        <is>
          <t>Established</t>
        </is>
      </c>
      <c r="AK467" t="inlineStr">
        <is>
          <t>Balanced / selective</t>
        </is>
      </c>
      <c r="AL467" s="7" t="inlineStr">
        <is>
          <t>Market remains active but increasingly differentiated by developer, micro-location, livability, and pricing discipline.</t>
        </is>
      </c>
      <c r="AM467" s="9" t="n">
        <v>6</v>
      </c>
      <c r="AN467" s="9" t="n">
        <v>6.25</v>
      </c>
      <c r="AO467" s="10" t="n">
        <v>0.55</v>
      </c>
      <c r="AP467" s="13" t="n">
        <v>0</v>
      </c>
      <c r="AQ467" s="13" t="n">
        <v>0</v>
      </c>
      <c r="AR467" s="13" t="n">
        <v>0</v>
      </c>
      <c r="AS467" s="13" t="n">
        <v>0.01</v>
      </c>
      <c r="AT467" s="13" t="n">
        <v>0</v>
      </c>
      <c r="AU467" s="13" t="n">
        <v>0.0025</v>
      </c>
      <c r="AV467" s="13" t="n">
        <v>-0.005</v>
      </c>
      <c r="AW467" s="13">
        <f>IF(X467="","",(AM467/100*AO467)+AP467+AQ467+AR467)</f>
        <v/>
      </c>
      <c r="AX467" s="13">
        <f>IF(X467="","",AS467+AT467+AU467+AV467)</f>
        <v/>
      </c>
      <c r="AY467" s="12">
        <f>IF(AZ467="","",ROUND(AZ467*(1+Assumptions!$B$10),0))</f>
        <v/>
      </c>
      <c r="AZ467" s="12">
        <f>IF(X467="","",ROUND(X467*(1+AW467),0))</f>
        <v/>
      </c>
      <c r="BA467" s="12">
        <f>IF(AZ467="","",ROUND(AZ467*(1+Assumptions!$B$11),0))</f>
        <v/>
      </c>
      <c r="BB467" s="12">
        <f>IF(AZ467="","",ROUND(AZ467*(1+AX467+Assumptions!$B$10),0))</f>
        <v/>
      </c>
      <c r="BC467" s="12">
        <f>IF(AZ467="","",ROUND(AZ467*(1+AX467),0))</f>
        <v/>
      </c>
      <c r="BD467" s="12">
        <f>IF(AZ467="","",ROUND(AZ467*(1+AX467+Assumptions!$B$11),0))</f>
        <v/>
      </c>
      <c r="BE467" s="12">
        <f>IF(AZ467="","",ROUND(AZ467*(1+AX467)*(1+AX467),0))</f>
        <v/>
      </c>
      <c r="BF467" s="7" t="inlineStr">
        <is>
          <t>Rules-based enrichment using launch-price anchor, cap-app realization, and 2026 segment conditions.</t>
        </is>
      </c>
      <c r="BG467" t="inlineStr">
        <is>
          <t>2026-03-17</t>
        </is>
      </c>
      <c r="BH467" s="7" t="inlineStr">
        <is>
          <t>DLD / Digital Dubai / CBUAE / Savills / Knight Frank-Moody’s / Reuters</t>
        </is>
      </c>
    </row>
    <row r="468">
      <c r="A468" t="n">
        <v>467</v>
      </c>
      <c r="B468" s="7" t="inlineStr">
        <is>
          <t>Grand Views</t>
        </is>
      </c>
      <c r="C468" t="inlineStr">
        <is>
          <t>G&amp;Co</t>
        </is>
      </c>
      <c r="D468" t="inlineStr">
        <is>
          <t>MBR City (Millennium)</t>
        </is>
      </c>
      <c r="E468" t="inlineStr">
        <is>
          <t>Villas &amp; TH</t>
        </is>
      </c>
      <c r="F468" s="7" t="inlineStr">
        <is>
          <t>Gated / Luxury</t>
        </is>
      </c>
      <c r="G468" t="inlineStr">
        <is>
          <t>Resale (6M+)</t>
        </is>
      </c>
      <c r="H468" t="inlineStr">
        <is>
          <t>1300</t>
        </is>
      </c>
      <c r="I468" t="inlineStr">
        <is>
          <t>12</t>
        </is>
      </c>
      <c r="J468" t="inlineStr">
        <is>
          <t>Completed</t>
        </is>
      </c>
      <c r="K468" t="inlineStr">
        <is>
          <t>2018</t>
        </is>
      </c>
      <c r="L468" t="inlineStr">
        <is>
          <t>5.5-6.0</t>
        </is>
      </c>
      <c r="M468" t="inlineStr">
        <is>
          <t>5-7</t>
        </is>
      </c>
      <c r="N468" t="inlineStr">
        <is>
          <t>10.5-13.0</t>
        </is>
      </c>
      <c r="O468" s="7" t="inlineStr">
        <is>
          <t>Repton School</t>
        </is>
      </c>
      <c r="P468" s="7" t="inlineStr">
        <is>
          <t>Nad Al Sheba Health</t>
        </is>
      </c>
      <c r="Q468" s="7" t="inlineStr">
        <is>
          <t>Meydan One (Planned)</t>
        </is>
      </c>
      <c r="R468" s="7" t="inlineStr">
        <is>
          <t>Al Ain Rd E66</t>
        </is>
      </c>
      <c r="S468" t="inlineStr">
        <is>
          <t>15</t>
        </is>
      </c>
      <c r="T468" t="inlineStr">
        <is>
          <t>20</t>
        </is>
      </c>
      <c r="U468" t="inlineStr">
        <is>
          <t>20</t>
        </is>
      </c>
      <c r="V468" t="inlineStr">
        <is>
          <t>30</t>
        </is>
      </c>
      <c r="W468" t="n">
        <v>2</v>
      </c>
      <c r="X468" s="12" t="n">
        <v>6000000</v>
      </c>
      <c r="Y468" s="12" t="n">
        <v>6000000</v>
      </c>
      <c r="Z468" s="9" t="n">
        <v>5.5</v>
      </c>
      <c r="AA468" s="9" t="n">
        <v>6</v>
      </c>
      <c r="AB468" s="9" t="n">
        <v>5</v>
      </c>
      <c r="AC468" s="9" t="n">
        <v>7</v>
      </c>
      <c r="AD468" s="9" t="n">
        <v>10.5</v>
      </c>
      <c r="AE468" s="9" t="n">
        <v>13</v>
      </c>
      <c r="AF468" t="n">
        <v>2018</v>
      </c>
      <c r="AH468" t="inlineStr">
        <is>
          <t>Villa</t>
        </is>
      </c>
      <c r="AI468" t="inlineStr">
        <is>
          <t>MainstreamSelective</t>
        </is>
      </c>
      <c r="AJ468" t="inlineStr">
        <is>
          <t>Established</t>
        </is>
      </c>
      <c r="AK468" t="inlineStr">
        <is>
          <t>Family-villa resilient</t>
        </is>
      </c>
      <c r="AL468" s="7" t="inlineStr">
        <is>
          <t>Villa/townhouse demand remains relatively firmer, though growth should be slower than the post-2020 surge.</t>
        </is>
      </c>
      <c r="AM468" s="9" t="n">
        <v>6</v>
      </c>
      <c r="AN468" s="9" t="n">
        <v>5.75</v>
      </c>
      <c r="AO468" s="10" t="n">
        <v>0.55</v>
      </c>
      <c r="AP468" s="13" t="n">
        <v>0</v>
      </c>
      <c r="AQ468" s="13" t="n">
        <v>0.015</v>
      </c>
      <c r="AR468" s="13" t="n">
        <v>0</v>
      </c>
      <c r="AS468" s="13" t="n">
        <v>0.025</v>
      </c>
      <c r="AT468" s="13" t="n">
        <v>0</v>
      </c>
      <c r="AU468" s="13" t="n">
        <v>0</v>
      </c>
      <c r="AV468" s="13" t="n">
        <v>-0.005</v>
      </c>
      <c r="AW468" s="13">
        <f>IF(X468="","",(AM468/100*AO468)+AP468+AQ468+AR468)</f>
        <v/>
      </c>
      <c r="AX468" s="13">
        <f>IF(X468="","",AS468+AT468+AU468+AV468)</f>
        <v/>
      </c>
      <c r="AY468" s="12">
        <f>IF(AZ468="","",ROUND(AZ468*(1+Assumptions!$B$10),0))</f>
        <v/>
      </c>
      <c r="AZ468" s="12">
        <f>IF(X468="","",ROUND(X468*(1+AW468),0))</f>
        <v/>
      </c>
      <c r="BA468" s="12">
        <f>IF(AZ468="","",ROUND(AZ468*(1+Assumptions!$B$11),0))</f>
        <v/>
      </c>
      <c r="BB468" s="12">
        <f>IF(AZ468="","",ROUND(AZ468*(1+AX468+Assumptions!$B$10),0))</f>
        <v/>
      </c>
      <c r="BC468" s="12">
        <f>IF(AZ468="","",ROUND(AZ468*(1+AX468),0))</f>
        <v/>
      </c>
      <c r="BD468" s="12">
        <f>IF(AZ468="","",ROUND(AZ468*(1+AX468+Assumptions!$B$11),0))</f>
        <v/>
      </c>
      <c r="BE468" s="12">
        <f>IF(AZ468="","",ROUND(AZ468*(1+AX468)*(1+AX468),0))</f>
        <v/>
      </c>
      <c r="BF468" s="7" t="inlineStr">
        <is>
          <t>Rules-based enrichment using launch-price anchor, cap-app realization, and 2026 segment conditions.</t>
        </is>
      </c>
      <c r="BG468" t="inlineStr">
        <is>
          <t>2026-03-17</t>
        </is>
      </c>
      <c r="BH468" s="7" t="inlineStr">
        <is>
          <t>DLD / Digital Dubai / CBUAE / Savills / Knight Frank-Moody’s / Reuters</t>
        </is>
      </c>
    </row>
    <row r="469">
      <c r="A469" t="n">
        <v>468</v>
      </c>
      <c r="B469" s="7" t="inlineStr">
        <is>
          <t>Millennium Estates</t>
        </is>
      </c>
      <c r="C469" t="inlineStr">
        <is>
          <t>G&amp;Co</t>
        </is>
      </c>
      <c r="D469" t="inlineStr">
        <is>
          <t>MBR City</t>
        </is>
      </c>
      <c r="E469" t="inlineStr">
        <is>
          <t>Villas</t>
        </is>
      </c>
      <c r="F469" s="7" t="inlineStr">
        <is>
          <t>Gated / Luxury</t>
        </is>
      </c>
      <c r="G469" t="inlineStr">
        <is>
          <t>Resale (8M+)</t>
        </is>
      </c>
      <c r="H469" t="inlineStr">
        <is>
          <t>1200</t>
        </is>
      </c>
      <c r="I469" t="inlineStr">
        <is>
          <t>12</t>
        </is>
      </c>
      <c r="J469" t="inlineStr">
        <is>
          <t>Completed</t>
        </is>
      </c>
      <c r="K469" t="inlineStr">
        <is>
          <t>2015</t>
        </is>
      </c>
      <c r="L469" t="inlineStr">
        <is>
          <t>5.5-6.0</t>
        </is>
      </c>
      <c r="M469" t="inlineStr">
        <is>
          <t>5-7</t>
        </is>
      </c>
      <c r="N469" t="inlineStr">
        <is>
          <t>10.5-13.0</t>
        </is>
      </c>
      <c r="O469" s="7" t="inlineStr">
        <is>
          <t>Repton School</t>
        </is>
      </c>
      <c r="P469" s="7" t="inlineStr">
        <is>
          <t>Nad Al Sheba Health</t>
        </is>
      </c>
      <c r="Q469" s="7" t="inlineStr">
        <is>
          <t>Meydan One (Planned)</t>
        </is>
      </c>
      <c r="R469" s="7" t="inlineStr">
        <is>
          <t>Al Ain Rd E66</t>
        </is>
      </c>
      <c r="S469" t="inlineStr">
        <is>
          <t>15</t>
        </is>
      </c>
      <c r="T469" t="inlineStr">
        <is>
          <t>20</t>
        </is>
      </c>
      <c r="U469" t="inlineStr">
        <is>
          <t>20</t>
        </is>
      </c>
      <c r="V469" t="inlineStr">
        <is>
          <t>30</t>
        </is>
      </c>
      <c r="W469" t="n">
        <v>2</v>
      </c>
      <c r="X469" s="12" t="n">
        <v>8000000</v>
      </c>
      <c r="Y469" s="12" t="n">
        <v>8000000</v>
      </c>
      <c r="Z469" s="9" t="n">
        <v>5.5</v>
      </c>
      <c r="AA469" s="9" t="n">
        <v>6</v>
      </c>
      <c r="AB469" s="9" t="n">
        <v>5</v>
      </c>
      <c r="AC469" s="9" t="n">
        <v>7</v>
      </c>
      <c r="AD469" s="9" t="n">
        <v>10.5</v>
      </c>
      <c r="AE469" s="9" t="n">
        <v>13</v>
      </c>
      <c r="AF469" t="n">
        <v>2015</v>
      </c>
      <c r="AH469" t="inlineStr">
        <is>
          <t>Villa</t>
        </is>
      </c>
      <c r="AI469" t="inlineStr">
        <is>
          <t>MainstreamSelective</t>
        </is>
      </c>
      <c r="AJ469" t="inlineStr">
        <is>
          <t>Established</t>
        </is>
      </c>
      <c r="AK469" t="inlineStr">
        <is>
          <t>Family-villa resilient</t>
        </is>
      </c>
      <c r="AL469" s="7" t="inlineStr">
        <is>
          <t>Villa/townhouse demand remains relatively firmer, though growth should be slower than the post-2020 surge.</t>
        </is>
      </c>
      <c r="AM469" s="9" t="n">
        <v>6</v>
      </c>
      <c r="AN469" s="9" t="n">
        <v>5.75</v>
      </c>
      <c r="AO469" s="10" t="n">
        <v>0.55</v>
      </c>
      <c r="AP469" s="13" t="n">
        <v>0</v>
      </c>
      <c r="AQ469" s="13" t="n">
        <v>0.015</v>
      </c>
      <c r="AR469" s="13" t="n">
        <v>0</v>
      </c>
      <c r="AS469" s="13" t="n">
        <v>0.025</v>
      </c>
      <c r="AT469" s="13" t="n">
        <v>0</v>
      </c>
      <c r="AU469" s="13" t="n">
        <v>0</v>
      </c>
      <c r="AV469" s="13" t="n">
        <v>-0.005</v>
      </c>
      <c r="AW469" s="13">
        <f>IF(X469="","",(AM469/100*AO469)+AP469+AQ469+AR469)</f>
        <v/>
      </c>
      <c r="AX469" s="13">
        <f>IF(X469="","",AS469+AT469+AU469+AV469)</f>
        <v/>
      </c>
      <c r="AY469" s="12">
        <f>IF(AZ469="","",ROUND(AZ469*(1+Assumptions!$B$10),0))</f>
        <v/>
      </c>
      <c r="AZ469" s="12">
        <f>IF(X469="","",ROUND(X469*(1+AW469),0))</f>
        <v/>
      </c>
      <c r="BA469" s="12">
        <f>IF(AZ469="","",ROUND(AZ469*(1+Assumptions!$B$11),0))</f>
        <v/>
      </c>
      <c r="BB469" s="12">
        <f>IF(AZ469="","",ROUND(AZ469*(1+AX469+Assumptions!$B$10),0))</f>
        <v/>
      </c>
      <c r="BC469" s="12">
        <f>IF(AZ469="","",ROUND(AZ469*(1+AX469),0))</f>
        <v/>
      </c>
      <c r="BD469" s="12">
        <f>IF(AZ469="","",ROUND(AZ469*(1+AX469+Assumptions!$B$11),0))</f>
        <v/>
      </c>
      <c r="BE469" s="12">
        <f>IF(AZ469="","",ROUND(AZ469*(1+AX469)*(1+AX469),0))</f>
        <v/>
      </c>
      <c r="BF469" s="7" t="inlineStr">
        <is>
          <t>Rules-based enrichment using launch-price anchor, cap-app realization, and 2026 segment conditions.</t>
        </is>
      </c>
      <c r="BG469" t="inlineStr">
        <is>
          <t>2026-03-17</t>
        </is>
      </c>
      <c r="BH469" s="7" t="inlineStr">
        <is>
          <t>DLD / Digital Dubai / CBUAE / Savills / Knight Frank-Moody’s / Reuters</t>
        </is>
      </c>
    </row>
    <row r="470">
      <c r="A470" t="n">
        <v>469</v>
      </c>
      <c r="B470" s="7" t="inlineStr">
        <is>
          <t>ZāZEN One</t>
        </is>
      </c>
      <c r="C470" t="inlineStr">
        <is>
          <t>ZāZEN Properties</t>
        </is>
      </c>
      <c r="D470" t="inlineStr">
        <is>
          <t>JVT</t>
        </is>
      </c>
      <c r="E470" t="inlineStr">
        <is>
          <t>Apartments</t>
        </is>
      </c>
      <c r="F470" s="7" t="inlineStr">
        <is>
          <t>Sustainable</t>
        </is>
      </c>
      <c r="G470" t="inlineStr">
        <is>
          <t>Resale (1M+)</t>
        </is>
      </c>
      <c r="H470" t="inlineStr">
        <is>
          <t>1100</t>
        </is>
      </c>
      <c r="I470" t="inlineStr">
        <is>
          <t>14</t>
        </is>
      </c>
      <c r="J470" t="inlineStr">
        <is>
          <t>Completed</t>
        </is>
      </c>
      <c r="K470" t="inlineStr">
        <is>
          <t>2021</t>
        </is>
      </c>
      <c r="L470" t="inlineStr">
        <is>
          <t>7.0-7.5</t>
        </is>
      </c>
      <c r="M470" t="inlineStr">
        <is>
          <t>5-7</t>
        </is>
      </c>
      <c r="N470" t="inlineStr">
        <is>
          <t>12.0-14.5</t>
        </is>
      </c>
      <c r="O470" s="7" t="inlineStr">
        <is>
          <t>Sunmarke School</t>
        </is>
      </c>
      <c r="P470" s="7" t="inlineStr">
        <is>
          <t>NMC Royal DIP</t>
        </is>
      </c>
      <c r="Q470" s="7" t="inlineStr">
        <is>
          <t>Circle Mall</t>
        </is>
      </c>
      <c r="R470" s="7" t="inlineStr">
        <is>
          <t>E311 / Yalayis</t>
        </is>
      </c>
      <c r="S470" t="inlineStr">
        <is>
          <t>20</t>
        </is>
      </c>
      <c r="T470" t="inlineStr">
        <is>
          <t>15</t>
        </is>
      </c>
      <c r="U470" t="inlineStr">
        <is>
          <t>30</t>
        </is>
      </c>
      <c r="V470" t="inlineStr">
        <is>
          <t>20</t>
        </is>
      </c>
      <c r="W470" t="n">
        <v>2</v>
      </c>
      <c r="X470" s="12" t="n">
        <v>1000000</v>
      </c>
      <c r="Y470" s="12" t="n">
        <v>1000000</v>
      </c>
      <c r="Z470" s="9" t="n">
        <v>7</v>
      </c>
      <c r="AA470" s="9" t="n">
        <v>7.5</v>
      </c>
      <c r="AB470" s="9" t="n">
        <v>5</v>
      </c>
      <c r="AC470" s="9" t="n">
        <v>7</v>
      </c>
      <c r="AD470" s="9" t="n">
        <v>12</v>
      </c>
      <c r="AE470" s="9" t="n">
        <v>14.5</v>
      </c>
      <c r="AF470" t="n">
        <v>2021</v>
      </c>
      <c r="AH470" t="inlineStr">
        <is>
          <t>Apartment</t>
        </is>
      </c>
      <c r="AI470" t="inlineStr">
        <is>
          <t>SupplySensitiveApartment</t>
        </is>
      </c>
      <c r="AJ470" t="inlineStr">
        <is>
          <t>Established</t>
        </is>
      </c>
      <c r="AK470" t="inlineStr">
        <is>
          <t>Supply-sensitive / selective</t>
        </is>
      </c>
      <c r="AL470" s="7" t="inlineStr">
        <is>
          <t>Higher delivery risk in more price-sensitive apartment clusters; building selection and exit liquidity matter.</t>
        </is>
      </c>
      <c r="AM470" s="9" t="n">
        <v>6</v>
      </c>
      <c r="AN470" s="9" t="n">
        <v>7.25</v>
      </c>
      <c r="AO470" s="10" t="n">
        <v>0.55</v>
      </c>
      <c r="AP470" s="13" t="n">
        <v>0</v>
      </c>
      <c r="AQ470" s="13" t="n">
        <v>0</v>
      </c>
      <c r="AR470" s="13" t="n">
        <v>-0.01</v>
      </c>
      <c r="AS470" s="13" t="n">
        <v>-0.01</v>
      </c>
      <c r="AT470" s="13" t="n">
        <v>0</v>
      </c>
      <c r="AU470" s="13" t="n">
        <v>0.0025</v>
      </c>
      <c r="AV470" s="13" t="n">
        <v>-0.005</v>
      </c>
      <c r="AW470" s="13">
        <f>IF(X470="","",(AM470/100*AO470)+AP470+AQ470+AR470)</f>
        <v/>
      </c>
      <c r="AX470" s="13">
        <f>IF(X470="","",AS470+AT470+AU470+AV470)</f>
        <v/>
      </c>
      <c r="AY470" s="12">
        <f>IF(AZ470="","",ROUND(AZ470*(1+Assumptions!$B$10),0))</f>
        <v/>
      </c>
      <c r="AZ470" s="12">
        <f>IF(X470="","",ROUND(X470*(1+AW470),0))</f>
        <v/>
      </c>
      <c r="BA470" s="12">
        <f>IF(AZ470="","",ROUND(AZ470*(1+Assumptions!$B$11),0))</f>
        <v/>
      </c>
      <c r="BB470" s="12">
        <f>IF(AZ470="","",ROUND(AZ470*(1+AX470+Assumptions!$B$10),0))</f>
        <v/>
      </c>
      <c r="BC470" s="12">
        <f>IF(AZ470="","",ROUND(AZ470*(1+AX470),0))</f>
        <v/>
      </c>
      <c r="BD470" s="12">
        <f>IF(AZ470="","",ROUND(AZ470*(1+AX470+Assumptions!$B$11),0))</f>
        <v/>
      </c>
      <c r="BE470" s="12">
        <f>IF(AZ470="","",ROUND(AZ470*(1+AX470)*(1+AX470),0))</f>
        <v/>
      </c>
      <c r="BF470" s="7" t="inlineStr">
        <is>
          <t>Rules-based enrichment using launch-price anchor, cap-app realization, and 2026 segment conditions.</t>
        </is>
      </c>
      <c r="BG470" t="inlineStr">
        <is>
          <t>2026-03-17</t>
        </is>
      </c>
      <c r="BH470" s="7" t="inlineStr">
        <is>
          <t>DLD / Digital Dubai / CBUAE / Savills / Knight Frank-Moody’s / Reuters</t>
        </is>
      </c>
    </row>
    <row r="471">
      <c r="A471" t="n">
        <v>470</v>
      </c>
      <c r="B471" s="7" t="inlineStr">
        <is>
          <t>ZāZEN Gardens</t>
        </is>
      </c>
      <c r="C471" t="inlineStr">
        <is>
          <t>ZāZEN Properties</t>
        </is>
      </c>
      <c r="D471" t="inlineStr">
        <is>
          <t>Al Furjan</t>
        </is>
      </c>
      <c r="E471" t="inlineStr">
        <is>
          <t>Apartments</t>
        </is>
      </c>
      <c r="F471" s="7" t="inlineStr">
        <is>
          <t>LEED Gold</t>
        </is>
      </c>
      <c r="G471" t="inlineStr">
        <is>
          <t>1.2M</t>
        </is>
      </c>
      <c r="H471" t="inlineStr">
        <is>
          <t>1200</t>
        </is>
      </c>
      <c r="I471" t="inlineStr">
        <is>
          <t>14</t>
        </is>
      </c>
      <c r="J471" t="inlineStr">
        <is>
          <t>Completed</t>
        </is>
      </c>
      <c r="K471" t="inlineStr">
        <is>
          <t>2023</t>
        </is>
      </c>
      <c r="L471" t="inlineStr">
        <is>
          <t>7.0-7.5</t>
        </is>
      </c>
      <c r="M471" t="inlineStr">
        <is>
          <t>6-8</t>
        </is>
      </c>
      <c r="N471" t="inlineStr">
        <is>
          <t>13.0-15.5</t>
        </is>
      </c>
      <c r="O471" s="7" t="inlineStr">
        <is>
          <t>The Arbor School</t>
        </is>
      </c>
      <c r="P471" s="7" t="inlineStr">
        <is>
          <t>NMC Royal DIP</t>
        </is>
      </c>
      <c r="Q471" s="7" t="inlineStr">
        <is>
          <t>Ibn Battuta Mall</t>
        </is>
      </c>
      <c r="R471" s="7" t="inlineStr">
        <is>
          <t>Yalayis / E311</t>
        </is>
      </c>
      <c r="S471" t="inlineStr">
        <is>
          <t>25</t>
        </is>
      </c>
      <c r="T471" t="inlineStr">
        <is>
          <t>15</t>
        </is>
      </c>
      <c r="U471" t="inlineStr">
        <is>
          <t>30</t>
        </is>
      </c>
      <c r="V471" t="inlineStr">
        <is>
          <t>20</t>
        </is>
      </c>
      <c r="W471" t="n">
        <v>2</v>
      </c>
      <c r="X471" s="12" t="n">
        <v>1200000</v>
      </c>
      <c r="Y471" s="12" t="n">
        <v>1200000</v>
      </c>
      <c r="Z471" s="9" t="n">
        <v>7</v>
      </c>
      <c r="AA471" s="9" t="n">
        <v>7.5</v>
      </c>
      <c r="AB471" s="9" t="n">
        <v>6</v>
      </c>
      <c r="AC471" s="9" t="n">
        <v>8</v>
      </c>
      <c r="AD471" s="9" t="n">
        <v>13</v>
      </c>
      <c r="AE471" s="9" t="n">
        <v>15.5</v>
      </c>
      <c r="AF471" t="n">
        <v>2023</v>
      </c>
      <c r="AH471" t="inlineStr">
        <is>
          <t>Apartment</t>
        </is>
      </c>
      <c r="AI471" t="inlineStr">
        <is>
          <t>SupplySensitiveApartment</t>
        </is>
      </c>
      <c r="AJ471" t="inlineStr">
        <is>
          <t>Established</t>
        </is>
      </c>
      <c r="AK471" t="inlineStr">
        <is>
          <t>Supply-sensitive / selective</t>
        </is>
      </c>
      <c r="AL471" s="7" t="inlineStr">
        <is>
          <t>Higher delivery risk in more price-sensitive apartment clusters; building selection and exit liquidity matter.</t>
        </is>
      </c>
      <c r="AM471" s="9" t="n">
        <v>7</v>
      </c>
      <c r="AN471" s="9" t="n">
        <v>7.25</v>
      </c>
      <c r="AO471" s="10" t="n">
        <v>0.55</v>
      </c>
      <c r="AP471" s="13" t="n">
        <v>0</v>
      </c>
      <c r="AQ471" s="13" t="n">
        <v>0</v>
      </c>
      <c r="AR471" s="13" t="n">
        <v>-0.01</v>
      </c>
      <c r="AS471" s="13" t="n">
        <v>-0.01</v>
      </c>
      <c r="AT471" s="13" t="n">
        <v>0</v>
      </c>
      <c r="AU471" s="13" t="n">
        <v>0.0025</v>
      </c>
      <c r="AV471" s="13" t="n">
        <v>-0.005</v>
      </c>
      <c r="AW471" s="13">
        <f>IF(X471="","",(AM471/100*AO471)+AP471+AQ471+AR471)</f>
        <v/>
      </c>
      <c r="AX471" s="13">
        <f>IF(X471="","",AS471+AT471+AU471+AV471)</f>
        <v/>
      </c>
      <c r="AY471" s="12">
        <f>IF(AZ471="","",ROUND(AZ471*(1+Assumptions!$B$10),0))</f>
        <v/>
      </c>
      <c r="AZ471" s="12">
        <f>IF(X471="","",ROUND(X471*(1+AW471),0))</f>
        <v/>
      </c>
      <c r="BA471" s="12">
        <f>IF(AZ471="","",ROUND(AZ471*(1+Assumptions!$B$11),0))</f>
        <v/>
      </c>
      <c r="BB471" s="12">
        <f>IF(AZ471="","",ROUND(AZ471*(1+AX471+Assumptions!$B$10),0))</f>
        <v/>
      </c>
      <c r="BC471" s="12">
        <f>IF(AZ471="","",ROUND(AZ471*(1+AX471),0))</f>
        <v/>
      </c>
      <c r="BD471" s="12">
        <f>IF(AZ471="","",ROUND(AZ471*(1+AX471+Assumptions!$B$11),0))</f>
        <v/>
      </c>
      <c r="BE471" s="12">
        <f>IF(AZ471="","",ROUND(AZ471*(1+AX471)*(1+AX471),0))</f>
        <v/>
      </c>
      <c r="BF471" s="7" t="inlineStr">
        <is>
          <t>Rules-based enrichment using launch-price anchor, cap-app realization, and 2026 segment conditions.</t>
        </is>
      </c>
      <c r="BG471" t="inlineStr">
        <is>
          <t>2026-03-17</t>
        </is>
      </c>
      <c r="BH471" s="7" t="inlineStr">
        <is>
          <t>DLD / Digital Dubai / CBUAE / Savills / Knight Frank-Moody’s / Reuters</t>
        </is>
      </c>
    </row>
    <row r="472">
      <c r="A472" t="n">
        <v>471</v>
      </c>
      <c r="B472" s="7" t="inlineStr">
        <is>
          <t>ZāZEN Ivy</t>
        </is>
      </c>
      <c r="C472" t="inlineStr">
        <is>
          <t>ZāZEN Properties</t>
        </is>
      </c>
      <c r="D472" t="inlineStr">
        <is>
          <t>Al Furjan</t>
        </is>
      </c>
      <c r="E472" t="inlineStr">
        <is>
          <t>Apartments</t>
        </is>
      </c>
      <c r="F472" s="7" t="inlineStr">
        <is>
          <t>Sustainable</t>
        </is>
      </c>
      <c r="G472" t="inlineStr">
        <is>
          <t>1.3M</t>
        </is>
      </c>
      <c r="H472" t="inlineStr">
        <is>
          <t>1250</t>
        </is>
      </c>
      <c r="I472" t="inlineStr">
        <is>
          <t>14</t>
        </is>
      </c>
      <c r="J472" t="inlineStr">
        <is>
          <t>50/50</t>
        </is>
      </c>
      <c r="K472" t="inlineStr">
        <is>
          <t>2024</t>
        </is>
      </c>
      <c r="L472" t="inlineStr">
        <is>
          <t>7.0-7.5</t>
        </is>
      </c>
      <c r="M472" t="inlineStr">
        <is>
          <t>6-8</t>
        </is>
      </c>
      <c r="N472" t="inlineStr">
        <is>
          <t>13.0-15.5</t>
        </is>
      </c>
      <c r="O472" s="7" t="inlineStr">
        <is>
          <t>The Arbor School</t>
        </is>
      </c>
      <c r="P472" s="7" t="inlineStr">
        <is>
          <t>NMC Royal DIP</t>
        </is>
      </c>
      <c r="Q472" s="7" t="inlineStr">
        <is>
          <t>Ibn Battuta Mall</t>
        </is>
      </c>
      <c r="R472" s="7" t="inlineStr">
        <is>
          <t>Yalayis / E311</t>
        </is>
      </c>
      <c r="S472" t="inlineStr">
        <is>
          <t>25</t>
        </is>
      </c>
      <c r="T472" t="inlineStr">
        <is>
          <t>15</t>
        </is>
      </c>
      <c r="U472" t="inlineStr">
        <is>
          <t>30</t>
        </is>
      </c>
      <c r="V472" t="inlineStr">
        <is>
          <t>20</t>
        </is>
      </c>
      <c r="W472" t="n">
        <v>2</v>
      </c>
      <c r="X472" s="12" t="n">
        <v>1300000</v>
      </c>
      <c r="Y472" s="12" t="n">
        <v>1300000</v>
      </c>
      <c r="Z472" s="9" t="n">
        <v>7</v>
      </c>
      <c r="AA472" s="9" t="n">
        <v>7.5</v>
      </c>
      <c r="AB472" s="9" t="n">
        <v>6</v>
      </c>
      <c r="AC472" s="9" t="n">
        <v>8</v>
      </c>
      <c r="AD472" s="9" t="n">
        <v>13</v>
      </c>
      <c r="AE472" s="9" t="n">
        <v>15.5</v>
      </c>
      <c r="AF472" t="n">
        <v>2024</v>
      </c>
      <c r="AH472" t="inlineStr">
        <is>
          <t>Apartment</t>
        </is>
      </c>
      <c r="AI472" t="inlineStr">
        <is>
          <t>SupplySensitiveApartment</t>
        </is>
      </c>
      <c r="AJ472" t="inlineStr">
        <is>
          <t>Established</t>
        </is>
      </c>
      <c r="AK472" t="inlineStr">
        <is>
          <t>Supply-sensitive / selective</t>
        </is>
      </c>
      <c r="AL472" s="7" t="inlineStr">
        <is>
          <t>Higher delivery risk in more price-sensitive apartment clusters; building selection and exit liquidity matter.</t>
        </is>
      </c>
      <c r="AM472" s="9" t="n">
        <v>7</v>
      </c>
      <c r="AN472" s="9" t="n">
        <v>7.25</v>
      </c>
      <c r="AO472" s="10" t="n">
        <v>0.55</v>
      </c>
      <c r="AP472" s="13" t="n">
        <v>0</v>
      </c>
      <c r="AQ472" s="13" t="n">
        <v>0</v>
      </c>
      <c r="AR472" s="13" t="n">
        <v>-0.01</v>
      </c>
      <c r="AS472" s="13" t="n">
        <v>-0.01</v>
      </c>
      <c r="AT472" s="13" t="n">
        <v>0</v>
      </c>
      <c r="AU472" s="13" t="n">
        <v>0.0025</v>
      </c>
      <c r="AV472" s="13" t="n">
        <v>-0.005</v>
      </c>
      <c r="AW472" s="13">
        <f>IF(X472="","",(AM472/100*AO472)+AP472+AQ472+AR472)</f>
        <v/>
      </c>
      <c r="AX472" s="13">
        <f>IF(X472="","",AS472+AT472+AU472+AV472)</f>
        <v/>
      </c>
      <c r="AY472" s="12">
        <f>IF(AZ472="","",ROUND(AZ472*(1+Assumptions!$B$10),0))</f>
        <v/>
      </c>
      <c r="AZ472" s="12">
        <f>IF(X472="","",ROUND(X472*(1+AW472),0))</f>
        <v/>
      </c>
      <c r="BA472" s="12">
        <f>IF(AZ472="","",ROUND(AZ472*(1+Assumptions!$B$11),0))</f>
        <v/>
      </c>
      <c r="BB472" s="12">
        <f>IF(AZ472="","",ROUND(AZ472*(1+AX472+Assumptions!$B$10),0))</f>
        <v/>
      </c>
      <c r="BC472" s="12">
        <f>IF(AZ472="","",ROUND(AZ472*(1+AX472),0))</f>
        <v/>
      </c>
      <c r="BD472" s="12">
        <f>IF(AZ472="","",ROUND(AZ472*(1+AX472+Assumptions!$B$11),0))</f>
        <v/>
      </c>
      <c r="BE472" s="12">
        <f>IF(AZ472="","",ROUND(AZ472*(1+AX472)*(1+AX472),0))</f>
        <v/>
      </c>
      <c r="BF472" s="7" t="inlineStr">
        <is>
          <t>Rules-based enrichment using launch-price anchor, cap-app realization, and 2026 segment conditions.</t>
        </is>
      </c>
      <c r="BG472" t="inlineStr">
        <is>
          <t>2026-03-17</t>
        </is>
      </c>
      <c r="BH472" s="7" t="inlineStr">
        <is>
          <t>DLD / Digital Dubai / CBUAE / Savills / Knight Frank-Moody’s / Reuters</t>
        </is>
      </c>
    </row>
    <row r="473">
      <c r="A473" t="n">
        <v>472</v>
      </c>
      <c r="B473" s="7" t="inlineStr">
        <is>
          <t>XXII Carat</t>
        </is>
      </c>
      <c r="C473" t="inlineStr">
        <is>
          <t>Forum Group</t>
        </is>
      </c>
      <c r="D473" t="inlineStr">
        <is>
          <t>Palm Jumeirah</t>
        </is>
      </c>
      <c r="E473" t="inlineStr">
        <is>
          <t>Villas</t>
        </is>
      </c>
      <c r="F473" s="7" t="inlineStr">
        <is>
          <t>Ultra-Luxury / Classic</t>
        </is>
      </c>
      <c r="G473" t="inlineStr">
        <is>
          <t>40M+</t>
        </is>
      </c>
      <c r="H473" t="inlineStr">
        <is>
          <t>5000+</t>
        </is>
      </c>
      <c r="I473" t="inlineStr">
        <is>
          <t>50+</t>
        </is>
      </c>
      <c r="J473" t="inlineStr">
        <is>
          <t>Completed</t>
        </is>
      </c>
      <c r="K473" t="inlineStr">
        <is>
          <t>2017</t>
        </is>
      </c>
      <c r="L473" t="inlineStr">
        <is>
          <t>3.0-3.5</t>
        </is>
      </c>
      <c r="M473" t="inlineStr">
        <is>
          <t>5-8</t>
        </is>
      </c>
      <c r="N473" t="inlineStr">
        <is>
          <t>8.0-11.5</t>
        </is>
      </c>
      <c r="O473" s="7" t="inlineStr">
        <is>
          <t>Chevalier College</t>
        </is>
      </c>
      <c r="P473" s="7" t="inlineStr">
        <is>
          <t>Emirates Hospital</t>
        </is>
      </c>
      <c r="Q473" s="7" t="inlineStr">
        <is>
          <t>Nakheel Mall</t>
        </is>
      </c>
      <c r="R473" s="7" t="inlineStr">
        <is>
          <t>Sheikh Zayed E11</t>
        </is>
      </c>
      <c r="S473" t="inlineStr">
        <is>
          <t>20</t>
        </is>
      </c>
      <c r="T473" t="inlineStr">
        <is>
          <t>10</t>
        </is>
      </c>
      <c r="U473" t="inlineStr">
        <is>
          <t>25</t>
        </is>
      </c>
      <c r="V473" t="inlineStr">
        <is>
          <t>35</t>
        </is>
      </c>
      <c r="W473" t="n">
        <v>2</v>
      </c>
      <c r="X473" s="12" t="n">
        <v>40000000</v>
      </c>
      <c r="Y473" s="12" t="n">
        <v>40000000</v>
      </c>
      <c r="Z473" s="9" t="n">
        <v>3</v>
      </c>
      <c r="AA473" s="9" t="n">
        <v>3.5</v>
      </c>
      <c r="AB473" s="9" t="n">
        <v>5</v>
      </c>
      <c r="AC473" s="9" t="n">
        <v>8</v>
      </c>
      <c r="AD473" s="9" t="n">
        <v>8</v>
      </c>
      <c r="AE473" s="9" t="n">
        <v>11.5</v>
      </c>
      <c r="AF473" t="n">
        <v>2017</v>
      </c>
      <c r="AH473" t="inlineStr">
        <is>
          <t>Villa</t>
        </is>
      </c>
      <c r="AI473" t="inlineStr">
        <is>
          <t>Prime</t>
        </is>
      </c>
      <c r="AJ473" t="inlineStr">
        <is>
          <t>Established</t>
        </is>
      </c>
      <c r="AK473" t="inlineStr">
        <is>
          <t>Prime resilient / selective</t>
        </is>
      </c>
      <c r="AL473" s="7" t="inlineStr">
        <is>
          <t>Better support from quality, branding, and scarcer prime stock; still entry-price sensitive.</t>
        </is>
      </c>
      <c r="AM473" s="9" t="n">
        <v>6.5</v>
      </c>
      <c r="AN473" s="9" t="n">
        <v>3.25</v>
      </c>
      <c r="AO473" s="10" t="n">
        <v>0.55</v>
      </c>
      <c r="AP473" s="13" t="n">
        <v>0.02</v>
      </c>
      <c r="AQ473" s="13" t="n">
        <v>0.015</v>
      </c>
      <c r="AR473" s="13" t="n">
        <v>0</v>
      </c>
      <c r="AS473" s="13" t="n">
        <v>0.03</v>
      </c>
      <c r="AT473" s="13" t="n">
        <v>0</v>
      </c>
      <c r="AU473" s="13" t="n">
        <v>0</v>
      </c>
      <c r="AV473" s="13" t="n">
        <v>-0.005</v>
      </c>
      <c r="AW473" s="13">
        <f>IF(X473="","",(AM473/100*AO473)+AP473+AQ473+AR473)</f>
        <v/>
      </c>
      <c r="AX473" s="13">
        <f>IF(X473="","",AS473+AT473+AU473+AV473)</f>
        <v/>
      </c>
      <c r="AY473" s="12">
        <f>IF(AZ473="","",ROUND(AZ473*(1+Assumptions!$B$10),0))</f>
        <v/>
      </c>
      <c r="AZ473" s="12">
        <f>IF(X473="","",ROUND(X473*(1+AW473),0))</f>
        <v/>
      </c>
      <c r="BA473" s="12">
        <f>IF(AZ473="","",ROUND(AZ473*(1+Assumptions!$B$11),0))</f>
        <v/>
      </c>
      <c r="BB473" s="12">
        <f>IF(AZ473="","",ROUND(AZ473*(1+AX473+Assumptions!$B$10),0))</f>
        <v/>
      </c>
      <c r="BC473" s="12">
        <f>IF(AZ473="","",ROUND(AZ473*(1+AX473),0))</f>
        <v/>
      </c>
      <c r="BD473" s="12">
        <f>IF(AZ473="","",ROUND(AZ473*(1+AX473+Assumptions!$B$11),0))</f>
        <v/>
      </c>
      <c r="BE473" s="12">
        <f>IF(AZ473="","",ROUND(AZ473*(1+AX473)*(1+AX473),0))</f>
        <v/>
      </c>
      <c r="BF473" s="7" t="inlineStr">
        <is>
          <t>Rules-based enrichment using launch-price anchor, cap-app realization, and 2026 segment conditions.</t>
        </is>
      </c>
      <c r="BG473" t="inlineStr">
        <is>
          <t>2026-03-17</t>
        </is>
      </c>
      <c r="BH473" s="7" t="inlineStr">
        <is>
          <t>DLD / Digital Dubai / CBUAE / Savills / Knight Frank-Moody’s / Reuters</t>
        </is>
      </c>
    </row>
    <row r="474">
      <c r="A474" t="n">
        <v>473</v>
      </c>
      <c r="B474" s="7" t="inlineStr">
        <is>
          <t>FH Residency</t>
        </is>
      </c>
      <c r="C474" t="inlineStr">
        <is>
          <t>Forum Group</t>
        </is>
      </c>
      <c r="D474" t="inlineStr">
        <is>
          <t>JVT</t>
        </is>
      </c>
      <c r="E474" t="inlineStr">
        <is>
          <t>Apartments</t>
        </is>
      </c>
      <c r="F474" s="7" t="inlineStr">
        <is>
          <t>Family</t>
        </is>
      </c>
      <c r="G474" t="inlineStr">
        <is>
          <t>800k</t>
        </is>
      </c>
      <c r="H474" t="inlineStr">
        <is>
          <t>1100</t>
        </is>
      </c>
      <c r="I474" t="inlineStr">
        <is>
          <t>15</t>
        </is>
      </c>
      <c r="J474" t="inlineStr">
        <is>
          <t>TBA</t>
        </is>
      </c>
      <c r="K474" t="inlineStr">
        <is>
          <t>2023</t>
        </is>
      </c>
      <c r="L474" t="inlineStr">
        <is>
          <t>7.0-7.5</t>
        </is>
      </c>
      <c r="M474" t="inlineStr">
        <is>
          <t>6-8</t>
        </is>
      </c>
      <c r="N474" t="inlineStr">
        <is>
          <t>13.0-15.5</t>
        </is>
      </c>
      <c r="O474" s="7" t="inlineStr">
        <is>
          <t>Sunmarke School</t>
        </is>
      </c>
      <c r="P474" s="7" t="inlineStr">
        <is>
          <t>NMC Royal DIP</t>
        </is>
      </c>
      <c r="Q474" s="7" t="inlineStr">
        <is>
          <t>Circle Mall</t>
        </is>
      </c>
      <c r="R474" s="7" t="inlineStr">
        <is>
          <t>E311 / Yalayis</t>
        </is>
      </c>
      <c r="S474" t="inlineStr">
        <is>
          <t>20</t>
        </is>
      </c>
      <c r="T474" t="inlineStr">
        <is>
          <t>15</t>
        </is>
      </c>
      <c r="U474" t="inlineStr">
        <is>
          <t>30</t>
        </is>
      </c>
      <c r="V474" t="inlineStr">
        <is>
          <t>20</t>
        </is>
      </c>
      <c r="W474" t="n">
        <v>2</v>
      </c>
      <c r="X474" s="12" t="n">
        <v>800000</v>
      </c>
      <c r="Y474" s="12" t="n">
        <v>800000</v>
      </c>
      <c r="Z474" s="9" t="n">
        <v>7</v>
      </c>
      <c r="AA474" s="9" t="n">
        <v>7.5</v>
      </c>
      <c r="AB474" s="9" t="n">
        <v>6</v>
      </c>
      <c r="AC474" s="9" t="n">
        <v>8</v>
      </c>
      <c r="AD474" s="9" t="n">
        <v>13</v>
      </c>
      <c r="AE474" s="9" t="n">
        <v>15.5</v>
      </c>
      <c r="AF474" t="n">
        <v>2023</v>
      </c>
      <c r="AH474" t="inlineStr">
        <is>
          <t>Apartment</t>
        </is>
      </c>
      <c r="AI474" t="inlineStr">
        <is>
          <t>SupplySensitiveApartment</t>
        </is>
      </c>
      <c r="AJ474" t="inlineStr">
        <is>
          <t>Established</t>
        </is>
      </c>
      <c r="AK474" t="inlineStr">
        <is>
          <t>Supply-sensitive / selective</t>
        </is>
      </c>
      <c r="AL474" s="7" t="inlineStr">
        <is>
          <t>Higher delivery risk in more price-sensitive apartment clusters; building selection and exit liquidity matter.</t>
        </is>
      </c>
      <c r="AM474" s="9" t="n">
        <v>7</v>
      </c>
      <c r="AN474" s="9" t="n">
        <v>7.25</v>
      </c>
      <c r="AO474" s="10" t="n">
        <v>0.55</v>
      </c>
      <c r="AP474" s="13" t="n">
        <v>0</v>
      </c>
      <c r="AQ474" s="13" t="n">
        <v>0</v>
      </c>
      <c r="AR474" s="13" t="n">
        <v>-0.01</v>
      </c>
      <c r="AS474" s="13" t="n">
        <v>-0.01</v>
      </c>
      <c r="AT474" s="13" t="n">
        <v>0</v>
      </c>
      <c r="AU474" s="13" t="n">
        <v>0.0025</v>
      </c>
      <c r="AV474" s="13" t="n">
        <v>-0.005</v>
      </c>
      <c r="AW474" s="13">
        <f>IF(X474="","",(AM474/100*AO474)+AP474+AQ474+AR474)</f>
        <v/>
      </c>
      <c r="AX474" s="13">
        <f>IF(X474="","",AS474+AT474+AU474+AV474)</f>
        <v/>
      </c>
      <c r="AY474" s="12">
        <f>IF(AZ474="","",ROUND(AZ474*(1+Assumptions!$B$10),0))</f>
        <v/>
      </c>
      <c r="AZ474" s="12">
        <f>IF(X474="","",ROUND(X474*(1+AW474),0))</f>
        <v/>
      </c>
      <c r="BA474" s="12">
        <f>IF(AZ474="","",ROUND(AZ474*(1+Assumptions!$B$11),0))</f>
        <v/>
      </c>
      <c r="BB474" s="12">
        <f>IF(AZ474="","",ROUND(AZ474*(1+AX474+Assumptions!$B$10),0))</f>
        <v/>
      </c>
      <c r="BC474" s="12">
        <f>IF(AZ474="","",ROUND(AZ474*(1+AX474),0))</f>
        <v/>
      </c>
      <c r="BD474" s="12">
        <f>IF(AZ474="","",ROUND(AZ474*(1+AX474+Assumptions!$B$11),0))</f>
        <v/>
      </c>
      <c r="BE474" s="12">
        <f>IF(AZ474="","",ROUND(AZ474*(1+AX474)*(1+AX474),0))</f>
        <v/>
      </c>
      <c r="BF474" s="7" t="inlineStr">
        <is>
          <t>Rules-based enrichment using launch-price anchor, cap-app realization, and 2026 segment conditions.</t>
        </is>
      </c>
      <c r="BG474" t="inlineStr">
        <is>
          <t>2026-03-17</t>
        </is>
      </c>
      <c r="BH474" s="7" t="inlineStr">
        <is>
          <t>DLD / Digital Dubai / CBUAE / Savills / Knight Frank-Moody’s / Reuters</t>
        </is>
      </c>
    </row>
    <row r="475">
      <c r="A475" t="n">
        <v>474</v>
      </c>
      <c r="B475" s="7" t="inlineStr">
        <is>
          <t>Beach Walk</t>
        </is>
      </c>
      <c r="C475" t="inlineStr">
        <is>
          <t>Imtiaz Developments</t>
        </is>
      </c>
      <c r="D475" t="inlineStr">
        <is>
          <t>Dubai Islands</t>
        </is>
      </c>
      <c r="E475" t="inlineStr">
        <is>
          <t>Apartments</t>
        </is>
      </c>
      <c r="F475" s="7" t="inlineStr">
        <is>
          <t>Beachfront</t>
        </is>
      </c>
      <c r="G475" t="inlineStr">
        <is>
          <t>1.8M</t>
        </is>
      </c>
      <c r="H475" t="inlineStr">
        <is>
          <t>1800</t>
        </is>
      </c>
      <c r="I475" t="inlineStr">
        <is>
          <t>18</t>
        </is>
      </c>
      <c r="J475" t="inlineStr">
        <is>
          <t>60/40</t>
        </is>
      </c>
      <c r="K475" t="inlineStr">
        <is>
          <t>2024</t>
        </is>
      </c>
      <c r="L475" t="inlineStr">
        <is>
          <t>6.5-7.0</t>
        </is>
      </c>
      <c r="M475" t="inlineStr">
        <is>
          <t>10-12</t>
        </is>
      </c>
      <c r="N475" t="inlineStr">
        <is>
          <t>16.5-19.0</t>
        </is>
      </c>
      <c r="O475" s="7" t="inlineStr">
        <is>
          <t>The Elite English</t>
        </is>
      </c>
      <c r="P475" s="7" t="inlineStr">
        <is>
          <t>Dubai Hospital</t>
        </is>
      </c>
      <c r="Q475" s="7" t="inlineStr">
        <is>
          <t>City Centre Deira</t>
        </is>
      </c>
      <c r="R475" s="7" t="inlineStr">
        <is>
          <t>Infinity Bridge</t>
        </is>
      </c>
      <c r="S475" t="inlineStr">
        <is>
          <t>20</t>
        </is>
      </c>
      <c r="T475" t="inlineStr">
        <is>
          <t>35</t>
        </is>
      </c>
      <c r="U475" t="inlineStr">
        <is>
          <t>15</t>
        </is>
      </c>
      <c r="V475" t="inlineStr">
        <is>
          <t>45</t>
        </is>
      </c>
      <c r="W475" t="n">
        <v>2</v>
      </c>
      <c r="X475" s="12" t="n">
        <v>1800000</v>
      </c>
      <c r="Y475" s="12" t="n">
        <v>1800000</v>
      </c>
      <c r="Z475" s="9" t="n">
        <v>6.5</v>
      </c>
      <c r="AA475" s="9" t="n">
        <v>7</v>
      </c>
      <c r="AB475" s="9" t="n">
        <v>10</v>
      </c>
      <c r="AC475" s="9" t="n">
        <v>12</v>
      </c>
      <c r="AD475" s="9" t="n">
        <v>16.5</v>
      </c>
      <c r="AE475" s="9" t="n">
        <v>19</v>
      </c>
      <c r="AF475" t="n">
        <v>2024</v>
      </c>
      <c r="AH475" t="inlineStr">
        <is>
          <t>Apartment</t>
        </is>
      </c>
      <c r="AI475" t="inlineStr">
        <is>
          <t>MainstreamSelective</t>
        </is>
      </c>
      <c r="AJ475" t="inlineStr">
        <is>
          <t>Established</t>
        </is>
      </c>
      <c r="AK475" t="inlineStr">
        <is>
          <t>Balanced / selective</t>
        </is>
      </c>
      <c r="AL475" s="7" t="inlineStr">
        <is>
          <t>Market remains active but increasingly differentiated by developer, micro-location, livability, and pricing discipline.</t>
        </is>
      </c>
      <c r="AM475" s="9" t="n">
        <v>11</v>
      </c>
      <c r="AN475" s="9" t="n">
        <v>6.75</v>
      </c>
      <c r="AO475" s="10" t="n">
        <v>0.55</v>
      </c>
      <c r="AP475" s="13" t="n">
        <v>0</v>
      </c>
      <c r="AQ475" s="13" t="n">
        <v>0</v>
      </c>
      <c r="AR475" s="13" t="n">
        <v>0</v>
      </c>
      <c r="AS475" s="13" t="n">
        <v>0.01</v>
      </c>
      <c r="AT475" s="13" t="n">
        <v>0</v>
      </c>
      <c r="AU475" s="13" t="n">
        <v>0.0025</v>
      </c>
      <c r="AV475" s="13" t="n">
        <v>-0.005</v>
      </c>
      <c r="AW475" s="13">
        <f>IF(X475="","",(AM475/100*AO475)+AP475+AQ475+AR475)</f>
        <v/>
      </c>
      <c r="AX475" s="13">
        <f>IF(X475="","",AS475+AT475+AU475+AV475)</f>
        <v/>
      </c>
      <c r="AY475" s="12">
        <f>IF(AZ475="","",ROUND(AZ475*(1+Assumptions!$B$10),0))</f>
        <v/>
      </c>
      <c r="AZ475" s="12">
        <f>IF(X475="","",ROUND(X475*(1+AW475),0))</f>
        <v/>
      </c>
      <c r="BA475" s="12">
        <f>IF(AZ475="","",ROUND(AZ475*(1+Assumptions!$B$11),0))</f>
        <v/>
      </c>
      <c r="BB475" s="12">
        <f>IF(AZ475="","",ROUND(AZ475*(1+AX475+Assumptions!$B$10),0))</f>
        <v/>
      </c>
      <c r="BC475" s="12">
        <f>IF(AZ475="","",ROUND(AZ475*(1+AX475),0))</f>
        <v/>
      </c>
      <c r="BD475" s="12">
        <f>IF(AZ475="","",ROUND(AZ475*(1+AX475+Assumptions!$B$11),0))</f>
        <v/>
      </c>
      <c r="BE475" s="12">
        <f>IF(AZ475="","",ROUND(AZ475*(1+AX475)*(1+AX475),0))</f>
        <v/>
      </c>
      <c r="BF475" s="7" t="inlineStr">
        <is>
          <t>Rules-based enrichment using launch-price anchor, cap-app realization, and 2026 segment conditions.</t>
        </is>
      </c>
      <c r="BG475" t="inlineStr">
        <is>
          <t>2026-03-17</t>
        </is>
      </c>
      <c r="BH475" s="7" t="inlineStr">
        <is>
          <t>DLD / Digital Dubai / CBUAE / Savills / Knight Frank-Moody’s / Reuters</t>
        </is>
      </c>
    </row>
    <row r="476">
      <c r="A476" t="n">
        <v>475</v>
      </c>
      <c r="B476" s="7" t="inlineStr">
        <is>
          <t>Luxor</t>
        </is>
      </c>
      <c r="C476" t="inlineStr">
        <is>
          <t>Imtiaz Developments</t>
        </is>
      </c>
      <c r="D476" t="inlineStr">
        <is>
          <t>JVC</t>
        </is>
      </c>
      <c r="E476" t="inlineStr">
        <is>
          <t>Apartments</t>
        </is>
      </c>
      <c r="F476" s="7" t="inlineStr">
        <is>
          <t>Modern</t>
        </is>
      </c>
      <c r="G476" t="inlineStr">
        <is>
          <t>900k</t>
        </is>
      </c>
      <c r="H476" t="inlineStr">
        <is>
          <t>1300</t>
        </is>
      </c>
      <c r="I476" t="inlineStr">
        <is>
          <t>15</t>
        </is>
      </c>
      <c r="J476" t="inlineStr">
        <is>
          <t>60/40</t>
        </is>
      </c>
      <c r="K476" t="inlineStr">
        <is>
          <t>2023</t>
        </is>
      </c>
      <c r="L476" t="inlineStr">
        <is>
          <t>7.5-8.0</t>
        </is>
      </c>
      <c r="M476" t="inlineStr">
        <is>
          <t>6-8</t>
        </is>
      </c>
      <c r="N476" t="inlineStr">
        <is>
          <t>13.5-16.0</t>
        </is>
      </c>
      <c r="O476" s="7" t="inlineStr">
        <is>
          <t>JSS International</t>
        </is>
      </c>
      <c r="P476" s="7" t="inlineStr">
        <is>
          <t>Saudi German Hospital</t>
        </is>
      </c>
      <c r="Q476" s="7" t="inlineStr">
        <is>
          <t>Circle Mall</t>
        </is>
      </c>
      <c r="R476" s="7" t="inlineStr">
        <is>
          <t>Hessa St / E44</t>
        </is>
      </c>
      <c r="S476" t="inlineStr">
        <is>
          <t>20</t>
        </is>
      </c>
      <c r="T476" t="inlineStr">
        <is>
          <t>15</t>
        </is>
      </c>
      <c r="U476" t="inlineStr">
        <is>
          <t>25</t>
        </is>
      </c>
      <c r="V476" t="inlineStr">
        <is>
          <t>30</t>
        </is>
      </c>
      <c r="W476" t="n">
        <v>2</v>
      </c>
      <c r="X476" s="12" t="n">
        <v>900000</v>
      </c>
      <c r="Y476" s="12" t="n">
        <v>900000</v>
      </c>
      <c r="Z476" s="9" t="n">
        <v>7.5</v>
      </c>
      <c r="AA476" s="9" t="n">
        <v>8</v>
      </c>
      <c r="AB476" s="9" t="n">
        <v>6</v>
      </c>
      <c r="AC476" s="9" t="n">
        <v>8</v>
      </c>
      <c r="AD476" s="9" t="n">
        <v>13.5</v>
      </c>
      <c r="AE476" s="9" t="n">
        <v>16</v>
      </c>
      <c r="AF476" t="n">
        <v>2023</v>
      </c>
      <c r="AH476" t="inlineStr">
        <is>
          <t>Apartment</t>
        </is>
      </c>
      <c r="AI476" t="inlineStr">
        <is>
          <t>SupplySensitiveApartment</t>
        </is>
      </c>
      <c r="AJ476" t="inlineStr">
        <is>
          <t>Established</t>
        </is>
      </c>
      <c r="AK476" t="inlineStr">
        <is>
          <t>Supply-sensitive / selective</t>
        </is>
      </c>
      <c r="AL476" s="7" t="inlineStr">
        <is>
          <t>Higher delivery risk in more price-sensitive apartment clusters; building selection and exit liquidity matter.</t>
        </is>
      </c>
      <c r="AM476" s="9" t="n">
        <v>7</v>
      </c>
      <c r="AN476" s="9" t="n">
        <v>7.75</v>
      </c>
      <c r="AO476" s="10" t="n">
        <v>0.55</v>
      </c>
      <c r="AP476" s="13" t="n">
        <v>0</v>
      </c>
      <c r="AQ476" s="13" t="n">
        <v>0</v>
      </c>
      <c r="AR476" s="13" t="n">
        <v>-0.01</v>
      </c>
      <c r="AS476" s="13" t="n">
        <v>-0.01</v>
      </c>
      <c r="AT476" s="13" t="n">
        <v>0</v>
      </c>
      <c r="AU476" s="13" t="n">
        <v>0.0025</v>
      </c>
      <c r="AV476" s="13" t="n">
        <v>-0.005</v>
      </c>
      <c r="AW476" s="13">
        <f>IF(X476="","",(AM476/100*AO476)+AP476+AQ476+AR476)</f>
        <v/>
      </c>
      <c r="AX476" s="13">
        <f>IF(X476="","",AS476+AT476+AU476+AV476)</f>
        <v/>
      </c>
      <c r="AY476" s="12">
        <f>IF(AZ476="","",ROUND(AZ476*(1+Assumptions!$B$10),0))</f>
        <v/>
      </c>
      <c r="AZ476" s="12">
        <f>IF(X476="","",ROUND(X476*(1+AW476),0))</f>
        <v/>
      </c>
      <c r="BA476" s="12">
        <f>IF(AZ476="","",ROUND(AZ476*(1+Assumptions!$B$11),0))</f>
        <v/>
      </c>
      <c r="BB476" s="12">
        <f>IF(AZ476="","",ROUND(AZ476*(1+AX476+Assumptions!$B$10),0))</f>
        <v/>
      </c>
      <c r="BC476" s="12">
        <f>IF(AZ476="","",ROUND(AZ476*(1+AX476),0))</f>
        <v/>
      </c>
      <c r="BD476" s="12">
        <f>IF(AZ476="","",ROUND(AZ476*(1+AX476+Assumptions!$B$11),0))</f>
        <v/>
      </c>
      <c r="BE476" s="12">
        <f>IF(AZ476="","",ROUND(AZ476*(1+AX476)*(1+AX476),0))</f>
        <v/>
      </c>
      <c r="BF476" s="7" t="inlineStr">
        <is>
          <t>Rules-based enrichment using launch-price anchor, cap-app realization, and 2026 segment conditions.</t>
        </is>
      </c>
      <c r="BG476" t="inlineStr">
        <is>
          <t>2026-03-17</t>
        </is>
      </c>
      <c r="BH476" s="7" t="inlineStr">
        <is>
          <t>DLD / Digital Dubai / CBUAE / Savills / Knight Frank-Moody’s / Reuters</t>
        </is>
      </c>
    </row>
    <row r="477">
      <c r="A477" t="n">
        <v>476</v>
      </c>
      <c r="B477" s="7" t="inlineStr">
        <is>
          <t>Pearl House</t>
        </is>
      </c>
      <c r="C477" t="inlineStr">
        <is>
          <t>Imtiaz Developments</t>
        </is>
      </c>
      <c r="D477" t="inlineStr">
        <is>
          <t>JVC</t>
        </is>
      </c>
      <c r="E477" t="inlineStr">
        <is>
          <t>Apartments</t>
        </is>
      </c>
      <c r="F477" s="7" t="inlineStr">
        <is>
          <t>Modern</t>
        </is>
      </c>
      <c r="G477" t="inlineStr">
        <is>
          <t>900k</t>
        </is>
      </c>
      <c r="H477" t="inlineStr">
        <is>
          <t>1300</t>
        </is>
      </c>
      <c r="I477" t="inlineStr">
        <is>
          <t>15</t>
        </is>
      </c>
      <c r="J477" t="inlineStr">
        <is>
          <t>60/40</t>
        </is>
      </c>
      <c r="K477" t="inlineStr">
        <is>
          <t>2023</t>
        </is>
      </c>
      <c r="L477" t="inlineStr">
        <is>
          <t>7.5-8.0</t>
        </is>
      </c>
      <c r="M477" t="inlineStr">
        <is>
          <t>6-8</t>
        </is>
      </c>
      <c r="N477" t="inlineStr">
        <is>
          <t>13.5-16.0</t>
        </is>
      </c>
      <c r="O477" s="7" t="inlineStr">
        <is>
          <t>JSS International</t>
        </is>
      </c>
      <c r="P477" s="7" t="inlineStr">
        <is>
          <t>Saudi German Hospital</t>
        </is>
      </c>
      <c r="Q477" s="7" t="inlineStr">
        <is>
          <t>Circle Mall</t>
        </is>
      </c>
      <c r="R477" s="7" t="inlineStr">
        <is>
          <t>Hessa St / E44</t>
        </is>
      </c>
      <c r="S477" t="inlineStr">
        <is>
          <t>20</t>
        </is>
      </c>
      <c r="T477" t="inlineStr">
        <is>
          <t>15</t>
        </is>
      </c>
      <c r="U477" t="inlineStr">
        <is>
          <t>25</t>
        </is>
      </c>
      <c r="V477" t="inlineStr">
        <is>
          <t>30</t>
        </is>
      </c>
      <c r="W477" t="n">
        <v>2</v>
      </c>
      <c r="X477" s="12" t="n">
        <v>900000</v>
      </c>
      <c r="Y477" s="12" t="n">
        <v>900000</v>
      </c>
      <c r="Z477" s="9" t="n">
        <v>7.5</v>
      </c>
      <c r="AA477" s="9" t="n">
        <v>8</v>
      </c>
      <c r="AB477" s="9" t="n">
        <v>6</v>
      </c>
      <c r="AC477" s="9" t="n">
        <v>8</v>
      </c>
      <c r="AD477" s="9" t="n">
        <v>13.5</v>
      </c>
      <c r="AE477" s="9" t="n">
        <v>16</v>
      </c>
      <c r="AF477" t="n">
        <v>2023</v>
      </c>
      <c r="AH477" t="inlineStr">
        <is>
          <t>Apartment</t>
        </is>
      </c>
      <c r="AI477" t="inlineStr">
        <is>
          <t>SupplySensitiveApartment</t>
        </is>
      </c>
      <c r="AJ477" t="inlineStr">
        <is>
          <t>Established</t>
        </is>
      </c>
      <c r="AK477" t="inlineStr">
        <is>
          <t>Supply-sensitive / selective</t>
        </is>
      </c>
      <c r="AL477" s="7" t="inlineStr">
        <is>
          <t>Higher delivery risk in more price-sensitive apartment clusters; building selection and exit liquidity matter.</t>
        </is>
      </c>
      <c r="AM477" s="9" t="n">
        <v>7</v>
      </c>
      <c r="AN477" s="9" t="n">
        <v>7.75</v>
      </c>
      <c r="AO477" s="10" t="n">
        <v>0.55</v>
      </c>
      <c r="AP477" s="13" t="n">
        <v>0</v>
      </c>
      <c r="AQ477" s="13" t="n">
        <v>0</v>
      </c>
      <c r="AR477" s="13" t="n">
        <v>-0.01</v>
      </c>
      <c r="AS477" s="13" t="n">
        <v>-0.01</v>
      </c>
      <c r="AT477" s="13" t="n">
        <v>0</v>
      </c>
      <c r="AU477" s="13" t="n">
        <v>0.0025</v>
      </c>
      <c r="AV477" s="13" t="n">
        <v>-0.005</v>
      </c>
      <c r="AW477" s="13">
        <f>IF(X477="","",(AM477/100*AO477)+AP477+AQ477+AR477)</f>
        <v/>
      </c>
      <c r="AX477" s="13">
        <f>IF(X477="","",AS477+AT477+AU477+AV477)</f>
        <v/>
      </c>
      <c r="AY477" s="12">
        <f>IF(AZ477="","",ROUND(AZ477*(1+Assumptions!$B$10),0))</f>
        <v/>
      </c>
      <c r="AZ477" s="12">
        <f>IF(X477="","",ROUND(X477*(1+AW477),0))</f>
        <v/>
      </c>
      <c r="BA477" s="12">
        <f>IF(AZ477="","",ROUND(AZ477*(1+Assumptions!$B$11),0))</f>
        <v/>
      </c>
      <c r="BB477" s="12">
        <f>IF(AZ477="","",ROUND(AZ477*(1+AX477+Assumptions!$B$10),0))</f>
        <v/>
      </c>
      <c r="BC477" s="12">
        <f>IF(AZ477="","",ROUND(AZ477*(1+AX477),0))</f>
        <v/>
      </c>
      <c r="BD477" s="12">
        <f>IF(AZ477="","",ROUND(AZ477*(1+AX477+Assumptions!$B$11),0))</f>
        <v/>
      </c>
      <c r="BE477" s="12">
        <f>IF(AZ477="","",ROUND(AZ477*(1+AX477)*(1+AX477),0))</f>
        <v/>
      </c>
      <c r="BF477" s="7" t="inlineStr">
        <is>
          <t>Rules-based enrichment using launch-price anchor, cap-app realization, and 2026 segment conditions.</t>
        </is>
      </c>
      <c r="BG477" t="inlineStr">
        <is>
          <t>2026-03-17</t>
        </is>
      </c>
      <c r="BH477" s="7" t="inlineStr">
        <is>
          <t>DLD / Digital Dubai / CBUAE / Savills / Knight Frank-Moody’s / Reuters</t>
        </is>
      </c>
    </row>
    <row r="478">
      <c r="A478" t="n">
        <v>477</v>
      </c>
      <c r="B478" s="7" t="inlineStr">
        <is>
          <t>Cove</t>
        </is>
      </c>
      <c r="C478" t="inlineStr">
        <is>
          <t>Imtiaz Developments</t>
        </is>
      </c>
      <c r="D478" t="inlineStr">
        <is>
          <t>Dubailand</t>
        </is>
      </c>
      <c r="E478" t="inlineStr">
        <is>
          <t>Apartments</t>
        </is>
      </c>
      <c r="F478" s="7" t="inlineStr">
        <is>
          <t>Hillside</t>
        </is>
      </c>
      <c r="G478" t="inlineStr">
        <is>
          <t>1.2M</t>
        </is>
      </c>
      <c r="H478" t="inlineStr">
        <is>
          <t>1100</t>
        </is>
      </c>
      <c r="I478" t="inlineStr">
        <is>
          <t>15</t>
        </is>
      </c>
      <c r="J478" t="inlineStr">
        <is>
          <t>60/40</t>
        </is>
      </c>
      <c r="K478" t="inlineStr">
        <is>
          <t>2024</t>
        </is>
      </c>
      <c r="L478" t="inlineStr">
        <is>
          <t>7.0-7.5</t>
        </is>
      </c>
      <c r="M478" t="inlineStr">
        <is>
          <t>8-10</t>
        </is>
      </c>
      <c r="N478" t="inlineStr">
        <is>
          <t>15.0-17.5</t>
        </is>
      </c>
      <c r="O478" s="7" t="inlineStr">
        <is>
          <t>GEMS Winchester</t>
        </is>
      </c>
      <c r="P478" s="7" t="inlineStr">
        <is>
          <t>Fakeeh University Hosp</t>
        </is>
      </c>
      <c r="Q478" s="7" t="inlineStr">
        <is>
          <t>Dubai Outlet Mall</t>
        </is>
      </c>
      <c r="R478" s="7" t="inlineStr">
        <is>
          <t>E611 / Al Ain Rd</t>
        </is>
      </c>
      <c r="S478" t="inlineStr">
        <is>
          <t>20</t>
        </is>
      </c>
      <c r="T478" t="inlineStr">
        <is>
          <t>25</t>
        </is>
      </c>
      <c r="U478" t="inlineStr">
        <is>
          <t>25</t>
        </is>
      </c>
      <c r="V478" t="inlineStr">
        <is>
          <t>30</t>
        </is>
      </c>
      <c r="W478" t="n">
        <v>2</v>
      </c>
      <c r="X478" s="12" t="n">
        <v>1200000</v>
      </c>
      <c r="Y478" s="12" t="n">
        <v>1200000</v>
      </c>
      <c r="Z478" s="9" t="n">
        <v>7</v>
      </c>
      <c r="AA478" s="9" t="n">
        <v>7.5</v>
      </c>
      <c r="AB478" s="9" t="n">
        <v>8</v>
      </c>
      <c r="AC478" s="9" t="n">
        <v>10</v>
      </c>
      <c r="AD478" s="9" t="n">
        <v>15</v>
      </c>
      <c r="AE478" s="9" t="n">
        <v>17.5</v>
      </c>
      <c r="AF478" t="n">
        <v>2024</v>
      </c>
      <c r="AH478" t="inlineStr">
        <is>
          <t>Apartment</t>
        </is>
      </c>
      <c r="AI478" t="inlineStr">
        <is>
          <t>SupplySensitiveApartment</t>
        </is>
      </c>
      <c r="AJ478" t="inlineStr">
        <is>
          <t>Established</t>
        </is>
      </c>
      <c r="AK478" t="inlineStr">
        <is>
          <t>Supply-sensitive / selective</t>
        </is>
      </c>
      <c r="AL478" s="7" t="inlineStr">
        <is>
          <t>Higher delivery risk in more price-sensitive apartment clusters; building selection and exit liquidity matter.</t>
        </is>
      </c>
      <c r="AM478" s="9" t="n">
        <v>9</v>
      </c>
      <c r="AN478" s="9" t="n">
        <v>7.25</v>
      </c>
      <c r="AO478" s="10" t="n">
        <v>0.55</v>
      </c>
      <c r="AP478" s="13" t="n">
        <v>0</v>
      </c>
      <c r="AQ478" s="13" t="n">
        <v>0</v>
      </c>
      <c r="AR478" s="13" t="n">
        <v>-0.01</v>
      </c>
      <c r="AS478" s="13" t="n">
        <v>-0.01</v>
      </c>
      <c r="AT478" s="13" t="n">
        <v>0</v>
      </c>
      <c r="AU478" s="13" t="n">
        <v>0.0025</v>
      </c>
      <c r="AV478" s="13" t="n">
        <v>-0.005</v>
      </c>
      <c r="AW478" s="13">
        <f>IF(X478="","",(AM478/100*AO478)+AP478+AQ478+AR478)</f>
        <v/>
      </c>
      <c r="AX478" s="13">
        <f>IF(X478="","",AS478+AT478+AU478+AV478)</f>
        <v/>
      </c>
      <c r="AY478" s="12">
        <f>IF(AZ478="","",ROUND(AZ478*(1+Assumptions!$B$10),0))</f>
        <v/>
      </c>
      <c r="AZ478" s="12">
        <f>IF(X478="","",ROUND(X478*(1+AW478),0))</f>
        <v/>
      </c>
      <c r="BA478" s="12">
        <f>IF(AZ478="","",ROUND(AZ478*(1+Assumptions!$B$11),0))</f>
        <v/>
      </c>
      <c r="BB478" s="12">
        <f>IF(AZ478="","",ROUND(AZ478*(1+AX478+Assumptions!$B$10),0))</f>
        <v/>
      </c>
      <c r="BC478" s="12">
        <f>IF(AZ478="","",ROUND(AZ478*(1+AX478),0))</f>
        <v/>
      </c>
      <c r="BD478" s="12">
        <f>IF(AZ478="","",ROUND(AZ478*(1+AX478+Assumptions!$B$11),0))</f>
        <v/>
      </c>
      <c r="BE478" s="12">
        <f>IF(AZ478="","",ROUND(AZ478*(1+AX478)*(1+AX478),0))</f>
        <v/>
      </c>
      <c r="BF478" s="7" t="inlineStr">
        <is>
          <t>Rules-based enrichment using launch-price anchor, cap-app realization, and 2026 segment conditions.</t>
        </is>
      </c>
      <c r="BG478" t="inlineStr">
        <is>
          <t>2026-03-17</t>
        </is>
      </c>
      <c r="BH478" s="7" t="inlineStr">
        <is>
          <t>DLD / Digital Dubai / CBUAE / Savills / Knight Frank-Moody’s / Reuters</t>
        </is>
      </c>
    </row>
    <row r="479">
      <c r="A479" t="n">
        <v>478</v>
      </c>
      <c r="B479" s="7" t="inlineStr">
        <is>
          <t>Cove Edition 2</t>
        </is>
      </c>
      <c r="C479" t="inlineStr">
        <is>
          <t>Imtiaz Developments</t>
        </is>
      </c>
      <c r="D479" t="inlineStr">
        <is>
          <t>Dubailand</t>
        </is>
      </c>
      <c r="E479" t="inlineStr">
        <is>
          <t>Apartments</t>
        </is>
      </c>
      <c r="F479" s="7" t="inlineStr">
        <is>
          <t>Hillside</t>
        </is>
      </c>
      <c r="G479" t="inlineStr">
        <is>
          <t>1.25M</t>
        </is>
      </c>
      <c r="H479" t="inlineStr">
        <is>
          <t>1100</t>
        </is>
      </c>
      <c r="I479" t="inlineStr">
        <is>
          <t>15</t>
        </is>
      </c>
      <c r="J479" t="inlineStr">
        <is>
          <t>60/40</t>
        </is>
      </c>
      <c r="K479" t="inlineStr">
        <is>
          <t>2024</t>
        </is>
      </c>
      <c r="L479" t="inlineStr">
        <is>
          <t>7.0-7.5</t>
        </is>
      </c>
      <c r="M479" t="inlineStr">
        <is>
          <t>8-10</t>
        </is>
      </c>
      <c r="N479" t="inlineStr">
        <is>
          <t>15.0-17.5</t>
        </is>
      </c>
      <c r="O479" s="7" t="inlineStr">
        <is>
          <t>GEMS Winchester</t>
        </is>
      </c>
      <c r="P479" s="7" t="inlineStr">
        <is>
          <t>Fakeeh University Hosp</t>
        </is>
      </c>
      <c r="Q479" s="7" t="inlineStr">
        <is>
          <t>Dubai Outlet Mall</t>
        </is>
      </c>
      <c r="R479" s="7" t="inlineStr">
        <is>
          <t>E611 / Al Ain Rd</t>
        </is>
      </c>
      <c r="S479" t="inlineStr">
        <is>
          <t>20</t>
        </is>
      </c>
      <c r="T479" t="inlineStr">
        <is>
          <t>25</t>
        </is>
      </c>
      <c r="U479" t="inlineStr">
        <is>
          <t>25</t>
        </is>
      </c>
      <c r="V479" t="inlineStr">
        <is>
          <t>30</t>
        </is>
      </c>
      <c r="W479" t="n">
        <v>2</v>
      </c>
      <c r="X479" s="12" t="n">
        <v>1250000</v>
      </c>
      <c r="Y479" s="12" t="n">
        <v>1250000</v>
      </c>
      <c r="Z479" s="9" t="n">
        <v>7</v>
      </c>
      <c r="AA479" s="9" t="n">
        <v>7.5</v>
      </c>
      <c r="AB479" s="9" t="n">
        <v>8</v>
      </c>
      <c r="AC479" s="9" t="n">
        <v>10</v>
      </c>
      <c r="AD479" s="9" t="n">
        <v>15</v>
      </c>
      <c r="AE479" s="9" t="n">
        <v>17.5</v>
      </c>
      <c r="AF479" t="n">
        <v>2024</v>
      </c>
      <c r="AH479" t="inlineStr">
        <is>
          <t>Apartment</t>
        </is>
      </c>
      <c r="AI479" t="inlineStr">
        <is>
          <t>SupplySensitiveApartment</t>
        </is>
      </c>
      <c r="AJ479" t="inlineStr">
        <is>
          <t>Established</t>
        </is>
      </c>
      <c r="AK479" t="inlineStr">
        <is>
          <t>Supply-sensitive / selective</t>
        </is>
      </c>
      <c r="AL479" s="7" t="inlineStr">
        <is>
          <t>Higher delivery risk in more price-sensitive apartment clusters; building selection and exit liquidity matter.</t>
        </is>
      </c>
      <c r="AM479" s="9" t="n">
        <v>9</v>
      </c>
      <c r="AN479" s="9" t="n">
        <v>7.25</v>
      </c>
      <c r="AO479" s="10" t="n">
        <v>0.55</v>
      </c>
      <c r="AP479" s="13" t="n">
        <v>0</v>
      </c>
      <c r="AQ479" s="13" t="n">
        <v>0</v>
      </c>
      <c r="AR479" s="13" t="n">
        <v>-0.01</v>
      </c>
      <c r="AS479" s="13" t="n">
        <v>-0.01</v>
      </c>
      <c r="AT479" s="13" t="n">
        <v>0</v>
      </c>
      <c r="AU479" s="13" t="n">
        <v>0.0025</v>
      </c>
      <c r="AV479" s="13" t="n">
        <v>-0.005</v>
      </c>
      <c r="AW479" s="13">
        <f>IF(X479="","",(AM479/100*AO479)+AP479+AQ479+AR479)</f>
        <v/>
      </c>
      <c r="AX479" s="13">
        <f>IF(X479="","",AS479+AT479+AU479+AV479)</f>
        <v/>
      </c>
      <c r="AY479" s="12">
        <f>IF(AZ479="","",ROUND(AZ479*(1+Assumptions!$B$10),0))</f>
        <v/>
      </c>
      <c r="AZ479" s="12">
        <f>IF(X479="","",ROUND(X479*(1+AW479),0))</f>
        <v/>
      </c>
      <c r="BA479" s="12">
        <f>IF(AZ479="","",ROUND(AZ479*(1+Assumptions!$B$11),0))</f>
        <v/>
      </c>
      <c r="BB479" s="12">
        <f>IF(AZ479="","",ROUND(AZ479*(1+AX479+Assumptions!$B$10),0))</f>
        <v/>
      </c>
      <c r="BC479" s="12">
        <f>IF(AZ479="","",ROUND(AZ479*(1+AX479),0))</f>
        <v/>
      </c>
      <c r="BD479" s="12">
        <f>IF(AZ479="","",ROUND(AZ479*(1+AX479+Assumptions!$B$11),0))</f>
        <v/>
      </c>
      <c r="BE479" s="12">
        <f>IF(AZ479="","",ROUND(AZ479*(1+AX479)*(1+AX479),0))</f>
        <v/>
      </c>
      <c r="BF479" s="7" t="inlineStr">
        <is>
          <t>Rules-based enrichment using launch-price anchor, cap-app realization, and 2026 segment conditions.</t>
        </is>
      </c>
      <c r="BG479" t="inlineStr">
        <is>
          <t>2026-03-17</t>
        </is>
      </c>
      <c r="BH479" s="7" t="inlineStr">
        <is>
          <t>DLD / Digital Dubai / CBUAE / Savills / Knight Frank-Moody’s / Reuters</t>
        </is>
      </c>
    </row>
    <row r="480">
      <c r="A480" t="n">
        <v>479</v>
      </c>
      <c r="B480" s="7" t="inlineStr">
        <is>
          <t>Westwood</t>
        </is>
      </c>
      <c r="C480" t="inlineStr">
        <is>
          <t>Imtiaz Developments</t>
        </is>
      </c>
      <c r="D480" t="inlineStr">
        <is>
          <t>Al Furjan</t>
        </is>
      </c>
      <c r="E480" t="inlineStr">
        <is>
          <t>Apartments</t>
        </is>
      </c>
      <c r="F480" s="7" t="inlineStr">
        <is>
          <t>Metro / Family</t>
        </is>
      </c>
      <c r="G480" t="inlineStr">
        <is>
          <t>800k</t>
        </is>
      </c>
      <c r="H480" t="inlineStr">
        <is>
          <t>1100</t>
        </is>
      </c>
      <c r="I480" t="inlineStr">
        <is>
          <t>14</t>
        </is>
      </c>
      <c r="J480" t="inlineStr">
        <is>
          <t>Completed</t>
        </is>
      </c>
      <c r="K480" t="inlineStr">
        <is>
          <t>2022</t>
        </is>
      </c>
      <c r="L480" t="inlineStr">
        <is>
          <t>7.0-7.5</t>
        </is>
      </c>
      <c r="M480" t="inlineStr">
        <is>
          <t>5-7</t>
        </is>
      </c>
      <c r="N480" t="inlineStr">
        <is>
          <t>12.0-14.5</t>
        </is>
      </c>
      <c r="O480" s="7" t="inlineStr">
        <is>
          <t>The Arbor School</t>
        </is>
      </c>
      <c r="P480" s="7" t="inlineStr">
        <is>
          <t>NMC Royal DIP</t>
        </is>
      </c>
      <c r="Q480" s="7" t="inlineStr">
        <is>
          <t>Ibn Battuta Mall</t>
        </is>
      </c>
      <c r="R480" s="7" t="inlineStr">
        <is>
          <t>Yalayis / E311</t>
        </is>
      </c>
      <c r="S480" t="inlineStr">
        <is>
          <t>25</t>
        </is>
      </c>
      <c r="T480" t="inlineStr">
        <is>
          <t>15</t>
        </is>
      </c>
      <c r="U480" t="inlineStr">
        <is>
          <t>30</t>
        </is>
      </c>
      <c r="V480" t="inlineStr">
        <is>
          <t>20</t>
        </is>
      </c>
      <c r="W480" t="n">
        <v>2</v>
      </c>
      <c r="X480" s="12" t="n">
        <v>800000</v>
      </c>
      <c r="Y480" s="12" t="n">
        <v>800000</v>
      </c>
      <c r="Z480" s="9" t="n">
        <v>7</v>
      </c>
      <c r="AA480" s="9" t="n">
        <v>7.5</v>
      </c>
      <c r="AB480" s="9" t="n">
        <v>5</v>
      </c>
      <c r="AC480" s="9" t="n">
        <v>7</v>
      </c>
      <c r="AD480" s="9" t="n">
        <v>12</v>
      </c>
      <c r="AE480" s="9" t="n">
        <v>14.5</v>
      </c>
      <c r="AF480" t="n">
        <v>2022</v>
      </c>
      <c r="AH480" t="inlineStr">
        <is>
          <t>Apartment</t>
        </is>
      </c>
      <c r="AI480" t="inlineStr">
        <is>
          <t>SupplySensitiveApartment</t>
        </is>
      </c>
      <c r="AJ480" t="inlineStr">
        <is>
          <t>Established</t>
        </is>
      </c>
      <c r="AK480" t="inlineStr">
        <is>
          <t>Supply-sensitive / selective</t>
        </is>
      </c>
      <c r="AL480" s="7" t="inlineStr">
        <is>
          <t>Higher delivery risk in more price-sensitive apartment clusters; building selection and exit liquidity matter.</t>
        </is>
      </c>
      <c r="AM480" s="9" t="n">
        <v>6</v>
      </c>
      <c r="AN480" s="9" t="n">
        <v>7.25</v>
      </c>
      <c r="AO480" s="10" t="n">
        <v>0.55</v>
      </c>
      <c r="AP480" s="13" t="n">
        <v>0</v>
      </c>
      <c r="AQ480" s="13" t="n">
        <v>0</v>
      </c>
      <c r="AR480" s="13" t="n">
        <v>-0.01</v>
      </c>
      <c r="AS480" s="13" t="n">
        <v>-0.01</v>
      </c>
      <c r="AT480" s="13" t="n">
        <v>0</v>
      </c>
      <c r="AU480" s="13" t="n">
        <v>0.0025</v>
      </c>
      <c r="AV480" s="13" t="n">
        <v>-0.005</v>
      </c>
      <c r="AW480" s="13">
        <f>IF(X480="","",(AM480/100*AO480)+AP480+AQ480+AR480)</f>
        <v/>
      </c>
      <c r="AX480" s="13">
        <f>IF(X480="","",AS480+AT480+AU480+AV480)</f>
        <v/>
      </c>
      <c r="AY480" s="12">
        <f>IF(AZ480="","",ROUND(AZ480*(1+Assumptions!$B$10),0))</f>
        <v/>
      </c>
      <c r="AZ480" s="12">
        <f>IF(X480="","",ROUND(X480*(1+AW480),0))</f>
        <v/>
      </c>
      <c r="BA480" s="12">
        <f>IF(AZ480="","",ROUND(AZ480*(1+Assumptions!$B$11),0))</f>
        <v/>
      </c>
      <c r="BB480" s="12">
        <f>IF(AZ480="","",ROUND(AZ480*(1+AX480+Assumptions!$B$10),0))</f>
        <v/>
      </c>
      <c r="BC480" s="12">
        <f>IF(AZ480="","",ROUND(AZ480*(1+AX480),0))</f>
        <v/>
      </c>
      <c r="BD480" s="12">
        <f>IF(AZ480="","",ROUND(AZ480*(1+AX480+Assumptions!$B$11),0))</f>
        <v/>
      </c>
      <c r="BE480" s="12">
        <f>IF(AZ480="","",ROUND(AZ480*(1+AX480)*(1+AX480),0))</f>
        <v/>
      </c>
      <c r="BF480" s="7" t="inlineStr">
        <is>
          <t>Rules-based enrichment using launch-price anchor, cap-app realization, and 2026 segment conditions.</t>
        </is>
      </c>
      <c r="BG480" t="inlineStr">
        <is>
          <t>2026-03-17</t>
        </is>
      </c>
      <c r="BH480" s="7" t="inlineStr">
        <is>
          <t>DLD / Digital Dubai / CBUAE / Savills / Knight Frank-Moody’s / Reuters</t>
        </is>
      </c>
    </row>
    <row r="481">
      <c r="A481" t="n">
        <v>480</v>
      </c>
      <c r="B481" s="7" t="inlineStr">
        <is>
          <t>Westwood Grande</t>
        </is>
      </c>
      <c r="C481" t="inlineStr">
        <is>
          <t>Imtiaz Developments</t>
        </is>
      </c>
      <c r="D481" t="inlineStr">
        <is>
          <t>Al Furjan</t>
        </is>
      </c>
      <c r="E481" t="inlineStr">
        <is>
          <t>Apartments</t>
        </is>
      </c>
      <c r="F481" s="7" t="inlineStr">
        <is>
          <t>Metro / Family</t>
        </is>
      </c>
      <c r="G481" t="inlineStr">
        <is>
          <t>850k</t>
        </is>
      </c>
      <c r="H481" t="inlineStr">
        <is>
          <t>1100</t>
        </is>
      </c>
      <c r="I481" t="inlineStr">
        <is>
          <t>14</t>
        </is>
      </c>
      <c r="J481" t="inlineStr">
        <is>
          <t>60/40</t>
        </is>
      </c>
      <c r="K481" t="inlineStr">
        <is>
          <t>2023</t>
        </is>
      </c>
      <c r="L481" t="inlineStr">
        <is>
          <t>7.0-7.5</t>
        </is>
      </c>
      <c r="M481" t="inlineStr">
        <is>
          <t>6-8</t>
        </is>
      </c>
      <c r="N481" t="inlineStr">
        <is>
          <t>13.0-15.5</t>
        </is>
      </c>
      <c r="O481" s="7" t="inlineStr">
        <is>
          <t>The Arbor School</t>
        </is>
      </c>
      <c r="P481" s="7" t="inlineStr">
        <is>
          <t>NMC Royal DIP</t>
        </is>
      </c>
      <c r="Q481" s="7" t="inlineStr">
        <is>
          <t>Ibn Battuta Mall</t>
        </is>
      </c>
      <c r="R481" s="7" t="inlineStr">
        <is>
          <t>Yalayis / E311</t>
        </is>
      </c>
      <c r="S481" t="inlineStr">
        <is>
          <t>25</t>
        </is>
      </c>
      <c r="T481" t="inlineStr">
        <is>
          <t>15</t>
        </is>
      </c>
      <c r="U481" t="inlineStr">
        <is>
          <t>30</t>
        </is>
      </c>
      <c r="V481" t="inlineStr">
        <is>
          <t>20</t>
        </is>
      </c>
      <c r="W481" t="n">
        <v>2</v>
      </c>
      <c r="X481" s="12" t="n">
        <v>850000</v>
      </c>
      <c r="Y481" s="12" t="n">
        <v>850000</v>
      </c>
      <c r="Z481" s="9" t="n">
        <v>7</v>
      </c>
      <c r="AA481" s="9" t="n">
        <v>7.5</v>
      </c>
      <c r="AB481" s="9" t="n">
        <v>6</v>
      </c>
      <c r="AC481" s="9" t="n">
        <v>8</v>
      </c>
      <c r="AD481" s="9" t="n">
        <v>13</v>
      </c>
      <c r="AE481" s="9" t="n">
        <v>15.5</v>
      </c>
      <c r="AF481" t="n">
        <v>2023</v>
      </c>
      <c r="AH481" t="inlineStr">
        <is>
          <t>Apartment</t>
        </is>
      </c>
      <c r="AI481" t="inlineStr">
        <is>
          <t>SupplySensitiveApartment</t>
        </is>
      </c>
      <c r="AJ481" t="inlineStr">
        <is>
          <t>Established</t>
        </is>
      </c>
      <c r="AK481" t="inlineStr">
        <is>
          <t>Supply-sensitive / selective</t>
        </is>
      </c>
      <c r="AL481" s="7" t="inlineStr">
        <is>
          <t>Higher delivery risk in more price-sensitive apartment clusters; building selection and exit liquidity matter.</t>
        </is>
      </c>
      <c r="AM481" s="9" t="n">
        <v>7</v>
      </c>
      <c r="AN481" s="9" t="n">
        <v>7.25</v>
      </c>
      <c r="AO481" s="10" t="n">
        <v>0.55</v>
      </c>
      <c r="AP481" s="13" t="n">
        <v>0</v>
      </c>
      <c r="AQ481" s="13" t="n">
        <v>0</v>
      </c>
      <c r="AR481" s="13" t="n">
        <v>-0.01</v>
      </c>
      <c r="AS481" s="13" t="n">
        <v>-0.01</v>
      </c>
      <c r="AT481" s="13" t="n">
        <v>0</v>
      </c>
      <c r="AU481" s="13" t="n">
        <v>0.0025</v>
      </c>
      <c r="AV481" s="13" t="n">
        <v>-0.005</v>
      </c>
      <c r="AW481" s="13">
        <f>IF(X481="","",(AM481/100*AO481)+AP481+AQ481+AR481)</f>
        <v/>
      </c>
      <c r="AX481" s="13">
        <f>IF(X481="","",AS481+AT481+AU481+AV481)</f>
        <v/>
      </c>
      <c r="AY481" s="12">
        <f>IF(AZ481="","",ROUND(AZ481*(1+Assumptions!$B$10),0))</f>
        <v/>
      </c>
      <c r="AZ481" s="12">
        <f>IF(X481="","",ROUND(X481*(1+AW481),0))</f>
        <v/>
      </c>
      <c r="BA481" s="12">
        <f>IF(AZ481="","",ROUND(AZ481*(1+Assumptions!$B$11),0))</f>
        <v/>
      </c>
      <c r="BB481" s="12">
        <f>IF(AZ481="","",ROUND(AZ481*(1+AX481+Assumptions!$B$10),0))</f>
        <v/>
      </c>
      <c r="BC481" s="12">
        <f>IF(AZ481="","",ROUND(AZ481*(1+AX481),0))</f>
        <v/>
      </c>
      <c r="BD481" s="12">
        <f>IF(AZ481="","",ROUND(AZ481*(1+AX481+Assumptions!$B$11),0))</f>
        <v/>
      </c>
      <c r="BE481" s="12">
        <f>IF(AZ481="","",ROUND(AZ481*(1+AX481)*(1+AX481),0))</f>
        <v/>
      </c>
      <c r="BF481" s="7" t="inlineStr">
        <is>
          <t>Rules-based enrichment using launch-price anchor, cap-app realization, and 2026 segment conditions.</t>
        </is>
      </c>
      <c r="BG481" t="inlineStr">
        <is>
          <t>2026-03-17</t>
        </is>
      </c>
      <c r="BH481" s="7" t="inlineStr">
        <is>
          <t>DLD / Digital Dubai / CBUAE / Savills / Knight Frank-Moody’s / Reuters</t>
        </is>
      </c>
    </row>
    <row r="482">
      <c r="A482" t="n">
        <v>481</v>
      </c>
      <c r="B482" s="7" t="inlineStr">
        <is>
          <t>Yorkville</t>
        </is>
      </c>
      <c r="C482" t="inlineStr">
        <is>
          <t>Imtiaz Developments</t>
        </is>
      </c>
      <c r="D482" t="inlineStr">
        <is>
          <t>Al Furjan</t>
        </is>
      </c>
      <c r="E482" t="inlineStr">
        <is>
          <t>Apartments</t>
        </is>
      </c>
      <c r="F482" s="7" t="inlineStr">
        <is>
          <t>Modern</t>
        </is>
      </c>
      <c r="G482" t="inlineStr">
        <is>
          <t>900k</t>
        </is>
      </c>
      <c r="H482" t="inlineStr">
        <is>
          <t>1150</t>
        </is>
      </c>
      <c r="I482" t="inlineStr">
        <is>
          <t>14</t>
        </is>
      </c>
      <c r="J482" t="inlineStr">
        <is>
          <t>60/40</t>
        </is>
      </c>
      <c r="K482" t="inlineStr">
        <is>
          <t>2024</t>
        </is>
      </c>
      <c r="L482" t="inlineStr">
        <is>
          <t>7.0-7.5</t>
        </is>
      </c>
      <c r="M482" t="inlineStr">
        <is>
          <t>6-8</t>
        </is>
      </c>
      <c r="N482" t="inlineStr">
        <is>
          <t>13.0-15.5</t>
        </is>
      </c>
      <c r="O482" s="7" t="inlineStr">
        <is>
          <t>The Arbor School</t>
        </is>
      </c>
      <c r="P482" s="7" t="inlineStr">
        <is>
          <t>NMC Royal DIP</t>
        </is>
      </c>
      <c r="Q482" s="7" t="inlineStr">
        <is>
          <t>Ibn Battuta Mall</t>
        </is>
      </c>
      <c r="R482" s="7" t="inlineStr">
        <is>
          <t>Yalayis / E311</t>
        </is>
      </c>
      <c r="S482" t="inlineStr">
        <is>
          <t>25</t>
        </is>
      </c>
      <c r="T482" t="inlineStr">
        <is>
          <t>15</t>
        </is>
      </c>
      <c r="U482" t="inlineStr">
        <is>
          <t>30</t>
        </is>
      </c>
      <c r="V482" t="inlineStr">
        <is>
          <t>20</t>
        </is>
      </c>
      <c r="W482" t="n">
        <v>2</v>
      </c>
      <c r="X482" s="12" t="n">
        <v>900000</v>
      </c>
      <c r="Y482" s="12" t="n">
        <v>900000</v>
      </c>
      <c r="Z482" s="9" t="n">
        <v>7</v>
      </c>
      <c r="AA482" s="9" t="n">
        <v>7.5</v>
      </c>
      <c r="AB482" s="9" t="n">
        <v>6</v>
      </c>
      <c r="AC482" s="9" t="n">
        <v>8</v>
      </c>
      <c r="AD482" s="9" t="n">
        <v>13</v>
      </c>
      <c r="AE482" s="9" t="n">
        <v>15.5</v>
      </c>
      <c r="AF482" t="n">
        <v>2024</v>
      </c>
      <c r="AH482" t="inlineStr">
        <is>
          <t>Apartment</t>
        </is>
      </c>
      <c r="AI482" t="inlineStr">
        <is>
          <t>SupplySensitiveApartment</t>
        </is>
      </c>
      <c r="AJ482" t="inlineStr">
        <is>
          <t>Established</t>
        </is>
      </c>
      <c r="AK482" t="inlineStr">
        <is>
          <t>Supply-sensitive / selective</t>
        </is>
      </c>
      <c r="AL482" s="7" t="inlineStr">
        <is>
          <t>Higher delivery risk in more price-sensitive apartment clusters; building selection and exit liquidity matter.</t>
        </is>
      </c>
      <c r="AM482" s="9" t="n">
        <v>7</v>
      </c>
      <c r="AN482" s="9" t="n">
        <v>7.25</v>
      </c>
      <c r="AO482" s="10" t="n">
        <v>0.55</v>
      </c>
      <c r="AP482" s="13" t="n">
        <v>0</v>
      </c>
      <c r="AQ482" s="13" t="n">
        <v>0</v>
      </c>
      <c r="AR482" s="13" t="n">
        <v>-0.01</v>
      </c>
      <c r="AS482" s="13" t="n">
        <v>-0.01</v>
      </c>
      <c r="AT482" s="13" t="n">
        <v>0</v>
      </c>
      <c r="AU482" s="13" t="n">
        <v>0.0025</v>
      </c>
      <c r="AV482" s="13" t="n">
        <v>-0.005</v>
      </c>
      <c r="AW482" s="13">
        <f>IF(X482="","",(AM482/100*AO482)+AP482+AQ482+AR482)</f>
        <v/>
      </c>
      <c r="AX482" s="13">
        <f>IF(X482="","",AS482+AT482+AU482+AV482)</f>
        <v/>
      </c>
      <c r="AY482" s="12">
        <f>IF(AZ482="","",ROUND(AZ482*(1+Assumptions!$B$10),0))</f>
        <v/>
      </c>
      <c r="AZ482" s="12">
        <f>IF(X482="","",ROUND(X482*(1+AW482),0))</f>
        <v/>
      </c>
      <c r="BA482" s="12">
        <f>IF(AZ482="","",ROUND(AZ482*(1+Assumptions!$B$11),0))</f>
        <v/>
      </c>
      <c r="BB482" s="12">
        <f>IF(AZ482="","",ROUND(AZ482*(1+AX482+Assumptions!$B$10),0))</f>
        <v/>
      </c>
      <c r="BC482" s="12">
        <f>IF(AZ482="","",ROUND(AZ482*(1+AX482),0))</f>
        <v/>
      </c>
      <c r="BD482" s="12">
        <f>IF(AZ482="","",ROUND(AZ482*(1+AX482+Assumptions!$B$11),0))</f>
        <v/>
      </c>
      <c r="BE482" s="12">
        <f>IF(AZ482="","",ROUND(AZ482*(1+AX482)*(1+AX482),0))</f>
        <v/>
      </c>
      <c r="BF482" s="7" t="inlineStr">
        <is>
          <t>Rules-based enrichment using launch-price anchor, cap-app realization, and 2026 segment conditions.</t>
        </is>
      </c>
      <c r="BG482" t="inlineStr">
        <is>
          <t>2026-03-17</t>
        </is>
      </c>
      <c r="BH482" s="7" t="inlineStr">
        <is>
          <t>DLD / Digital Dubai / CBUAE / Savills / Knight Frank-Moody’s / Reuters</t>
        </is>
      </c>
    </row>
    <row r="483">
      <c r="A483" t="n">
        <v>482</v>
      </c>
      <c r="B483" s="7" t="inlineStr">
        <is>
          <t>Le Blanc</t>
        </is>
      </c>
      <c r="C483" t="inlineStr">
        <is>
          <t>Imtiaz Developments</t>
        </is>
      </c>
      <c r="D483" t="inlineStr">
        <is>
          <t>JVC</t>
        </is>
      </c>
      <c r="E483" t="inlineStr">
        <is>
          <t>Apartments</t>
        </is>
      </c>
      <c r="F483" s="7" t="inlineStr">
        <is>
          <t>Boutique</t>
        </is>
      </c>
      <c r="G483" t="inlineStr">
        <is>
          <t>Resale</t>
        </is>
      </c>
      <c r="H483" t="inlineStr">
        <is>
          <t>1200</t>
        </is>
      </c>
      <c r="I483" t="inlineStr">
        <is>
          <t>15</t>
        </is>
      </c>
      <c r="J483" t="inlineStr">
        <is>
          <t>Completed</t>
        </is>
      </c>
      <c r="K483" t="inlineStr">
        <is>
          <t>2021</t>
        </is>
      </c>
      <c r="L483" t="inlineStr">
        <is>
          <t>7.5-8.0</t>
        </is>
      </c>
      <c r="M483" t="inlineStr">
        <is>
          <t>5-7</t>
        </is>
      </c>
      <c r="N483" t="inlineStr">
        <is>
          <t>12.5-15.0</t>
        </is>
      </c>
      <c r="O483" s="7" t="inlineStr">
        <is>
          <t>JSS International</t>
        </is>
      </c>
      <c r="P483" s="7" t="inlineStr">
        <is>
          <t>Saudi German Hospital</t>
        </is>
      </c>
      <c r="Q483" s="7" t="inlineStr">
        <is>
          <t>Circle Mall</t>
        </is>
      </c>
      <c r="R483" s="7" t="inlineStr">
        <is>
          <t>Hessa St / E44</t>
        </is>
      </c>
      <c r="S483" t="inlineStr">
        <is>
          <t>20</t>
        </is>
      </c>
      <c r="T483" t="inlineStr">
        <is>
          <t>15</t>
        </is>
      </c>
      <c r="U483" t="inlineStr">
        <is>
          <t>25</t>
        </is>
      </c>
      <c r="V483" t="inlineStr">
        <is>
          <t>30</t>
        </is>
      </c>
      <c r="W483" t="n">
        <v>2</v>
      </c>
      <c r="X483" s="12" t="n"/>
      <c r="Y483" s="12" t="n"/>
      <c r="Z483" s="9" t="n">
        <v>7.5</v>
      </c>
      <c r="AA483" s="9" t="n">
        <v>8</v>
      </c>
      <c r="AB483" s="9" t="n">
        <v>5</v>
      </c>
      <c r="AC483" s="9" t="n">
        <v>7</v>
      </c>
      <c r="AD483" s="9" t="n">
        <v>12.5</v>
      </c>
      <c r="AE483" s="9" t="n">
        <v>15</v>
      </c>
      <c r="AF483" t="n">
        <v>2021</v>
      </c>
      <c r="AH483" t="inlineStr">
        <is>
          <t>Apartment</t>
        </is>
      </c>
      <c r="AI483" t="inlineStr">
        <is>
          <t>SupplySensitiveApartment</t>
        </is>
      </c>
      <c r="AJ483" t="inlineStr">
        <is>
          <t>Established</t>
        </is>
      </c>
      <c r="AK483" t="inlineStr">
        <is>
          <t>Supply-sensitive / selective</t>
        </is>
      </c>
      <c r="AL483" s="7" t="inlineStr">
        <is>
          <t>Higher delivery risk in more price-sensitive apartment clusters; building selection and exit liquidity matter.</t>
        </is>
      </c>
      <c r="AM483" s="9" t="n">
        <v>6</v>
      </c>
      <c r="AN483" s="9" t="n">
        <v>7.75</v>
      </c>
      <c r="AO483" s="10" t="n">
        <v>0.55</v>
      </c>
      <c r="AP483" s="13" t="n">
        <v>0</v>
      </c>
      <c r="AQ483" s="13" t="n">
        <v>0</v>
      </c>
      <c r="AR483" s="13" t="n">
        <v>-0.01</v>
      </c>
      <c r="AS483" s="13" t="n">
        <v>-0.01</v>
      </c>
      <c r="AT483" s="13" t="n">
        <v>0</v>
      </c>
      <c r="AU483" s="13" t="n">
        <v>0.0025</v>
      </c>
      <c r="AV483" s="13" t="n">
        <v>-0.005</v>
      </c>
      <c r="AW483" s="13">
        <f>IF(X483="","",(AM483/100*AO483)+AP483+AQ483+AR483)</f>
        <v/>
      </c>
      <c r="AX483" s="13">
        <f>IF(X483="","",AS483+AT483+AU483+AV483)</f>
        <v/>
      </c>
      <c r="AY483" s="12">
        <f>IF(AZ483="","",ROUND(AZ483*(1+Assumptions!$B$10),0))</f>
        <v/>
      </c>
      <c r="AZ483" s="12">
        <f>IF(X483="","",ROUND(X483*(1+AW483),0))</f>
        <v/>
      </c>
      <c r="BA483" s="12">
        <f>IF(AZ483="","",ROUND(AZ483*(1+Assumptions!$B$11),0))</f>
        <v/>
      </c>
      <c r="BB483" s="12">
        <f>IF(AZ483="","",ROUND(AZ483*(1+AX483+Assumptions!$B$10),0))</f>
        <v/>
      </c>
      <c r="BC483" s="12">
        <f>IF(AZ483="","",ROUND(AZ483*(1+AX483),0))</f>
        <v/>
      </c>
      <c r="BD483" s="12">
        <f>IF(AZ483="","",ROUND(AZ483*(1+AX483+Assumptions!$B$11),0))</f>
        <v/>
      </c>
      <c r="BE483" s="12">
        <f>IF(AZ483="","",ROUND(AZ483*(1+AX483)*(1+AX483),0))</f>
        <v/>
      </c>
      <c r="BF483" s="7" t="inlineStr">
        <is>
          <t>Rules-based enrichment using launch-price anchor, cap-app realization, and 2026 segment conditions.</t>
        </is>
      </c>
      <c r="BG483" t="inlineStr">
        <is>
          <t>2026-03-17</t>
        </is>
      </c>
      <c r="BH483" s="7" t="inlineStr">
        <is>
          <t>DLD / Digital Dubai / CBUAE / Savills / Knight Frank-Moody’s / Reuters</t>
        </is>
      </c>
    </row>
    <row r="484">
      <c r="A484" t="n">
        <v>483</v>
      </c>
      <c r="B484" s="7" t="inlineStr">
        <is>
          <t>Peace Lagoons Phase 1</t>
        </is>
      </c>
      <c r="C484" t="inlineStr">
        <is>
          <t>Peace Homes</t>
        </is>
      </c>
      <c r="D484" t="inlineStr">
        <is>
          <t>Dubailand</t>
        </is>
      </c>
      <c r="E484" t="inlineStr">
        <is>
          <t>Apartments</t>
        </is>
      </c>
      <c r="F484" s="7" t="inlineStr">
        <is>
          <t>Lagoon View</t>
        </is>
      </c>
      <c r="G484" t="inlineStr">
        <is>
          <t>800k</t>
        </is>
      </c>
      <c r="H484" t="inlineStr">
        <is>
          <t>1000</t>
        </is>
      </c>
      <c r="I484" t="inlineStr">
        <is>
          <t>15</t>
        </is>
      </c>
      <c r="J484" t="inlineStr">
        <is>
          <t>60/40</t>
        </is>
      </c>
      <c r="K484" t="inlineStr">
        <is>
          <t>2024</t>
        </is>
      </c>
      <c r="L484" t="inlineStr">
        <is>
          <t>7.0-7.5</t>
        </is>
      </c>
      <c r="M484" t="inlineStr">
        <is>
          <t>8-10</t>
        </is>
      </c>
      <c r="N484" t="inlineStr">
        <is>
          <t>15.0-17.5</t>
        </is>
      </c>
      <c r="O484" s="7" t="inlineStr">
        <is>
          <t>GEMS Winchester</t>
        </is>
      </c>
      <c r="P484" s="7" t="inlineStr">
        <is>
          <t>Fakeeh University Hosp</t>
        </is>
      </c>
      <c r="Q484" s="7" t="inlineStr">
        <is>
          <t>Dubai Outlet Mall</t>
        </is>
      </c>
      <c r="R484" s="7" t="inlineStr">
        <is>
          <t>E611 / Al Ain Rd</t>
        </is>
      </c>
      <c r="S484" t="inlineStr">
        <is>
          <t>20</t>
        </is>
      </c>
      <c r="T484" t="inlineStr">
        <is>
          <t>25</t>
        </is>
      </c>
      <c r="U484" t="inlineStr">
        <is>
          <t>25</t>
        </is>
      </c>
      <c r="V484" t="inlineStr">
        <is>
          <t>30</t>
        </is>
      </c>
      <c r="W484" t="n">
        <v>2</v>
      </c>
      <c r="X484" s="12" t="n">
        <v>800000</v>
      </c>
      <c r="Y484" s="12" t="n">
        <v>800000</v>
      </c>
      <c r="Z484" s="9" t="n">
        <v>7</v>
      </c>
      <c r="AA484" s="9" t="n">
        <v>7.5</v>
      </c>
      <c r="AB484" s="9" t="n">
        <v>8</v>
      </c>
      <c r="AC484" s="9" t="n">
        <v>10</v>
      </c>
      <c r="AD484" s="9" t="n">
        <v>15</v>
      </c>
      <c r="AE484" s="9" t="n">
        <v>17.5</v>
      </c>
      <c r="AF484" t="n">
        <v>2024</v>
      </c>
      <c r="AH484" t="inlineStr">
        <is>
          <t>Apartment</t>
        </is>
      </c>
      <c r="AI484" t="inlineStr">
        <is>
          <t>SupplySensitiveApartment</t>
        </is>
      </c>
      <c r="AJ484" t="inlineStr">
        <is>
          <t>Established</t>
        </is>
      </c>
      <c r="AK484" t="inlineStr">
        <is>
          <t>Supply-sensitive / selective</t>
        </is>
      </c>
      <c r="AL484" s="7" t="inlineStr">
        <is>
          <t>Higher delivery risk in more price-sensitive apartment clusters; building selection and exit liquidity matter.</t>
        </is>
      </c>
      <c r="AM484" s="9" t="n">
        <v>9</v>
      </c>
      <c r="AN484" s="9" t="n">
        <v>7.25</v>
      </c>
      <c r="AO484" s="10" t="n">
        <v>0.55</v>
      </c>
      <c r="AP484" s="13" t="n">
        <v>0</v>
      </c>
      <c r="AQ484" s="13" t="n">
        <v>0</v>
      </c>
      <c r="AR484" s="13" t="n">
        <v>-0.01</v>
      </c>
      <c r="AS484" s="13" t="n">
        <v>-0.01</v>
      </c>
      <c r="AT484" s="13" t="n">
        <v>0</v>
      </c>
      <c r="AU484" s="13" t="n">
        <v>0.0025</v>
      </c>
      <c r="AV484" s="13" t="n">
        <v>-0.005</v>
      </c>
      <c r="AW484" s="13">
        <f>IF(X484="","",(AM484/100*AO484)+AP484+AQ484+AR484)</f>
        <v/>
      </c>
      <c r="AX484" s="13">
        <f>IF(X484="","",AS484+AT484+AU484+AV484)</f>
        <v/>
      </c>
      <c r="AY484" s="12">
        <f>IF(AZ484="","",ROUND(AZ484*(1+Assumptions!$B$10),0))</f>
        <v/>
      </c>
      <c r="AZ484" s="12">
        <f>IF(X484="","",ROUND(X484*(1+AW484),0))</f>
        <v/>
      </c>
      <c r="BA484" s="12">
        <f>IF(AZ484="","",ROUND(AZ484*(1+Assumptions!$B$11),0))</f>
        <v/>
      </c>
      <c r="BB484" s="12">
        <f>IF(AZ484="","",ROUND(AZ484*(1+AX484+Assumptions!$B$10),0))</f>
        <v/>
      </c>
      <c r="BC484" s="12">
        <f>IF(AZ484="","",ROUND(AZ484*(1+AX484),0))</f>
        <v/>
      </c>
      <c r="BD484" s="12">
        <f>IF(AZ484="","",ROUND(AZ484*(1+AX484+Assumptions!$B$11),0))</f>
        <v/>
      </c>
      <c r="BE484" s="12">
        <f>IF(AZ484="","",ROUND(AZ484*(1+AX484)*(1+AX484),0))</f>
        <v/>
      </c>
      <c r="BF484" s="7" t="inlineStr">
        <is>
          <t>Rules-based enrichment using launch-price anchor, cap-app realization, and 2026 segment conditions.</t>
        </is>
      </c>
      <c r="BG484" t="inlineStr">
        <is>
          <t>2026-03-17</t>
        </is>
      </c>
      <c r="BH484" s="7" t="inlineStr">
        <is>
          <t>DLD / Digital Dubai / CBUAE / Savills / Knight Frank-Moody’s / Reuters</t>
        </is>
      </c>
    </row>
    <row r="485">
      <c r="A485" t="n">
        <v>484</v>
      </c>
      <c r="B485" s="7" t="inlineStr">
        <is>
          <t>Peace Lagoons Phase 2</t>
        </is>
      </c>
      <c r="C485" t="inlineStr">
        <is>
          <t>Peace Homes</t>
        </is>
      </c>
      <c r="D485" t="inlineStr">
        <is>
          <t>Dubailand</t>
        </is>
      </c>
      <c r="E485" t="inlineStr">
        <is>
          <t>Apartments</t>
        </is>
      </c>
      <c r="F485" s="7" t="inlineStr">
        <is>
          <t>Lagoon View</t>
        </is>
      </c>
      <c r="G485" t="inlineStr">
        <is>
          <t>850k</t>
        </is>
      </c>
      <c r="H485" t="inlineStr">
        <is>
          <t>1050</t>
        </is>
      </c>
      <c r="I485" t="inlineStr">
        <is>
          <t>15</t>
        </is>
      </c>
      <c r="J485" t="inlineStr">
        <is>
          <t>60/40</t>
        </is>
      </c>
      <c r="K485" t="inlineStr">
        <is>
          <t>2024</t>
        </is>
      </c>
      <c r="L485" t="inlineStr">
        <is>
          <t>7.0-7.5</t>
        </is>
      </c>
      <c r="M485" t="inlineStr">
        <is>
          <t>8-10</t>
        </is>
      </c>
      <c r="N485" t="inlineStr">
        <is>
          <t>15.0-17.5</t>
        </is>
      </c>
      <c r="O485" s="7" t="inlineStr">
        <is>
          <t>GEMS Winchester</t>
        </is>
      </c>
      <c r="P485" s="7" t="inlineStr">
        <is>
          <t>Fakeeh University Hosp</t>
        </is>
      </c>
      <c r="Q485" s="7" t="inlineStr">
        <is>
          <t>Dubai Outlet Mall</t>
        </is>
      </c>
      <c r="R485" s="7" t="inlineStr">
        <is>
          <t>E611 / Al Ain Rd</t>
        </is>
      </c>
      <c r="S485" t="inlineStr">
        <is>
          <t>20</t>
        </is>
      </c>
      <c r="T485" t="inlineStr">
        <is>
          <t>25</t>
        </is>
      </c>
      <c r="U485" t="inlineStr">
        <is>
          <t>25</t>
        </is>
      </c>
      <c r="V485" t="inlineStr">
        <is>
          <t>30</t>
        </is>
      </c>
      <c r="W485" t="n">
        <v>2</v>
      </c>
      <c r="X485" s="12" t="n">
        <v>850000</v>
      </c>
      <c r="Y485" s="12" t="n">
        <v>850000</v>
      </c>
      <c r="Z485" s="9" t="n">
        <v>7</v>
      </c>
      <c r="AA485" s="9" t="n">
        <v>7.5</v>
      </c>
      <c r="AB485" s="9" t="n">
        <v>8</v>
      </c>
      <c r="AC485" s="9" t="n">
        <v>10</v>
      </c>
      <c r="AD485" s="9" t="n">
        <v>15</v>
      </c>
      <c r="AE485" s="9" t="n">
        <v>17.5</v>
      </c>
      <c r="AF485" t="n">
        <v>2024</v>
      </c>
      <c r="AH485" t="inlineStr">
        <is>
          <t>Apartment</t>
        </is>
      </c>
      <c r="AI485" t="inlineStr">
        <is>
          <t>SupplySensitiveApartment</t>
        </is>
      </c>
      <c r="AJ485" t="inlineStr">
        <is>
          <t>Established</t>
        </is>
      </c>
      <c r="AK485" t="inlineStr">
        <is>
          <t>Supply-sensitive / selective</t>
        </is>
      </c>
      <c r="AL485" s="7" t="inlineStr">
        <is>
          <t>Higher delivery risk in more price-sensitive apartment clusters; building selection and exit liquidity matter.</t>
        </is>
      </c>
      <c r="AM485" s="9" t="n">
        <v>9</v>
      </c>
      <c r="AN485" s="9" t="n">
        <v>7.25</v>
      </c>
      <c r="AO485" s="10" t="n">
        <v>0.55</v>
      </c>
      <c r="AP485" s="13" t="n">
        <v>0</v>
      </c>
      <c r="AQ485" s="13" t="n">
        <v>0</v>
      </c>
      <c r="AR485" s="13" t="n">
        <v>-0.01</v>
      </c>
      <c r="AS485" s="13" t="n">
        <v>-0.01</v>
      </c>
      <c r="AT485" s="13" t="n">
        <v>0</v>
      </c>
      <c r="AU485" s="13" t="n">
        <v>0.0025</v>
      </c>
      <c r="AV485" s="13" t="n">
        <v>-0.005</v>
      </c>
      <c r="AW485" s="13">
        <f>IF(X485="","",(AM485/100*AO485)+AP485+AQ485+AR485)</f>
        <v/>
      </c>
      <c r="AX485" s="13">
        <f>IF(X485="","",AS485+AT485+AU485+AV485)</f>
        <v/>
      </c>
      <c r="AY485" s="12">
        <f>IF(AZ485="","",ROUND(AZ485*(1+Assumptions!$B$10),0))</f>
        <v/>
      </c>
      <c r="AZ485" s="12">
        <f>IF(X485="","",ROUND(X485*(1+AW485),0))</f>
        <v/>
      </c>
      <c r="BA485" s="12">
        <f>IF(AZ485="","",ROUND(AZ485*(1+Assumptions!$B$11),0))</f>
        <v/>
      </c>
      <c r="BB485" s="12">
        <f>IF(AZ485="","",ROUND(AZ485*(1+AX485+Assumptions!$B$10),0))</f>
        <v/>
      </c>
      <c r="BC485" s="12">
        <f>IF(AZ485="","",ROUND(AZ485*(1+AX485),0))</f>
        <v/>
      </c>
      <c r="BD485" s="12">
        <f>IF(AZ485="","",ROUND(AZ485*(1+AX485+Assumptions!$B$11),0))</f>
        <v/>
      </c>
      <c r="BE485" s="12">
        <f>IF(AZ485="","",ROUND(AZ485*(1+AX485)*(1+AX485),0))</f>
        <v/>
      </c>
      <c r="BF485" s="7" t="inlineStr">
        <is>
          <t>Rules-based enrichment using launch-price anchor, cap-app realization, and 2026 segment conditions.</t>
        </is>
      </c>
      <c r="BG485" t="inlineStr">
        <is>
          <t>2026-03-17</t>
        </is>
      </c>
      <c r="BH485" s="7" t="inlineStr">
        <is>
          <t>DLD / Digital Dubai / CBUAE / Savills / Knight Frank-Moody’s / Reuters</t>
        </is>
      </c>
    </row>
    <row r="486">
      <c r="A486" t="n">
        <v>485</v>
      </c>
      <c r="B486" s="7" t="inlineStr">
        <is>
          <t>Sky Living</t>
        </is>
      </c>
      <c r="C486" t="inlineStr">
        <is>
          <t>Peace Homes</t>
        </is>
      </c>
      <c r="D486" t="inlineStr">
        <is>
          <t>JVC</t>
        </is>
      </c>
      <c r="E486" t="inlineStr">
        <is>
          <t>Apartments</t>
        </is>
      </c>
      <c r="F486" s="7" t="inlineStr">
        <is>
          <t>High-Rise</t>
        </is>
      </c>
      <c r="G486" t="inlineStr">
        <is>
          <t>900k</t>
        </is>
      </c>
      <c r="H486" t="inlineStr">
        <is>
          <t>1200</t>
        </is>
      </c>
      <c r="I486" t="inlineStr">
        <is>
          <t>15</t>
        </is>
      </c>
      <c r="J486" t="inlineStr">
        <is>
          <t>60/40</t>
        </is>
      </c>
      <c r="K486" t="inlineStr">
        <is>
          <t>2023</t>
        </is>
      </c>
      <c r="L486" t="inlineStr">
        <is>
          <t>7.5-8.0</t>
        </is>
      </c>
      <c r="M486" t="inlineStr">
        <is>
          <t>6-8</t>
        </is>
      </c>
      <c r="N486" t="inlineStr">
        <is>
          <t>13.5-16.0</t>
        </is>
      </c>
      <c r="O486" s="7" t="inlineStr">
        <is>
          <t>JSS International</t>
        </is>
      </c>
      <c r="P486" s="7" t="inlineStr">
        <is>
          <t>Saudi German Hospital</t>
        </is>
      </c>
      <c r="Q486" s="7" t="inlineStr">
        <is>
          <t>Circle Mall</t>
        </is>
      </c>
      <c r="R486" s="7" t="inlineStr">
        <is>
          <t>Hessa St / E44</t>
        </is>
      </c>
      <c r="S486" t="inlineStr">
        <is>
          <t>20</t>
        </is>
      </c>
      <c r="T486" t="inlineStr">
        <is>
          <t>15</t>
        </is>
      </c>
      <c r="U486" t="inlineStr">
        <is>
          <t>25</t>
        </is>
      </c>
      <c r="V486" t="inlineStr">
        <is>
          <t>30</t>
        </is>
      </c>
      <c r="W486" t="n">
        <v>2</v>
      </c>
      <c r="X486" s="12" t="n">
        <v>900000</v>
      </c>
      <c r="Y486" s="12" t="n">
        <v>900000</v>
      </c>
      <c r="Z486" s="9" t="n">
        <v>7.5</v>
      </c>
      <c r="AA486" s="9" t="n">
        <v>8</v>
      </c>
      <c r="AB486" s="9" t="n">
        <v>6</v>
      </c>
      <c r="AC486" s="9" t="n">
        <v>8</v>
      </c>
      <c r="AD486" s="9" t="n">
        <v>13.5</v>
      </c>
      <c r="AE486" s="9" t="n">
        <v>16</v>
      </c>
      <c r="AF486" t="n">
        <v>2023</v>
      </c>
      <c r="AH486" t="inlineStr">
        <is>
          <t>Apartment</t>
        </is>
      </c>
      <c r="AI486" t="inlineStr">
        <is>
          <t>SupplySensitiveApartment</t>
        </is>
      </c>
      <c r="AJ486" t="inlineStr">
        <is>
          <t>Established</t>
        </is>
      </c>
      <c r="AK486" t="inlineStr">
        <is>
          <t>Supply-sensitive / selective</t>
        </is>
      </c>
      <c r="AL486" s="7" t="inlineStr">
        <is>
          <t>Higher delivery risk in more price-sensitive apartment clusters; building selection and exit liquidity matter.</t>
        </is>
      </c>
      <c r="AM486" s="9" t="n">
        <v>7</v>
      </c>
      <c r="AN486" s="9" t="n">
        <v>7.75</v>
      </c>
      <c r="AO486" s="10" t="n">
        <v>0.55</v>
      </c>
      <c r="AP486" s="13" t="n">
        <v>0</v>
      </c>
      <c r="AQ486" s="13" t="n">
        <v>0</v>
      </c>
      <c r="AR486" s="13" t="n">
        <v>-0.01</v>
      </c>
      <c r="AS486" s="13" t="n">
        <v>-0.01</v>
      </c>
      <c r="AT486" s="13" t="n">
        <v>0</v>
      </c>
      <c r="AU486" s="13" t="n">
        <v>0.0025</v>
      </c>
      <c r="AV486" s="13" t="n">
        <v>-0.005</v>
      </c>
      <c r="AW486" s="13">
        <f>IF(X486="","",(AM486/100*AO486)+AP486+AQ486+AR486)</f>
        <v/>
      </c>
      <c r="AX486" s="13">
        <f>IF(X486="","",AS486+AT486+AU486+AV486)</f>
        <v/>
      </c>
      <c r="AY486" s="12">
        <f>IF(AZ486="","",ROUND(AZ486*(1+Assumptions!$B$10),0))</f>
        <v/>
      </c>
      <c r="AZ486" s="12">
        <f>IF(X486="","",ROUND(X486*(1+AW486),0))</f>
        <v/>
      </c>
      <c r="BA486" s="12">
        <f>IF(AZ486="","",ROUND(AZ486*(1+Assumptions!$B$11),0))</f>
        <v/>
      </c>
      <c r="BB486" s="12">
        <f>IF(AZ486="","",ROUND(AZ486*(1+AX486+Assumptions!$B$10),0))</f>
        <v/>
      </c>
      <c r="BC486" s="12">
        <f>IF(AZ486="","",ROUND(AZ486*(1+AX486),0))</f>
        <v/>
      </c>
      <c r="BD486" s="12">
        <f>IF(AZ486="","",ROUND(AZ486*(1+AX486+Assumptions!$B$11),0))</f>
        <v/>
      </c>
      <c r="BE486" s="12">
        <f>IF(AZ486="","",ROUND(AZ486*(1+AX486)*(1+AX486),0))</f>
        <v/>
      </c>
      <c r="BF486" s="7" t="inlineStr">
        <is>
          <t>Rules-based enrichment using launch-price anchor, cap-app realization, and 2026 segment conditions.</t>
        </is>
      </c>
      <c r="BG486" t="inlineStr">
        <is>
          <t>2026-03-17</t>
        </is>
      </c>
      <c r="BH486" s="7" t="inlineStr">
        <is>
          <t>DLD / Digital Dubai / CBUAE / Savills / Knight Frank-Moody’s / Reuters</t>
        </is>
      </c>
    </row>
    <row r="487">
      <c r="A487" t="n">
        <v>486</v>
      </c>
      <c r="B487" s="7" t="inlineStr">
        <is>
          <t>Sky Suites</t>
        </is>
      </c>
      <c r="C487" t="inlineStr">
        <is>
          <t>Peace Homes</t>
        </is>
      </c>
      <c r="D487" t="inlineStr">
        <is>
          <t>JVC</t>
        </is>
      </c>
      <c r="E487" t="inlineStr">
        <is>
          <t>Apartments</t>
        </is>
      </c>
      <c r="F487" s="7" t="inlineStr">
        <is>
          <t>High-Rise</t>
        </is>
      </c>
      <c r="G487" t="inlineStr">
        <is>
          <t>900k</t>
        </is>
      </c>
      <c r="H487" t="inlineStr">
        <is>
          <t>1200</t>
        </is>
      </c>
      <c r="I487" t="inlineStr">
        <is>
          <t>15</t>
        </is>
      </c>
      <c r="J487" t="inlineStr">
        <is>
          <t>60/40</t>
        </is>
      </c>
      <c r="K487" t="inlineStr">
        <is>
          <t>2023</t>
        </is>
      </c>
      <c r="L487" t="inlineStr">
        <is>
          <t>7.5-8.0</t>
        </is>
      </c>
      <c r="M487" t="inlineStr">
        <is>
          <t>6-8</t>
        </is>
      </c>
      <c r="N487" t="inlineStr">
        <is>
          <t>13.5-16.0</t>
        </is>
      </c>
      <c r="O487" s="7" t="inlineStr">
        <is>
          <t>JSS International</t>
        </is>
      </c>
      <c r="P487" s="7" t="inlineStr">
        <is>
          <t>Saudi German Hospital</t>
        </is>
      </c>
      <c r="Q487" s="7" t="inlineStr">
        <is>
          <t>Circle Mall</t>
        </is>
      </c>
      <c r="R487" s="7" t="inlineStr">
        <is>
          <t>Hessa St / E44</t>
        </is>
      </c>
      <c r="S487" t="inlineStr">
        <is>
          <t>20</t>
        </is>
      </c>
      <c r="T487" t="inlineStr">
        <is>
          <t>15</t>
        </is>
      </c>
      <c r="U487" t="inlineStr">
        <is>
          <t>25</t>
        </is>
      </c>
      <c r="V487" t="inlineStr">
        <is>
          <t>30</t>
        </is>
      </c>
      <c r="W487" t="n">
        <v>2</v>
      </c>
      <c r="X487" s="12" t="n">
        <v>900000</v>
      </c>
      <c r="Y487" s="12" t="n">
        <v>900000</v>
      </c>
      <c r="Z487" s="9" t="n">
        <v>7.5</v>
      </c>
      <c r="AA487" s="9" t="n">
        <v>8</v>
      </c>
      <c r="AB487" s="9" t="n">
        <v>6</v>
      </c>
      <c r="AC487" s="9" t="n">
        <v>8</v>
      </c>
      <c r="AD487" s="9" t="n">
        <v>13.5</v>
      </c>
      <c r="AE487" s="9" t="n">
        <v>16</v>
      </c>
      <c r="AF487" t="n">
        <v>2023</v>
      </c>
      <c r="AH487" t="inlineStr">
        <is>
          <t>Apartment</t>
        </is>
      </c>
      <c r="AI487" t="inlineStr">
        <is>
          <t>SupplySensitiveApartment</t>
        </is>
      </c>
      <c r="AJ487" t="inlineStr">
        <is>
          <t>Established</t>
        </is>
      </c>
      <c r="AK487" t="inlineStr">
        <is>
          <t>Supply-sensitive / selective</t>
        </is>
      </c>
      <c r="AL487" s="7" t="inlineStr">
        <is>
          <t>Higher delivery risk in more price-sensitive apartment clusters; building selection and exit liquidity matter.</t>
        </is>
      </c>
      <c r="AM487" s="9" t="n">
        <v>7</v>
      </c>
      <c r="AN487" s="9" t="n">
        <v>7.75</v>
      </c>
      <c r="AO487" s="10" t="n">
        <v>0.55</v>
      </c>
      <c r="AP487" s="13" t="n">
        <v>0</v>
      </c>
      <c r="AQ487" s="13" t="n">
        <v>0</v>
      </c>
      <c r="AR487" s="13" t="n">
        <v>-0.01</v>
      </c>
      <c r="AS487" s="13" t="n">
        <v>-0.01</v>
      </c>
      <c r="AT487" s="13" t="n">
        <v>0</v>
      </c>
      <c r="AU487" s="13" t="n">
        <v>0.0025</v>
      </c>
      <c r="AV487" s="13" t="n">
        <v>-0.005</v>
      </c>
      <c r="AW487" s="13">
        <f>IF(X487="","",(AM487/100*AO487)+AP487+AQ487+AR487)</f>
        <v/>
      </c>
      <c r="AX487" s="13">
        <f>IF(X487="","",AS487+AT487+AU487+AV487)</f>
        <v/>
      </c>
      <c r="AY487" s="12">
        <f>IF(AZ487="","",ROUND(AZ487*(1+Assumptions!$B$10),0))</f>
        <v/>
      </c>
      <c r="AZ487" s="12">
        <f>IF(X487="","",ROUND(X487*(1+AW487),0))</f>
        <v/>
      </c>
      <c r="BA487" s="12">
        <f>IF(AZ487="","",ROUND(AZ487*(1+Assumptions!$B$11),0))</f>
        <v/>
      </c>
      <c r="BB487" s="12">
        <f>IF(AZ487="","",ROUND(AZ487*(1+AX487+Assumptions!$B$10),0))</f>
        <v/>
      </c>
      <c r="BC487" s="12">
        <f>IF(AZ487="","",ROUND(AZ487*(1+AX487),0))</f>
        <v/>
      </c>
      <c r="BD487" s="12">
        <f>IF(AZ487="","",ROUND(AZ487*(1+AX487+Assumptions!$B$11),0))</f>
        <v/>
      </c>
      <c r="BE487" s="12">
        <f>IF(AZ487="","",ROUND(AZ487*(1+AX487)*(1+AX487),0))</f>
        <v/>
      </c>
      <c r="BF487" s="7" t="inlineStr">
        <is>
          <t>Rules-based enrichment using launch-price anchor, cap-app realization, and 2026 segment conditions.</t>
        </is>
      </c>
      <c r="BG487" t="inlineStr">
        <is>
          <t>2026-03-17</t>
        </is>
      </c>
      <c r="BH487" s="7" t="inlineStr">
        <is>
          <t>DLD / Digital Dubai / CBUAE / Savills / Knight Frank-Moody’s / Reuters</t>
        </is>
      </c>
    </row>
    <row r="488">
      <c r="A488" t="n">
        <v>487</v>
      </c>
      <c r="B488" s="7" t="inlineStr">
        <is>
          <t>Sky Vista</t>
        </is>
      </c>
      <c r="C488" t="inlineStr">
        <is>
          <t>Peace Homes</t>
        </is>
      </c>
      <c r="D488" t="inlineStr">
        <is>
          <t>JVC</t>
        </is>
      </c>
      <c r="E488" t="inlineStr">
        <is>
          <t>Apartments</t>
        </is>
      </c>
      <c r="F488" s="7" t="inlineStr">
        <is>
          <t>High-Rise</t>
        </is>
      </c>
      <c r="G488" t="inlineStr">
        <is>
          <t>900k</t>
        </is>
      </c>
      <c r="H488" t="inlineStr">
        <is>
          <t>1200</t>
        </is>
      </c>
      <c r="I488" t="inlineStr">
        <is>
          <t>15</t>
        </is>
      </c>
      <c r="J488" t="inlineStr">
        <is>
          <t>60/40</t>
        </is>
      </c>
      <c r="K488" t="inlineStr">
        <is>
          <t>2023</t>
        </is>
      </c>
      <c r="L488" t="inlineStr">
        <is>
          <t>7.5-8.0</t>
        </is>
      </c>
      <c r="M488" t="inlineStr">
        <is>
          <t>6-8</t>
        </is>
      </c>
      <c r="N488" t="inlineStr">
        <is>
          <t>13.5-16.0</t>
        </is>
      </c>
      <c r="O488" s="7" t="inlineStr">
        <is>
          <t>JSS International</t>
        </is>
      </c>
      <c r="P488" s="7" t="inlineStr">
        <is>
          <t>Saudi German Hospital</t>
        </is>
      </c>
      <c r="Q488" s="7" t="inlineStr">
        <is>
          <t>Circle Mall</t>
        </is>
      </c>
      <c r="R488" s="7" t="inlineStr">
        <is>
          <t>Hessa St / E44</t>
        </is>
      </c>
      <c r="S488" t="inlineStr">
        <is>
          <t>20</t>
        </is>
      </c>
      <c r="T488" t="inlineStr">
        <is>
          <t>15</t>
        </is>
      </c>
      <c r="U488" t="inlineStr">
        <is>
          <t>25</t>
        </is>
      </c>
      <c r="V488" t="inlineStr">
        <is>
          <t>30</t>
        </is>
      </c>
      <c r="W488" t="n">
        <v>2</v>
      </c>
      <c r="X488" s="12" t="n">
        <v>900000</v>
      </c>
      <c r="Y488" s="12" t="n">
        <v>900000</v>
      </c>
      <c r="Z488" s="9" t="n">
        <v>7.5</v>
      </c>
      <c r="AA488" s="9" t="n">
        <v>8</v>
      </c>
      <c r="AB488" s="9" t="n">
        <v>6</v>
      </c>
      <c r="AC488" s="9" t="n">
        <v>8</v>
      </c>
      <c r="AD488" s="9" t="n">
        <v>13.5</v>
      </c>
      <c r="AE488" s="9" t="n">
        <v>16</v>
      </c>
      <c r="AF488" t="n">
        <v>2023</v>
      </c>
      <c r="AH488" t="inlineStr">
        <is>
          <t>Apartment</t>
        </is>
      </c>
      <c r="AI488" t="inlineStr">
        <is>
          <t>SupplySensitiveApartment</t>
        </is>
      </c>
      <c r="AJ488" t="inlineStr">
        <is>
          <t>Established</t>
        </is>
      </c>
      <c r="AK488" t="inlineStr">
        <is>
          <t>Supply-sensitive / selective</t>
        </is>
      </c>
      <c r="AL488" s="7" t="inlineStr">
        <is>
          <t>Higher delivery risk in more price-sensitive apartment clusters; building selection and exit liquidity matter.</t>
        </is>
      </c>
      <c r="AM488" s="9" t="n">
        <v>7</v>
      </c>
      <c r="AN488" s="9" t="n">
        <v>7.75</v>
      </c>
      <c r="AO488" s="10" t="n">
        <v>0.55</v>
      </c>
      <c r="AP488" s="13" t="n">
        <v>0</v>
      </c>
      <c r="AQ488" s="13" t="n">
        <v>0</v>
      </c>
      <c r="AR488" s="13" t="n">
        <v>-0.01</v>
      </c>
      <c r="AS488" s="13" t="n">
        <v>-0.01</v>
      </c>
      <c r="AT488" s="13" t="n">
        <v>0</v>
      </c>
      <c r="AU488" s="13" t="n">
        <v>0.0025</v>
      </c>
      <c r="AV488" s="13" t="n">
        <v>-0.005</v>
      </c>
      <c r="AW488" s="13">
        <f>IF(X488="","",(AM488/100*AO488)+AP488+AQ488+AR488)</f>
        <v/>
      </c>
      <c r="AX488" s="13">
        <f>IF(X488="","",AS488+AT488+AU488+AV488)</f>
        <v/>
      </c>
      <c r="AY488" s="12">
        <f>IF(AZ488="","",ROUND(AZ488*(1+Assumptions!$B$10),0))</f>
        <v/>
      </c>
      <c r="AZ488" s="12">
        <f>IF(X488="","",ROUND(X488*(1+AW488),0))</f>
        <v/>
      </c>
      <c r="BA488" s="12">
        <f>IF(AZ488="","",ROUND(AZ488*(1+Assumptions!$B$11),0))</f>
        <v/>
      </c>
      <c r="BB488" s="12">
        <f>IF(AZ488="","",ROUND(AZ488*(1+AX488+Assumptions!$B$10),0))</f>
        <v/>
      </c>
      <c r="BC488" s="12">
        <f>IF(AZ488="","",ROUND(AZ488*(1+AX488),0))</f>
        <v/>
      </c>
      <c r="BD488" s="12">
        <f>IF(AZ488="","",ROUND(AZ488*(1+AX488+Assumptions!$B$11),0))</f>
        <v/>
      </c>
      <c r="BE488" s="12">
        <f>IF(AZ488="","",ROUND(AZ488*(1+AX488)*(1+AX488),0))</f>
        <v/>
      </c>
      <c r="BF488" s="7" t="inlineStr">
        <is>
          <t>Rules-based enrichment using launch-price anchor, cap-app realization, and 2026 segment conditions.</t>
        </is>
      </c>
      <c r="BG488" t="inlineStr">
        <is>
          <t>2026-03-17</t>
        </is>
      </c>
      <c r="BH488" s="7" t="inlineStr">
        <is>
          <t>DLD / Digital Dubai / CBUAE / Savills / Knight Frank-Moody’s / Reuters</t>
        </is>
      </c>
    </row>
    <row r="489">
      <c r="A489" t="n">
        <v>488</v>
      </c>
      <c r="B489" s="7" t="inlineStr">
        <is>
          <t>Empire Suites</t>
        </is>
      </c>
      <c r="C489" t="inlineStr">
        <is>
          <t>Peace Homes</t>
        </is>
      </c>
      <c r="D489" t="inlineStr">
        <is>
          <t>JVC</t>
        </is>
      </c>
      <c r="E489" t="inlineStr">
        <is>
          <t>Hotel Apts</t>
        </is>
      </c>
      <c r="F489" s="7" t="inlineStr">
        <is>
          <t>Luxury / Service</t>
        </is>
      </c>
      <c r="G489" t="inlineStr">
        <is>
          <t>1.1M</t>
        </is>
      </c>
      <c r="H489" t="inlineStr">
        <is>
          <t>1300</t>
        </is>
      </c>
      <c r="I489" t="inlineStr">
        <is>
          <t>18</t>
        </is>
      </c>
      <c r="J489" t="inlineStr">
        <is>
          <t>60/40</t>
        </is>
      </c>
      <c r="K489" t="inlineStr">
        <is>
          <t>2023</t>
        </is>
      </c>
      <c r="L489" t="inlineStr">
        <is>
          <t>8.0-9.0</t>
        </is>
      </c>
      <c r="M489" t="inlineStr">
        <is>
          <t>6-8</t>
        </is>
      </c>
      <c r="N489" t="inlineStr">
        <is>
          <t>14.0-17.0</t>
        </is>
      </c>
      <c r="O489" s="7" t="inlineStr">
        <is>
          <t>JSS International</t>
        </is>
      </c>
      <c r="P489" s="7" t="inlineStr">
        <is>
          <t>Saudi German Hospital</t>
        </is>
      </c>
      <c r="Q489" s="7" t="inlineStr">
        <is>
          <t>Circle Mall</t>
        </is>
      </c>
      <c r="R489" s="7" t="inlineStr">
        <is>
          <t>Hessa St / E44</t>
        </is>
      </c>
      <c r="S489" t="inlineStr">
        <is>
          <t>20</t>
        </is>
      </c>
      <c r="T489" t="inlineStr">
        <is>
          <t>15</t>
        </is>
      </c>
      <c r="U489" t="inlineStr">
        <is>
          <t>25</t>
        </is>
      </c>
      <c r="V489" t="inlineStr">
        <is>
          <t>30</t>
        </is>
      </c>
      <c r="W489" t="n">
        <v>2</v>
      </c>
      <c r="X489" s="12" t="n">
        <v>1100000</v>
      </c>
      <c r="Y489" s="12" t="n">
        <v>1100000</v>
      </c>
      <c r="Z489" s="9" t="n">
        <v>8</v>
      </c>
      <c r="AA489" s="9" t="n">
        <v>9</v>
      </c>
      <c r="AB489" s="9" t="n">
        <v>6</v>
      </c>
      <c r="AC489" s="9" t="n">
        <v>8</v>
      </c>
      <c r="AD489" s="9" t="n">
        <v>14</v>
      </c>
      <c r="AE489" s="9" t="n">
        <v>17</v>
      </c>
      <c r="AF489" t="n">
        <v>2023</v>
      </c>
      <c r="AH489" t="inlineStr">
        <is>
          <t>Apartment</t>
        </is>
      </c>
      <c r="AI489" t="inlineStr">
        <is>
          <t>SupplySensitiveApartment</t>
        </is>
      </c>
      <c r="AJ489" t="inlineStr">
        <is>
          <t>Established</t>
        </is>
      </c>
      <c r="AK489" t="inlineStr">
        <is>
          <t>Supply-sensitive / selective</t>
        </is>
      </c>
      <c r="AL489" s="7" t="inlineStr">
        <is>
          <t>Higher delivery risk in more price-sensitive apartment clusters; building selection and exit liquidity matter.</t>
        </is>
      </c>
      <c r="AM489" s="9" t="n">
        <v>7</v>
      </c>
      <c r="AN489" s="9" t="n">
        <v>8.5</v>
      </c>
      <c r="AO489" s="10" t="n">
        <v>0.55</v>
      </c>
      <c r="AP489" s="13" t="n">
        <v>0</v>
      </c>
      <c r="AQ489" s="13" t="n">
        <v>0</v>
      </c>
      <c r="AR489" s="13" t="n">
        <v>-0.01</v>
      </c>
      <c r="AS489" s="13" t="n">
        <v>-0.01</v>
      </c>
      <c r="AT489" s="13" t="n">
        <v>0</v>
      </c>
      <c r="AU489" s="13" t="n">
        <v>0.0025</v>
      </c>
      <c r="AV489" s="13" t="n">
        <v>-0.005</v>
      </c>
      <c r="AW489" s="13">
        <f>IF(X489="","",(AM489/100*AO489)+AP489+AQ489+AR489)</f>
        <v/>
      </c>
      <c r="AX489" s="13">
        <f>IF(X489="","",AS489+AT489+AU489+AV489)</f>
        <v/>
      </c>
      <c r="AY489" s="12">
        <f>IF(AZ489="","",ROUND(AZ489*(1+Assumptions!$B$10),0))</f>
        <v/>
      </c>
      <c r="AZ489" s="12">
        <f>IF(X489="","",ROUND(X489*(1+AW489),0))</f>
        <v/>
      </c>
      <c r="BA489" s="12">
        <f>IF(AZ489="","",ROUND(AZ489*(1+Assumptions!$B$11),0))</f>
        <v/>
      </c>
      <c r="BB489" s="12">
        <f>IF(AZ489="","",ROUND(AZ489*(1+AX489+Assumptions!$B$10),0))</f>
        <v/>
      </c>
      <c r="BC489" s="12">
        <f>IF(AZ489="","",ROUND(AZ489*(1+AX489),0))</f>
        <v/>
      </c>
      <c r="BD489" s="12">
        <f>IF(AZ489="","",ROUND(AZ489*(1+AX489+Assumptions!$B$11),0))</f>
        <v/>
      </c>
      <c r="BE489" s="12">
        <f>IF(AZ489="","",ROUND(AZ489*(1+AX489)*(1+AX489),0))</f>
        <v/>
      </c>
      <c r="BF489" s="7" t="inlineStr">
        <is>
          <t>Rules-based enrichment using launch-price anchor, cap-app realization, and 2026 segment conditions.</t>
        </is>
      </c>
      <c r="BG489" t="inlineStr">
        <is>
          <t>2026-03-17</t>
        </is>
      </c>
      <c r="BH489" s="7" t="inlineStr">
        <is>
          <t>DLD / Digital Dubai / CBUAE / Savills / Knight Frank-Moody’s / Reuters</t>
        </is>
      </c>
    </row>
    <row r="490">
      <c r="A490" t="n">
        <v>489</v>
      </c>
      <c r="B490" s="7" t="inlineStr">
        <is>
          <t>Empire Livings</t>
        </is>
      </c>
      <c r="C490" t="inlineStr">
        <is>
          <t>Peace Homes</t>
        </is>
      </c>
      <c r="D490" t="inlineStr">
        <is>
          <t>Dubai Science Park</t>
        </is>
      </c>
      <c r="E490" t="inlineStr">
        <is>
          <t>Apartments</t>
        </is>
      </c>
      <c r="F490" s="7" t="inlineStr">
        <is>
          <t>Tech / Modern</t>
        </is>
      </c>
      <c r="G490" t="inlineStr">
        <is>
          <t>800k</t>
        </is>
      </c>
      <c r="H490" t="inlineStr">
        <is>
          <t>1100</t>
        </is>
      </c>
      <c r="I490" t="inlineStr">
        <is>
          <t>15</t>
        </is>
      </c>
      <c r="J490" t="inlineStr">
        <is>
          <t>60/40</t>
        </is>
      </c>
      <c r="K490" t="inlineStr">
        <is>
          <t>2024</t>
        </is>
      </c>
      <c r="L490" t="inlineStr">
        <is>
          <t>7.0-7.5</t>
        </is>
      </c>
      <c r="M490" t="inlineStr">
        <is>
          <t>7-9</t>
        </is>
      </c>
      <c r="N490" t="inlineStr">
        <is>
          <t>14.0-16.5</t>
        </is>
      </c>
      <c r="O490" s="7" t="inlineStr">
        <is>
          <t>GEMS Founders</t>
        </is>
      </c>
      <c r="P490" s="7" t="inlineStr">
        <is>
          <t>Mediclinic Parkview</t>
        </is>
      </c>
      <c r="Q490" s="7" t="inlineStr">
        <is>
          <t>Dubai Hills Mall</t>
        </is>
      </c>
      <c r="R490" s="7" t="inlineStr">
        <is>
          <t>Umm Suqeim / E44</t>
        </is>
      </c>
      <c r="S490" t="inlineStr">
        <is>
          <t>20</t>
        </is>
      </c>
      <c r="T490" t="inlineStr">
        <is>
          <t>20</t>
        </is>
      </c>
      <c r="U490" t="inlineStr">
        <is>
          <t>25</t>
        </is>
      </c>
      <c r="V490" t="inlineStr">
        <is>
          <t>30</t>
        </is>
      </c>
      <c r="W490" t="n">
        <v>2</v>
      </c>
      <c r="X490" s="12" t="n">
        <v>800000</v>
      </c>
      <c r="Y490" s="12" t="n">
        <v>800000</v>
      </c>
      <c r="Z490" s="9" t="n">
        <v>7</v>
      </c>
      <c r="AA490" s="9" t="n">
        <v>7.5</v>
      </c>
      <c r="AB490" s="9" t="n">
        <v>7</v>
      </c>
      <c r="AC490" s="9" t="n">
        <v>9</v>
      </c>
      <c r="AD490" s="9" t="n">
        <v>14</v>
      </c>
      <c r="AE490" s="9" t="n">
        <v>16.5</v>
      </c>
      <c r="AF490" t="n">
        <v>2024</v>
      </c>
      <c r="AH490" t="inlineStr">
        <is>
          <t>Apartment</t>
        </is>
      </c>
      <c r="AI490" t="inlineStr">
        <is>
          <t>MainstreamSelective</t>
        </is>
      </c>
      <c r="AJ490" t="inlineStr">
        <is>
          <t>Established</t>
        </is>
      </c>
      <c r="AK490" t="inlineStr">
        <is>
          <t>Balanced / selective</t>
        </is>
      </c>
      <c r="AL490" s="7" t="inlineStr">
        <is>
          <t>Market remains active but increasingly differentiated by developer, micro-location, livability, and pricing discipline.</t>
        </is>
      </c>
      <c r="AM490" s="9" t="n">
        <v>8</v>
      </c>
      <c r="AN490" s="9" t="n">
        <v>7.25</v>
      </c>
      <c r="AO490" s="10" t="n">
        <v>0.55</v>
      </c>
      <c r="AP490" s="13" t="n">
        <v>0</v>
      </c>
      <c r="AQ490" s="13" t="n">
        <v>0</v>
      </c>
      <c r="AR490" s="13" t="n">
        <v>0</v>
      </c>
      <c r="AS490" s="13" t="n">
        <v>0.01</v>
      </c>
      <c r="AT490" s="13" t="n">
        <v>0</v>
      </c>
      <c r="AU490" s="13" t="n">
        <v>0.0025</v>
      </c>
      <c r="AV490" s="13" t="n">
        <v>-0.005</v>
      </c>
      <c r="AW490" s="13">
        <f>IF(X490="","",(AM490/100*AO490)+AP490+AQ490+AR490)</f>
        <v/>
      </c>
      <c r="AX490" s="13">
        <f>IF(X490="","",AS490+AT490+AU490+AV490)</f>
        <v/>
      </c>
      <c r="AY490" s="12">
        <f>IF(AZ490="","",ROUND(AZ490*(1+Assumptions!$B$10),0))</f>
        <v/>
      </c>
      <c r="AZ490" s="12">
        <f>IF(X490="","",ROUND(X490*(1+AW490),0))</f>
        <v/>
      </c>
      <c r="BA490" s="12">
        <f>IF(AZ490="","",ROUND(AZ490*(1+Assumptions!$B$11),0))</f>
        <v/>
      </c>
      <c r="BB490" s="12">
        <f>IF(AZ490="","",ROUND(AZ490*(1+AX490+Assumptions!$B$10),0))</f>
        <v/>
      </c>
      <c r="BC490" s="12">
        <f>IF(AZ490="","",ROUND(AZ490*(1+AX490),0))</f>
        <v/>
      </c>
      <c r="BD490" s="12">
        <f>IF(AZ490="","",ROUND(AZ490*(1+AX490+Assumptions!$B$11),0))</f>
        <v/>
      </c>
      <c r="BE490" s="12">
        <f>IF(AZ490="","",ROUND(AZ490*(1+AX490)*(1+AX490),0))</f>
        <v/>
      </c>
      <c r="BF490" s="7" t="inlineStr">
        <is>
          <t>Rules-based enrichment using launch-price anchor, cap-app realization, and 2026 segment conditions.</t>
        </is>
      </c>
      <c r="BG490" t="inlineStr">
        <is>
          <t>2026-03-17</t>
        </is>
      </c>
      <c r="BH490" s="7" t="inlineStr">
        <is>
          <t>DLD / Digital Dubai / CBUAE / Savills / Knight Frank-Moody’s / Reuters</t>
        </is>
      </c>
    </row>
    <row r="491">
      <c r="A491" t="n">
        <v>490</v>
      </c>
      <c r="B491" s="7" t="inlineStr">
        <is>
          <t>Empire Estates</t>
        </is>
      </c>
      <c r="C491" t="inlineStr">
        <is>
          <t>Peace Homes</t>
        </is>
      </c>
      <c r="D491" t="inlineStr">
        <is>
          <t>Arjan</t>
        </is>
      </c>
      <c r="E491" t="inlineStr">
        <is>
          <t>Apartments</t>
        </is>
      </c>
      <c r="F491" s="7" t="inlineStr">
        <is>
          <t>Family</t>
        </is>
      </c>
      <c r="G491" t="inlineStr">
        <is>
          <t>850k</t>
        </is>
      </c>
      <c r="H491" t="inlineStr">
        <is>
          <t>1100</t>
        </is>
      </c>
      <c r="I491" t="inlineStr">
        <is>
          <t>15</t>
        </is>
      </c>
      <c r="J491" t="inlineStr">
        <is>
          <t>60/40</t>
        </is>
      </c>
      <c r="K491" t="inlineStr">
        <is>
          <t>2023</t>
        </is>
      </c>
      <c r="L491" t="inlineStr">
        <is>
          <t>7.5-8.0</t>
        </is>
      </c>
      <c r="M491" t="inlineStr">
        <is>
          <t>6-8</t>
        </is>
      </c>
      <c r="N491" t="inlineStr">
        <is>
          <t>13.5-16.0</t>
        </is>
      </c>
      <c r="O491" s="7" t="inlineStr">
        <is>
          <t>Nord Anglia</t>
        </is>
      </c>
      <c r="P491" s="7" t="inlineStr">
        <is>
          <t>Mediclinic Parkview</t>
        </is>
      </c>
      <c r="Q491" s="7" t="inlineStr">
        <is>
          <t>Dubai Hills Mall</t>
        </is>
      </c>
      <c r="R491" s="7" t="inlineStr">
        <is>
          <t>Umm Suqeim / E311</t>
        </is>
      </c>
      <c r="S491" t="inlineStr">
        <is>
          <t>20</t>
        </is>
      </c>
      <c r="T491" t="inlineStr">
        <is>
          <t>20</t>
        </is>
      </c>
      <c r="U491" t="inlineStr">
        <is>
          <t>30</t>
        </is>
      </c>
      <c r="V491" t="inlineStr">
        <is>
          <t>25</t>
        </is>
      </c>
      <c r="W491" t="n">
        <v>2</v>
      </c>
      <c r="X491" s="12" t="n">
        <v>850000</v>
      </c>
      <c r="Y491" s="12" t="n">
        <v>850000</v>
      </c>
      <c r="Z491" s="9" t="n">
        <v>7.5</v>
      </c>
      <c r="AA491" s="9" t="n">
        <v>8</v>
      </c>
      <c r="AB491" s="9" t="n">
        <v>6</v>
      </c>
      <c r="AC491" s="9" t="n">
        <v>8</v>
      </c>
      <c r="AD491" s="9" t="n">
        <v>13.5</v>
      </c>
      <c r="AE491" s="9" t="n">
        <v>16</v>
      </c>
      <c r="AF491" t="n">
        <v>2023</v>
      </c>
      <c r="AH491" t="inlineStr">
        <is>
          <t>Apartment</t>
        </is>
      </c>
      <c r="AI491" t="inlineStr">
        <is>
          <t>SupplySensitiveApartment</t>
        </is>
      </c>
      <c r="AJ491" t="inlineStr">
        <is>
          <t>Established</t>
        </is>
      </c>
      <c r="AK491" t="inlineStr">
        <is>
          <t>Supply-sensitive / selective</t>
        </is>
      </c>
      <c r="AL491" s="7" t="inlineStr">
        <is>
          <t>Higher delivery risk in more price-sensitive apartment clusters; building selection and exit liquidity matter.</t>
        </is>
      </c>
      <c r="AM491" s="9" t="n">
        <v>7</v>
      </c>
      <c r="AN491" s="9" t="n">
        <v>7.75</v>
      </c>
      <c r="AO491" s="10" t="n">
        <v>0.55</v>
      </c>
      <c r="AP491" s="13" t="n">
        <v>0</v>
      </c>
      <c r="AQ491" s="13" t="n">
        <v>0</v>
      </c>
      <c r="AR491" s="13" t="n">
        <v>-0.01</v>
      </c>
      <c r="AS491" s="13" t="n">
        <v>-0.01</v>
      </c>
      <c r="AT491" s="13" t="n">
        <v>0</v>
      </c>
      <c r="AU491" s="13" t="n">
        <v>0.0025</v>
      </c>
      <c r="AV491" s="13" t="n">
        <v>-0.005</v>
      </c>
      <c r="AW491" s="13">
        <f>IF(X491="","",(AM491/100*AO491)+AP491+AQ491+AR491)</f>
        <v/>
      </c>
      <c r="AX491" s="13">
        <f>IF(X491="","",AS491+AT491+AU491+AV491)</f>
        <v/>
      </c>
      <c r="AY491" s="12">
        <f>IF(AZ491="","",ROUND(AZ491*(1+Assumptions!$B$10),0))</f>
        <v/>
      </c>
      <c r="AZ491" s="12">
        <f>IF(X491="","",ROUND(X491*(1+AW491),0))</f>
        <v/>
      </c>
      <c r="BA491" s="12">
        <f>IF(AZ491="","",ROUND(AZ491*(1+Assumptions!$B$11),0))</f>
        <v/>
      </c>
      <c r="BB491" s="12">
        <f>IF(AZ491="","",ROUND(AZ491*(1+AX491+Assumptions!$B$10),0))</f>
        <v/>
      </c>
      <c r="BC491" s="12">
        <f>IF(AZ491="","",ROUND(AZ491*(1+AX491),0))</f>
        <v/>
      </c>
      <c r="BD491" s="12">
        <f>IF(AZ491="","",ROUND(AZ491*(1+AX491+Assumptions!$B$11),0))</f>
        <v/>
      </c>
      <c r="BE491" s="12">
        <f>IF(AZ491="","",ROUND(AZ491*(1+AX491)*(1+AX491),0))</f>
        <v/>
      </c>
      <c r="BF491" s="7" t="inlineStr">
        <is>
          <t>Rules-based enrichment using launch-price anchor, cap-app realization, and 2026 segment conditions.</t>
        </is>
      </c>
      <c r="BG491" t="inlineStr">
        <is>
          <t>2026-03-17</t>
        </is>
      </c>
      <c r="BH491" s="7" t="inlineStr">
        <is>
          <t>DLD / Digital Dubai / CBUAE / Savills / Knight Frank-Moody’s / Reuters</t>
        </is>
      </c>
    </row>
    <row r="492">
      <c r="A492" t="n">
        <v>491</v>
      </c>
      <c r="B492" s="7" t="inlineStr">
        <is>
          <t>RA1N</t>
        </is>
      </c>
      <c r="C492" t="inlineStr">
        <is>
          <t>Object 1</t>
        </is>
      </c>
      <c r="D492" t="inlineStr">
        <is>
          <t>JVC</t>
        </is>
      </c>
      <c r="E492" t="inlineStr">
        <is>
          <t>Apartments</t>
        </is>
      </c>
      <c r="F492" s="7" t="inlineStr">
        <is>
          <t>Modern / Design</t>
        </is>
      </c>
      <c r="G492" t="inlineStr">
        <is>
          <t>900k</t>
        </is>
      </c>
      <c r="H492" t="inlineStr">
        <is>
          <t>1300</t>
        </is>
      </c>
      <c r="I492" t="inlineStr">
        <is>
          <t>15</t>
        </is>
      </c>
      <c r="J492" t="inlineStr">
        <is>
          <t>60/40</t>
        </is>
      </c>
      <c r="K492" t="inlineStr">
        <is>
          <t>2023</t>
        </is>
      </c>
      <c r="L492" t="inlineStr">
        <is>
          <t>7.5-8.0</t>
        </is>
      </c>
      <c r="M492" t="inlineStr">
        <is>
          <t>6-8</t>
        </is>
      </c>
      <c r="N492" t="inlineStr">
        <is>
          <t>13.5-16.0</t>
        </is>
      </c>
      <c r="O492" s="7" t="inlineStr">
        <is>
          <t>JSS International</t>
        </is>
      </c>
      <c r="P492" s="7" t="inlineStr">
        <is>
          <t>Saudi German Hospital</t>
        </is>
      </c>
      <c r="Q492" s="7" t="inlineStr">
        <is>
          <t>Circle Mall</t>
        </is>
      </c>
      <c r="R492" s="7" t="inlineStr">
        <is>
          <t>Hessa St / E44</t>
        </is>
      </c>
      <c r="S492" t="inlineStr">
        <is>
          <t>20</t>
        </is>
      </c>
      <c r="T492" t="inlineStr">
        <is>
          <t>15</t>
        </is>
      </c>
      <c r="U492" t="inlineStr">
        <is>
          <t>25</t>
        </is>
      </c>
      <c r="V492" t="inlineStr">
        <is>
          <t>30</t>
        </is>
      </c>
      <c r="W492" t="n">
        <v>2</v>
      </c>
      <c r="X492" s="12" t="n">
        <v>900000</v>
      </c>
      <c r="Y492" s="12" t="n">
        <v>900000</v>
      </c>
      <c r="Z492" s="9" t="n">
        <v>7.5</v>
      </c>
      <c r="AA492" s="9" t="n">
        <v>8</v>
      </c>
      <c r="AB492" s="9" t="n">
        <v>6</v>
      </c>
      <c r="AC492" s="9" t="n">
        <v>8</v>
      </c>
      <c r="AD492" s="9" t="n">
        <v>13.5</v>
      </c>
      <c r="AE492" s="9" t="n">
        <v>16</v>
      </c>
      <c r="AF492" t="n">
        <v>2023</v>
      </c>
      <c r="AH492" t="inlineStr">
        <is>
          <t>Apartment</t>
        </is>
      </c>
      <c r="AI492" t="inlineStr">
        <is>
          <t>SupplySensitiveApartment</t>
        </is>
      </c>
      <c r="AJ492" t="inlineStr">
        <is>
          <t>MidTier</t>
        </is>
      </c>
      <c r="AK492" t="inlineStr">
        <is>
          <t>Supply-sensitive / selective</t>
        </is>
      </c>
      <c r="AL492" s="7" t="inlineStr">
        <is>
          <t>Higher delivery risk in more price-sensitive apartment clusters; building selection and exit liquidity matter.</t>
        </is>
      </c>
      <c r="AM492" s="9" t="n">
        <v>7</v>
      </c>
      <c r="AN492" s="9" t="n">
        <v>7.75</v>
      </c>
      <c r="AO492" s="10" t="n">
        <v>0.55</v>
      </c>
      <c r="AP492" s="13" t="n">
        <v>0</v>
      </c>
      <c r="AQ492" s="13" t="n">
        <v>0</v>
      </c>
      <c r="AR492" s="13" t="n">
        <v>-0.01</v>
      </c>
      <c r="AS492" s="13" t="n">
        <v>-0.01</v>
      </c>
      <c r="AT492" s="13" t="n">
        <v>-0.005</v>
      </c>
      <c r="AU492" s="13" t="n">
        <v>0.0025</v>
      </c>
      <c r="AV492" s="13" t="n">
        <v>-0.005</v>
      </c>
      <c r="AW492" s="13">
        <f>IF(X492="","",(AM492/100*AO492)+AP492+AQ492+AR492)</f>
        <v/>
      </c>
      <c r="AX492" s="13">
        <f>IF(X492="","",AS492+AT492+AU492+AV492)</f>
        <v/>
      </c>
      <c r="AY492" s="12">
        <f>IF(AZ492="","",ROUND(AZ492*(1+Assumptions!$B$10),0))</f>
        <v/>
      </c>
      <c r="AZ492" s="12">
        <f>IF(X492="","",ROUND(X492*(1+AW492),0))</f>
        <v/>
      </c>
      <c r="BA492" s="12">
        <f>IF(AZ492="","",ROUND(AZ492*(1+Assumptions!$B$11),0))</f>
        <v/>
      </c>
      <c r="BB492" s="12">
        <f>IF(AZ492="","",ROUND(AZ492*(1+AX492+Assumptions!$B$10),0))</f>
        <v/>
      </c>
      <c r="BC492" s="12">
        <f>IF(AZ492="","",ROUND(AZ492*(1+AX492),0))</f>
        <v/>
      </c>
      <c r="BD492" s="12">
        <f>IF(AZ492="","",ROUND(AZ492*(1+AX492+Assumptions!$B$11),0))</f>
        <v/>
      </c>
      <c r="BE492" s="12">
        <f>IF(AZ492="","",ROUND(AZ492*(1+AX492)*(1+AX492),0))</f>
        <v/>
      </c>
      <c r="BF492" s="7" t="inlineStr">
        <is>
          <t>Rules-based enrichment using launch-price anchor, cap-app realization, and 2026 segment conditions.</t>
        </is>
      </c>
      <c r="BG492" t="inlineStr">
        <is>
          <t>2026-03-17</t>
        </is>
      </c>
      <c r="BH492" s="7" t="inlineStr">
        <is>
          <t>DLD / Digital Dubai / CBUAE / Savills / Knight Frank-Moody’s / Reuters</t>
        </is>
      </c>
    </row>
    <row r="493">
      <c r="A493" t="n">
        <v>492</v>
      </c>
      <c r="B493" s="7" t="inlineStr">
        <is>
          <t>F1FTY ONE</t>
        </is>
      </c>
      <c r="C493" t="inlineStr">
        <is>
          <t>Object 1</t>
        </is>
      </c>
      <c r="D493" t="inlineStr">
        <is>
          <t>Business Bay</t>
        </is>
      </c>
      <c r="E493" t="inlineStr">
        <is>
          <t>Apartments</t>
        </is>
      </c>
      <c r="F493" s="7" t="inlineStr">
        <is>
          <t>City / Canal</t>
        </is>
      </c>
      <c r="G493" t="inlineStr">
        <is>
          <t>1.8M</t>
        </is>
      </c>
      <c r="H493" t="inlineStr">
        <is>
          <t>2000</t>
        </is>
      </c>
      <c r="I493" t="inlineStr">
        <is>
          <t>18</t>
        </is>
      </c>
      <c r="J493" t="inlineStr">
        <is>
          <t>60/40</t>
        </is>
      </c>
      <c r="K493" t="inlineStr">
        <is>
          <t>2024</t>
        </is>
      </c>
      <c r="L493" t="inlineStr">
        <is>
          <t>6.5-7.0</t>
        </is>
      </c>
      <c r="M493" t="inlineStr">
        <is>
          <t>8-10</t>
        </is>
      </c>
      <c r="N493" t="inlineStr">
        <is>
          <t>14.5-17.0</t>
        </is>
      </c>
      <c r="O493" s="7" t="inlineStr">
        <is>
          <t>Hartland Intl</t>
        </is>
      </c>
      <c r="P493" s="7" t="inlineStr">
        <is>
          <t>Emirates Hospital BB</t>
        </is>
      </c>
      <c r="Q493" s="7" t="inlineStr">
        <is>
          <t>Dubai Mall</t>
        </is>
      </c>
      <c r="R493" s="7" t="inlineStr">
        <is>
          <t>Al Khail E44</t>
        </is>
      </c>
      <c r="S493" t="inlineStr">
        <is>
          <t>5</t>
        </is>
      </c>
      <c r="T493" t="inlineStr">
        <is>
          <t>20</t>
        </is>
      </c>
      <c r="U493" t="inlineStr">
        <is>
          <t>15</t>
        </is>
      </c>
      <c r="V493" t="inlineStr">
        <is>
          <t>35</t>
        </is>
      </c>
      <c r="W493" t="n">
        <v>2</v>
      </c>
      <c r="X493" s="12" t="n">
        <v>1800000</v>
      </c>
      <c r="Y493" s="12" t="n">
        <v>1800000</v>
      </c>
      <c r="Z493" s="9" t="n">
        <v>6.5</v>
      </c>
      <c r="AA493" s="9" t="n">
        <v>7</v>
      </c>
      <c r="AB493" s="9" t="n">
        <v>8</v>
      </c>
      <c r="AC493" s="9" t="n">
        <v>10</v>
      </c>
      <c r="AD493" s="9" t="n">
        <v>14.5</v>
      </c>
      <c r="AE493" s="9" t="n">
        <v>17</v>
      </c>
      <c r="AF493" t="n">
        <v>2024</v>
      </c>
      <c r="AH493" t="inlineStr">
        <is>
          <t>Apartment</t>
        </is>
      </c>
      <c r="AI493" t="inlineStr">
        <is>
          <t>Prime</t>
        </is>
      </c>
      <c r="AJ493" t="inlineStr">
        <is>
          <t>MidTier</t>
        </is>
      </c>
      <c r="AK493" t="inlineStr">
        <is>
          <t>Prime resilient / selective</t>
        </is>
      </c>
      <c r="AL493" s="7" t="inlineStr">
        <is>
          <t>Better support from quality, branding, and scarcer prime stock; still entry-price sensitive.</t>
        </is>
      </c>
      <c r="AM493" s="9" t="n">
        <v>9</v>
      </c>
      <c r="AN493" s="9" t="n">
        <v>6.75</v>
      </c>
      <c r="AO493" s="10" t="n">
        <v>0.55</v>
      </c>
      <c r="AP493" s="13" t="n">
        <v>0.02</v>
      </c>
      <c r="AQ493" s="13" t="n">
        <v>0</v>
      </c>
      <c r="AR493" s="13" t="n">
        <v>0</v>
      </c>
      <c r="AS493" s="13" t="n">
        <v>0.03</v>
      </c>
      <c r="AT493" s="13" t="n">
        <v>-0.005</v>
      </c>
      <c r="AU493" s="13" t="n">
        <v>0.0025</v>
      </c>
      <c r="AV493" s="13" t="n">
        <v>-0.005</v>
      </c>
      <c r="AW493" s="13">
        <f>IF(X493="","",(AM493/100*AO493)+AP493+AQ493+AR493)</f>
        <v/>
      </c>
      <c r="AX493" s="13">
        <f>IF(X493="","",AS493+AT493+AU493+AV493)</f>
        <v/>
      </c>
      <c r="AY493" s="12">
        <f>IF(AZ493="","",ROUND(AZ493*(1+Assumptions!$B$10),0))</f>
        <v/>
      </c>
      <c r="AZ493" s="12">
        <f>IF(X493="","",ROUND(X493*(1+AW493),0))</f>
        <v/>
      </c>
      <c r="BA493" s="12">
        <f>IF(AZ493="","",ROUND(AZ493*(1+Assumptions!$B$11),0))</f>
        <v/>
      </c>
      <c r="BB493" s="12">
        <f>IF(AZ493="","",ROUND(AZ493*(1+AX493+Assumptions!$B$10),0))</f>
        <v/>
      </c>
      <c r="BC493" s="12">
        <f>IF(AZ493="","",ROUND(AZ493*(1+AX493),0))</f>
        <v/>
      </c>
      <c r="BD493" s="12">
        <f>IF(AZ493="","",ROUND(AZ493*(1+AX493+Assumptions!$B$11),0))</f>
        <v/>
      </c>
      <c r="BE493" s="12">
        <f>IF(AZ493="","",ROUND(AZ493*(1+AX493)*(1+AX493),0))</f>
        <v/>
      </c>
      <c r="BF493" s="7" t="inlineStr">
        <is>
          <t>Rules-based enrichment using launch-price anchor, cap-app realization, and 2026 segment conditions.</t>
        </is>
      </c>
      <c r="BG493" t="inlineStr">
        <is>
          <t>2026-03-17</t>
        </is>
      </c>
      <c r="BH493" s="7" t="inlineStr">
        <is>
          <t>DLD / Digital Dubai / CBUAE / Savills / Knight Frank-Moody’s / Reuters</t>
        </is>
      </c>
    </row>
    <row r="494">
      <c r="A494" t="n">
        <v>493</v>
      </c>
      <c r="B494" s="7" t="inlineStr">
        <is>
          <t>W1NNER</t>
        </is>
      </c>
      <c r="C494" t="inlineStr">
        <is>
          <t>Object 1</t>
        </is>
      </c>
      <c r="D494" t="inlineStr">
        <is>
          <t>JVT</t>
        </is>
      </c>
      <c r="E494" t="inlineStr">
        <is>
          <t>Apartments</t>
        </is>
      </c>
      <c r="F494" s="7" t="inlineStr">
        <is>
          <t>Sports / Family</t>
        </is>
      </c>
      <c r="G494" t="inlineStr">
        <is>
          <t>800k</t>
        </is>
      </c>
      <c r="H494" t="inlineStr">
        <is>
          <t>1100</t>
        </is>
      </c>
      <c r="I494" t="inlineStr">
        <is>
          <t>15</t>
        </is>
      </c>
      <c r="J494" t="inlineStr">
        <is>
          <t>60/40</t>
        </is>
      </c>
      <c r="K494" t="inlineStr">
        <is>
          <t>2023</t>
        </is>
      </c>
      <c r="L494" t="inlineStr">
        <is>
          <t>7.0-7.5</t>
        </is>
      </c>
      <c r="M494" t="inlineStr">
        <is>
          <t>6-8</t>
        </is>
      </c>
      <c r="N494" t="inlineStr">
        <is>
          <t>13.0-15.5</t>
        </is>
      </c>
      <c r="O494" s="7" t="inlineStr">
        <is>
          <t>Sunmarke School</t>
        </is>
      </c>
      <c r="P494" s="7" t="inlineStr">
        <is>
          <t>NMC Royal DIP</t>
        </is>
      </c>
      <c r="Q494" s="7" t="inlineStr">
        <is>
          <t>Circle Mall</t>
        </is>
      </c>
      <c r="R494" s="7" t="inlineStr">
        <is>
          <t>E311 / Yalayis</t>
        </is>
      </c>
      <c r="S494" t="inlineStr">
        <is>
          <t>20</t>
        </is>
      </c>
      <c r="T494" t="inlineStr">
        <is>
          <t>15</t>
        </is>
      </c>
      <c r="U494" t="inlineStr">
        <is>
          <t>30</t>
        </is>
      </c>
      <c r="V494" t="inlineStr">
        <is>
          <t>20</t>
        </is>
      </c>
      <c r="W494" t="n">
        <v>2</v>
      </c>
      <c r="X494" s="12" t="n">
        <v>800000</v>
      </c>
      <c r="Y494" s="12" t="n">
        <v>800000</v>
      </c>
      <c r="Z494" s="9" t="n">
        <v>7</v>
      </c>
      <c r="AA494" s="9" t="n">
        <v>7.5</v>
      </c>
      <c r="AB494" s="9" t="n">
        <v>6</v>
      </c>
      <c r="AC494" s="9" t="n">
        <v>8</v>
      </c>
      <c r="AD494" s="9" t="n">
        <v>13</v>
      </c>
      <c r="AE494" s="9" t="n">
        <v>15.5</v>
      </c>
      <c r="AF494" t="n">
        <v>2023</v>
      </c>
      <c r="AH494" t="inlineStr">
        <is>
          <t>Apartment</t>
        </is>
      </c>
      <c r="AI494" t="inlineStr">
        <is>
          <t>SupplySensitiveApartment</t>
        </is>
      </c>
      <c r="AJ494" t="inlineStr">
        <is>
          <t>MidTier</t>
        </is>
      </c>
      <c r="AK494" t="inlineStr">
        <is>
          <t>Supply-sensitive / selective</t>
        </is>
      </c>
      <c r="AL494" s="7" t="inlineStr">
        <is>
          <t>Higher delivery risk in more price-sensitive apartment clusters; building selection and exit liquidity matter.</t>
        </is>
      </c>
      <c r="AM494" s="9" t="n">
        <v>7</v>
      </c>
      <c r="AN494" s="9" t="n">
        <v>7.25</v>
      </c>
      <c r="AO494" s="10" t="n">
        <v>0.55</v>
      </c>
      <c r="AP494" s="13" t="n">
        <v>0</v>
      </c>
      <c r="AQ494" s="13" t="n">
        <v>0</v>
      </c>
      <c r="AR494" s="13" t="n">
        <v>-0.01</v>
      </c>
      <c r="AS494" s="13" t="n">
        <v>-0.01</v>
      </c>
      <c r="AT494" s="13" t="n">
        <v>-0.005</v>
      </c>
      <c r="AU494" s="13" t="n">
        <v>0.0025</v>
      </c>
      <c r="AV494" s="13" t="n">
        <v>-0.005</v>
      </c>
      <c r="AW494" s="13">
        <f>IF(X494="","",(AM494/100*AO494)+AP494+AQ494+AR494)</f>
        <v/>
      </c>
      <c r="AX494" s="13">
        <f>IF(X494="","",AS494+AT494+AU494+AV494)</f>
        <v/>
      </c>
      <c r="AY494" s="12">
        <f>IF(AZ494="","",ROUND(AZ494*(1+Assumptions!$B$10),0))</f>
        <v/>
      </c>
      <c r="AZ494" s="12">
        <f>IF(X494="","",ROUND(X494*(1+AW494),0))</f>
        <v/>
      </c>
      <c r="BA494" s="12">
        <f>IF(AZ494="","",ROUND(AZ494*(1+Assumptions!$B$11),0))</f>
        <v/>
      </c>
      <c r="BB494" s="12">
        <f>IF(AZ494="","",ROUND(AZ494*(1+AX494+Assumptions!$B$10),0))</f>
        <v/>
      </c>
      <c r="BC494" s="12">
        <f>IF(AZ494="","",ROUND(AZ494*(1+AX494),0))</f>
        <v/>
      </c>
      <c r="BD494" s="12">
        <f>IF(AZ494="","",ROUND(AZ494*(1+AX494+Assumptions!$B$11),0))</f>
        <v/>
      </c>
      <c r="BE494" s="12">
        <f>IF(AZ494="","",ROUND(AZ494*(1+AX494)*(1+AX494),0))</f>
        <v/>
      </c>
      <c r="BF494" s="7" t="inlineStr">
        <is>
          <t>Rules-based enrichment using launch-price anchor, cap-app realization, and 2026 segment conditions.</t>
        </is>
      </c>
      <c r="BG494" t="inlineStr">
        <is>
          <t>2026-03-17</t>
        </is>
      </c>
      <c r="BH494" s="7" t="inlineStr">
        <is>
          <t>DLD / Digital Dubai / CBUAE / Savills / Knight Frank-Moody’s / Reuters</t>
        </is>
      </c>
    </row>
    <row r="495">
      <c r="A495" t="n">
        <v>494</v>
      </c>
      <c r="B495" s="7" t="inlineStr">
        <is>
          <t>LUM1NAR</t>
        </is>
      </c>
      <c r="C495" t="inlineStr">
        <is>
          <t>Object 1</t>
        </is>
      </c>
      <c r="D495" t="inlineStr">
        <is>
          <t>JVT</t>
        </is>
      </c>
      <c r="E495" t="inlineStr">
        <is>
          <t>Apartments</t>
        </is>
      </c>
      <c r="F495" s="7" t="inlineStr">
        <is>
          <t>Modern</t>
        </is>
      </c>
      <c r="G495" t="inlineStr">
        <is>
          <t>850k</t>
        </is>
      </c>
      <c r="H495" t="inlineStr">
        <is>
          <t>1150</t>
        </is>
      </c>
      <c r="I495" t="inlineStr">
        <is>
          <t>15</t>
        </is>
      </c>
      <c r="J495" t="inlineStr">
        <is>
          <t>60/40</t>
        </is>
      </c>
      <c r="K495" t="inlineStr">
        <is>
          <t>2024</t>
        </is>
      </c>
      <c r="L495" t="inlineStr">
        <is>
          <t>7.0-7.5</t>
        </is>
      </c>
      <c r="M495" t="inlineStr">
        <is>
          <t>6-8</t>
        </is>
      </c>
      <c r="N495" t="inlineStr">
        <is>
          <t>13.0-15.5</t>
        </is>
      </c>
      <c r="O495" s="7" t="inlineStr">
        <is>
          <t>Sunmarke School</t>
        </is>
      </c>
      <c r="P495" s="7" t="inlineStr">
        <is>
          <t>NMC Royal DIP</t>
        </is>
      </c>
      <c r="Q495" s="7" t="inlineStr">
        <is>
          <t>Circle Mall</t>
        </is>
      </c>
      <c r="R495" s="7" t="inlineStr">
        <is>
          <t>E311 / Yalayis</t>
        </is>
      </c>
      <c r="S495" t="inlineStr">
        <is>
          <t>20</t>
        </is>
      </c>
      <c r="T495" t="inlineStr">
        <is>
          <t>15</t>
        </is>
      </c>
      <c r="U495" t="inlineStr">
        <is>
          <t>30</t>
        </is>
      </c>
      <c r="V495" t="inlineStr">
        <is>
          <t>20</t>
        </is>
      </c>
      <c r="W495" t="n">
        <v>2</v>
      </c>
      <c r="X495" s="12" t="n">
        <v>850000</v>
      </c>
      <c r="Y495" s="12" t="n">
        <v>850000</v>
      </c>
      <c r="Z495" s="9" t="n">
        <v>7</v>
      </c>
      <c r="AA495" s="9" t="n">
        <v>7.5</v>
      </c>
      <c r="AB495" s="9" t="n">
        <v>6</v>
      </c>
      <c r="AC495" s="9" t="n">
        <v>8</v>
      </c>
      <c r="AD495" s="9" t="n">
        <v>13</v>
      </c>
      <c r="AE495" s="9" t="n">
        <v>15.5</v>
      </c>
      <c r="AF495" t="n">
        <v>2024</v>
      </c>
      <c r="AH495" t="inlineStr">
        <is>
          <t>Apartment</t>
        </is>
      </c>
      <c r="AI495" t="inlineStr">
        <is>
          <t>SupplySensitiveApartment</t>
        </is>
      </c>
      <c r="AJ495" t="inlineStr">
        <is>
          <t>MidTier</t>
        </is>
      </c>
      <c r="AK495" t="inlineStr">
        <is>
          <t>Supply-sensitive / selective</t>
        </is>
      </c>
      <c r="AL495" s="7" t="inlineStr">
        <is>
          <t>Higher delivery risk in more price-sensitive apartment clusters; building selection and exit liquidity matter.</t>
        </is>
      </c>
      <c r="AM495" s="9" t="n">
        <v>7</v>
      </c>
      <c r="AN495" s="9" t="n">
        <v>7.25</v>
      </c>
      <c r="AO495" s="10" t="n">
        <v>0.55</v>
      </c>
      <c r="AP495" s="13" t="n">
        <v>0</v>
      </c>
      <c r="AQ495" s="13" t="n">
        <v>0</v>
      </c>
      <c r="AR495" s="13" t="n">
        <v>-0.01</v>
      </c>
      <c r="AS495" s="13" t="n">
        <v>-0.01</v>
      </c>
      <c r="AT495" s="13" t="n">
        <v>-0.005</v>
      </c>
      <c r="AU495" s="13" t="n">
        <v>0.0025</v>
      </c>
      <c r="AV495" s="13" t="n">
        <v>-0.005</v>
      </c>
      <c r="AW495" s="13">
        <f>IF(X495="","",(AM495/100*AO495)+AP495+AQ495+AR495)</f>
        <v/>
      </c>
      <c r="AX495" s="13">
        <f>IF(X495="","",AS495+AT495+AU495+AV495)</f>
        <v/>
      </c>
      <c r="AY495" s="12">
        <f>IF(AZ495="","",ROUND(AZ495*(1+Assumptions!$B$10),0))</f>
        <v/>
      </c>
      <c r="AZ495" s="12">
        <f>IF(X495="","",ROUND(X495*(1+AW495),0))</f>
        <v/>
      </c>
      <c r="BA495" s="12">
        <f>IF(AZ495="","",ROUND(AZ495*(1+Assumptions!$B$11),0))</f>
        <v/>
      </c>
      <c r="BB495" s="12">
        <f>IF(AZ495="","",ROUND(AZ495*(1+AX495+Assumptions!$B$10),0))</f>
        <v/>
      </c>
      <c r="BC495" s="12">
        <f>IF(AZ495="","",ROUND(AZ495*(1+AX495),0))</f>
        <v/>
      </c>
      <c r="BD495" s="12">
        <f>IF(AZ495="","",ROUND(AZ495*(1+AX495+Assumptions!$B$11),0))</f>
        <v/>
      </c>
      <c r="BE495" s="12">
        <f>IF(AZ495="","",ROUND(AZ495*(1+AX495)*(1+AX495),0))</f>
        <v/>
      </c>
      <c r="BF495" s="7" t="inlineStr">
        <is>
          <t>Rules-based enrichment using launch-price anchor, cap-app realization, and 2026 segment conditions.</t>
        </is>
      </c>
      <c r="BG495" t="inlineStr">
        <is>
          <t>2026-03-17</t>
        </is>
      </c>
      <c r="BH495" s="7" t="inlineStr">
        <is>
          <t>DLD / Digital Dubai / CBUAE / Savills / Knight Frank-Moody’s / Reuters</t>
        </is>
      </c>
    </row>
    <row r="496">
      <c r="A496" t="n">
        <v>495</v>
      </c>
      <c r="B496" s="7" t="inlineStr">
        <is>
          <t>1WOOD</t>
        </is>
      </c>
      <c r="C496" t="inlineStr">
        <is>
          <t>Object 1</t>
        </is>
      </c>
      <c r="D496" t="inlineStr">
        <is>
          <t>JVC</t>
        </is>
      </c>
      <c r="E496" t="inlineStr">
        <is>
          <t>Apartments</t>
        </is>
      </c>
      <c r="F496" s="7" t="inlineStr">
        <is>
          <t>Wood Design</t>
        </is>
      </c>
      <c r="G496" t="inlineStr">
        <is>
          <t>950k</t>
        </is>
      </c>
      <c r="H496" t="inlineStr">
        <is>
          <t>1350</t>
        </is>
      </c>
      <c r="I496" t="inlineStr">
        <is>
          <t>15</t>
        </is>
      </c>
      <c r="J496" t="inlineStr">
        <is>
          <t>60/40</t>
        </is>
      </c>
      <c r="K496" t="inlineStr">
        <is>
          <t>2023</t>
        </is>
      </c>
      <c r="L496" t="inlineStr">
        <is>
          <t>7.5-8.0</t>
        </is>
      </c>
      <c r="M496" t="inlineStr">
        <is>
          <t>6-8</t>
        </is>
      </c>
      <c r="N496" t="inlineStr">
        <is>
          <t>13.5-16.0</t>
        </is>
      </c>
      <c r="O496" s="7" t="inlineStr">
        <is>
          <t>JSS International</t>
        </is>
      </c>
      <c r="P496" s="7" t="inlineStr">
        <is>
          <t>Saudi German Hospital</t>
        </is>
      </c>
      <c r="Q496" s="7" t="inlineStr">
        <is>
          <t>Circle Mall</t>
        </is>
      </c>
      <c r="R496" s="7" t="inlineStr">
        <is>
          <t>Hessa St / E44</t>
        </is>
      </c>
      <c r="S496" t="inlineStr">
        <is>
          <t>20</t>
        </is>
      </c>
      <c r="T496" t="inlineStr">
        <is>
          <t>15</t>
        </is>
      </c>
      <c r="U496" t="inlineStr">
        <is>
          <t>25</t>
        </is>
      </c>
      <c r="V496" t="inlineStr">
        <is>
          <t>30</t>
        </is>
      </c>
      <c r="W496" t="n">
        <v>2</v>
      </c>
      <c r="X496" s="12" t="n">
        <v>950000</v>
      </c>
      <c r="Y496" s="12" t="n">
        <v>950000</v>
      </c>
      <c r="Z496" s="9" t="n">
        <v>7.5</v>
      </c>
      <c r="AA496" s="9" t="n">
        <v>8</v>
      </c>
      <c r="AB496" s="9" t="n">
        <v>6</v>
      </c>
      <c r="AC496" s="9" t="n">
        <v>8</v>
      </c>
      <c r="AD496" s="9" t="n">
        <v>13.5</v>
      </c>
      <c r="AE496" s="9" t="n">
        <v>16</v>
      </c>
      <c r="AF496" t="n">
        <v>2023</v>
      </c>
      <c r="AH496" t="inlineStr">
        <is>
          <t>Apartment</t>
        </is>
      </c>
      <c r="AI496" t="inlineStr">
        <is>
          <t>SupplySensitiveApartment</t>
        </is>
      </c>
      <c r="AJ496" t="inlineStr">
        <is>
          <t>MidTier</t>
        </is>
      </c>
      <c r="AK496" t="inlineStr">
        <is>
          <t>Supply-sensitive / selective</t>
        </is>
      </c>
      <c r="AL496" s="7" t="inlineStr">
        <is>
          <t>Higher delivery risk in more price-sensitive apartment clusters; building selection and exit liquidity matter.</t>
        </is>
      </c>
      <c r="AM496" s="9" t="n">
        <v>7</v>
      </c>
      <c r="AN496" s="9" t="n">
        <v>7.75</v>
      </c>
      <c r="AO496" s="10" t="n">
        <v>0.55</v>
      </c>
      <c r="AP496" s="13" t="n">
        <v>0</v>
      </c>
      <c r="AQ496" s="13" t="n">
        <v>0</v>
      </c>
      <c r="AR496" s="13" t="n">
        <v>-0.01</v>
      </c>
      <c r="AS496" s="13" t="n">
        <v>-0.01</v>
      </c>
      <c r="AT496" s="13" t="n">
        <v>-0.005</v>
      </c>
      <c r="AU496" s="13" t="n">
        <v>0.0025</v>
      </c>
      <c r="AV496" s="13" t="n">
        <v>-0.005</v>
      </c>
      <c r="AW496" s="13">
        <f>IF(X496="","",(AM496/100*AO496)+AP496+AQ496+AR496)</f>
        <v/>
      </c>
      <c r="AX496" s="13">
        <f>IF(X496="","",AS496+AT496+AU496+AV496)</f>
        <v/>
      </c>
      <c r="AY496" s="12">
        <f>IF(AZ496="","",ROUND(AZ496*(1+Assumptions!$B$10),0))</f>
        <v/>
      </c>
      <c r="AZ496" s="12">
        <f>IF(X496="","",ROUND(X496*(1+AW496),0))</f>
        <v/>
      </c>
      <c r="BA496" s="12">
        <f>IF(AZ496="","",ROUND(AZ496*(1+Assumptions!$B$11),0))</f>
        <v/>
      </c>
      <c r="BB496" s="12">
        <f>IF(AZ496="","",ROUND(AZ496*(1+AX496+Assumptions!$B$10),0))</f>
        <v/>
      </c>
      <c r="BC496" s="12">
        <f>IF(AZ496="","",ROUND(AZ496*(1+AX496),0))</f>
        <v/>
      </c>
      <c r="BD496" s="12">
        <f>IF(AZ496="","",ROUND(AZ496*(1+AX496+Assumptions!$B$11),0))</f>
        <v/>
      </c>
      <c r="BE496" s="12">
        <f>IF(AZ496="","",ROUND(AZ496*(1+AX496)*(1+AX496),0))</f>
        <v/>
      </c>
      <c r="BF496" s="7" t="inlineStr">
        <is>
          <t>Rules-based enrichment using launch-price anchor, cap-app realization, and 2026 segment conditions.</t>
        </is>
      </c>
      <c r="BG496" t="inlineStr">
        <is>
          <t>2026-03-17</t>
        </is>
      </c>
      <c r="BH496" s="7" t="inlineStr">
        <is>
          <t>DLD / Digital Dubai / CBUAE / Savills / Knight Frank-Moody’s / Reuters</t>
        </is>
      </c>
    </row>
    <row r="497">
      <c r="A497" t="n">
        <v>496</v>
      </c>
      <c r="B497" s="7" t="inlineStr">
        <is>
          <t>V1TER</t>
        </is>
      </c>
      <c r="C497" t="inlineStr">
        <is>
          <t>Object 1</t>
        </is>
      </c>
      <c r="D497" t="inlineStr">
        <is>
          <t>JVC</t>
        </is>
      </c>
      <c r="E497" t="inlineStr">
        <is>
          <t>Apartments</t>
        </is>
      </c>
      <c r="F497" s="7" t="inlineStr">
        <is>
          <t>Glass Design</t>
        </is>
      </c>
      <c r="G497" t="inlineStr">
        <is>
          <t>900k</t>
        </is>
      </c>
      <c r="H497" t="inlineStr">
        <is>
          <t>1300</t>
        </is>
      </c>
      <c r="I497" t="inlineStr">
        <is>
          <t>15</t>
        </is>
      </c>
      <c r="J497" t="inlineStr">
        <is>
          <t>60/40</t>
        </is>
      </c>
      <c r="K497" t="inlineStr">
        <is>
          <t>2024</t>
        </is>
      </c>
      <c r="L497" t="inlineStr">
        <is>
          <t>7.5-8.0</t>
        </is>
      </c>
      <c r="M497" t="inlineStr">
        <is>
          <t>6-8</t>
        </is>
      </c>
      <c r="N497" t="inlineStr">
        <is>
          <t>13.5-16.0</t>
        </is>
      </c>
      <c r="O497" s="7" t="inlineStr">
        <is>
          <t>JSS International</t>
        </is>
      </c>
      <c r="P497" s="7" t="inlineStr">
        <is>
          <t>Saudi German Hospital</t>
        </is>
      </c>
      <c r="Q497" s="7" t="inlineStr">
        <is>
          <t>Circle Mall</t>
        </is>
      </c>
      <c r="R497" s="7" t="inlineStr">
        <is>
          <t>Hessa St / E44</t>
        </is>
      </c>
      <c r="S497" t="inlineStr">
        <is>
          <t>20</t>
        </is>
      </c>
      <c r="T497" t="inlineStr">
        <is>
          <t>15</t>
        </is>
      </c>
      <c r="U497" t="inlineStr">
        <is>
          <t>25</t>
        </is>
      </c>
      <c r="V497" t="inlineStr">
        <is>
          <t>30</t>
        </is>
      </c>
      <c r="W497" t="n">
        <v>2</v>
      </c>
      <c r="X497" s="12" t="n">
        <v>900000</v>
      </c>
      <c r="Y497" s="12" t="n">
        <v>900000</v>
      </c>
      <c r="Z497" s="9" t="n">
        <v>7.5</v>
      </c>
      <c r="AA497" s="9" t="n">
        <v>8</v>
      </c>
      <c r="AB497" s="9" t="n">
        <v>6</v>
      </c>
      <c r="AC497" s="9" t="n">
        <v>8</v>
      </c>
      <c r="AD497" s="9" t="n">
        <v>13.5</v>
      </c>
      <c r="AE497" s="9" t="n">
        <v>16</v>
      </c>
      <c r="AF497" t="n">
        <v>2024</v>
      </c>
      <c r="AH497" t="inlineStr">
        <is>
          <t>Apartment</t>
        </is>
      </c>
      <c r="AI497" t="inlineStr">
        <is>
          <t>SupplySensitiveApartment</t>
        </is>
      </c>
      <c r="AJ497" t="inlineStr">
        <is>
          <t>MidTier</t>
        </is>
      </c>
      <c r="AK497" t="inlineStr">
        <is>
          <t>Supply-sensitive / selective</t>
        </is>
      </c>
      <c r="AL497" s="7" t="inlineStr">
        <is>
          <t>Higher delivery risk in more price-sensitive apartment clusters; building selection and exit liquidity matter.</t>
        </is>
      </c>
      <c r="AM497" s="9" t="n">
        <v>7</v>
      </c>
      <c r="AN497" s="9" t="n">
        <v>7.75</v>
      </c>
      <c r="AO497" s="10" t="n">
        <v>0.55</v>
      </c>
      <c r="AP497" s="13" t="n">
        <v>0</v>
      </c>
      <c r="AQ497" s="13" t="n">
        <v>0</v>
      </c>
      <c r="AR497" s="13" t="n">
        <v>-0.01</v>
      </c>
      <c r="AS497" s="13" t="n">
        <v>-0.01</v>
      </c>
      <c r="AT497" s="13" t="n">
        <v>-0.005</v>
      </c>
      <c r="AU497" s="13" t="n">
        <v>0.0025</v>
      </c>
      <c r="AV497" s="13" t="n">
        <v>-0.005</v>
      </c>
      <c r="AW497" s="13">
        <f>IF(X497="","",(AM497/100*AO497)+AP497+AQ497+AR497)</f>
        <v/>
      </c>
      <c r="AX497" s="13">
        <f>IF(X497="","",AS497+AT497+AU497+AV497)</f>
        <v/>
      </c>
      <c r="AY497" s="12">
        <f>IF(AZ497="","",ROUND(AZ497*(1+Assumptions!$B$10),0))</f>
        <v/>
      </c>
      <c r="AZ497" s="12">
        <f>IF(X497="","",ROUND(X497*(1+AW497),0))</f>
        <v/>
      </c>
      <c r="BA497" s="12">
        <f>IF(AZ497="","",ROUND(AZ497*(1+Assumptions!$B$11),0))</f>
        <v/>
      </c>
      <c r="BB497" s="12">
        <f>IF(AZ497="","",ROUND(AZ497*(1+AX497+Assumptions!$B$10),0))</f>
        <v/>
      </c>
      <c r="BC497" s="12">
        <f>IF(AZ497="","",ROUND(AZ497*(1+AX497),0))</f>
        <v/>
      </c>
      <c r="BD497" s="12">
        <f>IF(AZ497="","",ROUND(AZ497*(1+AX497+Assumptions!$B$11),0))</f>
        <v/>
      </c>
      <c r="BE497" s="12">
        <f>IF(AZ497="","",ROUND(AZ497*(1+AX497)*(1+AX497),0))</f>
        <v/>
      </c>
      <c r="BF497" s="7" t="inlineStr">
        <is>
          <t>Rules-based enrichment using launch-price anchor, cap-app realization, and 2026 segment conditions.</t>
        </is>
      </c>
      <c r="BG497" t="inlineStr">
        <is>
          <t>2026-03-17</t>
        </is>
      </c>
      <c r="BH497" s="7" t="inlineStr">
        <is>
          <t>DLD / Digital Dubai / CBUAE / Savills / Knight Frank-Moody’s / Reuters</t>
        </is>
      </c>
    </row>
    <row r="498">
      <c r="A498" t="n">
        <v>497</v>
      </c>
      <c r="B498" s="7" t="inlineStr">
        <is>
          <t>TETR1S</t>
        </is>
      </c>
      <c r="C498" t="inlineStr">
        <is>
          <t>Object 1</t>
        </is>
      </c>
      <c r="D498" t="inlineStr">
        <is>
          <t>JVC</t>
        </is>
      </c>
      <c r="E498" t="inlineStr">
        <is>
          <t>Apartments</t>
        </is>
      </c>
      <c r="F498" s="7" t="inlineStr">
        <is>
          <t>Geometric</t>
        </is>
      </c>
      <c r="G498" t="inlineStr">
        <is>
          <t>900k</t>
        </is>
      </c>
      <c r="H498" t="inlineStr">
        <is>
          <t>1300</t>
        </is>
      </c>
      <c r="I498" t="inlineStr">
        <is>
          <t>15</t>
        </is>
      </c>
      <c r="J498" t="inlineStr">
        <is>
          <t>60/40</t>
        </is>
      </c>
      <c r="K498" t="inlineStr">
        <is>
          <t>2024</t>
        </is>
      </c>
      <c r="L498" t="inlineStr">
        <is>
          <t>7.5-8.0</t>
        </is>
      </c>
      <c r="M498" t="inlineStr">
        <is>
          <t>6-8</t>
        </is>
      </c>
      <c r="N498" t="inlineStr">
        <is>
          <t>13.5-16.0</t>
        </is>
      </c>
      <c r="O498" s="7" t="inlineStr">
        <is>
          <t>JSS International</t>
        </is>
      </c>
      <c r="P498" s="7" t="inlineStr">
        <is>
          <t>Saudi German Hospital</t>
        </is>
      </c>
      <c r="Q498" s="7" t="inlineStr">
        <is>
          <t>Circle Mall</t>
        </is>
      </c>
      <c r="R498" s="7" t="inlineStr">
        <is>
          <t>Hessa St / E44</t>
        </is>
      </c>
      <c r="S498" t="inlineStr">
        <is>
          <t>20</t>
        </is>
      </c>
      <c r="T498" t="inlineStr">
        <is>
          <t>15</t>
        </is>
      </c>
      <c r="U498" t="inlineStr">
        <is>
          <t>25</t>
        </is>
      </c>
      <c r="V498" t="inlineStr">
        <is>
          <t>30</t>
        </is>
      </c>
      <c r="W498" t="n">
        <v>2</v>
      </c>
      <c r="X498" s="12" t="n">
        <v>900000</v>
      </c>
      <c r="Y498" s="12" t="n">
        <v>900000</v>
      </c>
      <c r="Z498" s="9" t="n">
        <v>7.5</v>
      </c>
      <c r="AA498" s="9" t="n">
        <v>8</v>
      </c>
      <c r="AB498" s="9" t="n">
        <v>6</v>
      </c>
      <c r="AC498" s="9" t="n">
        <v>8</v>
      </c>
      <c r="AD498" s="9" t="n">
        <v>13.5</v>
      </c>
      <c r="AE498" s="9" t="n">
        <v>16</v>
      </c>
      <c r="AF498" t="n">
        <v>2024</v>
      </c>
      <c r="AH498" t="inlineStr">
        <is>
          <t>Apartment</t>
        </is>
      </c>
      <c r="AI498" t="inlineStr">
        <is>
          <t>SupplySensitiveApartment</t>
        </is>
      </c>
      <c r="AJ498" t="inlineStr">
        <is>
          <t>MidTier</t>
        </is>
      </c>
      <c r="AK498" t="inlineStr">
        <is>
          <t>Supply-sensitive / selective</t>
        </is>
      </c>
      <c r="AL498" s="7" t="inlineStr">
        <is>
          <t>Higher delivery risk in more price-sensitive apartment clusters; building selection and exit liquidity matter.</t>
        </is>
      </c>
      <c r="AM498" s="9" t="n">
        <v>7</v>
      </c>
      <c r="AN498" s="9" t="n">
        <v>7.75</v>
      </c>
      <c r="AO498" s="10" t="n">
        <v>0.55</v>
      </c>
      <c r="AP498" s="13" t="n">
        <v>0</v>
      </c>
      <c r="AQ498" s="13" t="n">
        <v>0</v>
      </c>
      <c r="AR498" s="13" t="n">
        <v>-0.01</v>
      </c>
      <c r="AS498" s="13" t="n">
        <v>-0.01</v>
      </c>
      <c r="AT498" s="13" t="n">
        <v>-0.005</v>
      </c>
      <c r="AU498" s="13" t="n">
        <v>0.0025</v>
      </c>
      <c r="AV498" s="13" t="n">
        <v>-0.005</v>
      </c>
      <c r="AW498" s="13">
        <f>IF(X498="","",(AM498/100*AO498)+AP498+AQ498+AR498)</f>
        <v/>
      </c>
      <c r="AX498" s="13">
        <f>IF(X498="","",AS498+AT498+AU498+AV498)</f>
        <v/>
      </c>
      <c r="AY498" s="12">
        <f>IF(AZ498="","",ROUND(AZ498*(1+Assumptions!$B$10),0))</f>
        <v/>
      </c>
      <c r="AZ498" s="12">
        <f>IF(X498="","",ROUND(X498*(1+AW498),0))</f>
        <v/>
      </c>
      <c r="BA498" s="12">
        <f>IF(AZ498="","",ROUND(AZ498*(1+Assumptions!$B$11),0))</f>
        <v/>
      </c>
      <c r="BB498" s="12">
        <f>IF(AZ498="","",ROUND(AZ498*(1+AX498+Assumptions!$B$10),0))</f>
        <v/>
      </c>
      <c r="BC498" s="12">
        <f>IF(AZ498="","",ROUND(AZ498*(1+AX498),0))</f>
        <v/>
      </c>
      <c r="BD498" s="12">
        <f>IF(AZ498="","",ROUND(AZ498*(1+AX498+Assumptions!$B$11),0))</f>
        <v/>
      </c>
      <c r="BE498" s="12">
        <f>IF(AZ498="","",ROUND(AZ498*(1+AX498)*(1+AX498),0))</f>
        <v/>
      </c>
      <c r="BF498" s="7" t="inlineStr">
        <is>
          <t>Rules-based enrichment using launch-price anchor, cap-app realization, and 2026 segment conditions.</t>
        </is>
      </c>
      <c r="BG498" t="inlineStr">
        <is>
          <t>2026-03-17</t>
        </is>
      </c>
      <c r="BH498" s="7" t="inlineStr">
        <is>
          <t>DLD / Digital Dubai / CBUAE / Savills / Knight Frank-Moody’s / Reuters</t>
        </is>
      </c>
    </row>
    <row r="499">
      <c r="A499" t="n">
        <v>498</v>
      </c>
      <c r="B499" s="7" t="inlineStr">
        <is>
          <t>VERDAN1A</t>
        </is>
      </c>
      <c r="C499" t="inlineStr">
        <is>
          <t>Object 1</t>
        </is>
      </c>
      <c r="D499" t="inlineStr">
        <is>
          <t>Dubailand</t>
        </is>
      </c>
      <c r="E499" t="inlineStr">
        <is>
          <t>Apartments</t>
        </is>
      </c>
      <c r="F499" s="7" t="inlineStr">
        <is>
          <t>Green</t>
        </is>
      </c>
      <c r="G499" t="inlineStr">
        <is>
          <t>800k</t>
        </is>
      </c>
      <c r="H499" t="inlineStr">
        <is>
          <t>1000</t>
        </is>
      </c>
      <c r="I499" t="inlineStr">
        <is>
          <t>15</t>
        </is>
      </c>
      <c r="J499" t="inlineStr">
        <is>
          <t>60/40</t>
        </is>
      </c>
      <c r="K499" t="inlineStr">
        <is>
          <t>2024</t>
        </is>
      </c>
      <c r="L499" t="inlineStr">
        <is>
          <t>7.0-7.5</t>
        </is>
      </c>
      <c r="M499" t="inlineStr">
        <is>
          <t>8-10</t>
        </is>
      </c>
      <c r="N499" t="inlineStr">
        <is>
          <t>15.0-17.5</t>
        </is>
      </c>
      <c r="O499" s="7" t="inlineStr">
        <is>
          <t>GEMS Winchester</t>
        </is>
      </c>
      <c r="P499" s="7" t="inlineStr">
        <is>
          <t>Fakeeh University Hosp</t>
        </is>
      </c>
      <c r="Q499" s="7" t="inlineStr">
        <is>
          <t>Dubai Outlet Mall</t>
        </is>
      </c>
      <c r="R499" s="7" t="inlineStr">
        <is>
          <t>E611 / Al Ain Rd</t>
        </is>
      </c>
      <c r="S499" t="inlineStr">
        <is>
          <t>20</t>
        </is>
      </c>
      <c r="T499" t="inlineStr">
        <is>
          <t>25</t>
        </is>
      </c>
      <c r="U499" t="inlineStr">
        <is>
          <t>25</t>
        </is>
      </c>
      <c r="V499" t="inlineStr">
        <is>
          <t>30</t>
        </is>
      </c>
      <c r="W499" t="n">
        <v>2</v>
      </c>
      <c r="X499" s="12" t="n">
        <v>800000</v>
      </c>
      <c r="Y499" s="12" t="n">
        <v>800000</v>
      </c>
      <c r="Z499" s="9" t="n">
        <v>7</v>
      </c>
      <c r="AA499" s="9" t="n">
        <v>7.5</v>
      </c>
      <c r="AB499" s="9" t="n">
        <v>8</v>
      </c>
      <c r="AC499" s="9" t="n">
        <v>10</v>
      </c>
      <c r="AD499" s="9" t="n">
        <v>15</v>
      </c>
      <c r="AE499" s="9" t="n">
        <v>17.5</v>
      </c>
      <c r="AF499" t="n">
        <v>2024</v>
      </c>
      <c r="AH499" t="inlineStr">
        <is>
          <t>Apartment</t>
        </is>
      </c>
      <c r="AI499" t="inlineStr">
        <is>
          <t>SupplySensitiveApartment</t>
        </is>
      </c>
      <c r="AJ499" t="inlineStr">
        <is>
          <t>MidTier</t>
        </is>
      </c>
      <c r="AK499" t="inlineStr">
        <is>
          <t>Supply-sensitive / selective</t>
        </is>
      </c>
      <c r="AL499" s="7" t="inlineStr">
        <is>
          <t>Higher delivery risk in more price-sensitive apartment clusters; building selection and exit liquidity matter.</t>
        </is>
      </c>
      <c r="AM499" s="9" t="n">
        <v>9</v>
      </c>
      <c r="AN499" s="9" t="n">
        <v>7.25</v>
      </c>
      <c r="AO499" s="10" t="n">
        <v>0.55</v>
      </c>
      <c r="AP499" s="13" t="n">
        <v>0</v>
      </c>
      <c r="AQ499" s="13" t="n">
        <v>0</v>
      </c>
      <c r="AR499" s="13" t="n">
        <v>-0.01</v>
      </c>
      <c r="AS499" s="13" t="n">
        <v>-0.01</v>
      </c>
      <c r="AT499" s="13" t="n">
        <v>-0.005</v>
      </c>
      <c r="AU499" s="13" t="n">
        <v>0.0025</v>
      </c>
      <c r="AV499" s="13" t="n">
        <v>-0.005</v>
      </c>
      <c r="AW499" s="13">
        <f>IF(X499="","",(AM499/100*AO499)+AP499+AQ499+AR499)</f>
        <v/>
      </c>
      <c r="AX499" s="13">
        <f>IF(X499="","",AS499+AT499+AU499+AV499)</f>
        <v/>
      </c>
      <c r="AY499" s="12">
        <f>IF(AZ499="","",ROUND(AZ499*(1+Assumptions!$B$10),0))</f>
        <v/>
      </c>
      <c r="AZ499" s="12">
        <f>IF(X499="","",ROUND(X499*(1+AW499),0))</f>
        <v/>
      </c>
      <c r="BA499" s="12">
        <f>IF(AZ499="","",ROUND(AZ499*(1+Assumptions!$B$11),0))</f>
        <v/>
      </c>
      <c r="BB499" s="12">
        <f>IF(AZ499="","",ROUND(AZ499*(1+AX499+Assumptions!$B$10),0))</f>
        <v/>
      </c>
      <c r="BC499" s="12">
        <f>IF(AZ499="","",ROUND(AZ499*(1+AX499),0))</f>
        <v/>
      </c>
      <c r="BD499" s="12">
        <f>IF(AZ499="","",ROUND(AZ499*(1+AX499+Assumptions!$B$11),0))</f>
        <v/>
      </c>
      <c r="BE499" s="12">
        <f>IF(AZ499="","",ROUND(AZ499*(1+AX499)*(1+AX499),0))</f>
        <v/>
      </c>
      <c r="BF499" s="7" t="inlineStr">
        <is>
          <t>Rules-based enrichment using launch-price anchor, cap-app realization, and 2026 segment conditions.</t>
        </is>
      </c>
      <c r="BG499" t="inlineStr">
        <is>
          <t>2026-03-17</t>
        </is>
      </c>
      <c r="BH499" s="7" t="inlineStr">
        <is>
          <t>DLD / Digital Dubai / CBUAE / Savills / Knight Frank-Moody’s / Reuters</t>
        </is>
      </c>
    </row>
    <row r="500">
      <c r="A500" t="n">
        <v>499</v>
      </c>
      <c r="B500" s="7" t="inlineStr">
        <is>
          <t>Torino</t>
        </is>
      </c>
      <c r="C500" t="inlineStr">
        <is>
          <t>ORO24</t>
        </is>
      </c>
      <c r="D500" t="inlineStr">
        <is>
          <t>Arjan</t>
        </is>
      </c>
      <c r="E500" t="inlineStr">
        <is>
          <t>Apartments</t>
        </is>
      </c>
      <c r="F500" s="7" t="inlineStr">
        <is>
          <t>Gated / Garden</t>
        </is>
      </c>
      <c r="G500" t="inlineStr">
        <is>
          <t>700k</t>
        </is>
      </c>
      <c r="H500" t="inlineStr">
        <is>
          <t>1000</t>
        </is>
      </c>
      <c r="I500" t="inlineStr">
        <is>
          <t>14</t>
        </is>
      </c>
      <c r="J500" t="inlineStr">
        <is>
          <t>1% Monthly</t>
        </is>
      </c>
      <c r="K500" t="inlineStr">
        <is>
          <t>2022</t>
        </is>
      </c>
      <c r="L500" t="inlineStr">
        <is>
          <t>7.5-8.0</t>
        </is>
      </c>
      <c r="M500" t="inlineStr">
        <is>
          <t>6-8</t>
        </is>
      </c>
      <c r="N500" t="inlineStr">
        <is>
          <t>13.5-16.0</t>
        </is>
      </c>
      <c r="O500" s="7" t="inlineStr">
        <is>
          <t>Nord Anglia</t>
        </is>
      </c>
      <c r="P500" s="7" t="inlineStr">
        <is>
          <t>Mediclinic Parkview</t>
        </is>
      </c>
      <c r="Q500" s="7" t="inlineStr">
        <is>
          <t>Dubai Hills Mall</t>
        </is>
      </c>
      <c r="R500" s="7" t="inlineStr">
        <is>
          <t>Umm Suqeim / E311</t>
        </is>
      </c>
      <c r="S500" t="inlineStr">
        <is>
          <t>20</t>
        </is>
      </c>
      <c r="T500" t="inlineStr">
        <is>
          <t>20</t>
        </is>
      </c>
      <c r="U500" t="inlineStr">
        <is>
          <t>30</t>
        </is>
      </c>
      <c r="V500" t="inlineStr">
        <is>
          <t>25</t>
        </is>
      </c>
      <c r="W500" t="n">
        <v>2</v>
      </c>
      <c r="X500" s="12" t="n">
        <v>700000</v>
      </c>
      <c r="Y500" s="12" t="n">
        <v>700000</v>
      </c>
      <c r="Z500" s="9" t="n">
        <v>7.5</v>
      </c>
      <c r="AA500" s="9" t="n">
        <v>8</v>
      </c>
      <c r="AB500" s="9" t="n">
        <v>6</v>
      </c>
      <c r="AC500" s="9" t="n">
        <v>8</v>
      </c>
      <c r="AD500" s="9" t="n">
        <v>13.5</v>
      </c>
      <c r="AE500" s="9" t="n">
        <v>16</v>
      </c>
      <c r="AF500" t="n">
        <v>2022</v>
      </c>
      <c r="AH500" t="inlineStr">
        <is>
          <t>Apartment</t>
        </is>
      </c>
      <c r="AI500" t="inlineStr">
        <is>
          <t>SupplySensitiveApartment</t>
        </is>
      </c>
      <c r="AJ500" t="inlineStr">
        <is>
          <t>Established</t>
        </is>
      </c>
      <c r="AK500" t="inlineStr">
        <is>
          <t>Supply-sensitive / selective</t>
        </is>
      </c>
      <c r="AL500" s="7" t="inlineStr">
        <is>
          <t>Higher delivery risk in more price-sensitive apartment clusters; building selection and exit liquidity matter.</t>
        </is>
      </c>
      <c r="AM500" s="9" t="n">
        <v>7</v>
      </c>
      <c r="AN500" s="9" t="n">
        <v>7.75</v>
      </c>
      <c r="AO500" s="10" t="n">
        <v>0.55</v>
      </c>
      <c r="AP500" s="13" t="n">
        <v>0</v>
      </c>
      <c r="AQ500" s="13" t="n">
        <v>0</v>
      </c>
      <c r="AR500" s="13" t="n">
        <v>-0.01</v>
      </c>
      <c r="AS500" s="13" t="n">
        <v>-0.01</v>
      </c>
      <c r="AT500" s="13" t="n">
        <v>0</v>
      </c>
      <c r="AU500" s="13" t="n">
        <v>0.0025</v>
      </c>
      <c r="AV500" s="13" t="n">
        <v>-0.005</v>
      </c>
      <c r="AW500" s="13">
        <f>IF(X500="","",(AM500/100*AO500)+AP500+AQ500+AR500)</f>
        <v/>
      </c>
      <c r="AX500" s="13">
        <f>IF(X500="","",AS500+AT500+AU500+AV500)</f>
        <v/>
      </c>
      <c r="AY500" s="12">
        <f>IF(AZ500="","",ROUND(AZ500*(1+Assumptions!$B$10),0))</f>
        <v/>
      </c>
      <c r="AZ500" s="12">
        <f>IF(X500="","",ROUND(X500*(1+AW500),0))</f>
        <v/>
      </c>
      <c r="BA500" s="12">
        <f>IF(AZ500="","",ROUND(AZ500*(1+Assumptions!$B$11),0))</f>
        <v/>
      </c>
      <c r="BB500" s="12">
        <f>IF(AZ500="","",ROUND(AZ500*(1+AX500+Assumptions!$B$10),0))</f>
        <v/>
      </c>
      <c r="BC500" s="12">
        <f>IF(AZ500="","",ROUND(AZ500*(1+AX500),0))</f>
        <v/>
      </c>
      <c r="BD500" s="12">
        <f>IF(AZ500="","",ROUND(AZ500*(1+AX500+Assumptions!$B$11),0))</f>
        <v/>
      </c>
      <c r="BE500" s="12">
        <f>IF(AZ500="","",ROUND(AZ500*(1+AX500)*(1+AX500),0))</f>
        <v/>
      </c>
      <c r="BF500" s="7" t="inlineStr">
        <is>
          <t>Rules-based enrichment using launch-price anchor, cap-app realization, and 2026 segment conditions.</t>
        </is>
      </c>
      <c r="BG500" t="inlineStr">
        <is>
          <t>2026-03-17</t>
        </is>
      </c>
      <c r="BH500" s="7" t="inlineStr">
        <is>
          <t>DLD / Digital Dubai / CBUAE / Savills / Knight Frank-Moody’s / Reuters</t>
        </is>
      </c>
    </row>
    <row r="501">
      <c r="A501" t="n">
        <v>500</v>
      </c>
      <c r="B501" s="7" t="inlineStr">
        <is>
          <t>Levanto</t>
        </is>
      </c>
      <c r="C501" t="inlineStr">
        <is>
          <t>ORO24</t>
        </is>
      </c>
      <c r="D501" t="inlineStr">
        <is>
          <t>JVC</t>
        </is>
      </c>
      <c r="E501" t="inlineStr">
        <is>
          <t>Apartments</t>
        </is>
      </c>
      <c r="F501" s="7" t="inlineStr">
        <is>
          <t>High-Rise</t>
        </is>
      </c>
      <c r="G501" t="inlineStr">
        <is>
          <t>800k</t>
        </is>
      </c>
      <c r="H501" t="inlineStr">
        <is>
          <t>1200</t>
        </is>
      </c>
      <c r="I501" t="inlineStr">
        <is>
          <t>15</t>
        </is>
      </c>
      <c r="J501" t="inlineStr">
        <is>
          <t>1% Monthly</t>
        </is>
      </c>
      <c r="K501" t="inlineStr">
        <is>
          <t>2022</t>
        </is>
      </c>
      <c r="L501" t="inlineStr">
        <is>
          <t>7.5-8.0</t>
        </is>
      </c>
      <c r="M501" t="inlineStr">
        <is>
          <t>6-8</t>
        </is>
      </c>
      <c r="N501" t="inlineStr">
        <is>
          <t>13.5-16.0</t>
        </is>
      </c>
      <c r="O501" s="7" t="inlineStr">
        <is>
          <t>JSS International</t>
        </is>
      </c>
      <c r="P501" s="7" t="inlineStr">
        <is>
          <t>Saudi German Hospital</t>
        </is>
      </c>
      <c r="Q501" s="7" t="inlineStr">
        <is>
          <t>Circle Mall</t>
        </is>
      </c>
      <c r="R501" s="7" t="inlineStr">
        <is>
          <t>Hessa St / E44</t>
        </is>
      </c>
      <c r="S501" t="inlineStr">
        <is>
          <t>20</t>
        </is>
      </c>
      <c r="T501" t="inlineStr">
        <is>
          <t>15</t>
        </is>
      </c>
      <c r="U501" t="inlineStr">
        <is>
          <t>25</t>
        </is>
      </c>
      <c r="V501" t="inlineStr">
        <is>
          <t>30</t>
        </is>
      </c>
      <c r="W501" t="n">
        <v>2</v>
      </c>
      <c r="X501" s="12" t="n">
        <v>800000</v>
      </c>
      <c r="Y501" s="12" t="n">
        <v>800000</v>
      </c>
      <c r="Z501" s="9" t="n">
        <v>7.5</v>
      </c>
      <c r="AA501" s="9" t="n">
        <v>8</v>
      </c>
      <c r="AB501" s="9" t="n">
        <v>6</v>
      </c>
      <c r="AC501" s="9" t="n">
        <v>8</v>
      </c>
      <c r="AD501" s="9" t="n">
        <v>13.5</v>
      </c>
      <c r="AE501" s="9" t="n">
        <v>16</v>
      </c>
      <c r="AF501" t="n">
        <v>2022</v>
      </c>
      <c r="AH501" t="inlineStr">
        <is>
          <t>Apartment</t>
        </is>
      </c>
      <c r="AI501" t="inlineStr">
        <is>
          <t>SupplySensitiveApartment</t>
        </is>
      </c>
      <c r="AJ501" t="inlineStr">
        <is>
          <t>Established</t>
        </is>
      </c>
      <c r="AK501" t="inlineStr">
        <is>
          <t>Supply-sensitive / selective</t>
        </is>
      </c>
      <c r="AL501" s="7" t="inlineStr">
        <is>
          <t>Higher delivery risk in more price-sensitive apartment clusters; building selection and exit liquidity matter.</t>
        </is>
      </c>
      <c r="AM501" s="9" t="n">
        <v>7</v>
      </c>
      <c r="AN501" s="9" t="n">
        <v>7.75</v>
      </c>
      <c r="AO501" s="10" t="n">
        <v>0.55</v>
      </c>
      <c r="AP501" s="13" t="n">
        <v>0</v>
      </c>
      <c r="AQ501" s="13" t="n">
        <v>0</v>
      </c>
      <c r="AR501" s="13" t="n">
        <v>-0.01</v>
      </c>
      <c r="AS501" s="13" t="n">
        <v>-0.01</v>
      </c>
      <c r="AT501" s="13" t="n">
        <v>0</v>
      </c>
      <c r="AU501" s="13" t="n">
        <v>0.0025</v>
      </c>
      <c r="AV501" s="13" t="n">
        <v>-0.005</v>
      </c>
      <c r="AW501" s="13">
        <f>IF(X501="","",(AM501/100*AO501)+AP501+AQ501+AR501)</f>
        <v/>
      </c>
      <c r="AX501" s="13">
        <f>IF(X501="","",AS501+AT501+AU501+AV501)</f>
        <v/>
      </c>
      <c r="AY501" s="12">
        <f>IF(AZ501="","",ROUND(AZ501*(1+Assumptions!$B$10),0))</f>
        <v/>
      </c>
      <c r="AZ501" s="12">
        <f>IF(X501="","",ROUND(X501*(1+AW501),0))</f>
        <v/>
      </c>
      <c r="BA501" s="12">
        <f>IF(AZ501="","",ROUND(AZ501*(1+Assumptions!$B$11),0))</f>
        <v/>
      </c>
      <c r="BB501" s="12">
        <f>IF(AZ501="","",ROUND(AZ501*(1+AX501+Assumptions!$B$10),0))</f>
        <v/>
      </c>
      <c r="BC501" s="12">
        <f>IF(AZ501="","",ROUND(AZ501*(1+AX501),0))</f>
        <v/>
      </c>
      <c r="BD501" s="12">
        <f>IF(AZ501="","",ROUND(AZ501*(1+AX501+Assumptions!$B$11),0))</f>
        <v/>
      </c>
      <c r="BE501" s="12">
        <f>IF(AZ501="","",ROUND(AZ501*(1+AX501)*(1+AX501),0))</f>
        <v/>
      </c>
      <c r="BF501" s="7" t="inlineStr">
        <is>
          <t>Rules-based enrichment using launch-price anchor, cap-app realization, and 2026 segment conditions.</t>
        </is>
      </c>
      <c r="BG501" t="inlineStr">
        <is>
          <t>2026-03-17</t>
        </is>
      </c>
      <c r="BH501" s="7" t="inlineStr">
        <is>
          <t>DLD / Digital Dubai / CBUAE / Savills / Knight Frank-Moody’s / Reuters</t>
        </is>
      </c>
    </row>
    <row r="502">
      <c r="A502" t="n">
        <v>501</v>
      </c>
      <c r="B502" s="7" t="inlineStr">
        <is>
          <t>Elano</t>
        </is>
      </c>
      <c r="C502" t="inlineStr">
        <is>
          <t>ORO24</t>
        </is>
      </c>
      <c r="D502" t="inlineStr">
        <is>
          <t>Arjan</t>
        </is>
      </c>
      <c r="E502" t="inlineStr">
        <is>
          <t>Apartments</t>
        </is>
      </c>
      <c r="F502" s="7" t="inlineStr">
        <is>
          <t>Modern</t>
        </is>
      </c>
      <c r="G502" t="inlineStr">
        <is>
          <t>800k</t>
        </is>
      </c>
      <c r="H502" t="inlineStr">
        <is>
          <t>1100</t>
        </is>
      </c>
      <c r="I502" t="inlineStr">
        <is>
          <t>14</t>
        </is>
      </c>
      <c r="J502" t="inlineStr">
        <is>
          <t>1% Monthly</t>
        </is>
      </c>
      <c r="K502" t="inlineStr">
        <is>
          <t>2023</t>
        </is>
      </c>
      <c r="L502" t="inlineStr">
        <is>
          <t>7.5-8.0</t>
        </is>
      </c>
      <c r="M502" t="inlineStr">
        <is>
          <t>6-8</t>
        </is>
      </c>
      <c r="N502" t="inlineStr">
        <is>
          <t>13.5-16.0</t>
        </is>
      </c>
      <c r="O502" s="7" t="inlineStr">
        <is>
          <t>Nord Anglia</t>
        </is>
      </c>
      <c r="P502" s="7" t="inlineStr">
        <is>
          <t>Mediclinic Parkview</t>
        </is>
      </c>
      <c r="Q502" s="7" t="inlineStr">
        <is>
          <t>Dubai Hills Mall</t>
        </is>
      </c>
      <c r="R502" s="7" t="inlineStr">
        <is>
          <t>Umm Suqeim / E311</t>
        </is>
      </c>
      <c r="S502" t="inlineStr">
        <is>
          <t>20</t>
        </is>
      </c>
      <c r="T502" t="inlineStr">
        <is>
          <t>20</t>
        </is>
      </c>
      <c r="U502" t="inlineStr">
        <is>
          <t>30</t>
        </is>
      </c>
      <c r="V502" t="inlineStr">
        <is>
          <t>25</t>
        </is>
      </c>
      <c r="W502" t="n">
        <v>2</v>
      </c>
      <c r="X502" s="12" t="n">
        <v>800000</v>
      </c>
      <c r="Y502" s="12" t="n">
        <v>800000</v>
      </c>
      <c r="Z502" s="9" t="n">
        <v>7.5</v>
      </c>
      <c r="AA502" s="9" t="n">
        <v>8</v>
      </c>
      <c r="AB502" s="9" t="n">
        <v>6</v>
      </c>
      <c r="AC502" s="9" t="n">
        <v>8</v>
      </c>
      <c r="AD502" s="9" t="n">
        <v>13.5</v>
      </c>
      <c r="AE502" s="9" t="n">
        <v>16</v>
      </c>
      <c r="AF502" t="n">
        <v>2023</v>
      </c>
      <c r="AH502" t="inlineStr">
        <is>
          <t>Apartment</t>
        </is>
      </c>
      <c r="AI502" t="inlineStr">
        <is>
          <t>SupplySensitiveApartment</t>
        </is>
      </c>
      <c r="AJ502" t="inlineStr">
        <is>
          <t>Established</t>
        </is>
      </c>
      <c r="AK502" t="inlineStr">
        <is>
          <t>Supply-sensitive / selective</t>
        </is>
      </c>
      <c r="AL502" s="7" t="inlineStr">
        <is>
          <t>Higher delivery risk in more price-sensitive apartment clusters; building selection and exit liquidity matter.</t>
        </is>
      </c>
      <c r="AM502" s="9" t="n">
        <v>7</v>
      </c>
      <c r="AN502" s="9" t="n">
        <v>7.75</v>
      </c>
      <c r="AO502" s="10" t="n">
        <v>0.55</v>
      </c>
      <c r="AP502" s="13" t="n">
        <v>0</v>
      </c>
      <c r="AQ502" s="13" t="n">
        <v>0</v>
      </c>
      <c r="AR502" s="13" t="n">
        <v>-0.01</v>
      </c>
      <c r="AS502" s="13" t="n">
        <v>-0.01</v>
      </c>
      <c r="AT502" s="13" t="n">
        <v>0</v>
      </c>
      <c r="AU502" s="13" t="n">
        <v>0.0025</v>
      </c>
      <c r="AV502" s="13" t="n">
        <v>-0.005</v>
      </c>
      <c r="AW502" s="13">
        <f>IF(X502="","",(AM502/100*AO502)+AP502+AQ502+AR502)</f>
        <v/>
      </c>
      <c r="AX502" s="13">
        <f>IF(X502="","",AS502+AT502+AU502+AV502)</f>
        <v/>
      </c>
      <c r="AY502" s="12">
        <f>IF(AZ502="","",ROUND(AZ502*(1+Assumptions!$B$10),0))</f>
        <v/>
      </c>
      <c r="AZ502" s="12">
        <f>IF(X502="","",ROUND(X502*(1+AW502),0))</f>
        <v/>
      </c>
      <c r="BA502" s="12">
        <f>IF(AZ502="","",ROUND(AZ502*(1+Assumptions!$B$11),0))</f>
        <v/>
      </c>
      <c r="BB502" s="12">
        <f>IF(AZ502="","",ROUND(AZ502*(1+AX502+Assumptions!$B$10),0))</f>
        <v/>
      </c>
      <c r="BC502" s="12">
        <f>IF(AZ502="","",ROUND(AZ502*(1+AX502),0))</f>
        <v/>
      </c>
      <c r="BD502" s="12">
        <f>IF(AZ502="","",ROUND(AZ502*(1+AX502+Assumptions!$B$11),0))</f>
        <v/>
      </c>
      <c r="BE502" s="12">
        <f>IF(AZ502="","",ROUND(AZ502*(1+AX502)*(1+AX502),0))</f>
        <v/>
      </c>
      <c r="BF502" s="7" t="inlineStr">
        <is>
          <t>Rules-based enrichment using launch-price anchor, cap-app realization, and 2026 segment conditions.</t>
        </is>
      </c>
      <c r="BG502" t="inlineStr">
        <is>
          <t>2026-03-17</t>
        </is>
      </c>
      <c r="BH502" s="7" t="inlineStr">
        <is>
          <t>DLD / Digital Dubai / CBUAE / Savills / Knight Frank-Moody’s / Reuters</t>
        </is>
      </c>
    </row>
    <row r="503">
      <c r="A503" t="n">
        <v>502</v>
      </c>
      <c r="B503" s="7" t="inlineStr">
        <is>
          <t>Kyoto</t>
        </is>
      </c>
      <c r="C503" t="inlineStr">
        <is>
          <t>ORO24</t>
        </is>
      </c>
      <c r="D503" t="inlineStr">
        <is>
          <t>Arjan</t>
        </is>
      </c>
      <c r="E503" t="inlineStr">
        <is>
          <t>Apartments</t>
        </is>
      </c>
      <c r="F503" s="7" t="inlineStr">
        <is>
          <t>Zen / Japanese</t>
        </is>
      </c>
      <c r="G503" t="inlineStr">
        <is>
          <t>850k</t>
        </is>
      </c>
      <c r="H503" t="inlineStr">
        <is>
          <t>1150</t>
        </is>
      </c>
      <c r="I503" t="inlineStr">
        <is>
          <t>14</t>
        </is>
      </c>
      <c r="J503" t="inlineStr">
        <is>
          <t>1% Monthly</t>
        </is>
      </c>
      <c r="K503" t="inlineStr">
        <is>
          <t>2023</t>
        </is>
      </c>
      <c r="L503" t="inlineStr">
        <is>
          <t>7.5-8.0</t>
        </is>
      </c>
      <c r="M503" t="inlineStr">
        <is>
          <t>6-8</t>
        </is>
      </c>
      <c r="N503" t="inlineStr">
        <is>
          <t>13.5-16.0</t>
        </is>
      </c>
      <c r="O503" s="7" t="inlineStr">
        <is>
          <t>Nord Anglia</t>
        </is>
      </c>
      <c r="P503" s="7" t="inlineStr">
        <is>
          <t>Mediclinic Parkview</t>
        </is>
      </c>
      <c r="Q503" s="7" t="inlineStr">
        <is>
          <t>Dubai Hills Mall</t>
        </is>
      </c>
      <c r="R503" s="7" t="inlineStr">
        <is>
          <t>Umm Suqeim / E311</t>
        </is>
      </c>
      <c r="S503" t="inlineStr">
        <is>
          <t>20</t>
        </is>
      </c>
      <c r="T503" t="inlineStr">
        <is>
          <t>20</t>
        </is>
      </c>
      <c r="U503" t="inlineStr">
        <is>
          <t>30</t>
        </is>
      </c>
      <c r="V503" t="inlineStr">
        <is>
          <t>25</t>
        </is>
      </c>
      <c r="W503" t="n">
        <v>2</v>
      </c>
      <c r="X503" s="12" t="n">
        <v>850000</v>
      </c>
      <c r="Y503" s="12" t="n">
        <v>850000</v>
      </c>
      <c r="Z503" s="9" t="n">
        <v>7.5</v>
      </c>
      <c r="AA503" s="9" t="n">
        <v>8</v>
      </c>
      <c r="AB503" s="9" t="n">
        <v>6</v>
      </c>
      <c r="AC503" s="9" t="n">
        <v>8</v>
      </c>
      <c r="AD503" s="9" t="n">
        <v>13.5</v>
      </c>
      <c r="AE503" s="9" t="n">
        <v>16</v>
      </c>
      <c r="AF503" t="n">
        <v>2023</v>
      </c>
      <c r="AH503" t="inlineStr">
        <is>
          <t>Apartment</t>
        </is>
      </c>
      <c r="AI503" t="inlineStr">
        <is>
          <t>SupplySensitiveApartment</t>
        </is>
      </c>
      <c r="AJ503" t="inlineStr">
        <is>
          <t>Established</t>
        </is>
      </c>
      <c r="AK503" t="inlineStr">
        <is>
          <t>Supply-sensitive / selective</t>
        </is>
      </c>
      <c r="AL503" s="7" t="inlineStr">
        <is>
          <t>Higher delivery risk in more price-sensitive apartment clusters; building selection and exit liquidity matter.</t>
        </is>
      </c>
      <c r="AM503" s="9" t="n">
        <v>7</v>
      </c>
      <c r="AN503" s="9" t="n">
        <v>7.75</v>
      </c>
      <c r="AO503" s="10" t="n">
        <v>0.55</v>
      </c>
      <c r="AP503" s="13" t="n">
        <v>0</v>
      </c>
      <c r="AQ503" s="13" t="n">
        <v>0</v>
      </c>
      <c r="AR503" s="13" t="n">
        <v>-0.01</v>
      </c>
      <c r="AS503" s="13" t="n">
        <v>-0.01</v>
      </c>
      <c r="AT503" s="13" t="n">
        <v>0</v>
      </c>
      <c r="AU503" s="13" t="n">
        <v>0.0025</v>
      </c>
      <c r="AV503" s="13" t="n">
        <v>-0.005</v>
      </c>
      <c r="AW503" s="13">
        <f>IF(X503="","",(AM503/100*AO503)+AP503+AQ503+AR503)</f>
        <v/>
      </c>
      <c r="AX503" s="13">
        <f>IF(X503="","",AS503+AT503+AU503+AV503)</f>
        <v/>
      </c>
      <c r="AY503" s="12">
        <f>IF(AZ503="","",ROUND(AZ503*(1+Assumptions!$B$10),0))</f>
        <v/>
      </c>
      <c r="AZ503" s="12">
        <f>IF(X503="","",ROUND(X503*(1+AW503),0))</f>
        <v/>
      </c>
      <c r="BA503" s="12">
        <f>IF(AZ503="","",ROUND(AZ503*(1+Assumptions!$B$11),0))</f>
        <v/>
      </c>
      <c r="BB503" s="12">
        <f>IF(AZ503="","",ROUND(AZ503*(1+AX503+Assumptions!$B$10),0))</f>
        <v/>
      </c>
      <c r="BC503" s="12">
        <f>IF(AZ503="","",ROUND(AZ503*(1+AX503),0))</f>
        <v/>
      </c>
      <c r="BD503" s="12">
        <f>IF(AZ503="","",ROUND(AZ503*(1+AX503+Assumptions!$B$11),0))</f>
        <v/>
      </c>
      <c r="BE503" s="12">
        <f>IF(AZ503="","",ROUND(AZ503*(1+AX503)*(1+AX503),0))</f>
        <v/>
      </c>
      <c r="BF503" s="7" t="inlineStr">
        <is>
          <t>Rules-based enrichment using launch-price anchor, cap-app realization, and 2026 segment conditions.</t>
        </is>
      </c>
      <c r="BG503" t="inlineStr">
        <is>
          <t>2026-03-17</t>
        </is>
      </c>
      <c r="BH503" s="7" t="inlineStr">
        <is>
          <t>DLD / Digital Dubai / CBUAE / Savills / Knight Frank-Moody’s / Reuters</t>
        </is>
      </c>
    </row>
    <row r="504">
      <c r="A504" t="n">
        <v>503</v>
      </c>
      <c r="B504" s="7" t="inlineStr">
        <is>
          <t>Albert</t>
        </is>
      </c>
      <c r="C504" t="inlineStr">
        <is>
          <t>ORO24</t>
        </is>
      </c>
      <c r="D504" t="inlineStr">
        <is>
          <t>JVC (Planned)</t>
        </is>
      </c>
      <c r="E504" t="inlineStr">
        <is>
          <t>Apartments</t>
        </is>
      </c>
      <c r="F504" s="7" t="inlineStr">
        <is>
          <t>Modern</t>
        </is>
      </c>
      <c r="G504" t="inlineStr">
        <is>
          <t>TBA</t>
        </is>
      </c>
      <c r="H504" t="inlineStr">
        <is>
          <t>TBA</t>
        </is>
      </c>
      <c r="I504" t="inlineStr">
        <is>
          <t>15</t>
        </is>
      </c>
      <c r="J504" t="inlineStr">
        <is>
          <t>1% Monthly</t>
        </is>
      </c>
      <c r="K504" t="inlineStr">
        <is>
          <t>Planned</t>
        </is>
      </c>
      <c r="L504" t="inlineStr">
        <is>
          <t>7.5-8.0</t>
        </is>
      </c>
      <c r="M504" t="inlineStr">
        <is>
          <t>6-8</t>
        </is>
      </c>
      <c r="N504" t="inlineStr">
        <is>
          <t>13.5-16.0</t>
        </is>
      </c>
      <c r="O504" s="7" t="inlineStr">
        <is>
          <t>JSS International</t>
        </is>
      </c>
      <c r="P504" s="7" t="inlineStr">
        <is>
          <t>Saudi German Hospital</t>
        </is>
      </c>
      <c r="Q504" s="7" t="inlineStr">
        <is>
          <t>Circle Mall</t>
        </is>
      </c>
      <c r="R504" s="7" t="inlineStr">
        <is>
          <t>Hessa St / E44</t>
        </is>
      </c>
      <c r="S504" t="inlineStr">
        <is>
          <t>20</t>
        </is>
      </c>
      <c r="T504" t="inlineStr">
        <is>
          <t>15</t>
        </is>
      </c>
      <c r="U504" t="inlineStr">
        <is>
          <t>25</t>
        </is>
      </c>
      <c r="V504" t="inlineStr">
        <is>
          <t>30</t>
        </is>
      </c>
      <c r="W504" t="n">
        <v>2</v>
      </c>
      <c r="X504" s="12" t="n"/>
      <c r="Y504" s="12" t="n"/>
      <c r="Z504" s="9" t="n">
        <v>7.5</v>
      </c>
      <c r="AA504" s="9" t="n">
        <v>8</v>
      </c>
      <c r="AB504" s="9" t="n">
        <v>6</v>
      </c>
      <c r="AC504" s="9" t="n">
        <v>8</v>
      </c>
      <c r="AD504" s="9" t="n">
        <v>13.5</v>
      </c>
      <c r="AE504" s="9" t="n">
        <v>16</v>
      </c>
      <c r="AH504" t="inlineStr">
        <is>
          <t>Apartment</t>
        </is>
      </c>
      <c r="AI504" t="inlineStr">
        <is>
          <t>MainstreamSelective</t>
        </is>
      </c>
      <c r="AJ504" t="inlineStr">
        <is>
          <t>Established</t>
        </is>
      </c>
      <c r="AK504" t="inlineStr">
        <is>
          <t>Balanced / selective</t>
        </is>
      </c>
      <c r="AL504" s="7" t="inlineStr">
        <is>
          <t>Market remains active but increasingly differentiated by developer, micro-location, livability, and pricing discipline.</t>
        </is>
      </c>
      <c r="AM504" s="9" t="n">
        <v>7</v>
      </c>
      <c r="AN504" s="9" t="n">
        <v>7.75</v>
      </c>
      <c r="AO504" s="10" t="n">
        <v>0.25</v>
      </c>
      <c r="AP504" s="13" t="n">
        <v>0</v>
      </c>
      <c r="AQ504" s="13" t="n">
        <v>0</v>
      </c>
      <c r="AR504" s="13" t="n">
        <v>0</v>
      </c>
      <c r="AS504" s="13" t="n">
        <v>0.01</v>
      </c>
      <c r="AT504" s="13" t="n">
        <v>0</v>
      </c>
      <c r="AU504" s="13" t="n">
        <v>0.0025</v>
      </c>
      <c r="AV504" s="13" t="n">
        <v>-0.005</v>
      </c>
      <c r="AW504" s="13">
        <f>IF(X504="","",(AM504/100*AO504)+AP504+AQ504+AR504)</f>
        <v/>
      </c>
      <c r="AX504" s="13">
        <f>IF(X504="","",AS504+AT504+AU504+AV504)</f>
        <v/>
      </c>
      <c r="AY504" s="12">
        <f>IF(AZ504="","",ROUND(AZ504*(1+Assumptions!$B$10),0))</f>
        <v/>
      </c>
      <c r="AZ504" s="12">
        <f>IF(X504="","",ROUND(X504*(1+AW504),0))</f>
        <v/>
      </c>
      <c r="BA504" s="12">
        <f>IF(AZ504="","",ROUND(AZ504*(1+Assumptions!$B$11),0))</f>
        <v/>
      </c>
      <c r="BB504" s="12">
        <f>IF(AZ504="","",ROUND(AZ504*(1+AX504+Assumptions!$B$10),0))</f>
        <v/>
      </c>
      <c r="BC504" s="12">
        <f>IF(AZ504="","",ROUND(AZ504*(1+AX504),0))</f>
        <v/>
      </c>
      <c r="BD504" s="12">
        <f>IF(AZ504="","",ROUND(AZ504*(1+AX504+Assumptions!$B$11),0))</f>
        <v/>
      </c>
      <c r="BE504" s="12">
        <f>IF(AZ504="","",ROUND(AZ504*(1+AX504)*(1+AX504),0))</f>
        <v/>
      </c>
      <c r="BF504" s="7" t="inlineStr">
        <is>
          <t>Rules-based enrichment using launch-price anchor, cap-app realization, and 2026 segment conditions.</t>
        </is>
      </c>
      <c r="BG504" t="inlineStr">
        <is>
          <t>2026-03-17</t>
        </is>
      </c>
      <c r="BH504" s="7" t="inlineStr">
        <is>
          <t>DLD / Digital Dubai / CBUAE / Savills / Knight Frank-Moody’s / Reuters</t>
        </is>
      </c>
    </row>
    <row r="505">
      <c r="A505" t="n">
        <v>504</v>
      </c>
      <c r="B505" s="7" t="inlineStr">
        <is>
          <t>Wadi</t>
        </is>
      </c>
      <c r="C505" t="inlineStr">
        <is>
          <t>ORO24</t>
        </is>
      </c>
      <c r="D505" t="inlineStr">
        <is>
          <t>Meydan</t>
        </is>
      </c>
      <c r="E505" t="inlineStr">
        <is>
          <t>Apartments</t>
        </is>
      </c>
      <c r="F505" s="7" t="inlineStr">
        <is>
          <t>Valley View</t>
        </is>
      </c>
      <c r="G505" t="inlineStr">
        <is>
          <t>1.0M</t>
        </is>
      </c>
      <c r="H505" t="inlineStr">
        <is>
          <t>1300</t>
        </is>
      </c>
      <c r="I505" t="inlineStr">
        <is>
          <t>16</t>
        </is>
      </c>
      <c r="J505" t="inlineStr">
        <is>
          <t>1% Monthly</t>
        </is>
      </c>
      <c r="K505" t="inlineStr">
        <is>
          <t>2024</t>
        </is>
      </c>
      <c r="L505" t="inlineStr">
        <is>
          <t>7.0-7.5</t>
        </is>
      </c>
      <c r="M505" t="inlineStr">
        <is>
          <t>8-10</t>
        </is>
      </c>
      <c r="N505" t="inlineStr">
        <is>
          <t>15.0-17.5</t>
        </is>
      </c>
      <c r="O505" s="7" t="inlineStr">
        <is>
          <t>Hartland Intl</t>
        </is>
      </c>
      <c r="P505" s="7" t="inlineStr">
        <is>
          <t>American Hospital</t>
        </is>
      </c>
      <c r="Q505" s="7" t="inlineStr">
        <is>
          <t>Dubai Mall</t>
        </is>
      </c>
      <c r="R505" s="7" t="inlineStr">
        <is>
          <t>Ras Al Khor / E44</t>
        </is>
      </c>
      <c r="S505" t="inlineStr">
        <is>
          <t>12</t>
        </is>
      </c>
      <c r="T505" t="inlineStr">
        <is>
          <t>25</t>
        </is>
      </c>
      <c r="U505" t="inlineStr">
        <is>
          <t>15</t>
        </is>
      </c>
      <c r="V505" t="inlineStr">
        <is>
          <t>40</t>
        </is>
      </c>
      <c r="W505" t="n">
        <v>2</v>
      </c>
      <c r="X505" s="12" t="n">
        <v>1000000</v>
      </c>
      <c r="Y505" s="12" t="n">
        <v>1000000</v>
      </c>
      <c r="Z505" s="9" t="n">
        <v>7</v>
      </c>
      <c r="AA505" s="9" t="n">
        <v>7.5</v>
      </c>
      <c r="AB505" s="9" t="n">
        <v>8</v>
      </c>
      <c r="AC505" s="9" t="n">
        <v>10</v>
      </c>
      <c r="AD505" s="9" t="n">
        <v>15</v>
      </c>
      <c r="AE505" s="9" t="n">
        <v>17.5</v>
      </c>
      <c r="AF505" t="n">
        <v>2024</v>
      </c>
      <c r="AH505" t="inlineStr">
        <is>
          <t>Apartment</t>
        </is>
      </c>
      <c r="AI505" t="inlineStr">
        <is>
          <t>MainstreamSelective</t>
        </is>
      </c>
      <c r="AJ505" t="inlineStr">
        <is>
          <t>Established</t>
        </is>
      </c>
      <c r="AK505" t="inlineStr">
        <is>
          <t>Balanced / selective</t>
        </is>
      </c>
      <c r="AL505" s="7" t="inlineStr">
        <is>
          <t>Market remains active but increasingly differentiated by developer, micro-location, livability, and pricing discipline.</t>
        </is>
      </c>
      <c r="AM505" s="9" t="n">
        <v>9</v>
      </c>
      <c r="AN505" s="9" t="n">
        <v>7.25</v>
      </c>
      <c r="AO505" s="10" t="n">
        <v>0.55</v>
      </c>
      <c r="AP505" s="13" t="n">
        <v>0</v>
      </c>
      <c r="AQ505" s="13" t="n">
        <v>0</v>
      </c>
      <c r="AR505" s="13" t="n">
        <v>0</v>
      </c>
      <c r="AS505" s="13" t="n">
        <v>0.01</v>
      </c>
      <c r="AT505" s="13" t="n">
        <v>0</v>
      </c>
      <c r="AU505" s="13" t="n">
        <v>0.0025</v>
      </c>
      <c r="AV505" s="13" t="n">
        <v>-0.005</v>
      </c>
      <c r="AW505" s="13">
        <f>IF(X505="","",(AM505/100*AO505)+AP505+AQ505+AR505)</f>
        <v/>
      </c>
      <c r="AX505" s="13">
        <f>IF(X505="","",AS505+AT505+AU505+AV505)</f>
        <v/>
      </c>
      <c r="AY505" s="12">
        <f>IF(AZ505="","",ROUND(AZ505*(1+Assumptions!$B$10),0))</f>
        <v/>
      </c>
      <c r="AZ505" s="12">
        <f>IF(X505="","",ROUND(X505*(1+AW505),0))</f>
        <v/>
      </c>
      <c r="BA505" s="12">
        <f>IF(AZ505="","",ROUND(AZ505*(1+Assumptions!$B$11),0))</f>
        <v/>
      </c>
      <c r="BB505" s="12">
        <f>IF(AZ505="","",ROUND(AZ505*(1+AX505+Assumptions!$B$10),0))</f>
        <v/>
      </c>
      <c r="BC505" s="12">
        <f>IF(AZ505="","",ROUND(AZ505*(1+AX505),0))</f>
        <v/>
      </c>
      <c r="BD505" s="12">
        <f>IF(AZ505="","",ROUND(AZ505*(1+AX505+Assumptions!$B$11),0))</f>
        <v/>
      </c>
      <c r="BE505" s="12">
        <f>IF(AZ505="","",ROUND(AZ505*(1+AX505)*(1+AX505),0))</f>
        <v/>
      </c>
      <c r="BF505" s="7" t="inlineStr">
        <is>
          <t>Rules-based enrichment using launch-price anchor, cap-app realization, and 2026 segment conditions.</t>
        </is>
      </c>
      <c r="BG505" t="inlineStr">
        <is>
          <t>2026-03-17</t>
        </is>
      </c>
      <c r="BH505" s="7" t="inlineStr">
        <is>
          <t>DLD / Digital Dubai / CBUAE / Savills / Knight Frank-Moody’s / Reuters</t>
        </is>
      </c>
    </row>
    <row r="506">
      <c r="A506" t="n">
        <v>505</v>
      </c>
      <c r="B506" s="7" t="inlineStr">
        <is>
          <t>Mimeo</t>
        </is>
      </c>
      <c r="C506" t="inlineStr">
        <is>
          <t>ORO24</t>
        </is>
      </c>
      <c r="D506" t="inlineStr">
        <is>
          <t>JVC</t>
        </is>
      </c>
      <c r="E506" t="inlineStr">
        <is>
          <t>Apartments</t>
        </is>
      </c>
      <c r="F506" s="7" t="inlineStr">
        <is>
          <t>Modern</t>
        </is>
      </c>
      <c r="G506" t="inlineStr">
        <is>
          <t>850k</t>
        </is>
      </c>
      <c r="H506" t="inlineStr">
        <is>
          <t>1200</t>
        </is>
      </c>
      <c r="I506" t="inlineStr">
        <is>
          <t>15</t>
        </is>
      </c>
      <c r="J506" t="inlineStr">
        <is>
          <t>1% Monthly</t>
        </is>
      </c>
      <c r="K506" t="inlineStr">
        <is>
          <t>2023</t>
        </is>
      </c>
      <c r="L506" t="inlineStr">
        <is>
          <t>7.5-8.0</t>
        </is>
      </c>
      <c r="M506" t="inlineStr">
        <is>
          <t>6-8</t>
        </is>
      </c>
      <c r="N506" t="inlineStr">
        <is>
          <t>13.5-16.0</t>
        </is>
      </c>
      <c r="O506" s="7" t="inlineStr">
        <is>
          <t>JSS International</t>
        </is>
      </c>
      <c r="P506" s="7" t="inlineStr">
        <is>
          <t>Saudi German Hospital</t>
        </is>
      </c>
      <c r="Q506" s="7" t="inlineStr">
        <is>
          <t>Circle Mall</t>
        </is>
      </c>
      <c r="R506" s="7" t="inlineStr">
        <is>
          <t>Hessa St / E44</t>
        </is>
      </c>
      <c r="S506" t="inlineStr">
        <is>
          <t>20</t>
        </is>
      </c>
      <c r="T506" t="inlineStr">
        <is>
          <t>15</t>
        </is>
      </c>
      <c r="U506" t="inlineStr">
        <is>
          <t>25</t>
        </is>
      </c>
      <c r="V506" t="inlineStr">
        <is>
          <t>30</t>
        </is>
      </c>
      <c r="W506" t="n">
        <v>2</v>
      </c>
      <c r="X506" s="12" t="n">
        <v>850000</v>
      </c>
      <c r="Y506" s="12" t="n">
        <v>850000</v>
      </c>
      <c r="Z506" s="9" t="n">
        <v>7.5</v>
      </c>
      <c r="AA506" s="9" t="n">
        <v>8</v>
      </c>
      <c r="AB506" s="9" t="n">
        <v>6</v>
      </c>
      <c r="AC506" s="9" t="n">
        <v>8</v>
      </c>
      <c r="AD506" s="9" t="n">
        <v>13.5</v>
      </c>
      <c r="AE506" s="9" t="n">
        <v>16</v>
      </c>
      <c r="AF506" t="n">
        <v>2023</v>
      </c>
      <c r="AH506" t="inlineStr">
        <is>
          <t>Apartment</t>
        </is>
      </c>
      <c r="AI506" t="inlineStr">
        <is>
          <t>SupplySensitiveApartment</t>
        </is>
      </c>
      <c r="AJ506" t="inlineStr">
        <is>
          <t>Established</t>
        </is>
      </c>
      <c r="AK506" t="inlineStr">
        <is>
          <t>Supply-sensitive / selective</t>
        </is>
      </c>
      <c r="AL506" s="7" t="inlineStr">
        <is>
          <t>Higher delivery risk in more price-sensitive apartment clusters; building selection and exit liquidity matter.</t>
        </is>
      </c>
      <c r="AM506" s="9" t="n">
        <v>7</v>
      </c>
      <c r="AN506" s="9" t="n">
        <v>7.75</v>
      </c>
      <c r="AO506" s="10" t="n">
        <v>0.55</v>
      </c>
      <c r="AP506" s="13" t="n">
        <v>0</v>
      </c>
      <c r="AQ506" s="13" t="n">
        <v>0</v>
      </c>
      <c r="AR506" s="13" t="n">
        <v>-0.01</v>
      </c>
      <c r="AS506" s="13" t="n">
        <v>-0.01</v>
      </c>
      <c r="AT506" s="13" t="n">
        <v>0</v>
      </c>
      <c r="AU506" s="13" t="n">
        <v>0.0025</v>
      </c>
      <c r="AV506" s="13" t="n">
        <v>-0.005</v>
      </c>
      <c r="AW506" s="13">
        <f>IF(X506="","",(AM506/100*AO506)+AP506+AQ506+AR506)</f>
        <v/>
      </c>
      <c r="AX506" s="13">
        <f>IF(X506="","",AS506+AT506+AU506+AV506)</f>
        <v/>
      </c>
      <c r="AY506" s="12">
        <f>IF(AZ506="","",ROUND(AZ506*(1+Assumptions!$B$10),0))</f>
        <v/>
      </c>
      <c r="AZ506" s="12">
        <f>IF(X506="","",ROUND(X506*(1+AW506),0))</f>
        <v/>
      </c>
      <c r="BA506" s="12">
        <f>IF(AZ506="","",ROUND(AZ506*(1+Assumptions!$B$11),0))</f>
        <v/>
      </c>
      <c r="BB506" s="12">
        <f>IF(AZ506="","",ROUND(AZ506*(1+AX506+Assumptions!$B$10),0))</f>
        <v/>
      </c>
      <c r="BC506" s="12">
        <f>IF(AZ506="","",ROUND(AZ506*(1+AX506),0))</f>
        <v/>
      </c>
      <c r="BD506" s="12">
        <f>IF(AZ506="","",ROUND(AZ506*(1+AX506+Assumptions!$B$11),0))</f>
        <v/>
      </c>
      <c r="BE506" s="12">
        <f>IF(AZ506="","",ROUND(AZ506*(1+AX506)*(1+AX506),0))</f>
        <v/>
      </c>
      <c r="BF506" s="7" t="inlineStr">
        <is>
          <t>Rules-based enrichment using launch-price anchor, cap-app realization, and 2026 segment conditions.</t>
        </is>
      </c>
      <c r="BG506" t="inlineStr">
        <is>
          <t>2026-03-17</t>
        </is>
      </c>
      <c r="BH506" s="7" t="inlineStr">
        <is>
          <t>DLD / Digital Dubai / CBUAE / Savills / Knight Frank-Moody’s / Reuters</t>
        </is>
      </c>
    </row>
    <row r="507">
      <c r="A507" t="n">
        <v>506</v>
      </c>
      <c r="B507" s="7" t="inlineStr">
        <is>
          <t>Nagoya</t>
        </is>
      </c>
      <c r="C507" t="inlineStr">
        <is>
          <t>ORO24</t>
        </is>
      </c>
      <c r="D507" t="inlineStr">
        <is>
          <t>Al Furjan</t>
        </is>
      </c>
      <c r="E507" t="inlineStr">
        <is>
          <t>Apartments</t>
        </is>
      </c>
      <c r="F507" s="7" t="inlineStr">
        <is>
          <t>Japanese Style</t>
        </is>
      </c>
      <c r="G507" t="inlineStr">
        <is>
          <t>900k</t>
        </is>
      </c>
      <c r="H507" t="inlineStr">
        <is>
          <t>1100</t>
        </is>
      </c>
      <c r="I507" t="inlineStr">
        <is>
          <t>14</t>
        </is>
      </c>
      <c r="J507" t="inlineStr">
        <is>
          <t>1% Monthly</t>
        </is>
      </c>
      <c r="K507" t="inlineStr">
        <is>
          <t>2024</t>
        </is>
      </c>
      <c r="L507" t="inlineStr">
        <is>
          <t>7.0-7.5</t>
        </is>
      </c>
      <c r="M507" t="inlineStr">
        <is>
          <t>6-8</t>
        </is>
      </c>
      <c r="N507" t="inlineStr">
        <is>
          <t>13.0-15.5</t>
        </is>
      </c>
      <c r="O507" s="7" t="inlineStr">
        <is>
          <t>The Arbor School</t>
        </is>
      </c>
      <c r="P507" s="7" t="inlineStr">
        <is>
          <t>NMC Royal DIP</t>
        </is>
      </c>
      <c r="Q507" s="7" t="inlineStr">
        <is>
          <t>Ibn Battuta Mall</t>
        </is>
      </c>
      <c r="R507" s="7" t="inlineStr">
        <is>
          <t>Yalayis / E311</t>
        </is>
      </c>
      <c r="S507" t="inlineStr">
        <is>
          <t>25</t>
        </is>
      </c>
      <c r="T507" t="inlineStr">
        <is>
          <t>15</t>
        </is>
      </c>
      <c r="U507" t="inlineStr">
        <is>
          <t>30</t>
        </is>
      </c>
      <c r="V507" t="inlineStr">
        <is>
          <t>20</t>
        </is>
      </c>
      <c r="W507" t="n">
        <v>2</v>
      </c>
      <c r="X507" s="12" t="n">
        <v>900000</v>
      </c>
      <c r="Y507" s="12" t="n">
        <v>900000</v>
      </c>
      <c r="Z507" s="9" t="n">
        <v>7</v>
      </c>
      <c r="AA507" s="9" t="n">
        <v>7.5</v>
      </c>
      <c r="AB507" s="9" t="n">
        <v>6</v>
      </c>
      <c r="AC507" s="9" t="n">
        <v>8</v>
      </c>
      <c r="AD507" s="9" t="n">
        <v>13</v>
      </c>
      <c r="AE507" s="9" t="n">
        <v>15.5</v>
      </c>
      <c r="AF507" t="n">
        <v>2024</v>
      </c>
      <c r="AH507" t="inlineStr">
        <is>
          <t>Apartment</t>
        </is>
      </c>
      <c r="AI507" t="inlineStr">
        <is>
          <t>SupplySensitiveApartment</t>
        </is>
      </c>
      <c r="AJ507" t="inlineStr">
        <is>
          <t>Established</t>
        </is>
      </c>
      <c r="AK507" t="inlineStr">
        <is>
          <t>Supply-sensitive / selective</t>
        </is>
      </c>
      <c r="AL507" s="7" t="inlineStr">
        <is>
          <t>Higher delivery risk in more price-sensitive apartment clusters; building selection and exit liquidity matter.</t>
        </is>
      </c>
      <c r="AM507" s="9" t="n">
        <v>7</v>
      </c>
      <c r="AN507" s="9" t="n">
        <v>7.25</v>
      </c>
      <c r="AO507" s="10" t="n">
        <v>0.55</v>
      </c>
      <c r="AP507" s="13" t="n">
        <v>0</v>
      </c>
      <c r="AQ507" s="13" t="n">
        <v>0</v>
      </c>
      <c r="AR507" s="13" t="n">
        <v>-0.01</v>
      </c>
      <c r="AS507" s="13" t="n">
        <v>-0.01</v>
      </c>
      <c r="AT507" s="13" t="n">
        <v>0</v>
      </c>
      <c r="AU507" s="13" t="n">
        <v>0.0025</v>
      </c>
      <c r="AV507" s="13" t="n">
        <v>-0.005</v>
      </c>
      <c r="AW507" s="13">
        <f>IF(X507="","",(AM507/100*AO507)+AP507+AQ507+AR507)</f>
        <v/>
      </c>
      <c r="AX507" s="13">
        <f>IF(X507="","",AS507+AT507+AU507+AV507)</f>
        <v/>
      </c>
      <c r="AY507" s="12">
        <f>IF(AZ507="","",ROUND(AZ507*(1+Assumptions!$B$10),0))</f>
        <v/>
      </c>
      <c r="AZ507" s="12">
        <f>IF(X507="","",ROUND(X507*(1+AW507),0))</f>
        <v/>
      </c>
      <c r="BA507" s="12">
        <f>IF(AZ507="","",ROUND(AZ507*(1+Assumptions!$B$11),0))</f>
        <v/>
      </c>
      <c r="BB507" s="12">
        <f>IF(AZ507="","",ROUND(AZ507*(1+AX507+Assumptions!$B$10),0))</f>
        <v/>
      </c>
      <c r="BC507" s="12">
        <f>IF(AZ507="","",ROUND(AZ507*(1+AX507),0))</f>
        <v/>
      </c>
      <c r="BD507" s="12">
        <f>IF(AZ507="","",ROUND(AZ507*(1+AX507+Assumptions!$B$11),0))</f>
        <v/>
      </c>
      <c r="BE507" s="12">
        <f>IF(AZ507="","",ROUND(AZ507*(1+AX507)*(1+AX507),0))</f>
        <v/>
      </c>
      <c r="BF507" s="7" t="inlineStr">
        <is>
          <t>Rules-based enrichment using launch-price anchor, cap-app realization, and 2026 segment conditions.</t>
        </is>
      </c>
      <c r="BG507" t="inlineStr">
        <is>
          <t>2026-03-17</t>
        </is>
      </c>
      <c r="BH507" s="7" t="inlineStr">
        <is>
          <t>DLD / Digital Dubai / CBUAE / Savills / Knight Frank-Moody’s / Reuters</t>
        </is>
      </c>
    </row>
    <row r="508">
      <c r="A508" t="n">
        <v>507</v>
      </c>
      <c r="B508" s="7" t="inlineStr">
        <is>
          <t>Fortunato</t>
        </is>
      </c>
      <c r="C508" t="inlineStr">
        <is>
          <t>ORO24</t>
        </is>
      </c>
      <c r="D508" t="inlineStr">
        <is>
          <t>JVC</t>
        </is>
      </c>
      <c r="E508" t="inlineStr">
        <is>
          <t>Townhouses</t>
        </is>
      </c>
      <c r="F508" s="7" t="inlineStr">
        <is>
          <t>Family</t>
        </is>
      </c>
      <c r="G508" t="inlineStr">
        <is>
          <t>Resale (2M+)</t>
        </is>
      </c>
      <c r="H508" t="inlineStr">
        <is>
          <t>900</t>
        </is>
      </c>
      <c r="I508" t="inlineStr">
        <is>
          <t>10</t>
        </is>
      </c>
      <c r="J508" t="inlineStr">
        <is>
          <t>Completed</t>
        </is>
      </c>
      <c r="K508" t="inlineStr">
        <is>
          <t>2016</t>
        </is>
      </c>
      <c r="L508" t="inlineStr">
        <is>
          <t>6.5-7.0</t>
        </is>
      </c>
      <c r="M508" t="inlineStr">
        <is>
          <t>5-7</t>
        </is>
      </c>
      <c r="N508" t="inlineStr">
        <is>
          <t>11.5-14.0</t>
        </is>
      </c>
      <c r="O508" s="7" t="inlineStr">
        <is>
          <t>JSS International</t>
        </is>
      </c>
      <c r="P508" s="7" t="inlineStr">
        <is>
          <t>Saudi German Hospital</t>
        </is>
      </c>
      <c r="Q508" s="7" t="inlineStr">
        <is>
          <t>Circle Mall</t>
        </is>
      </c>
      <c r="R508" s="7" t="inlineStr">
        <is>
          <t>Hessa St / E44</t>
        </is>
      </c>
      <c r="S508" t="inlineStr">
        <is>
          <t>20</t>
        </is>
      </c>
      <c r="T508" t="inlineStr">
        <is>
          <t>15</t>
        </is>
      </c>
      <c r="U508" t="inlineStr">
        <is>
          <t>25</t>
        </is>
      </c>
      <c r="V508" t="inlineStr">
        <is>
          <t>30</t>
        </is>
      </c>
      <c r="W508" t="n">
        <v>2</v>
      </c>
      <c r="X508" s="12" t="n">
        <v>2000000</v>
      </c>
      <c r="Y508" s="12" t="n">
        <v>2000000</v>
      </c>
      <c r="Z508" s="9" t="n">
        <v>6.5</v>
      </c>
      <c r="AA508" s="9" t="n">
        <v>7</v>
      </c>
      <c r="AB508" s="9" t="n">
        <v>5</v>
      </c>
      <c r="AC508" s="9" t="n">
        <v>7</v>
      </c>
      <c r="AD508" s="9" t="n">
        <v>11.5</v>
      </c>
      <c r="AE508" s="9" t="n">
        <v>14</v>
      </c>
      <c r="AF508" t="n">
        <v>2016</v>
      </c>
      <c r="AH508" t="inlineStr">
        <is>
          <t>Townhouse</t>
        </is>
      </c>
      <c r="AI508" t="inlineStr">
        <is>
          <t>MainstreamSelective</t>
        </is>
      </c>
      <c r="AJ508" t="inlineStr">
        <is>
          <t>Established</t>
        </is>
      </c>
      <c r="AK508" t="inlineStr">
        <is>
          <t>Family-villa resilient</t>
        </is>
      </c>
      <c r="AL508" s="7" t="inlineStr">
        <is>
          <t>Villa/townhouse demand remains relatively firmer, though growth should be slower than the post-2020 surge.</t>
        </is>
      </c>
      <c r="AM508" s="9" t="n">
        <v>6</v>
      </c>
      <c r="AN508" s="9" t="n">
        <v>6.75</v>
      </c>
      <c r="AO508" s="10" t="n">
        <v>0.55</v>
      </c>
      <c r="AP508" s="13" t="n">
        <v>0</v>
      </c>
      <c r="AQ508" s="13" t="n">
        <v>0.015</v>
      </c>
      <c r="AR508" s="13" t="n">
        <v>0</v>
      </c>
      <c r="AS508" s="13" t="n">
        <v>0.025</v>
      </c>
      <c r="AT508" s="13" t="n">
        <v>0</v>
      </c>
      <c r="AU508" s="13" t="n">
        <v>0.0025</v>
      </c>
      <c r="AV508" s="13" t="n">
        <v>-0.005</v>
      </c>
      <c r="AW508" s="13">
        <f>IF(X508="","",(AM508/100*AO508)+AP508+AQ508+AR508)</f>
        <v/>
      </c>
      <c r="AX508" s="13">
        <f>IF(X508="","",AS508+AT508+AU508+AV508)</f>
        <v/>
      </c>
      <c r="AY508" s="12">
        <f>IF(AZ508="","",ROUND(AZ508*(1+Assumptions!$B$10),0))</f>
        <v/>
      </c>
      <c r="AZ508" s="12">
        <f>IF(X508="","",ROUND(X508*(1+AW508),0))</f>
        <v/>
      </c>
      <c r="BA508" s="12">
        <f>IF(AZ508="","",ROUND(AZ508*(1+Assumptions!$B$11),0))</f>
        <v/>
      </c>
      <c r="BB508" s="12">
        <f>IF(AZ508="","",ROUND(AZ508*(1+AX508+Assumptions!$B$10),0))</f>
        <v/>
      </c>
      <c r="BC508" s="12">
        <f>IF(AZ508="","",ROUND(AZ508*(1+AX508),0))</f>
        <v/>
      </c>
      <c r="BD508" s="12">
        <f>IF(AZ508="","",ROUND(AZ508*(1+AX508+Assumptions!$B$11),0))</f>
        <v/>
      </c>
      <c r="BE508" s="12">
        <f>IF(AZ508="","",ROUND(AZ508*(1+AX508)*(1+AX508),0))</f>
        <v/>
      </c>
      <c r="BF508" s="7" t="inlineStr">
        <is>
          <t>Rules-based enrichment using launch-price anchor, cap-app realization, and 2026 segment conditions.</t>
        </is>
      </c>
      <c r="BG508" t="inlineStr">
        <is>
          <t>2026-03-17</t>
        </is>
      </c>
      <c r="BH508" s="7" t="inlineStr">
        <is>
          <t>DLD / Digital Dubai / CBUAE / Savills / Knight Frank-Moody’s / Reuters</t>
        </is>
      </c>
    </row>
    <row r="509">
      <c r="A509" t="n">
        <v>508</v>
      </c>
      <c r="B509" s="7" t="inlineStr">
        <is>
          <t>Franck Muller Aeternitas</t>
        </is>
      </c>
      <c r="C509" t="inlineStr">
        <is>
          <t>London Gate</t>
        </is>
      </c>
      <c r="D509" t="inlineStr">
        <is>
          <t>Dubai Marina</t>
        </is>
      </c>
      <c r="E509" t="inlineStr">
        <is>
          <t>Branded Apts</t>
        </is>
      </c>
      <c r="F509" s="7" t="inlineStr">
        <is>
          <t>World's Tallest Clocktower</t>
        </is>
      </c>
      <c r="G509" t="inlineStr">
        <is>
          <t>2.5M</t>
        </is>
      </c>
      <c r="H509" t="inlineStr">
        <is>
          <t>3500</t>
        </is>
      </c>
      <c r="I509" t="inlineStr">
        <is>
          <t>30+</t>
        </is>
      </c>
      <c r="J509" t="inlineStr">
        <is>
          <t>60/40</t>
        </is>
      </c>
      <c r="K509" t="inlineStr">
        <is>
          <t>2024</t>
        </is>
      </c>
      <c r="L509" t="inlineStr">
        <is>
          <t>5.0-5.5</t>
        </is>
      </c>
      <c r="M509" t="inlineStr">
        <is>
          <t>10-12</t>
        </is>
      </c>
      <c r="N509" t="inlineStr">
        <is>
          <t>15.0-17.5</t>
        </is>
      </c>
      <c r="O509" s="7" t="inlineStr">
        <is>
          <t>American Univ. Dubai</t>
        </is>
      </c>
      <c r="P509" s="7" t="inlineStr">
        <is>
          <t>Saudi German Hospital</t>
        </is>
      </c>
      <c r="Q509" s="7" t="inlineStr">
        <is>
          <t>Dubai Marina Mall</t>
        </is>
      </c>
      <c r="R509" s="7" t="inlineStr">
        <is>
          <t>Sheikh Zayed E11</t>
        </is>
      </c>
      <c r="S509" t="inlineStr">
        <is>
          <t>20</t>
        </is>
      </c>
      <c r="T509" t="inlineStr">
        <is>
          <t>5</t>
        </is>
      </c>
      <c r="U509" t="inlineStr">
        <is>
          <t>25</t>
        </is>
      </c>
      <c r="V509" t="inlineStr">
        <is>
          <t>30</t>
        </is>
      </c>
      <c r="W509" t="n">
        <v>2</v>
      </c>
      <c r="X509" s="12" t="n">
        <v>2500000</v>
      </c>
      <c r="Y509" s="12" t="n">
        <v>2500000</v>
      </c>
      <c r="Z509" s="9" t="n">
        <v>5</v>
      </c>
      <c r="AA509" s="9" t="n">
        <v>5.5</v>
      </c>
      <c r="AB509" s="9" t="n">
        <v>10</v>
      </c>
      <c r="AC509" s="9" t="n">
        <v>12</v>
      </c>
      <c r="AD509" s="9" t="n">
        <v>15</v>
      </c>
      <c r="AE509" s="9" t="n">
        <v>17.5</v>
      </c>
      <c r="AF509" t="n">
        <v>2024</v>
      </c>
      <c r="AH509" t="inlineStr">
        <is>
          <t>Apartment</t>
        </is>
      </c>
      <c r="AI509" t="inlineStr">
        <is>
          <t>Prime</t>
        </is>
      </c>
      <c r="AJ509" t="inlineStr">
        <is>
          <t>Established</t>
        </is>
      </c>
      <c r="AK509" t="inlineStr">
        <is>
          <t>Prime resilient / selective</t>
        </is>
      </c>
      <c r="AL509" s="7" t="inlineStr">
        <is>
          <t>Better support from quality, branding, and scarcer prime stock; still entry-price sensitive.</t>
        </is>
      </c>
      <c r="AM509" s="9" t="n">
        <v>11</v>
      </c>
      <c r="AN509" s="9" t="n">
        <v>5.25</v>
      </c>
      <c r="AO509" s="10" t="n">
        <v>0.55</v>
      </c>
      <c r="AP509" s="13" t="n">
        <v>0.02</v>
      </c>
      <c r="AQ509" s="13" t="n">
        <v>0</v>
      </c>
      <c r="AR509" s="13" t="n">
        <v>0</v>
      </c>
      <c r="AS509" s="13" t="n">
        <v>0.03</v>
      </c>
      <c r="AT509" s="13" t="n">
        <v>0</v>
      </c>
      <c r="AU509" s="13" t="n">
        <v>0</v>
      </c>
      <c r="AV509" s="13" t="n">
        <v>-0.005</v>
      </c>
      <c r="AW509" s="13">
        <f>IF(X509="","",(AM509/100*AO509)+AP509+AQ509+AR509)</f>
        <v/>
      </c>
      <c r="AX509" s="13">
        <f>IF(X509="","",AS509+AT509+AU509+AV509)</f>
        <v/>
      </c>
      <c r="AY509" s="12">
        <f>IF(AZ509="","",ROUND(AZ509*(1+Assumptions!$B$10),0))</f>
        <v/>
      </c>
      <c r="AZ509" s="12">
        <f>IF(X509="","",ROUND(X509*(1+AW509),0))</f>
        <v/>
      </c>
      <c r="BA509" s="12">
        <f>IF(AZ509="","",ROUND(AZ509*(1+Assumptions!$B$11),0))</f>
        <v/>
      </c>
      <c r="BB509" s="12">
        <f>IF(AZ509="","",ROUND(AZ509*(1+AX509+Assumptions!$B$10),0))</f>
        <v/>
      </c>
      <c r="BC509" s="12">
        <f>IF(AZ509="","",ROUND(AZ509*(1+AX509),0))</f>
        <v/>
      </c>
      <c r="BD509" s="12">
        <f>IF(AZ509="","",ROUND(AZ509*(1+AX509+Assumptions!$B$11),0))</f>
        <v/>
      </c>
      <c r="BE509" s="12">
        <f>IF(AZ509="","",ROUND(AZ509*(1+AX509)*(1+AX509),0))</f>
        <v/>
      </c>
      <c r="BF509" s="7" t="inlineStr">
        <is>
          <t>Rules-based enrichment using launch-price anchor, cap-app realization, and 2026 segment conditions.</t>
        </is>
      </c>
      <c r="BG509" t="inlineStr">
        <is>
          <t>2026-03-17</t>
        </is>
      </c>
      <c r="BH509" s="7" t="inlineStr">
        <is>
          <t>DLD / Digital Dubai / CBUAE / Savills / Knight Frank-Moody’s / Reuters</t>
        </is>
      </c>
    </row>
    <row r="510">
      <c r="A510" t="n">
        <v>509</v>
      </c>
      <c r="B510" s="7" t="inlineStr">
        <is>
          <t>Franck Muller Vanguard</t>
        </is>
      </c>
      <c r="C510" t="inlineStr">
        <is>
          <t>London Gate</t>
        </is>
      </c>
      <c r="D510" t="inlineStr">
        <is>
          <t>Dubai Marina</t>
        </is>
      </c>
      <c r="E510" t="inlineStr">
        <is>
          <t>Branded Apts</t>
        </is>
      </c>
      <c r="F510" s="7" t="inlineStr">
        <is>
          <t>Luxury</t>
        </is>
      </c>
      <c r="G510" t="inlineStr">
        <is>
          <t>2.8M</t>
        </is>
      </c>
      <c r="H510" t="inlineStr">
        <is>
          <t>3600</t>
        </is>
      </c>
      <c r="I510" t="inlineStr">
        <is>
          <t>30+</t>
        </is>
      </c>
      <c r="J510" t="inlineStr">
        <is>
          <t>60/40</t>
        </is>
      </c>
      <c r="K510" t="inlineStr">
        <is>
          <t>2024</t>
        </is>
      </c>
      <c r="L510" t="inlineStr">
        <is>
          <t>5.0-5.5</t>
        </is>
      </c>
      <c r="M510" t="inlineStr">
        <is>
          <t>10-12</t>
        </is>
      </c>
      <c r="N510" t="inlineStr">
        <is>
          <t>15.0-17.5</t>
        </is>
      </c>
      <c r="O510" s="7" t="inlineStr">
        <is>
          <t>American Univ. Dubai</t>
        </is>
      </c>
      <c r="P510" s="7" t="inlineStr">
        <is>
          <t>Saudi German Hospital</t>
        </is>
      </c>
      <c r="Q510" s="7" t="inlineStr">
        <is>
          <t>Dubai Marina Mall</t>
        </is>
      </c>
      <c r="R510" s="7" t="inlineStr">
        <is>
          <t>Sheikh Zayed E11</t>
        </is>
      </c>
      <c r="S510" t="inlineStr">
        <is>
          <t>20</t>
        </is>
      </c>
      <c r="T510" t="inlineStr">
        <is>
          <t>5</t>
        </is>
      </c>
      <c r="U510" t="inlineStr">
        <is>
          <t>25</t>
        </is>
      </c>
      <c r="V510" t="inlineStr">
        <is>
          <t>30</t>
        </is>
      </c>
      <c r="W510" t="n">
        <v>2</v>
      </c>
      <c r="X510" s="12" t="n">
        <v>2800000</v>
      </c>
      <c r="Y510" s="12" t="n">
        <v>2800000</v>
      </c>
      <c r="Z510" s="9" t="n">
        <v>5</v>
      </c>
      <c r="AA510" s="9" t="n">
        <v>5.5</v>
      </c>
      <c r="AB510" s="9" t="n">
        <v>10</v>
      </c>
      <c r="AC510" s="9" t="n">
        <v>12</v>
      </c>
      <c r="AD510" s="9" t="n">
        <v>15</v>
      </c>
      <c r="AE510" s="9" t="n">
        <v>17.5</v>
      </c>
      <c r="AF510" t="n">
        <v>2024</v>
      </c>
      <c r="AH510" t="inlineStr">
        <is>
          <t>Apartment</t>
        </is>
      </c>
      <c r="AI510" t="inlineStr">
        <is>
          <t>Prime</t>
        </is>
      </c>
      <c r="AJ510" t="inlineStr">
        <is>
          <t>Established</t>
        </is>
      </c>
      <c r="AK510" t="inlineStr">
        <is>
          <t>Prime resilient / selective</t>
        </is>
      </c>
      <c r="AL510" s="7" t="inlineStr">
        <is>
          <t>Better support from quality, branding, and scarcer prime stock; still entry-price sensitive.</t>
        </is>
      </c>
      <c r="AM510" s="9" t="n">
        <v>11</v>
      </c>
      <c r="AN510" s="9" t="n">
        <v>5.25</v>
      </c>
      <c r="AO510" s="10" t="n">
        <v>0.55</v>
      </c>
      <c r="AP510" s="13" t="n">
        <v>0.02</v>
      </c>
      <c r="AQ510" s="13" t="n">
        <v>0</v>
      </c>
      <c r="AR510" s="13" t="n">
        <v>0</v>
      </c>
      <c r="AS510" s="13" t="n">
        <v>0.03</v>
      </c>
      <c r="AT510" s="13" t="n">
        <v>0</v>
      </c>
      <c r="AU510" s="13" t="n">
        <v>0</v>
      </c>
      <c r="AV510" s="13" t="n">
        <v>-0.005</v>
      </c>
      <c r="AW510" s="13">
        <f>IF(X510="","",(AM510/100*AO510)+AP510+AQ510+AR510)</f>
        <v/>
      </c>
      <c r="AX510" s="13">
        <f>IF(X510="","",AS510+AT510+AU510+AV510)</f>
        <v/>
      </c>
      <c r="AY510" s="12">
        <f>IF(AZ510="","",ROUND(AZ510*(1+Assumptions!$B$10),0))</f>
        <v/>
      </c>
      <c r="AZ510" s="12">
        <f>IF(X510="","",ROUND(X510*(1+AW510),0))</f>
        <v/>
      </c>
      <c r="BA510" s="12">
        <f>IF(AZ510="","",ROUND(AZ510*(1+Assumptions!$B$11),0))</f>
        <v/>
      </c>
      <c r="BB510" s="12">
        <f>IF(AZ510="","",ROUND(AZ510*(1+AX510+Assumptions!$B$10),0))</f>
        <v/>
      </c>
      <c r="BC510" s="12">
        <f>IF(AZ510="","",ROUND(AZ510*(1+AX510),0))</f>
        <v/>
      </c>
      <c r="BD510" s="12">
        <f>IF(AZ510="","",ROUND(AZ510*(1+AX510+Assumptions!$B$11),0))</f>
        <v/>
      </c>
      <c r="BE510" s="12">
        <f>IF(AZ510="","",ROUND(AZ510*(1+AX510)*(1+AX510),0))</f>
        <v/>
      </c>
      <c r="BF510" s="7" t="inlineStr">
        <is>
          <t>Rules-based enrichment using launch-price anchor, cap-app realization, and 2026 segment conditions.</t>
        </is>
      </c>
      <c r="BG510" t="inlineStr">
        <is>
          <t>2026-03-17</t>
        </is>
      </c>
      <c r="BH510" s="7" t="inlineStr">
        <is>
          <t>DLD / Digital Dubai / CBUAE / Savills / Knight Frank-Moody’s / Reuters</t>
        </is>
      </c>
    </row>
    <row r="511">
      <c r="A511" t="n">
        <v>510</v>
      </c>
      <c r="B511" s="7" t="inlineStr">
        <is>
          <t>Maya V</t>
        </is>
      </c>
      <c r="C511" t="inlineStr">
        <is>
          <t>London Gate</t>
        </is>
      </c>
      <c r="D511" t="inlineStr">
        <is>
          <t>JVT</t>
        </is>
      </c>
      <c r="E511" t="inlineStr">
        <is>
          <t>Apartments</t>
        </is>
      </c>
      <c r="F511" s="7" t="inlineStr">
        <is>
          <t>Family</t>
        </is>
      </c>
      <c r="G511" t="inlineStr">
        <is>
          <t>900k</t>
        </is>
      </c>
      <c r="H511" t="inlineStr">
        <is>
          <t>1100</t>
        </is>
      </c>
      <c r="I511" t="inlineStr">
        <is>
          <t>15</t>
        </is>
      </c>
      <c r="J511" t="inlineStr">
        <is>
          <t>60/40</t>
        </is>
      </c>
      <c r="K511" t="inlineStr">
        <is>
          <t>2023</t>
        </is>
      </c>
      <c r="L511" t="inlineStr">
        <is>
          <t>7.0-7.5</t>
        </is>
      </c>
      <c r="M511" t="inlineStr">
        <is>
          <t>6-8</t>
        </is>
      </c>
      <c r="N511" t="inlineStr">
        <is>
          <t>13.0-15.5</t>
        </is>
      </c>
      <c r="O511" s="7" t="inlineStr">
        <is>
          <t>Sunmarke School</t>
        </is>
      </c>
      <c r="P511" s="7" t="inlineStr">
        <is>
          <t>NMC Royal DIP</t>
        </is>
      </c>
      <c r="Q511" s="7" t="inlineStr">
        <is>
          <t>Circle Mall</t>
        </is>
      </c>
      <c r="R511" s="7" t="inlineStr">
        <is>
          <t>E311 / Yalayis</t>
        </is>
      </c>
      <c r="S511" t="inlineStr">
        <is>
          <t>20</t>
        </is>
      </c>
      <c r="T511" t="inlineStr">
        <is>
          <t>15</t>
        </is>
      </c>
      <c r="U511" t="inlineStr">
        <is>
          <t>30</t>
        </is>
      </c>
      <c r="V511" t="inlineStr">
        <is>
          <t>20</t>
        </is>
      </c>
      <c r="W511" t="n">
        <v>2</v>
      </c>
      <c r="X511" s="12" t="n">
        <v>900000</v>
      </c>
      <c r="Y511" s="12" t="n">
        <v>900000</v>
      </c>
      <c r="Z511" s="9" t="n">
        <v>7</v>
      </c>
      <c r="AA511" s="9" t="n">
        <v>7.5</v>
      </c>
      <c r="AB511" s="9" t="n">
        <v>6</v>
      </c>
      <c r="AC511" s="9" t="n">
        <v>8</v>
      </c>
      <c r="AD511" s="9" t="n">
        <v>13</v>
      </c>
      <c r="AE511" s="9" t="n">
        <v>15.5</v>
      </c>
      <c r="AF511" t="n">
        <v>2023</v>
      </c>
      <c r="AH511" t="inlineStr">
        <is>
          <t>Apartment</t>
        </is>
      </c>
      <c r="AI511" t="inlineStr">
        <is>
          <t>SupplySensitiveApartment</t>
        </is>
      </c>
      <c r="AJ511" t="inlineStr">
        <is>
          <t>Established</t>
        </is>
      </c>
      <c r="AK511" t="inlineStr">
        <is>
          <t>Supply-sensitive / selective</t>
        </is>
      </c>
      <c r="AL511" s="7" t="inlineStr">
        <is>
          <t>Higher delivery risk in more price-sensitive apartment clusters; building selection and exit liquidity matter.</t>
        </is>
      </c>
      <c r="AM511" s="9" t="n">
        <v>7</v>
      </c>
      <c r="AN511" s="9" t="n">
        <v>7.25</v>
      </c>
      <c r="AO511" s="10" t="n">
        <v>0.55</v>
      </c>
      <c r="AP511" s="13" t="n">
        <v>0</v>
      </c>
      <c r="AQ511" s="13" t="n">
        <v>0</v>
      </c>
      <c r="AR511" s="13" t="n">
        <v>-0.01</v>
      </c>
      <c r="AS511" s="13" t="n">
        <v>-0.01</v>
      </c>
      <c r="AT511" s="13" t="n">
        <v>0</v>
      </c>
      <c r="AU511" s="13" t="n">
        <v>0.0025</v>
      </c>
      <c r="AV511" s="13" t="n">
        <v>-0.005</v>
      </c>
      <c r="AW511" s="13">
        <f>IF(X511="","",(AM511/100*AO511)+AP511+AQ511+AR511)</f>
        <v/>
      </c>
      <c r="AX511" s="13">
        <f>IF(X511="","",AS511+AT511+AU511+AV511)</f>
        <v/>
      </c>
      <c r="AY511" s="12">
        <f>IF(AZ511="","",ROUND(AZ511*(1+Assumptions!$B$10),0))</f>
        <v/>
      </c>
      <c r="AZ511" s="12">
        <f>IF(X511="","",ROUND(X511*(1+AW511),0))</f>
        <v/>
      </c>
      <c r="BA511" s="12">
        <f>IF(AZ511="","",ROUND(AZ511*(1+Assumptions!$B$11),0))</f>
        <v/>
      </c>
      <c r="BB511" s="12">
        <f>IF(AZ511="","",ROUND(AZ511*(1+AX511+Assumptions!$B$10),0))</f>
        <v/>
      </c>
      <c r="BC511" s="12">
        <f>IF(AZ511="","",ROUND(AZ511*(1+AX511),0))</f>
        <v/>
      </c>
      <c r="BD511" s="12">
        <f>IF(AZ511="","",ROUND(AZ511*(1+AX511+Assumptions!$B$11),0))</f>
        <v/>
      </c>
      <c r="BE511" s="12">
        <f>IF(AZ511="","",ROUND(AZ511*(1+AX511)*(1+AX511),0))</f>
        <v/>
      </c>
      <c r="BF511" s="7" t="inlineStr">
        <is>
          <t>Rules-based enrichment using launch-price anchor, cap-app realization, and 2026 segment conditions.</t>
        </is>
      </c>
      <c r="BG511" t="inlineStr">
        <is>
          <t>2026-03-17</t>
        </is>
      </c>
      <c r="BH511" s="7" t="inlineStr">
        <is>
          <t>DLD / Digital Dubai / CBUAE / Savills / Knight Frank-Moody’s / Reuters</t>
        </is>
      </c>
    </row>
    <row r="512">
      <c r="A512" t="n">
        <v>511</v>
      </c>
      <c r="B512" s="7" t="inlineStr">
        <is>
          <t>Nadine 1</t>
        </is>
      </c>
      <c r="C512" t="inlineStr">
        <is>
          <t>London Gate</t>
        </is>
      </c>
      <c r="D512" t="inlineStr">
        <is>
          <t>Al Furjan</t>
        </is>
      </c>
      <c r="E512" t="inlineStr">
        <is>
          <t>Apartments</t>
        </is>
      </c>
      <c r="F512" s="7" t="inlineStr">
        <is>
          <t>Architecture</t>
        </is>
      </c>
      <c r="G512" t="inlineStr">
        <is>
          <t>1.0M</t>
        </is>
      </c>
      <c r="H512" t="inlineStr">
        <is>
          <t>1200</t>
        </is>
      </c>
      <c r="I512" t="inlineStr">
        <is>
          <t>14</t>
        </is>
      </c>
      <c r="J512" t="inlineStr">
        <is>
          <t>60/40</t>
        </is>
      </c>
      <c r="K512" t="inlineStr">
        <is>
          <t>2023</t>
        </is>
      </c>
      <c r="L512" t="inlineStr">
        <is>
          <t>7.0-7.5</t>
        </is>
      </c>
      <c r="M512" t="inlineStr">
        <is>
          <t>6-8</t>
        </is>
      </c>
      <c r="N512" t="inlineStr">
        <is>
          <t>13.0-15.5</t>
        </is>
      </c>
      <c r="O512" s="7" t="inlineStr">
        <is>
          <t>The Arbor School</t>
        </is>
      </c>
      <c r="P512" s="7" t="inlineStr">
        <is>
          <t>NMC Royal DIP</t>
        </is>
      </c>
      <c r="Q512" s="7" t="inlineStr">
        <is>
          <t>Ibn Battuta Mall</t>
        </is>
      </c>
      <c r="R512" s="7" t="inlineStr">
        <is>
          <t>Yalayis / E311</t>
        </is>
      </c>
      <c r="S512" t="inlineStr">
        <is>
          <t>25</t>
        </is>
      </c>
      <c r="T512" t="inlineStr">
        <is>
          <t>15</t>
        </is>
      </c>
      <c r="U512" t="inlineStr">
        <is>
          <t>30</t>
        </is>
      </c>
      <c r="V512" t="inlineStr">
        <is>
          <t>20</t>
        </is>
      </c>
      <c r="W512" t="n">
        <v>2</v>
      </c>
      <c r="X512" s="12" t="n">
        <v>1000000</v>
      </c>
      <c r="Y512" s="12" t="n">
        <v>1000000</v>
      </c>
      <c r="Z512" s="9" t="n">
        <v>7</v>
      </c>
      <c r="AA512" s="9" t="n">
        <v>7.5</v>
      </c>
      <c r="AB512" s="9" t="n">
        <v>6</v>
      </c>
      <c r="AC512" s="9" t="n">
        <v>8</v>
      </c>
      <c r="AD512" s="9" t="n">
        <v>13</v>
      </c>
      <c r="AE512" s="9" t="n">
        <v>15.5</v>
      </c>
      <c r="AF512" t="n">
        <v>2023</v>
      </c>
      <c r="AH512" t="inlineStr">
        <is>
          <t>Apartment</t>
        </is>
      </c>
      <c r="AI512" t="inlineStr">
        <is>
          <t>SupplySensitiveApartment</t>
        </is>
      </c>
      <c r="AJ512" t="inlineStr">
        <is>
          <t>Established</t>
        </is>
      </c>
      <c r="AK512" t="inlineStr">
        <is>
          <t>Supply-sensitive / selective</t>
        </is>
      </c>
      <c r="AL512" s="7" t="inlineStr">
        <is>
          <t>Higher delivery risk in more price-sensitive apartment clusters; building selection and exit liquidity matter.</t>
        </is>
      </c>
      <c r="AM512" s="9" t="n">
        <v>7</v>
      </c>
      <c r="AN512" s="9" t="n">
        <v>7.25</v>
      </c>
      <c r="AO512" s="10" t="n">
        <v>0.55</v>
      </c>
      <c r="AP512" s="13" t="n">
        <v>0</v>
      </c>
      <c r="AQ512" s="13" t="n">
        <v>0</v>
      </c>
      <c r="AR512" s="13" t="n">
        <v>-0.01</v>
      </c>
      <c r="AS512" s="13" t="n">
        <v>-0.01</v>
      </c>
      <c r="AT512" s="13" t="n">
        <v>0</v>
      </c>
      <c r="AU512" s="13" t="n">
        <v>0.0025</v>
      </c>
      <c r="AV512" s="13" t="n">
        <v>-0.005</v>
      </c>
      <c r="AW512" s="13">
        <f>IF(X512="","",(AM512/100*AO512)+AP512+AQ512+AR512)</f>
        <v/>
      </c>
      <c r="AX512" s="13">
        <f>IF(X512="","",AS512+AT512+AU512+AV512)</f>
        <v/>
      </c>
      <c r="AY512" s="12">
        <f>IF(AZ512="","",ROUND(AZ512*(1+Assumptions!$B$10),0))</f>
        <v/>
      </c>
      <c r="AZ512" s="12">
        <f>IF(X512="","",ROUND(X512*(1+AW512),0))</f>
        <v/>
      </c>
      <c r="BA512" s="12">
        <f>IF(AZ512="","",ROUND(AZ512*(1+Assumptions!$B$11),0))</f>
        <v/>
      </c>
      <c r="BB512" s="12">
        <f>IF(AZ512="","",ROUND(AZ512*(1+AX512+Assumptions!$B$10),0))</f>
        <v/>
      </c>
      <c r="BC512" s="12">
        <f>IF(AZ512="","",ROUND(AZ512*(1+AX512),0))</f>
        <v/>
      </c>
      <c r="BD512" s="12">
        <f>IF(AZ512="","",ROUND(AZ512*(1+AX512+Assumptions!$B$11),0))</f>
        <v/>
      </c>
      <c r="BE512" s="12">
        <f>IF(AZ512="","",ROUND(AZ512*(1+AX512)*(1+AX512),0))</f>
        <v/>
      </c>
      <c r="BF512" s="7" t="inlineStr">
        <is>
          <t>Rules-based enrichment using launch-price anchor, cap-app realization, and 2026 segment conditions.</t>
        </is>
      </c>
      <c r="BG512" t="inlineStr">
        <is>
          <t>2026-03-17</t>
        </is>
      </c>
      <c r="BH512" s="7" t="inlineStr">
        <is>
          <t>DLD / Digital Dubai / CBUAE / Savills / Knight Frank-Moody’s / Reuters</t>
        </is>
      </c>
    </row>
    <row r="513">
      <c r="A513" t="n">
        <v>512</v>
      </c>
      <c r="B513" s="7" t="inlineStr">
        <is>
          <t>Nadine 2</t>
        </is>
      </c>
      <c r="C513" t="inlineStr">
        <is>
          <t>London Gate</t>
        </is>
      </c>
      <c r="D513" t="inlineStr">
        <is>
          <t>Al Furjan</t>
        </is>
      </c>
      <c r="E513" t="inlineStr">
        <is>
          <t>Apartments</t>
        </is>
      </c>
      <c r="F513" s="7" t="inlineStr">
        <is>
          <t>Architecture</t>
        </is>
      </c>
      <c r="G513" t="inlineStr">
        <is>
          <t>1.0M</t>
        </is>
      </c>
      <c r="H513" t="inlineStr">
        <is>
          <t>1200</t>
        </is>
      </c>
      <c r="I513" t="inlineStr">
        <is>
          <t>14</t>
        </is>
      </c>
      <c r="J513" t="inlineStr">
        <is>
          <t>60/40</t>
        </is>
      </c>
      <c r="K513" t="inlineStr">
        <is>
          <t>2023</t>
        </is>
      </c>
      <c r="L513" t="inlineStr">
        <is>
          <t>7.0-7.5</t>
        </is>
      </c>
      <c r="M513" t="inlineStr">
        <is>
          <t>6-8</t>
        </is>
      </c>
      <c r="N513" t="inlineStr">
        <is>
          <t>13.0-15.5</t>
        </is>
      </c>
      <c r="O513" s="7" t="inlineStr">
        <is>
          <t>The Arbor School</t>
        </is>
      </c>
      <c r="P513" s="7" t="inlineStr">
        <is>
          <t>NMC Royal DIP</t>
        </is>
      </c>
      <c r="Q513" s="7" t="inlineStr">
        <is>
          <t>Ibn Battuta Mall</t>
        </is>
      </c>
      <c r="R513" s="7" t="inlineStr">
        <is>
          <t>Yalayis / E311</t>
        </is>
      </c>
      <c r="S513" t="inlineStr">
        <is>
          <t>25</t>
        </is>
      </c>
      <c r="T513" t="inlineStr">
        <is>
          <t>15</t>
        </is>
      </c>
      <c r="U513" t="inlineStr">
        <is>
          <t>30</t>
        </is>
      </c>
      <c r="V513" t="inlineStr">
        <is>
          <t>20</t>
        </is>
      </c>
      <c r="W513" t="n">
        <v>2</v>
      </c>
      <c r="X513" s="12" t="n">
        <v>1000000</v>
      </c>
      <c r="Y513" s="12" t="n">
        <v>1000000</v>
      </c>
      <c r="Z513" s="9" t="n">
        <v>7</v>
      </c>
      <c r="AA513" s="9" t="n">
        <v>7.5</v>
      </c>
      <c r="AB513" s="9" t="n">
        <v>6</v>
      </c>
      <c r="AC513" s="9" t="n">
        <v>8</v>
      </c>
      <c r="AD513" s="9" t="n">
        <v>13</v>
      </c>
      <c r="AE513" s="9" t="n">
        <v>15.5</v>
      </c>
      <c r="AF513" t="n">
        <v>2023</v>
      </c>
      <c r="AH513" t="inlineStr">
        <is>
          <t>Apartment</t>
        </is>
      </c>
      <c r="AI513" t="inlineStr">
        <is>
          <t>SupplySensitiveApartment</t>
        </is>
      </c>
      <c r="AJ513" t="inlineStr">
        <is>
          <t>Established</t>
        </is>
      </c>
      <c r="AK513" t="inlineStr">
        <is>
          <t>Supply-sensitive / selective</t>
        </is>
      </c>
      <c r="AL513" s="7" t="inlineStr">
        <is>
          <t>Higher delivery risk in more price-sensitive apartment clusters; building selection and exit liquidity matter.</t>
        </is>
      </c>
      <c r="AM513" s="9" t="n">
        <v>7</v>
      </c>
      <c r="AN513" s="9" t="n">
        <v>7.25</v>
      </c>
      <c r="AO513" s="10" t="n">
        <v>0.55</v>
      </c>
      <c r="AP513" s="13" t="n">
        <v>0</v>
      </c>
      <c r="AQ513" s="13" t="n">
        <v>0</v>
      </c>
      <c r="AR513" s="13" t="n">
        <v>-0.01</v>
      </c>
      <c r="AS513" s="13" t="n">
        <v>-0.01</v>
      </c>
      <c r="AT513" s="13" t="n">
        <v>0</v>
      </c>
      <c r="AU513" s="13" t="n">
        <v>0.0025</v>
      </c>
      <c r="AV513" s="13" t="n">
        <v>-0.005</v>
      </c>
      <c r="AW513" s="13">
        <f>IF(X513="","",(AM513/100*AO513)+AP513+AQ513+AR513)</f>
        <v/>
      </c>
      <c r="AX513" s="13">
        <f>IF(X513="","",AS513+AT513+AU513+AV513)</f>
        <v/>
      </c>
      <c r="AY513" s="12">
        <f>IF(AZ513="","",ROUND(AZ513*(1+Assumptions!$B$10),0))</f>
        <v/>
      </c>
      <c r="AZ513" s="12">
        <f>IF(X513="","",ROUND(X513*(1+AW513),0))</f>
        <v/>
      </c>
      <c r="BA513" s="12">
        <f>IF(AZ513="","",ROUND(AZ513*(1+Assumptions!$B$11),0))</f>
        <v/>
      </c>
      <c r="BB513" s="12">
        <f>IF(AZ513="","",ROUND(AZ513*(1+AX513+Assumptions!$B$10),0))</f>
        <v/>
      </c>
      <c r="BC513" s="12">
        <f>IF(AZ513="","",ROUND(AZ513*(1+AX513),0))</f>
        <v/>
      </c>
      <c r="BD513" s="12">
        <f>IF(AZ513="","",ROUND(AZ513*(1+AX513+Assumptions!$B$11),0))</f>
        <v/>
      </c>
      <c r="BE513" s="12">
        <f>IF(AZ513="","",ROUND(AZ513*(1+AX513)*(1+AX513),0))</f>
        <v/>
      </c>
      <c r="BF513" s="7" t="inlineStr">
        <is>
          <t>Rules-based enrichment using launch-price anchor, cap-app realization, and 2026 segment conditions.</t>
        </is>
      </c>
      <c r="BG513" t="inlineStr">
        <is>
          <t>2026-03-17</t>
        </is>
      </c>
      <c r="BH513" s="7" t="inlineStr">
        <is>
          <t>DLD / Digital Dubai / CBUAE / Savills / Knight Frank-Moody’s / Reuters</t>
        </is>
      </c>
    </row>
    <row r="514">
      <c r="A514" t="n">
        <v>513</v>
      </c>
      <c r="B514" s="7" t="inlineStr">
        <is>
          <t>Lilian</t>
        </is>
      </c>
      <c r="C514" t="inlineStr">
        <is>
          <t>London Gate</t>
        </is>
      </c>
      <c r="D514" t="inlineStr">
        <is>
          <t>Al Furjan</t>
        </is>
      </c>
      <c r="E514" t="inlineStr">
        <is>
          <t>Apartments</t>
        </is>
      </c>
      <c r="F514" s="7" t="inlineStr">
        <is>
          <t>Modern</t>
        </is>
      </c>
      <c r="G514" t="inlineStr">
        <is>
          <t>1.0M</t>
        </is>
      </c>
      <c r="H514" t="inlineStr">
        <is>
          <t>1200</t>
        </is>
      </c>
      <c r="I514" t="inlineStr">
        <is>
          <t>14</t>
        </is>
      </c>
      <c r="J514" t="inlineStr">
        <is>
          <t>60/40</t>
        </is>
      </c>
      <c r="K514" t="inlineStr">
        <is>
          <t>2024</t>
        </is>
      </c>
      <c r="L514" t="inlineStr">
        <is>
          <t>7.0-7.5</t>
        </is>
      </c>
      <c r="M514" t="inlineStr">
        <is>
          <t>6-8</t>
        </is>
      </c>
      <c r="N514" t="inlineStr">
        <is>
          <t>13.0-15.5</t>
        </is>
      </c>
      <c r="O514" s="7" t="inlineStr">
        <is>
          <t>The Arbor School</t>
        </is>
      </c>
      <c r="P514" s="7" t="inlineStr">
        <is>
          <t>NMC Royal DIP</t>
        </is>
      </c>
      <c r="Q514" s="7" t="inlineStr">
        <is>
          <t>Ibn Battuta Mall</t>
        </is>
      </c>
      <c r="R514" s="7" t="inlineStr">
        <is>
          <t>Yalayis / E311</t>
        </is>
      </c>
      <c r="S514" t="inlineStr">
        <is>
          <t>25</t>
        </is>
      </c>
      <c r="T514" t="inlineStr">
        <is>
          <t>15</t>
        </is>
      </c>
      <c r="U514" t="inlineStr">
        <is>
          <t>30</t>
        </is>
      </c>
      <c r="V514" t="inlineStr">
        <is>
          <t>20</t>
        </is>
      </c>
      <c r="W514" t="n">
        <v>2</v>
      </c>
      <c r="X514" s="12" t="n">
        <v>1000000</v>
      </c>
      <c r="Y514" s="12" t="n">
        <v>1000000</v>
      </c>
      <c r="Z514" s="9" t="n">
        <v>7</v>
      </c>
      <c r="AA514" s="9" t="n">
        <v>7.5</v>
      </c>
      <c r="AB514" s="9" t="n">
        <v>6</v>
      </c>
      <c r="AC514" s="9" t="n">
        <v>8</v>
      </c>
      <c r="AD514" s="9" t="n">
        <v>13</v>
      </c>
      <c r="AE514" s="9" t="n">
        <v>15.5</v>
      </c>
      <c r="AF514" t="n">
        <v>2024</v>
      </c>
      <c r="AH514" t="inlineStr">
        <is>
          <t>Apartment</t>
        </is>
      </c>
      <c r="AI514" t="inlineStr">
        <is>
          <t>SupplySensitiveApartment</t>
        </is>
      </c>
      <c r="AJ514" t="inlineStr">
        <is>
          <t>Established</t>
        </is>
      </c>
      <c r="AK514" t="inlineStr">
        <is>
          <t>Supply-sensitive / selective</t>
        </is>
      </c>
      <c r="AL514" s="7" t="inlineStr">
        <is>
          <t>Higher delivery risk in more price-sensitive apartment clusters; building selection and exit liquidity matter.</t>
        </is>
      </c>
      <c r="AM514" s="9" t="n">
        <v>7</v>
      </c>
      <c r="AN514" s="9" t="n">
        <v>7.25</v>
      </c>
      <c r="AO514" s="10" t="n">
        <v>0.55</v>
      </c>
      <c r="AP514" s="13" t="n">
        <v>0</v>
      </c>
      <c r="AQ514" s="13" t="n">
        <v>0</v>
      </c>
      <c r="AR514" s="13" t="n">
        <v>-0.01</v>
      </c>
      <c r="AS514" s="13" t="n">
        <v>-0.01</v>
      </c>
      <c r="AT514" s="13" t="n">
        <v>0</v>
      </c>
      <c r="AU514" s="13" t="n">
        <v>0.0025</v>
      </c>
      <c r="AV514" s="13" t="n">
        <v>-0.005</v>
      </c>
      <c r="AW514" s="13">
        <f>IF(X514="","",(AM514/100*AO514)+AP514+AQ514+AR514)</f>
        <v/>
      </c>
      <c r="AX514" s="13">
        <f>IF(X514="","",AS514+AT514+AU514+AV514)</f>
        <v/>
      </c>
      <c r="AY514" s="12">
        <f>IF(AZ514="","",ROUND(AZ514*(1+Assumptions!$B$10),0))</f>
        <v/>
      </c>
      <c r="AZ514" s="12">
        <f>IF(X514="","",ROUND(X514*(1+AW514),0))</f>
        <v/>
      </c>
      <c r="BA514" s="12">
        <f>IF(AZ514="","",ROUND(AZ514*(1+Assumptions!$B$11),0))</f>
        <v/>
      </c>
      <c r="BB514" s="12">
        <f>IF(AZ514="","",ROUND(AZ514*(1+AX514+Assumptions!$B$10),0))</f>
        <v/>
      </c>
      <c r="BC514" s="12">
        <f>IF(AZ514="","",ROUND(AZ514*(1+AX514),0))</f>
        <v/>
      </c>
      <c r="BD514" s="12">
        <f>IF(AZ514="","",ROUND(AZ514*(1+AX514+Assumptions!$B$11),0))</f>
        <v/>
      </c>
      <c r="BE514" s="12">
        <f>IF(AZ514="","",ROUND(AZ514*(1+AX514)*(1+AX514),0))</f>
        <v/>
      </c>
      <c r="BF514" s="7" t="inlineStr">
        <is>
          <t>Rules-based enrichment using launch-price anchor, cap-app realization, and 2026 segment conditions.</t>
        </is>
      </c>
      <c r="BG514" t="inlineStr">
        <is>
          <t>2026-03-17</t>
        </is>
      </c>
      <c r="BH514" s="7" t="inlineStr">
        <is>
          <t>DLD / Digital Dubai / CBUAE / Savills / Knight Frank-Moody’s / Reuters</t>
        </is>
      </c>
    </row>
    <row r="515">
      <c r="A515" t="n">
        <v>514</v>
      </c>
      <c r="B515" s="7" t="inlineStr">
        <is>
          <t>The Muse</t>
        </is>
      </c>
      <c r="C515" t="inlineStr">
        <is>
          <t>London Gate</t>
        </is>
      </c>
      <c r="D515" t="inlineStr">
        <is>
          <t>JVC</t>
        </is>
      </c>
      <c r="E515" t="inlineStr">
        <is>
          <t>Apartments</t>
        </is>
      </c>
      <c r="F515" s="7" t="inlineStr">
        <is>
          <t>Boutique</t>
        </is>
      </c>
      <c r="G515" t="inlineStr">
        <is>
          <t>900k</t>
        </is>
      </c>
      <c r="H515" t="inlineStr">
        <is>
          <t>1300</t>
        </is>
      </c>
      <c r="I515" t="inlineStr">
        <is>
          <t>15</t>
        </is>
      </c>
      <c r="J515" t="inlineStr">
        <is>
          <t>60/40</t>
        </is>
      </c>
      <c r="K515" t="inlineStr">
        <is>
          <t>2024</t>
        </is>
      </c>
      <c r="L515" t="inlineStr">
        <is>
          <t>7.5-8.0</t>
        </is>
      </c>
      <c r="M515" t="inlineStr">
        <is>
          <t>6-8</t>
        </is>
      </c>
      <c r="N515" t="inlineStr">
        <is>
          <t>13.5-16.0</t>
        </is>
      </c>
      <c r="O515" s="7" t="inlineStr">
        <is>
          <t>JSS International</t>
        </is>
      </c>
      <c r="P515" s="7" t="inlineStr">
        <is>
          <t>Saudi German Hospital</t>
        </is>
      </c>
      <c r="Q515" s="7" t="inlineStr">
        <is>
          <t>Circle Mall</t>
        </is>
      </c>
      <c r="R515" s="7" t="inlineStr">
        <is>
          <t>Hessa St / E44</t>
        </is>
      </c>
      <c r="S515" t="inlineStr">
        <is>
          <t>20</t>
        </is>
      </c>
      <c r="T515" t="inlineStr">
        <is>
          <t>15</t>
        </is>
      </c>
      <c r="U515" t="inlineStr">
        <is>
          <t>25</t>
        </is>
      </c>
      <c r="V515" t="inlineStr">
        <is>
          <t>30</t>
        </is>
      </c>
      <c r="W515" t="n">
        <v>2</v>
      </c>
      <c r="X515" s="12" t="n">
        <v>900000</v>
      </c>
      <c r="Y515" s="12" t="n">
        <v>900000</v>
      </c>
      <c r="Z515" s="9" t="n">
        <v>7.5</v>
      </c>
      <c r="AA515" s="9" t="n">
        <v>8</v>
      </c>
      <c r="AB515" s="9" t="n">
        <v>6</v>
      </c>
      <c r="AC515" s="9" t="n">
        <v>8</v>
      </c>
      <c r="AD515" s="9" t="n">
        <v>13.5</v>
      </c>
      <c r="AE515" s="9" t="n">
        <v>16</v>
      </c>
      <c r="AF515" t="n">
        <v>2024</v>
      </c>
      <c r="AH515" t="inlineStr">
        <is>
          <t>Apartment</t>
        </is>
      </c>
      <c r="AI515" t="inlineStr">
        <is>
          <t>SupplySensitiveApartment</t>
        </is>
      </c>
      <c r="AJ515" t="inlineStr">
        <is>
          <t>Established</t>
        </is>
      </c>
      <c r="AK515" t="inlineStr">
        <is>
          <t>Supply-sensitive / selective</t>
        </is>
      </c>
      <c r="AL515" s="7" t="inlineStr">
        <is>
          <t>Higher delivery risk in more price-sensitive apartment clusters; building selection and exit liquidity matter.</t>
        </is>
      </c>
      <c r="AM515" s="9" t="n">
        <v>7</v>
      </c>
      <c r="AN515" s="9" t="n">
        <v>7.75</v>
      </c>
      <c r="AO515" s="10" t="n">
        <v>0.55</v>
      </c>
      <c r="AP515" s="13" t="n">
        <v>0</v>
      </c>
      <c r="AQ515" s="13" t="n">
        <v>0</v>
      </c>
      <c r="AR515" s="13" t="n">
        <v>-0.01</v>
      </c>
      <c r="AS515" s="13" t="n">
        <v>-0.01</v>
      </c>
      <c r="AT515" s="13" t="n">
        <v>0</v>
      </c>
      <c r="AU515" s="13" t="n">
        <v>0.0025</v>
      </c>
      <c r="AV515" s="13" t="n">
        <v>-0.005</v>
      </c>
      <c r="AW515" s="13">
        <f>IF(X515="","",(AM515/100*AO515)+AP515+AQ515+AR515)</f>
        <v/>
      </c>
      <c r="AX515" s="13">
        <f>IF(X515="","",AS515+AT515+AU515+AV515)</f>
        <v/>
      </c>
      <c r="AY515" s="12">
        <f>IF(AZ515="","",ROUND(AZ515*(1+Assumptions!$B$10),0))</f>
        <v/>
      </c>
      <c r="AZ515" s="12">
        <f>IF(X515="","",ROUND(X515*(1+AW515),0))</f>
        <v/>
      </c>
      <c r="BA515" s="12">
        <f>IF(AZ515="","",ROUND(AZ515*(1+Assumptions!$B$11),0))</f>
        <v/>
      </c>
      <c r="BB515" s="12">
        <f>IF(AZ515="","",ROUND(AZ515*(1+AX515+Assumptions!$B$10),0))</f>
        <v/>
      </c>
      <c r="BC515" s="12">
        <f>IF(AZ515="","",ROUND(AZ515*(1+AX515),0))</f>
        <v/>
      </c>
      <c r="BD515" s="12">
        <f>IF(AZ515="","",ROUND(AZ515*(1+AX515+Assumptions!$B$11),0))</f>
        <v/>
      </c>
      <c r="BE515" s="12">
        <f>IF(AZ515="","",ROUND(AZ515*(1+AX515)*(1+AX515),0))</f>
        <v/>
      </c>
      <c r="BF515" s="7" t="inlineStr">
        <is>
          <t>Rules-based enrichment using launch-price anchor, cap-app realization, and 2026 segment conditions.</t>
        </is>
      </c>
      <c r="BG515" t="inlineStr">
        <is>
          <t>2026-03-17</t>
        </is>
      </c>
      <c r="BH515" s="7" t="inlineStr">
        <is>
          <t>DLD / Digital Dubai / CBUAE / Savills / Knight Frank-Moody’s / Reuters</t>
        </is>
      </c>
    </row>
    <row r="516">
      <c r="A516" t="n">
        <v>515</v>
      </c>
      <c r="B516" s="7" t="inlineStr">
        <is>
          <t>One Sankari</t>
        </is>
      </c>
      <c r="C516" t="inlineStr">
        <is>
          <t>Sankari Properties</t>
        </is>
      </c>
      <c r="D516" t="inlineStr">
        <is>
          <t>Business Bay (Marasi)</t>
        </is>
      </c>
      <c r="E516" t="inlineStr">
        <is>
          <t>Ultra-Luxury Apts</t>
        </is>
      </c>
      <c r="F516" s="7" t="inlineStr">
        <is>
          <t>Iconic / Canal</t>
        </is>
      </c>
      <c r="G516" t="inlineStr">
        <is>
          <t>40M+</t>
        </is>
      </c>
      <c r="H516" t="inlineStr">
        <is>
          <t>6000+</t>
        </is>
      </c>
      <c r="I516" t="inlineStr">
        <is>
          <t>50+</t>
        </is>
      </c>
      <c r="J516" t="inlineStr">
        <is>
          <t>50/50</t>
        </is>
      </c>
      <c r="K516" t="inlineStr">
        <is>
          <t>2024</t>
        </is>
      </c>
      <c r="L516" t="inlineStr">
        <is>
          <t>3.5-4.0</t>
        </is>
      </c>
      <c r="M516" t="inlineStr">
        <is>
          <t>10-15</t>
        </is>
      </c>
      <c r="N516" t="inlineStr">
        <is>
          <t>13.5-19.0</t>
        </is>
      </c>
      <c r="O516" s="7" t="inlineStr">
        <is>
          <t>Hartland Intl</t>
        </is>
      </c>
      <c r="P516" s="7" t="inlineStr">
        <is>
          <t>Emirates Hospital BB</t>
        </is>
      </c>
      <c r="Q516" s="7" t="inlineStr">
        <is>
          <t>Dubai Mall</t>
        </is>
      </c>
      <c r="R516" s="7" t="inlineStr">
        <is>
          <t>Al Khail E44</t>
        </is>
      </c>
      <c r="S516" t="inlineStr">
        <is>
          <t>5</t>
        </is>
      </c>
      <c r="T516" t="inlineStr">
        <is>
          <t>20</t>
        </is>
      </c>
      <c r="U516" t="inlineStr">
        <is>
          <t>15</t>
        </is>
      </c>
      <c r="V516" t="inlineStr">
        <is>
          <t>35</t>
        </is>
      </c>
      <c r="W516" t="n">
        <v>2</v>
      </c>
      <c r="X516" s="12" t="n">
        <v>40000000</v>
      </c>
      <c r="Y516" s="12" t="n">
        <v>40000000</v>
      </c>
      <c r="Z516" s="9" t="n">
        <v>3.5</v>
      </c>
      <c r="AA516" s="9" t="n">
        <v>4</v>
      </c>
      <c r="AB516" s="9" t="n">
        <v>10</v>
      </c>
      <c r="AC516" s="9" t="n">
        <v>15</v>
      </c>
      <c r="AD516" s="9" t="n">
        <v>13.5</v>
      </c>
      <c r="AE516" s="9" t="n">
        <v>19</v>
      </c>
      <c r="AF516" t="n">
        <v>2024</v>
      </c>
      <c r="AH516" t="inlineStr">
        <is>
          <t>Apartment</t>
        </is>
      </c>
      <c r="AI516" t="inlineStr">
        <is>
          <t>MainstreamSelective</t>
        </is>
      </c>
      <c r="AJ516" t="inlineStr">
        <is>
          <t>Established</t>
        </is>
      </c>
      <c r="AK516" t="inlineStr">
        <is>
          <t>Balanced / selective</t>
        </is>
      </c>
      <c r="AL516" s="7" t="inlineStr">
        <is>
          <t>Market remains active but increasingly differentiated by developer, micro-location, livability, and pricing discipline.</t>
        </is>
      </c>
      <c r="AM516" s="9" t="n">
        <v>12.5</v>
      </c>
      <c r="AN516" s="9" t="n">
        <v>3.75</v>
      </c>
      <c r="AO516" s="10" t="n">
        <v>0.55</v>
      </c>
      <c r="AP516" s="13" t="n">
        <v>0</v>
      </c>
      <c r="AQ516" s="13" t="n">
        <v>0</v>
      </c>
      <c r="AR516" s="13" t="n">
        <v>0</v>
      </c>
      <c r="AS516" s="13" t="n">
        <v>0.01</v>
      </c>
      <c r="AT516" s="13" t="n">
        <v>0</v>
      </c>
      <c r="AU516" s="13" t="n">
        <v>0</v>
      </c>
      <c r="AV516" s="13" t="n">
        <v>-0.005</v>
      </c>
      <c r="AW516" s="13">
        <f>IF(X516="","",(AM516/100*AO516)+AP516+AQ516+AR516)</f>
        <v/>
      </c>
      <c r="AX516" s="13">
        <f>IF(X516="","",AS516+AT516+AU516+AV516)</f>
        <v/>
      </c>
      <c r="AY516" s="12">
        <f>IF(AZ516="","",ROUND(AZ516*(1+Assumptions!$B$10),0))</f>
        <v/>
      </c>
      <c r="AZ516" s="12">
        <f>IF(X516="","",ROUND(X516*(1+AW516),0))</f>
        <v/>
      </c>
      <c r="BA516" s="12">
        <f>IF(AZ516="","",ROUND(AZ516*(1+Assumptions!$B$11),0))</f>
        <v/>
      </c>
      <c r="BB516" s="12">
        <f>IF(AZ516="","",ROUND(AZ516*(1+AX516+Assumptions!$B$10),0))</f>
        <v/>
      </c>
      <c r="BC516" s="12">
        <f>IF(AZ516="","",ROUND(AZ516*(1+AX516),0))</f>
        <v/>
      </c>
      <c r="BD516" s="12">
        <f>IF(AZ516="","",ROUND(AZ516*(1+AX516+Assumptions!$B$11),0))</f>
        <v/>
      </c>
      <c r="BE516" s="12">
        <f>IF(AZ516="","",ROUND(AZ516*(1+AX516)*(1+AX516),0))</f>
        <v/>
      </c>
      <c r="BF516" s="7" t="inlineStr">
        <is>
          <t>Rules-based enrichment using launch-price anchor, cap-app realization, and 2026 segment conditions.</t>
        </is>
      </c>
      <c r="BG516" t="inlineStr">
        <is>
          <t>2026-03-17</t>
        </is>
      </c>
      <c r="BH516" s="7" t="inlineStr">
        <is>
          <t>DLD / Digital Dubai / CBUAE / Savills / Knight Frank-Moody’s / Reuters</t>
        </is>
      </c>
    </row>
    <row r="517">
      <c r="A517" t="n">
        <v>516</v>
      </c>
      <c r="B517" s="7" t="inlineStr">
        <is>
          <t>Regent Residences Dubai</t>
        </is>
      </c>
      <c r="C517" t="inlineStr">
        <is>
          <t>Sankari Properties</t>
        </is>
      </c>
      <c r="D517" t="inlineStr">
        <is>
          <t>Business Bay (Marasi)</t>
        </is>
      </c>
      <c r="E517" t="inlineStr">
        <is>
          <t>Branded Apts</t>
        </is>
      </c>
      <c r="F517" s="7" t="inlineStr">
        <is>
          <t>Hotel / Luxury</t>
        </is>
      </c>
      <c r="G517" t="inlineStr">
        <is>
          <t>35M+</t>
        </is>
      </c>
      <c r="H517" t="inlineStr">
        <is>
          <t>5500+</t>
        </is>
      </c>
      <c r="I517" t="inlineStr">
        <is>
          <t>50+</t>
        </is>
      </c>
      <c r="J517" t="inlineStr">
        <is>
          <t>50/50</t>
        </is>
      </c>
      <c r="K517" t="inlineStr">
        <is>
          <t>2024</t>
        </is>
      </c>
      <c r="L517" t="inlineStr">
        <is>
          <t>3.5-4.0</t>
        </is>
      </c>
      <c r="M517" t="inlineStr">
        <is>
          <t>10-15</t>
        </is>
      </c>
      <c r="N517" t="inlineStr">
        <is>
          <t>13.5-19.0</t>
        </is>
      </c>
      <c r="O517" s="7" t="inlineStr">
        <is>
          <t>Hartland Intl</t>
        </is>
      </c>
      <c r="P517" s="7" t="inlineStr">
        <is>
          <t>Emirates Hospital BB</t>
        </is>
      </c>
      <c r="Q517" s="7" t="inlineStr">
        <is>
          <t>Dubai Mall</t>
        </is>
      </c>
      <c r="R517" s="7" t="inlineStr">
        <is>
          <t>Al Khail E44</t>
        </is>
      </c>
      <c r="S517" t="inlineStr">
        <is>
          <t>5</t>
        </is>
      </c>
      <c r="T517" t="inlineStr">
        <is>
          <t>20</t>
        </is>
      </c>
      <c r="U517" t="inlineStr">
        <is>
          <t>15</t>
        </is>
      </c>
      <c r="V517" t="inlineStr">
        <is>
          <t>35</t>
        </is>
      </c>
      <c r="W517" t="n">
        <v>2</v>
      </c>
      <c r="X517" s="12" t="n">
        <v>35000000</v>
      </c>
      <c r="Y517" s="12" t="n">
        <v>35000000</v>
      </c>
      <c r="Z517" s="9" t="n">
        <v>3.5</v>
      </c>
      <c r="AA517" s="9" t="n">
        <v>4</v>
      </c>
      <c r="AB517" s="9" t="n">
        <v>10</v>
      </c>
      <c r="AC517" s="9" t="n">
        <v>15</v>
      </c>
      <c r="AD517" s="9" t="n">
        <v>13.5</v>
      </c>
      <c r="AE517" s="9" t="n">
        <v>19</v>
      </c>
      <c r="AF517" t="n">
        <v>2024</v>
      </c>
      <c r="AH517" t="inlineStr">
        <is>
          <t>Apartment</t>
        </is>
      </c>
      <c r="AI517" t="inlineStr">
        <is>
          <t>MainstreamSelective</t>
        </is>
      </c>
      <c r="AJ517" t="inlineStr">
        <is>
          <t>Established</t>
        </is>
      </c>
      <c r="AK517" t="inlineStr">
        <is>
          <t>Balanced / selective</t>
        </is>
      </c>
      <c r="AL517" s="7" t="inlineStr">
        <is>
          <t>Market remains active but increasingly differentiated by developer, micro-location, livability, and pricing discipline.</t>
        </is>
      </c>
      <c r="AM517" s="9" t="n">
        <v>12.5</v>
      </c>
      <c r="AN517" s="9" t="n">
        <v>3.75</v>
      </c>
      <c r="AO517" s="10" t="n">
        <v>0.55</v>
      </c>
      <c r="AP517" s="13" t="n">
        <v>0</v>
      </c>
      <c r="AQ517" s="13" t="n">
        <v>0</v>
      </c>
      <c r="AR517" s="13" t="n">
        <v>0</v>
      </c>
      <c r="AS517" s="13" t="n">
        <v>0.01</v>
      </c>
      <c r="AT517" s="13" t="n">
        <v>0</v>
      </c>
      <c r="AU517" s="13" t="n">
        <v>0</v>
      </c>
      <c r="AV517" s="13" t="n">
        <v>-0.005</v>
      </c>
      <c r="AW517" s="13">
        <f>IF(X517="","",(AM517/100*AO517)+AP517+AQ517+AR517)</f>
        <v/>
      </c>
      <c r="AX517" s="13">
        <f>IF(X517="","",AS517+AT517+AU517+AV517)</f>
        <v/>
      </c>
      <c r="AY517" s="12">
        <f>IF(AZ517="","",ROUND(AZ517*(1+Assumptions!$B$10),0))</f>
        <v/>
      </c>
      <c r="AZ517" s="12">
        <f>IF(X517="","",ROUND(X517*(1+AW517),0))</f>
        <v/>
      </c>
      <c r="BA517" s="12">
        <f>IF(AZ517="","",ROUND(AZ517*(1+Assumptions!$B$11),0))</f>
        <v/>
      </c>
      <c r="BB517" s="12">
        <f>IF(AZ517="","",ROUND(AZ517*(1+AX517+Assumptions!$B$10),0))</f>
        <v/>
      </c>
      <c r="BC517" s="12">
        <f>IF(AZ517="","",ROUND(AZ517*(1+AX517),0))</f>
        <v/>
      </c>
      <c r="BD517" s="12">
        <f>IF(AZ517="","",ROUND(AZ517*(1+AX517+Assumptions!$B$11),0))</f>
        <v/>
      </c>
      <c r="BE517" s="12">
        <f>IF(AZ517="","",ROUND(AZ517*(1+AX517)*(1+AX517),0))</f>
        <v/>
      </c>
      <c r="BF517" s="7" t="inlineStr">
        <is>
          <t>Rules-based enrichment using launch-price anchor, cap-app realization, and 2026 segment conditions.</t>
        </is>
      </c>
      <c r="BG517" t="inlineStr">
        <is>
          <t>2026-03-17</t>
        </is>
      </c>
      <c r="BH517" s="7" t="inlineStr">
        <is>
          <t>DLD / Digital Dubai / CBUAE / Savills / Knight Frank-Moody’s / Reuters</t>
        </is>
      </c>
    </row>
    <row r="518">
      <c r="A518" t="n">
        <v>517</v>
      </c>
      <c r="B518" s="7" t="inlineStr">
        <is>
          <t>Palm Signature Villas</t>
        </is>
      </c>
      <c r="C518" t="inlineStr">
        <is>
          <t>Sankari Properties</t>
        </is>
      </c>
      <c r="D518" t="inlineStr">
        <is>
          <t>Palm Jumeirah</t>
        </is>
      </c>
      <c r="E518" t="inlineStr">
        <is>
          <t>Villas</t>
        </is>
      </c>
      <c r="F518" s="7" t="inlineStr">
        <is>
          <t>Custom / Ultra</t>
        </is>
      </c>
      <c r="G518" t="inlineStr">
        <is>
          <t>100M+</t>
        </is>
      </c>
      <c r="H518" t="inlineStr">
        <is>
          <t>8000+</t>
        </is>
      </c>
      <c r="I518" t="inlineStr">
        <is>
          <t>50+</t>
        </is>
      </c>
      <c r="J518" t="inlineStr">
        <is>
          <t>Completed</t>
        </is>
      </c>
      <c r="K518" t="inlineStr">
        <is>
          <t>Varies</t>
        </is>
      </c>
      <c r="L518" t="inlineStr">
        <is>
          <t>3.0-3.5</t>
        </is>
      </c>
      <c r="M518" t="inlineStr">
        <is>
          <t>5-8</t>
        </is>
      </c>
      <c r="N518" t="inlineStr">
        <is>
          <t>8.0-11.5</t>
        </is>
      </c>
      <c r="O518" s="7" t="inlineStr">
        <is>
          <t>Chevalier College</t>
        </is>
      </c>
      <c r="P518" s="7" t="inlineStr">
        <is>
          <t>Emirates Hospital</t>
        </is>
      </c>
      <c r="Q518" s="7" t="inlineStr">
        <is>
          <t>Nakheel Mall</t>
        </is>
      </c>
      <c r="R518" s="7" t="inlineStr">
        <is>
          <t>Sheikh Zayed E11</t>
        </is>
      </c>
      <c r="S518" t="inlineStr">
        <is>
          <t>20</t>
        </is>
      </c>
      <c r="T518" t="inlineStr">
        <is>
          <t>10</t>
        </is>
      </c>
      <c r="U518" t="inlineStr">
        <is>
          <t>25</t>
        </is>
      </c>
      <c r="V518" t="inlineStr">
        <is>
          <t>35</t>
        </is>
      </c>
      <c r="W518" t="n">
        <v>2</v>
      </c>
      <c r="X518" s="12" t="n">
        <v>100000000</v>
      </c>
      <c r="Y518" s="12" t="n">
        <v>100000000</v>
      </c>
      <c r="Z518" s="9" t="n">
        <v>3</v>
      </c>
      <c r="AA518" s="9" t="n">
        <v>3.5</v>
      </c>
      <c r="AB518" s="9" t="n">
        <v>5</v>
      </c>
      <c r="AC518" s="9" t="n">
        <v>8</v>
      </c>
      <c r="AD518" s="9" t="n">
        <v>8</v>
      </c>
      <c r="AE518" s="9" t="n">
        <v>11.5</v>
      </c>
      <c r="AH518" t="inlineStr">
        <is>
          <t>Villa</t>
        </is>
      </c>
      <c r="AI518" t="inlineStr">
        <is>
          <t>Prime</t>
        </is>
      </c>
      <c r="AJ518" t="inlineStr">
        <is>
          <t>Established</t>
        </is>
      </c>
      <c r="AK518" t="inlineStr">
        <is>
          <t>Prime resilient / selective</t>
        </is>
      </c>
      <c r="AL518" s="7" t="inlineStr">
        <is>
          <t>Better support from quality, branding, and scarcer prime stock; still entry-price sensitive.</t>
        </is>
      </c>
      <c r="AM518" s="9" t="n">
        <v>6.5</v>
      </c>
      <c r="AN518" s="9" t="n">
        <v>3.25</v>
      </c>
      <c r="AO518" s="10" t="n">
        <v>0.25</v>
      </c>
      <c r="AP518" s="13" t="n">
        <v>0.02</v>
      </c>
      <c r="AQ518" s="13" t="n">
        <v>0.015</v>
      </c>
      <c r="AR518" s="13" t="n">
        <v>0</v>
      </c>
      <c r="AS518" s="13" t="n">
        <v>0.03</v>
      </c>
      <c r="AT518" s="13" t="n">
        <v>0</v>
      </c>
      <c r="AU518" s="13" t="n">
        <v>0</v>
      </c>
      <c r="AV518" s="13" t="n">
        <v>-0.005</v>
      </c>
      <c r="AW518" s="13">
        <f>IF(X518="","",(AM518/100*AO518)+AP518+AQ518+AR518)</f>
        <v/>
      </c>
      <c r="AX518" s="13">
        <f>IF(X518="","",AS518+AT518+AU518+AV518)</f>
        <v/>
      </c>
      <c r="AY518" s="12">
        <f>IF(AZ518="","",ROUND(AZ518*(1+Assumptions!$B$10),0))</f>
        <v/>
      </c>
      <c r="AZ518" s="12">
        <f>IF(X518="","",ROUND(X518*(1+AW518),0))</f>
        <v/>
      </c>
      <c r="BA518" s="12">
        <f>IF(AZ518="","",ROUND(AZ518*(1+Assumptions!$B$11),0))</f>
        <v/>
      </c>
      <c r="BB518" s="12">
        <f>IF(AZ518="","",ROUND(AZ518*(1+AX518+Assumptions!$B$10),0))</f>
        <v/>
      </c>
      <c r="BC518" s="12">
        <f>IF(AZ518="","",ROUND(AZ518*(1+AX518),0))</f>
        <v/>
      </c>
      <c r="BD518" s="12">
        <f>IF(AZ518="","",ROUND(AZ518*(1+AX518+Assumptions!$B$11),0))</f>
        <v/>
      </c>
      <c r="BE518" s="12">
        <f>IF(AZ518="","",ROUND(AZ518*(1+AX518)*(1+AX518),0))</f>
        <v/>
      </c>
      <c r="BF518" s="7" t="inlineStr">
        <is>
          <t>Rules-based enrichment using launch-price anchor, cap-app realization, and 2026 segment conditions.</t>
        </is>
      </c>
      <c r="BG518" t="inlineStr">
        <is>
          <t>2026-03-17</t>
        </is>
      </c>
      <c r="BH518" s="7" t="inlineStr">
        <is>
          <t>DLD / Digital Dubai / CBUAE / Savills / Knight Frank-Moody’s / Reuters</t>
        </is>
      </c>
    </row>
    <row r="519">
      <c r="A519" t="n">
        <v>518</v>
      </c>
      <c r="B519" s="7" t="inlineStr">
        <is>
          <t>Seven Palm</t>
        </is>
      </c>
      <c r="C519" t="inlineStr">
        <is>
          <t>Seven Tides</t>
        </is>
      </c>
      <c r="D519" t="inlineStr">
        <is>
          <t>Palm Jumeirah</t>
        </is>
      </c>
      <c r="E519" t="inlineStr">
        <is>
          <t>Hotel/Residences</t>
        </is>
      </c>
      <c r="F519" s="7" t="inlineStr">
        <is>
          <t>Beach / Pool</t>
        </is>
      </c>
      <c r="G519" t="inlineStr">
        <is>
          <t>Resale (1.5M+)</t>
        </is>
      </c>
      <c r="H519" t="inlineStr">
        <is>
          <t>2500</t>
        </is>
      </c>
      <c r="I519" t="inlineStr">
        <is>
          <t>30</t>
        </is>
      </c>
      <c r="J519" t="inlineStr">
        <is>
          <t>Completed</t>
        </is>
      </c>
      <c r="K519" t="inlineStr">
        <is>
          <t>2021</t>
        </is>
      </c>
      <c r="L519" t="inlineStr">
        <is>
          <t>5.5-6.5</t>
        </is>
      </c>
      <c r="M519" t="inlineStr">
        <is>
          <t>5-7</t>
        </is>
      </c>
      <c r="N519" t="inlineStr">
        <is>
          <t>10.5-13.5</t>
        </is>
      </c>
      <c r="O519" s="7" t="inlineStr">
        <is>
          <t>Chevalier College</t>
        </is>
      </c>
      <c r="P519" s="7" t="inlineStr">
        <is>
          <t>Emirates Hospital</t>
        </is>
      </c>
      <c r="Q519" s="7" t="inlineStr">
        <is>
          <t>Nakheel Mall</t>
        </is>
      </c>
      <c r="R519" s="7" t="inlineStr">
        <is>
          <t>Sheikh Zayed E11</t>
        </is>
      </c>
      <c r="S519" t="inlineStr">
        <is>
          <t>20</t>
        </is>
      </c>
      <c r="T519" t="inlineStr">
        <is>
          <t>10</t>
        </is>
      </c>
      <c r="U519" t="inlineStr">
        <is>
          <t>25</t>
        </is>
      </c>
      <c r="V519" t="inlineStr">
        <is>
          <t>35</t>
        </is>
      </c>
      <c r="W519" t="n">
        <v>2</v>
      </c>
      <c r="X519" s="12" t="n">
        <v>1500000</v>
      </c>
      <c r="Y519" s="12" t="n">
        <v>1500000</v>
      </c>
      <c r="Z519" s="9" t="n">
        <v>5.5</v>
      </c>
      <c r="AA519" s="9" t="n">
        <v>6.5</v>
      </c>
      <c r="AB519" s="9" t="n">
        <v>5</v>
      </c>
      <c r="AC519" s="9" t="n">
        <v>7</v>
      </c>
      <c r="AD519" s="9" t="n">
        <v>10.5</v>
      </c>
      <c r="AE519" s="9" t="n">
        <v>13.5</v>
      </c>
      <c r="AF519" t="n">
        <v>2021</v>
      </c>
      <c r="AH519" t="inlineStr">
        <is>
          <t>Apartment</t>
        </is>
      </c>
      <c r="AI519" t="inlineStr">
        <is>
          <t>Prime</t>
        </is>
      </c>
      <c r="AJ519" t="inlineStr">
        <is>
          <t>Established</t>
        </is>
      </c>
      <c r="AK519" t="inlineStr">
        <is>
          <t>Prime resilient / selective</t>
        </is>
      </c>
      <c r="AL519" s="7" t="inlineStr">
        <is>
          <t>Better support from quality, branding, and scarcer prime stock; still entry-price sensitive.</t>
        </is>
      </c>
      <c r="AM519" s="9" t="n">
        <v>6</v>
      </c>
      <c r="AN519" s="9" t="n">
        <v>6</v>
      </c>
      <c r="AO519" s="10" t="n">
        <v>0.55</v>
      </c>
      <c r="AP519" s="13" t="n">
        <v>0.02</v>
      </c>
      <c r="AQ519" s="13" t="n">
        <v>0</v>
      </c>
      <c r="AR519" s="13" t="n">
        <v>0</v>
      </c>
      <c r="AS519" s="13" t="n">
        <v>0.03</v>
      </c>
      <c r="AT519" s="13" t="n">
        <v>0</v>
      </c>
      <c r="AU519" s="13" t="n">
        <v>0</v>
      </c>
      <c r="AV519" s="13" t="n">
        <v>-0.005</v>
      </c>
      <c r="AW519" s="13">
        <f>IF(X519="","",(AM519/100*AO519)+AP519+AQ519+AR519)</f>
        <v/>
      </c>
      <c r="AX519" s="13">
        <f>IF(X519="","",AS519+AT519+AU519+AV519)</f>
        <v/>
      </c>
      <c r="AY519" s="12">
        <f>IF(AZ519="","",ROUND(AZ519*(1+Assumptions!$B$10),0))</f>
        <v/>
      </c>
      <c r="AZ519" s="12">
        <f>IF(X519="","",ROUND(X519*(1+AW519),0))</f>
        <v/>
      </c>
      <c r="BA519" s="12">
        <f>IF(AZ519="","",ROUND(AZ519*(1+Assumptions!$B$11),0))</f>
        <v/>
      </c>
      <c r="BB519" s="12">
        <f>IF(AZ519="","",ROUND(AZ519*(1+AX519+Assumptions!$B$10),0))</f>
        <v/>
      </c>
      <c r="BC519" s="12">
        <f>IF(AZ519="","",ROUND(AZ519*(1+AX519),0))</f>
        <v/>
      </c>
      <c r="BD519" s="12">
        <f>IF(AZ519="","",ROUND(AZ519*(1+AX519+Assumptions!$B$11),0))</f>
        <v/>
      </c>
      <c r="BE519" s="12">
        <f>IF(AZ519="","",ROUND(AZ519*(1+AX519)*(1+AX519),0))</f>
        <v/>
      </c>
      <c r="BF519" s="7" t="inlineStr">
        <is>
          <t>Rules-based enrichment using launch-price anchor, cap-app realization, and 2026 segment conditions.</t>
        </is>
      </c>
      <c r="BG519" t="inlineStr">
        <is>
          <t>2026-03-17</t>
        </is>
      </c>
      <c r="BH519" s="7" t="inlineStr">
        <is>
          <t>DLD / Digital Dubai / CBUAE / Savills / Knight Frank-Moody’s / Reuters</t>
        </is>
      </c>
    </row>
    <row r="520">
      <c r="A520" t="n">
        <v>519</v>
      </c>
      <c r="B520" s="7" t="inlineStr">
        <is>
          <t>Anantara The Palm Residences</t>
        </is>
      </c>
      <c r="C520" t="inlineStr">
        <is>
          <t>Seven Tides</t>
        </is>
      </c>
      <c r="D520" t="inlineStr">
        <is>
          <t>Palm Jumeirah</t>
        </is>
      </c>
      <c r="E520" t="inlineStr">
        <is>
          <t>Hotel/Residences</t>
        </is>
      </c>
      <c r="F520" s="7" t="inlineStr">
        <is>
          <t>Thai Resort / Beach</t>
        </is>
      </c>
      <c r="G520" t="inlineStr">
        <is>
          <t>Resale (2.5M+)</t>
        </is>
      </c>
      <c r="H520" t="inlineStr">
        <is>
          <t>2800</t>
        </is>
      </c>
      <c r="I520" t="inlineStr">
        <is>
          <t>35</t>
        </is>
      </c>
      <c r="J520" t="inlineStr">
        <is>
          <t>Completed</t>
        </is>
      </c>
      <c r="K520" t="inlineStr">
        <is>
          <t>2014</t>
        </is>
      </c>
      <c r="L520" t="inlineStr">
        <is>
          <t>5.0-5.5</t>
        </is>
      </c>
      <c r="M520" t="inlineStr">
        <is>
          <t>5-7</t>
        </is>
      </c>
      <c r="N520" t="inlineStr">
        <is>
          <t>10.0-12.5</t>
        </is>
      </c>
      <c r="O520" s="7" t="inlineStr">
        <is>
          <t>Chevalier College</t>
        </is>
      </c>
      <c r="P520" s="7" t="inlineStr">
        <is>
          <t>Emirates Hospital</t>
        </is>
      </c>
      <c r="Q520" s="7" t="inlineStr">
        <is>
          <t>Nakheel Mall</t>
        </is>
      </c>
      <c r="R520" s="7" t="inlineStr">
        <is>
          <t>Sheikh Zayed E11</t>
        </is>
      </c>
      <c r="S520" t="inlineStr">
        <is>
          <t>20</t>
        </is>
      </c>
      <c r="T520" t="inlineStr">
        <is>
          <t>10</t>
        </is>
      </c>
      <c r="U520" t="inlineStr">
        <is>
          <t>25</t>
        </is>
      </c>
      <c r="V520" t="inlineStr">
        <is>
          <t>35</t>
        </is>
      </c>
      <c r="W520" t="n">
        <v>2</v>
      </c>
      <c r="X520" s="12" t="n">
        <v>2500000</v>
      </c>
      <c r="Y520" s="12" t="n">
        <v>2500000</v>
      </c>
      <c r="Z520" s="9" t="n">
        <v>5</v>
      </c>
      <c r="AA520" s="9" t="n">
        <v>5.5</v>
      </c>
      <c r="AB520" s="9" t="n">
        <v>5</v>
      </c>
      <c r="AC520" s="9" t="n">
        <v>7</v>
      </c>
      <c r="AD520" s="9" t="n">
        <v>10</v>
      </c>
      <c r="AE520" s="9" t="n">
        <v>12.5</v>
      </c>
      <c r="AF520" t="n">
        <v>2014</v>
      </c>
      <c r="AH520" t="inlineStr">
        <is>
          <t>Apartment</t>
        </is>
      </c>
      <c r="AI520" t="inlineStr">
        <is>
          <t>Prime</t>
        </is>
      </c>
      <c r="AJ520" t="inlineStr">
        <is>
          <t>Established</t>
        </is>
      </c>
      <c r="AK520" t="inlineStr">
        <is>
          <t>Prime resilient / selective</t>
        </is>
      </c>
      <c r="AL520" s="7" t="inlineStr">
        <is>
          <t>Better support from quality, branding, and scarcer prime stock; still entry-price sensitive.</t>
        </is>
      </c>
      <c r="AM520" s="9" t="n">
        <v>6</v>
      </c>
      <c r="AN520" s="9" t="n">
        <v>5.25</v>
      </c>
      <c r="AO520" s="10" t="n">
        <v>0.55</v>
      </c>
      <c r="AP520" s="13" t="n">
        <v>0.02</v>
      </c>
      <c r="AQ520" s="13" t="n">
        <v>0</v>
      </c>
      <c r="AR520" s="13" t="n">
        <v>0</v>
      </c>
      <c r="AS520" s="13" t="n">
        <v>0.03</v>
      </c>
      <c r="AT520" s="13" t="n">
        <v>0</v>
      </c>
      <c r="AU520" s="13" t="n">
        <v>0</v>
      </c>
      <c r="AV520" s="13" t="n">
        <v>-0.005</v>
      </c>
      <c r="AW520" s="13">
        <f>IF(X520="","",(AM520/100*AO520)+AP520+AQ520+AR520)</f>
        <v/>
      </c>
      <c r="AX520" s="13">
        <f>IF(X520="","",AS520+AT520+AU520+AV520)</f>
        <v/>
      </c>
      <c r="AY520" s="12">
        <f>IF(AZ520="","",ROUND(AZ520*(1+Assumptions!$B$10),0))</f>
        <v/>
      </c>
      <c r="AZ520" s="12">
        <f>IF(X520="","",ROUND(X520*(1+AW520),0))</f>
        <v/>
      </c>
      <c r="BA520" s="12">
        <f>IF(AZ520="","",ROUND(AZ520*(1+Assumptions!$B$11),0))</f>
        <v/>
      </c>
      <c r="BB520" s="12">
        <f>IF(AZ520="","",ROUND(AZ520*(1+AX520+Assumptions!$B$10),0))</f>
        <v/>
      </c>
      <c r="BC520" s="12">
        <f>IF(AZ520="","",ROUND(AZ520*(1+AX520),0))</f>
        <v/>
      </c>
      <c r="BD520" s="12">
        <f>IF(AZ520="","",ROUND(AZ520*(1+AX520+Assumptions!$B$11),0))</f>
        <v/>
      </c>
      <c r="BE520" s="12">
        <f>IF(AZ520="","",ROUND(AZ520*(1+AX520)*(1+AX520),0))</f>
        <v/>
      </c>
      <c r="BF520" s="7" t="inlineStr">
        <is>
          <t>Rules-based enrichment using launch-price anchor, cap-app realization, and 2026 segment conditions.</t>
        </is>
      </c>
      <c r="BG520" t="inlineStr">
        <is>
          <t>2026-03-17</t>
        </is>
      </c>
      <c r="BH520" s="7" t="inlineStr">
        <is>
          <t>DLD / Digital Dubai / CBUAE / Savills / Knight Frank-Moody’s / Reuters</t>
        </is>
      </c>
    </row>
    <row r="521">
      <c r="A521" t="n">
        <v>520</v>
      </c>
      <c r="B521" s="7" t="inlineStr">
        <is>
          <t>Dukes The Palm</t>
        </is>
      </c>
      <c r="C521" t="inlineStr">
        <is>
          <t>Seven Tides</t>
        </is>
      </c>
      <c r="D521" t="inlineStr">
        <is>
          <t>Palm Jumeirah</t>
        </is>
      </c>
      <c r="E521" t="inlineStr">
        <is>
          <t>Hotel/Residences</t>
        </is>
      </c>
      <c r="F521" s="7" t="inlineStr">
        <is>
          <t>British / Beach</t>
        </is>
      </c>
      <c r="G521" t="inlineStr">
        <is>
          <t>Resale (1.2M+)</t>
        </is>
      </c>
      <c r="H521" t="inlineStr">
        <is>
          <t>2500</t>
        </is>
      </c>
      <c r="I521" t="inlineStr">
        <is>
          <t>30</t>
        </is>
      </c>
      <c r="J521" t="inlineStr">
        <is>
          <t>Completed</t>
        </is>
      </c>
      <c r="K521" t="inlineStr">
        <is>
          <t>2017</t>
        </is>
      </c>
      <c r="L521" t="inlineStr">
        <is>
          <t>5.5-6.5</t>
        </is>
      </c>
      <c r="M521" t="inlineStr">
        <is>
          <t>5-7</t>
        </is>
      </c>
      <c r="N521" t="inlineStr">
        <is>
          <t>10.5-13.5</t>
        </is>
      </c>
      <c r="O521" s="7" t="inlineStr">
        <is>
          <t>Chevalier College</t>
        </is>
      </c>
      <c r="P521" s="7" t="inlineStr">
        <is>
          <t>Emirates Hospital</t>
        </is>
      </c>
      <c r="Q521" s="7" t="inlineStr">
        <is>
          <t>Nakheel Mall</t>
        </is>
      </c>
      <c r="R521" s="7" t="inlineStr">
        <is>
          <t>Sheikh Zayed E11</t>
        </is>
      </c>
      <c r="S521" t="inlineStr">
        <is>
          <t>20</t>
        </is>
      </c>
      <c r="T521" t="inlineStr">
        <is>
          <t>10</t>
        </is>
      </c>
      <c r="U521" t="inlineStr">
        <is>
          <t>25</t>
        </is>
      </c>
      <c r="V521" t="inlineStr">
        <is>
          <t>35</t>
        </is>
      </c>
      <c r="W521" t="n">
        <v>2</v>
      </c>
      <c r="X521" s="12" t="n">
        <v>1200000</v>
      </c>
      <c r="Y521" s="12" t="n">
        <v>1200000</v>
      </c>
      <c r="Z521" s="9" t="n">
        <v>5.5</v>
      </c>
      <c r="AA521" s="9" t="n">
        <v>6.5</v>
      </c>
      <c r="AB521" s="9" t="n">
        <v>5</v>
      </c>
      <c r="AC521" s="9" t="n">
        <v>7</v>
      </c>
      <c r="AD521" s="9" t="n">
        <v>10.5</v>
      </c>
      <c r="AE521" s="9" t="n">
        <v>13.5</v>
      </c>
      <c r="AF521" t="n">
        <v>2017</v>
      </c>
      <c r="AH521" t="inlineStr">
        <is>
          <t>Apartment</t>
        </is>
      </c>
      <c r="AI521" t="inlineStr">
        <is>
          <t>Prime</t>
        </is>
      </c>
      <c r="AJ521" t="inlineStr">
        <is>
          <t>Established</t>
        </is>
      </c>
      <c r="AK521" t="inlineStr">
        <is>
          <t>Prime resilient / selective</t>
        </is>
      </c>
      <c r="AL521" s="7" t="inlineStr">
        <is>
          <t>Better support from quality, branding, and scarcer prime stock; still entry-price sensitive.</t>
        </is>
      </c>
      <c r="AM521" s="9" t="n">
        <v>6</v>
      </c>
      <c r="AN521" s="9" t="n">
        <v>6</v>
      </c>
      <c r="AO521" s="10" t="n">
        <v>0.55</v>
      </c>
      <c r="AP521" s="13" t="n">
        <v>0.02</v>
      </c>
      <c r="AQ521" s="13" t="n">
        <v>0</v>
      </c>
      <c r="AR521" s="13" t="n">
        <v>0</v>
      </c>
      <c r="AS521" s="13" t="n">
        <v>0.03</v>
      </c>
      <c r="AT521" s="13" t="n">
        <v>0</v>
      </c>
      <c r="AU521" s="13" t="n">
        <v>0</v>
      </c>
      <c r="AV521" s="13" t="n">
        <v>-0.005</v>
      </c>
      <c r="AW521" s="13">
        <f>IF(X521="","",(AM521/100*AO521)+AP521+AQ521+AR521)</f>
        <v/>
      </c>
      <c r="AX521" s="13">
        <f>IF(X521="","",AS521+AT521+AU521+AV521)</f>
        <v/>
      </c>
      <c r="AY521" s="12">
        <f>IF(AZ521="","",ROUND(AZ521*(1+Assumptions!$B$10),0))</f>
        <v/>
      </c>
      <c r="AZ521" s="12">
        <f>IF(X521="","",ROUND(X521*(1+AW521),0))</f>
        <v/>
      </c>
      <c r="BA521" s="12">
        <f>IF(AZ521="","",ROUND(AZ521*(1+Assumptions!$B$11),0))</f>
        <v/>
      </c>
      <c r="BB521" s="12">
        <f>IF(AZ521="","",ROUND(AZ521*(1+AX521+Assumptions!$B$10),0))</f>
        <v/>
      </c>
      <c r="BC521" s="12">
        <f>IF(AZ521="","",ROUND(AZ521*(1+AX521),0))</f>
        <v/>
      </c>
      <c r="BD521" s="12">
        <f>IF(AZ521="","",ROUND(AZ521*(1+AX521+Assumptions!$B$11),0))</f>
        <v/>
      </c>
      <c r="BE521" s="12">
        <f>IF(AZ521="","",ROUND(AZ521*(1+AX521)*(1+AX521),0))</f>
        <v/>
      </c>
      <c r="BF521" s="7" t="inlineStr">
        <is>
          <t>Rules-based enrichment using launch-price anchor, cap-app realization, and 2026 segment conditions.</t>
        </is>
      </c>
      <c r="BG521" t="inlineStr">
        <is>
          <t>2026-03-17</t>
        </is>
      </c>
      <c r="BH521" s="7" t="inlineStr">
        <is>
          <t>DLD / Digital Dubai / CBUAE / Savills / Knight Frank-Moody’s / Reuters</t>
        </is>
      </c>
    </row>
    <row r="522">
      <c r="A522" t="n">
        <v>521</v>
      </c>
      <c r="B522" s="7" t="inlineStr">
        <is>
          <t>Oceana</t>
        </is>
      </c>
      <c r="C522" t="inlineStr">
        <is>
          <t>Seven Tides</t>
        </is>
      </c>
      <c r="D522" t="inlineStr">
        <is>
          <t>Palm Jumeirah</t>
        </is>
      </c>
      <c r="E522" t="inlineStr">
        <is>
          <t>Apartments</t>
        </is>
      </c>
      <c r="F522" s="7" t="inlineStr">
        <is>
          <t>Beach / Club</t>
        </is>
      </c>
      <c r="G522" t="inlineStr">
        <is>
          <t>Resale (3M+)</t>
        </is>
      </c>
      <c r="H522" t="inlineStr">
        <is>
          <t>2200</t>
        </is>
      </c>
      <c r="I522" t="inlineStr">
        <is>
          <t>28</t>
        </is>
      </c>
      <c r="J522" t="inlineStr">
        <is>
          <t>Completed</t>
        </is>
      </c>
      <c r="K522" t="inlineStr">
        <is>
          <t>2009</t>
        </is>
      </c>
      <c r="L522" t="inlineStr">
        <is>
          <t>5.0-5.5</t>
        </is>
      </c>
      <c r="M522" t="inlineStr">
        <is>
          <t>5-7</t>
        </is>
      </c>
      <c r="N522" t="inlineStr">
        <is>
          <t>10.0-12.5</t>
        </is>
      </c>
      <c r="O522" s="7" t="inlineStr">
        <is>
          <t>Chevalier College</t>
        </is>
      </c>
      <c r="P522" s="7" t="inlineStr">
        <is>
          <t>Emirates Hospital</t>
        </is>
      </c>
      <c r="Q522" s="7" t="inlineStr">
        <is>
          <t>Nakheel Mall</t>
        </is>
      </c>
      <c r="R522" s="7" t="inlineStr">
        <is>
          <t>Sheikh Zayed E11</t>
        </is>
      </c>
      <c r="S522" t="inlineStr">
        <is>
          <t>20</t>
        </is>
      </c>
      <c r="T522" t="inlineStr">
        <is>
          <t>10</t>
        </is>
      </c>
      <c r="U522" t="inlineStr">
        <is>
          <t>25</t>
        </is>
      </c>
      <c r="V522" t="inlineStr">
        <is>
          <t>35</t>
        </is>
      </c>
      <c r="W522" t="n">
        <v>2</v>
      </c>
      <c r="X522" s="12" t="n">
        <v>3000000</v>
      </c>
      <c r="Y522" s="12" t="n">
        <v>3000000</v>
      </c>
      <c r="Z522" s="9" t="n">
        <v>5</v>
      </c>
      <c r="AA522" s="9" t="n">
        <v>5.5</v>
      </c>
      <c r="AB522" s="9" t="n">
        <v>5</v>
      </c>
      <c r="AC522" s="9" t="n">
        <v>7</v>
      </c>
      <c r="AD522" s="9" t="n">
        <v>10</v>
      </c>
      <c r="AE522" s="9" t="n">
        <v>12.5</v>
      </c>
      <c r="AF522" t="n">
        <v>2009</v>
      </c>
      <c r="AH522" t="inlineStr">
        <is>
          <t>Apartment</t>
        </is>
      </c>
      <c r="AI522" t="inlineStr">
        <is>
          <t>Prime</t>
        </is>
      </c>
      <c r="AJ522" t="inlineStr">
        <is>
          <t>Established</t>
        </is>
      </c>
      <c r="AK522" t="inlineStr">
        <is>
          <t>Prime resilient / selective</t>
        </is>
      </c>
      <c r="AL522" s="7" t="inlineStr">
        <is>
          <t>Better support from quality, branding, and scarcer prime stock; still entry-price sensitive.</t>
        </is>
      </c>
      <c r="AM522" s="9" t="n">
        <v>6</v>
      </c>
      <c r="AN522" s="9" t="n">
        <v>5.25</v>
      </c>
      <c r="AO522" s="10" t="n">
        <v>0.55</v>
      </c>
      <c r="AP522" s="13" t="n">
        <v>0.02</v>
      </c>
      <c r="AQ522" s="13" t="n">
        <v>0</v>
      </c>
      <c r="AR522" s="13" t="n">
        <v>0</v>
      </c>
      <c r="AS522" s="13" t="n">
        <v>0.03</v>
      </c>
      <c r="AT522" s="13" t="n">
        <v>0</v>
      </c>
      <c r="AU522" s="13" t="n">
        <v>0</v>
      </c>
      <c r="AV522" s="13" t="n">
        <v>-0.005</v>
      </c>
      <c r="AW522" s="13">
        <f>IF(X522="","",(AM522/100*AO522)+AP522+AQ522+AR522)</f>
        <v/>
      </c>
      <c r="AX522" s="13">
        <f>IF(X522="","",AS522+AT522+AU522+AV522)</f>
        <v/>
      </c>
      <c r="AY522" s="12">
        <f>IF(AZ522="","",ROUND(AZ522*(1+Assumptions!$B$10),0))</f>
        <v/>
      </c>
      <c r="AZ522" s="12">
        <f>IF(X522="","",ROUND(X522*(1+AW522),0))</f>
        <v/>
      </c>
      <c r="BA522" s="12">
        <f>IF(AZ522="","",ROUND(AZ522*(1+Assumptions!$B$11),0))</f>
        <v/>
      </c>
      <c r="BB522" s="12">
        <f>IF(AZ522="","",ROUND(AZ522*(1+AX522+Assumptions!$B$10),0))</f>
        <v/>
      </c>
      <c r="BC522" s="12">
        <f>IF(AZ522="","",ROUND(AZ522*(1+AX522),0))</f>
        <v/>
      </c>
      <c r="BD522" s="12">
        <f>IF(AZ522="","",ROUND(AZ522*(1+AX522+Assumptions!$B$11),0))</f>
        <v/>
      </c>
      <c r="BE522" s="12">
        <f>IF(AZ522="","",ROUND(AZ522*(1+AX522)*(1+AX522),0))</f>
        <v/>
      </c>
      <c r="BF522" s="7" t="inlineStr">
        <is>
          <t>Rules-based enrichment using launch-price anchor, cap-app realization, and 2026 segment conditions.</t>
        </is>
      </c>
      <c r="BG522" t="inlineStr">
        <is>
          <t>2026-03-17</t>
        </is>
      </c>
      <c r="BH522" s="7" t="inlineStr">
        <is>
          <t>DLD / Digital Dubai / CBUAE / Savills / Knight Frank-Moody’s / Reuters</t>
        </is>
      </c>
    </row>
    <row r="523">
      <c r="A523" t="n">
        <v>522</v>
      </c>
      <c r="B523" s="7" t="inlineStr">
        <is>
          <t>Seven City (Golf Views)</t>
        </is>
      </c>
      <c r="C523" t="inlineStr">
        <is>
          <t>Seven Tides</t>
        </is>
      </c>
      <c r="D523" t="inlineStr">
        <is>
          <t>JLT</t>
        </is>
      </c>
      <c r="E523" t="inlineStr">
        <is>
          <t>Apartments</t>
        </is>
      </c>
      <c r="F523" s="7" t="inlineStr">
        <is>
          <t>Golf / High-Rise</t>
        </is>
      </c>
      <c r="G523" t="inlineStr">
        <is>
          <t>600k</t>
        </is>
      </c>
      <c r="H523" t="inlineStr">
        <is>
          <t>1400</t>
        </is>
      </c>
      <c r="I523" t="inlineStr">
        <is>
          <t>18</t>
        </is>
      </c>
      <c r="J523" t="inlineStr">
        <is>
          <t>50/50</t>
        </is>
      </c>
      <c r="K523" t="inlineStr">
        <is>
          <t>2018</t>
        </is>
      </c>
      <c r="L523" t="inlineStr">
        <is>
          <t>6.5-7.0</t>
        </is>
      </c>
      <c r="M523" t="inlineStr">
        <is>
          <t>5-7</t>
        </is>
      </c>
      <c r="N523" t="inlineStr">
        <is>
          <t>11.5-14.0</t>
        </is>
      </c>
      <c r="O523" s="7" t="inlineStr">
        <is>
          <t>Emirates Intl School</t>
        </is>
      </c>
      <c r="P523" s="7" t="inlineStr">
        <is>
          <t>Saudi German Hospital</t>
        </is>
      </c>
      <c r="Q523" s="7" t="inlineStr">
        <is>
          <t>Dubai Marina Mall</t>
        </is>
      </c>
      <c r="R523" s="7" t="inlineStr">
        <is>
          <t>Sheikh Zayed E11</t>
        </is>
      </c>
      <c r="S523" t="inlineStr">
        <is>
          <t>20</t>
        </is>
      </c>
      <c r="T523" t="inlineStr">
        <is>
          <t>5</t>
        </is>
      </c>
      <c r="U523" t="inlineStr">
        <is>
          <t>25</t>
        </is>
      </c>
      <c r="V523" t="inlineStr">
        <is>
          <t>30</t>
        </is>
      </c>
      <c r="W523" t="n">
        <v>2</v>
      </c>
      <c r="X523" s="12" t="n">
        <v>600000</v>
      </c>
      <c r="Y523" s="12" t="n">
        <v>600000</v>
      </c>
      <c r="Z523" s="9" t="n">
        <v>6.5</v>
      </c>
      <c r="AA523" s="9" t="n">
        <v>7</v>
      </c>
      <c r="AB523" s="9" t="n">
        <v>5</v>
      </c>
      <c r="AC523" s="9" t="n">
        <v>7</v>
      </c>
      <c r="AD523" s="9" t="n">
        <v>11.5</v>
      </c>
      <c r="AE523" s="9" t="n">
        <v>14</v>
      </c>
      <c r="AF523" t="n">
        <v>2018</v>
      </c>
      <c r="AH523" t="inlineStr">
        <is>
          <t>Apartment</t>
        </is>
      </c>
      <c r="AI523" t="inlineStr">
        <is>
          <t>MainstreamSelective</t>
        </is>
      </c>
      <c r="AJ523" t="inlineStr">
        <is>
          <t>Established</t>
        </is>
      </c>
      <c r="AK523" t="inlineStr">
        <is>
          <t>Balanced / selective</t>
        </is>
      </c>
      <c r="AL523" s="7" t="inlineStr">
        <is>
          <t>Market remains active but increasingly differentiated by developer, micro-location, livability, and pricing discipline.</t>
        </is>
      </c>
      <c r="AM523" s="9" t="n">
        <v>6</v>
      </c>
      <c r="AN523" s="9" t="n">
        <v>6.75</v>
      </c>
      <c r="AO523" s="10" t="n">
        <v>0.55</v>
      </c>
      <c r="AP523" s="13" t="n">
        <v>0</v>
      </c>
      <c r="AQ523" s="13" t="n">
        <v>0</v>
      </c>
      <c r="AR523" s="13" t="n">
        <v>0</v>
      </c>
      <c r="AS523" s="13" t="n">
        <v>0.01</v>
      </c>
      <c r="AT523" s="13" t="n">
        <v>0</v>
      </c>
      <c r="AU523" s="13" t="n">
        <v>0.0025</v>
      </c>
      <c r="AV523" s="13" t="n">
        <v>-0.005</v>
      </c>
      <c r="AW523" s="13">
        <f>IF(X523="","",(AM523/100*AO523)+AP523+AQ523+AR523)</f>
        <v/>
      </c>
      <c r="AX523" s="13">
        <f>IF(X523="","",AS523+AT523+AU523+AV523)</f>
        <v/>
      </c>
      <c r="AY523" s="12">
        <f>IF(AZ523="","",ROUND(AZ523*(1+Assumptions!$B$10),0))</f>
        <v/>
      </c>
      <c r="AZ523" s="12">
        <f>IF(X523="","",ROUND(X523*(1+AW523),0))</f>
        <v/>
      </c>
      <c r="BA523" s="12">
        <f>IF(AZ523="","",ROUND(AZ523*(1+Assumptions!$B$11),0))</f>
        <v/>
      </c>
      <c r="BB523" s="12">
        <f>IF(AZ523="","",ROUND(AZ523*(1+AX523+Assumptions!$B$10),0))</f>
        <v/>
      </c>
      <c r="BC523" s="12">
        <f>IF(AZ523="","",ROUND(AZ523*(1+AX523),0))</f>
        <v/>
      </c>
      <c r="BD523" s="12">
        <f>IF(AZ523="","",ROUND(AZ523*(1+AX523+Assumptions!$B$11),0))</f>
        <v/>
      </c>
      <c r="BE523" s="12">
        <f>IF(AZ523="","",ROUND(AZ523*(1+AX523)*(1+AX523),0))</f>
        <v/>
      </c>
      <c r="BF523" s="7" t="inlineStr">
        <is>
          <t>Rules-based enrichment using launch-price anchor, cap-app realization, and 2026 segment conditions.</t>
        </is>
      </c>
      <c r="BG523" t="inlineStr">
        <is>
          <t>2026-03-17</t>
        </is>
      </c>
      <c r="BH523" s="7" t="inlineStr">
        <is>
          <t>DLD / Digital Dubai / CBUAE / Savills / Knight Frank-Moody’s / Reuters</t>
        </is>
      </c>
    </row>
    <row r="524">
      <c r="A524" t="n">
        <v>523</v>
      </c>
      <c r="B524" s="7" t="inlineStr">
        <is>
          <t>Banyan Tree Residences</t>
        </is>
      </c>
      <c r="C524" t="inlineStr">
        <is>
          <t>Sweid &amp; Sweid</t>
        </is>
      </c>
      <c r="D524" t="inlineStr">
        <is>
          <t>JLT (Hillside)</t>
        </is>
      </c>
      <c r="E524" t="inlineStr">
        <is>
          <t>Branded Apts</t>
        </is>
      </c>
      <c r="F524" s="7" t="inlineStr">
        <is>
          <t>Resort / Hill</t>
        </is>
      </c>
      <c r="G524" t="inlineStr">
        <is>
          <t>Resale (2.5M+)</t>
        </is>
      </c>
      <c r="H524" t="inlineStr">
        <is>
          <t>1800</t>
        </is>
      </c>
      <c r="I524" t="inlineStr">
        <is>
          <t>22</t>
        </is>
      </c>
      <c r="J524" t="inlineStr">
        <is>
          <t>Completed</t>
        </is>
      </c>
      <c r="K524" t="inlineStr">
        <is>
          <t>2019</t>
        </is>
      </c>
      <c r="L524" t="inlineStr">
        <is>
          <t>6.0-6.5</t>
        </is>
      </c>
      <c r="M524" t="inlineStr">
        <is>
          <t>5-7</t>
        </is>
      </c>
      <c r="N524" t="inlineStr">
        <is>
          <t>11.0-13.5</t>
        </is>
      </c>
      <c r="O524" s="7" t="inlineStr">
        <is>
          <t>Emirates Intl School</t>
        </is>
      </c>
      <c r="P524" s="7" t="inlineStr">
        <is>
          <t>Saudi German Hospital</t>
        </is>
      </c>
      <c r="Q524" s="7" t="inlineStr">
        <is>
          <t>Dubai Marina Mall</t>
        </is>
      </c>
      <c r="R524" s="7" t="inlineStr">
        <is>
          <t>Sheikh Zayed E11</t>
        </is>
      </c>
      <c r="S524" t="inlineStr">
        <is>
          <t>20</t>
        </is>
      </c>
      <c r="T524" t="inlineStr">
        <is>
          <t>5</t>
        </is>
      </c>
      <c r="U524" t="inlineStr">
        <is>
          <t>25</t>
        </is>
      </c>
      <c r="V524" t="inlineStr">
        <is>
          <t>30</t>
        </is>
      </c>
      <c r="W524" t="n">
        <v>2</v>
      </c>
      <c r="X524" s="12" t="n">
        <v>2500000</v>
      </c>
      <c r="Y524" s="12" t="n">
        <v>2500000</v>
      </c>
      <c r="Z524" s="9" t="n">
        <v>6</v>
      </c>
      <c r="AA524" s="9" t="n">
        <v>6.5</v>
      </c>
      <c r="AB524" s="9" t="n">
        <v>5</v>
      </c>
      <c r="AC524" s="9" t="n">
        <v>7</v>
      </c>
      <c r="AD524" s="9" t="n">
        <v>11</v>
      </c>
      <c r="AE524" s="9" t="n">
        <v>13.5</v>
      </c>
      <c r="AF524" t="n">
        <v>2019</v>
      </c>
      <c r="AH524" t="inlineStr">
        <is>
          <t>Apartment</t>
        </is>
      </c>
      <c r="AI524" t="inlineStr">
        <is>
          <t>MainstreamSelective</t>
        </is>
      </c>
      <c r="AJ524" t="inlineStr">
        <is>
          <t>Established</t>
        </is>
      </c>
      <c r="AK524" t="inlineStr">
        <is>
          <t>Balanced / selective</t>
        </is>
      </c>
      <c r="AL524" s="7" t="inlineStr">
        <is>
          <t>Market remains active but increasingly differentiated by developer, micro-location, livability, and pricing discipline.</t>
        </is>
      </c>
      <c r="AM524" s="9" t="n">
        <v>6</v>
      </c>
      <c r="AN524" s="9" t="n">
        <v>6.25</v>
      </c>
      <c r="AO524" s="10" t="n">
        <v>0.55</v>
      </c>
      <c r="AP524" s="13" t="n">
        <v>0</v>
      </c>
      <c r="AQ524" s="13" t="n">
        <v>0</v>
      </c>
      <c r="AR524" s="13" t="n">
        <v>0</v>
      </c>
      <c r="AS524" s="13" t="n">
        <v>0.01</v>
      </c>
      <c r="AT524" s="13" t="n">
        <v>0</v>
      </c>
      <c r="AU524" s="13" t="n">
        <v>0.0025</v>
      </c>
      <c r="AV524" s="13" t="n">
        <v>-0.005</v>
      </c>
      <c r="AW524" s="13">
        <f>IF(X524="","",(AM524/100*AO524)+AP524+AQ524+AR524)</f>
        <v/>
      </c>
      <c r="AX524" s="13">
        <f>IF(X524="","",AS524+AT524+AU524+AV524)</f>
        <v/>
      </c>
      <c r="AY524" s="12">
        <f>IF(AZ524="","",ROUND(AZ524*(1+Assumptions!$B$10),0))</f>
        <v/>
      </c>
      <c r="AZ524" s="12">
        <f>IF(X524="","",ROUND(X524*(1+AW524),0))</f>
        <v/>
      </c>
      <c r="BA524" s="12">
        <f>IF(AZ524="","",ROUND(AZ524*(1+Assumptions!$B$11),0))</f>
        <v/>
      </c>
      <c r="BB524" s="12">
        <f>IF(AZ524="","",ROUND(AZ524*(1+AX524+Assumptions!$B$10),0))</f>
        <v/>
      </c>
      <c r="BC524" s="12">
        <f>IF(AZ524="","",ROUND(AZ524*(1+AX524),0))</f>
        <v/>
      </c>
      <c r="BD524" s="12">
        <f>IF(AZ524="","",ROUND(AZ524*(1+AX524+Assumptions!$B$11),0))</f>
        <v/>
      </c>
      <c r="BE524" s="12">
        <f>IF(AZ524="","",ROUND(AZ524*(1+AX524)*(1+AX524),0))</f>
        <v/>
      </c>
      <c r="BF524" s="7" t="inlineStr">
        <is>
          <t>Rules-based enrichment using launch-price anchor, cap-app realization, and 2026 segment conditions.</t>
        </is>
      </c>
      <c r="BG524" t="inlineStr">
        <is>
          <t>2026-03-17</t>
        </is>
      </c>
      <c r="BH524" s="7" t="inlineStr">
        <is>
          <t>DLD / Digital Dubai / CBUAE / Savills / Knight Frank-Moody’s / Reuters</t>
        </is>
      </c>
    </row>
    <row r="525">
      <c r="A525" t="n">
        <v>524</v>
      </c>
      <c r="B525" s="7" t="inlineStr">
        <is>
          <t>The Edge</t>
        </is>
      </c>
      <c r="C525" t="inlineStr">
        <is>
          <t>Sweid &amp; Sweid</t>
        </is>
      </c>
      <c r="D525" t="inlineStr">
        <is>
          <t>Dubai Internet City</t>
        </is>
      </c>
      <c r="E525" t="inlineStr">
        <is>
          <t>Office/Commercial</t>
        </is>
      </c>
      <c r="F525" s="7" t="inlineStr">
        <is>
          <t>Class A Office</t>
        </is>
      </c>
      <c r="G525" t="inlineStr">
        <is>
          <t>Lease Only</t>
        </is>
      </c>
      <c r="I525" t="inlineStr">
        <is>
          <t>25</t>
        </is>
      </c>
      <c r="J525" t="inlineStr">
        <is>
          <t>Completed</t>
        </is>
      </c>
      <c r="K525" t="inlineStr">
        <is>
          <t>2016</t>
        </is>
      </c>
      <c r="L525" t="inlineStr">
        <is>
          <t>8.0-9.0</t>
        </is>
      </c>
      <c r="O525" s="7" t="inlineStr">
        <is>
          <t>American Univ. Dubai</t>
        </is>
      </c>
      <c r="P525" s="7" t="inlineStr">
        <is>
          <t>Saudi German Hospital</t>
        </is>
      </c>
      <c r="Q525" s="7" t="inlineStr">
        <is>
          <t>Dubai Marina Mall</t>
        </is>
      </c>
      <c r="R525" s="7" t="inlineStr">
        <is>
          <t>Sheikh Zayed E11</t>
        </is>
      </c>
      <c r="S525" t="inlineStr">
        <is>
          <t>20</t>
        </is>
      </c>
      <c r="T525" t="inlineStr">
        <is>
          <t>2</t>
        </is>
      </c>
      <c r="U525" t="inlineStr">
        <is>
          <t>25</t>
        </is>
      </c>
      <c r="V525" t="inlineStr">
        <is>
          <t>30</t>
        </is>
      </c>
      <c r="W525" t="n">
        <v>2</v>
      </c>
      <c r="X525" s="12" t="n"/>
      <c r="Y525" s="12" t="n"/>
      <c r="Z525" s="9" t="n">
        <v>8</v>
      </c>
      <c r="AA525" s="9" t="n">
        <v>9</v>
      </c>
      <c r="AB525" s="9" t="n"/>
      <c r="AC525" s="9" t="n"/>
      <c r="AD525" s="9" t="n"/>
      <c r="AE525" s="9" t="n"/>
      <c r="AF525" t="n">
        <v>2016</v>
      </c>
      <c r="AH525" t="inlineStr">
        <is>
          <t>Mixed/Other</t>
        </is>
      </c>
      <c r="AI525" t="inlineStr">
        <is>
          <t>MainstreamSelective</t>
        </is>
      </c>
      <c r="AJ525" t="inlineStr">
        <is>
          <t>Established</t>
        </is>
      </c>
      <c r="AK525" t="inlineStr">
        <is>
          <t>Balanced / selective</t>
        </is>
      </c>
      <c r="AL525" s="7" t="inlineStr">
        <is>
          <t>Market remains active but increasingly differentiated by developer, micro-location, livability, and pricing discipline.</t>
        </is>
      </c>
      <c r="AM525" s="9" t="n">
        <v>0</v>
      </c>
      <c r="AN525" s="9" t="n">
        <v>8.5</v>
      </c>
      <c r="AO525" s="10" t="n">
        <v>0.55</v>
      </c>
      <c r="AP525" s="13" t="n">
        <v>0</v>
      </c>
      <c r="AQ525" s="13" t="n">
        <v>0</v>
      </c>
      <c r="AR525" s="13" t="n">
        <v>0</v>
      </c>
      <c r="AS525" s="13" t="n">
        <v>0.01</v>
      </c>
      <c r="AT525" s="13" t="n">
        <v>0</v>
      </c>
      <c r="AU525" s="13" t="n">
        <v>0.0025</v>
      </c>
      <c r="AV525" s="13" t="n">
        <v>-0.005</v>
      </c>
      <c r="AW525" s="13">
        <f>IF(X525="","",(AM525/100*AO525)+AP525+AQ525+AR525)</f>
        <v/>
      </c>
      <c r="AX525" s="13">
        <f>IF(X525="","",AS525+AT525+AU525+AV525)</f>
        <v/>
      </c>
      <c r="AY525" s="12">
        <f>IF(AZ525="","",ROUND(AZ525*(1+Assumptions!$B$10),0))</f>
        <v/>
      </c>
      <c r="AZ525" s="12">
        <f>IF(X525="","",ROUND(X525*(1+AW525),0))</f>
        <v/>
      </c>
      <c r="BA525" s="12">
        <f>IF(AZ525="","",ROUND(AZ525*(1+Assumptions!$B$11),0))</f>
        <v/>
      </c>
      <c r="BB525" s="12">
        <f>IF(AZ525="","",ROUND(AZ525*(1+AX525+Assumptions!$B$10),0))</f>
        <v/>
      </c>
      <c r="BC525" s="12">
        <f>IF(AZ525="","",ROUND(AZ525*(1+AX525),0))</f>
        <v/>
      </c>
      <c r="BD525" s="12">
        <f>IF(AZ525="","",ROUND(AZ525*(1+AX525+Assumptions!$B$11),0))</f>
        <v/>
      </c>
      <c r="BE525" s="12">
        <f>IF(AZ525="","",ROUND(AZ525*(1+AX525)*(1+AX525),0))</f>
        <v/>
      </c>
      <c r="BF525" s="7" t="inlineStr">
        <is>
          <t>Rules-based enrichment using launch-price anchor, cap-app realization, and 2026 segment conditions.</t>
        </is>
      </c>
      <c r="BG525" t="inlineStr">
        <is>
          <t>2026-03-17</t>
        </is>
      </c>
      <c r="BH525" s="7" t="inlineStr">
        <is>
          <t>DLD / Digital Dubai / CBUAE / Savills / Knight Frank-Moody’s / Reuters</t>
        </is>
      </c>
    </row>
    <row r="526">
      <c r="A526" t="n">
        <v>525</v>
      </c>
      <c r="B526" s="7" t="inlineStr">
        <is>
          <t>The 47th</t>
        </is>
      </c>
      <c r="C526" t="inlineStr">
        <is>
          <t>Sweid &amp; Sweid</t>
        </is>
      </c>
      <c r="D526" t="inlineStr">
        <is>
          <t>Sheikh Zayed Road</t>
        </is>
      </c>
      <c r="E526" t="inlineStr">
        <is>
          <t>Office/Commercial</t>
        </is>
      </c>
      <c r="F526" s="7" t="inlineStr">
        <is>
          <t>Class A Office</t>
        </is>
      </c>
      <c r="G526" t="inlineStr">
        <is>
          <t>Lease Only</t>
        </is>
      </c>
      <c r="I526" t="inlineStr">
        <is>
          <t>25</t>
        </is>
      </c>
      <c r="J526" t="inlineStr">
        <is>
          <t>Under Const</t>
        </is>
      </c>
      <c r="K526" t="inlineStr">
        <is>
          <t>2023</t>
        </is>
      </c>
      <c r="L526" t="inlineStr">
        <is>
          <t>8.0-9.0</t>
        </is>
      </c>
      <c r="O526" s="7" t="inlineStr">
        <is>
          <t>Hartland Intl</t>
        </is>
      </c>
      <c r="P526" s="7" t="inlineStr">
        <is>
          <t>Mediclinic Dubai Mall</t>
        </is>
      </c>
      <c r="Q526" s="7" t="inlineStr">
        <is>
          <t>Dubai Mall</t>
        </is>
      </c>
      <c r="R526" s="7" t="inlineStr">
        <is>
          <t>Sheikh Zayed E11</t>
        </is>
      </c>
      <c r="S526" t="inlineStr">
        <is>
          <t>5</t>
        </is>
      </c>
      <c r="T526" t="inlineStr">
        <is>
          <t>15</t>
        </is>
      </c>
      <c r="U526" t="inlineStr">
        <is>
          <t>15</t>
        </is>
      </c>
      <c r="V526" t="inlineStr">
        <is>
          <t>35</t>
        </is>
      </c>
      <c r="W526" t="n">
        <v>2</v>
      </c>
      <c r="X526" s="12" t="n"/>
      <c r="Y526" s="12" t="n"/>
      <c r="Z526" s="9" t="n">
        <v>8</v>
      </c>
      <c r="AA526" s="9" t="n">
        <v>9</v>
      </c>
      <c r="AB526" s="9" t="n"/>
      <c r="AC526" s="9" t="n"/>
      <c r="AD526" s="9" t="n"/>
      <c r="AE526" s="9" t="n"/>
      <c r="AF526" t="n">
        <v>2023</v>
      </c>
      <c r="AH526" t="inlineStr">
        <is>
          <t>Mixed/Other</t>
        </is>
      </c>
      <c r="AI526" t="inlineStr">
        <is>
          <t>MainstreamSelective</t>
        </is>
      </c>
      <c r="AJ526" t="inlineStr">
        <is>
          <t>Established</t>
        </is>
      </c>
      <c r="AK526" t="inlineStr">
        <is>
          <t>Balanced / selective</t>
        </is>
      </c>
      <c r="AL526" s="7" t="inlineStr">
        <is>
          <t>Market remains active but increasingly differentiated by developer, micro-location, livability, and pricing discipline.</t>
        </is>
      </c>
      <c r="AM526" s="9" t="n">
        <v>0</v>
      </c>
      <c r="AN526" s="9" t="n">
        <v>8.5</v>
      </c>
      <c r="AO526" s="10" t="n">
        <v>0.55</v>
      </c>
      <c r="AP526" s="13" t="n">
        <v>0</v>
      </c>
      <c r="AQ526" s="13" t="n">
        <v>0</v>
      </c>
      <c r="AR526" s="13" t="n">
        <v>0</v>
      </c>
      <c r="AS526" s="13" t="n">
        <v>0.01</v>
      </c>
      <c r="AT526" s="13" t="n">
        <v>0</v>
      </c>
      <c r="AU526" s="13" t="n">
        <v>0.0025</v>
      </c>
      <c r="AV526" s="13" t="n">
        <v>-0.005</v>
      </c>
      <c r="AW526" s="13">
        <f>IF(X526="","",(AM526/100*AO526)+AP526+AQ526+AR526)</f>
        <v/>
      </c>
      <c r="AX526" s="13">
        <f>IF(X526="","",AS526+AT526+AU526+AV526)</f>
        <v/>
      </c>
      <c r="AY526" s="12">
        <f>IF(AZ526="","",ROUND(AZ526*(1+Assumptions!$B$10),0))</f>
        <v/>
      </c>
      <c r="AZ526" s="12">
        <f>IF(X526="","",ROUND(X526*(1+AW526),0))</f>
        <v/>
      </c>
      <c r="BA526" s="12">
        <f>IF(AZ526="","",ROUND(AZ526*(1+Assumptions!$B$11),0))</f>
        <v/>
      </c>
      <c r="BB526" s="12">
        <f>IF(AZ526="","",ROUND(AZ526*(1+AX526+Assumptions!$B$10),0))</f>
        <v/>
      </c>
      <c r="BC526" s="12">
        <f>IF(AZ526="","",ROUND(AZ526*(1+AX526),0))</f>
        <v/>
      </c>
      <c r="BD526" s="12">
        <f>IF(AZ526="","",ROUND(AZ526*(1+AX526+Assumptions!$B$11),0))</f>
        <v/>
      </c>
      <c r="BE526" s="12">
        <f>IF(AZ526="","",ROUND(AZ526*(1+AX526)*(1+AX526),0))</f>
        <v/>
      </c>
      <c r="BF526" s="7" t="inlineStr">
        <is>
          <t>Rules-based enrichment using launch-price anchor, cap-app realization, and 2026 segment conditions.</t>
        </is>
      </c>
      <c r="BG526" t="inlineStr">
        <is>
          <t>2026-03-17</t>
        </is>
      </c>
      <c r="BH526" s="7" t="inlineStr">
        <is>
          <t>DLD / Digital Dubai / CBUAE / Savills / Knight Frank-Moody’s / Reuters</t>
        </is>
      </c>
    </row>
    <row r="527">
      <c r="A527" t="n">
        <v>526</v>
      </c>
      <c r="B527" s="7" t="inlineStr">
        <is>
          <t>6 Falak</t>
        </is>
      </c>
      <c r="C527" t="inlineStr">
        <is>
          <t>Sweid &amp; Sweid</t>
        </is>
      </c>
      <c r="D527" t="inlineStr">
        <is>
          <t>Dubai Internet City</t>
        </is>
      </c>
      <c r="E527" t="inlineStr">
        <is>
          <t>Office/Commercial</t>
        </is>
      </c>
      <c r="F527" s="7" t="inlineStr">
        <is>
          <t>Class A Office</t>
        </is>
      </c>
      <c r="G527" t="inlineStr">
        <is>
          <t>Lease Only</t>
        </is>
      </c>
      <c r="I527" t="inlineStr">
        <is>
          <t>25</t>
        </is>
      </c>
      <c r="J527" t="inlineStr">
        <is>
          <t>Completed</t>
        </is>
      </c>
      <c r="K527" t="inlineStr">
        <is>
          <t>2023</t>
        </is>
      </c>
      <c r="L527" t="inlineStr">
        <is>
          <t>8.0-9.0</t>
        </is>
      </c>
      <c r="O527" s="7" t="inlineStr">
        <is>
          <t>American Univ. Dubai</t>
        </is>
      </c>
      <c r="P527" s="7" t="inlineStr">
        <is>
          <t>Saudi German Hospital</t>
        </is>
      </c>
      <c r="Q527" s="7" t="inlineStr">
        <is>
          <t>Dubai Marina Mall</t>
        </is>
      </c>
      <c r="R527" s="7" t="inlineStr">
        <is>
          <t>Sheikh Zayed E11</t>
        </is>
      </c>
      <c r="S527" t="inlineStr">
        <is>
          <t>20</t>
        </is>
      </c>
      <c r="T527" t="inlineStr">
        <is>
          <t>2</t>
        </is>
      </c>
      <c r="U527" t="inlineStr">
        <is>
          <t>25</t>
        </is>
      </c>
      <c r="V527" t="inlineStr">
        <is>
          <t>30</t>
        </is>
      </c>
      <c r="W527" t="n">
        <v>2</v>
      </c>
      <c r="X527" s="12" t="n"/>
      <c r="Y527" s="12" t="n"/>
      <c r="Z527" s="9" t="n">
        <v>8</v>
      </c>
      <c r="AA527" s="9" t="n">
        <v>9</v>
      </c>
      <c r="AB527" s="9" t="n"/>
      <c r="AC527" s="9" t="n"/>
      <c r="AD527" s="9" t="n"/>
      <c r="AE527" s="9" t="n"/>
      <c r="AF527" t="n">
        <v>2023</v>
      </c>
      <c r="AH527" t="inlineStr">
        <is>
          <t>Mixed/Other</t>
        </is>
      </c>
      <c r="AI527" t="inlineStr">
        <is>
          <t>MainstreamSelective</t>
        </is>
      </c>
      <c r="AJ527" t="inlineStr">
        <is>
          <t>Established</t>
        </is>
      </c>
      <c r="AK527" t="inlineStr">
        <is>
          <t>Balanced / selective</t>
        </is>
      </c>
      <c r="AL527" s="7" t="inlineStr">
        <is>
          <t>Market remains active but increasingly differentiated by developer, micro-location, livability, and pricing discipline.</t>
        </is>
      </c>
      <c r="AM527" s="9" t="n">
        <v>0</v>
      </c>
      <c r="AN527" s="9" t="n">
        <v>8.5</v>
      </c>
      <c r="AO527" s="10" t="n">
        <v>0.55</v>
      </c>
      <c r="AP527" s="13" t="n">
        <v>0</v>
      </c>
      <c r="AQ527" s="13" t="n">
        <v>0</v>
      </c>
      <c r="AR527" s="13" t="n">
        <v>0</v>
      </c>
      <c r="AS527" s="13" t="n">
        <v>0.01</v>
      </c>
      <c r="AT527" s="13" t="n">
        <v>0</v>
      </c>
      <c r="AU527" s="13" t="n">
        <v>0.0025</v>
      </c>
      <c r="AV527" s="13" t="n">
        <v>-0.005</v>
      </c>
      <c r="AW527" s="13">
        <f>IF(X527="","",(AM527/100*AO527)+AP527+AQ527+AR527)</f>
        <v/>
      </c>
      <c r="AX527" s="13">
        <f>IF(X527="","",AS527+AT527+AU527+AV527)</f>
        <v/>
      </c>
      <c r="AY527" s="12">
        <f>IF(AZ527="","",ROUND(AZ527*(1+Assumptions!$B$10),0))</f>
        <v/>
      </c>
      <c r="AZ527" s="12">
        <f>IF(X527="","",ROUND(X527*(1+AW527),0))</f>
        <v/>
      </c>
      <c r="BA527" s="12">
        <f>IF(AZ527="","",ROUND(AZ527*(1+Assumptions!$B$11),0))</f>
        <v/>
      </c>
      <c r="BB527" s="12">
        <f>IF(AZ527="","",ROUND(AZ527*(1+AX527+Assumptions!$B$10),0))</f>
        <v/>
      </c>
      <c r="BC527" s="12">
        <f>IF(AZ527="","",ROUND(AZ527*(1+AX527),0))</f>
        <v/>
      </c>
      <c r="BD527" s="12">
        <f>IF(AZ527="","",ROUND(AZ527*(1+AX527+Assumptions!$B$11),0))</f>
        <v/>
      </c>
      <c r="BE527" s="12">
        <f>IF(AZ527="","",ROUND(AZ527*(1+AX527)*(1+AX527),0))</f>
        <v/>
      </c>
      <c r="BF527" s="7" t="inlineStr">
        <is>
          <t>Rules-based enrichment using launch-price anchor, cap-app realization, and 2026 segment conditions.</t>
        </is>
      </c>
      <c r="BG527" t="inlineStr">
        <is>
          <t>2026-03-17</t>
        </is>
      </c>
      <c r="BH527" s="7" t="inlineStr">
        <is>
          <t>DLD / Digital Dubai / CBUAE / Savills / Knight Frank-Moody’s / Reuters</t>
        </is>
      </c>
    </row>
    <row r="528">
      <c r="A528" t="n">
        <v>527</v>
      </c>
      <c r="B528" s="7" t="inlineStr">
        <is>
          <t>The Ritz-Carlton Residences</t>
        </is>
      </c>
      <c r="C528" t="inlineStr">
        <is>
          <t>Khamas Group</t>
        </is>
      </c>
      <c r="D528" t="inlineStr">
        <is>
          <t>Business Bay</t>
        </is>
      </c>
      <c r="E528" t="inlineStr">
        <is>
          <t>Branded Apts</t>
        </is>
      </c>
      <c r="F528" s="7" t="inlineStr">
        <is>
          <t>Service / Luxury</t>
        </is>
      </c>
      <c r="G528" t="inlineStr">
        <is>
          <t>5.5M</t>
        </is>
      </c>
      <c r="H528" t="inlineStr">
        <is>
          <t>3500</t>
        </is>
      </c>
      <c r="I528" t="inlineStr">
        <is>
          <t>40+</t>
        </is>
      </c>
      <c r="J528" t="inlineStr">
        <is>
          <t>60/40</t>
        </is>
      </c>
      <c r="K528" t="inlineStr">
        <is>
          <t>2022</t>
        </is>
      </c>
      <c r="L528" t="inlineStr">
        <is>
          <t>4.0-4.5</t>
        </is>
      </c>
      <c r="M528" t="inlineStr">
        <is>
          <t>8-10</t>
        </is>
      </c>
      <c r="N528" t="inlineStr">
        <is>
          <t>12.0-14.5</t>
        </is>
      </c>
      <c r="O528" s="7" t="inlineStr">
        <is>
          <t>Hartland Intl</t>
        </is>
      </c>
      <c r="P528" s="7" t="inlineStr">
        <is>
          <t>Emirates Hospital BB</t>
        </is>
      </c>
      <c r="Q528" s="7" t="inlineStr">
        <is>
          <t>Dubai Mall</t>
        </is>
      </c>
      <c r="R528" s="7" t="inlineStr">
        <is>
          <t>Al Khail E44</t>
        </is>
      </c>
      <c r="S528" t="inlineStr">
        <is>
          <t>5</t>
        </is>
      </c>
      <c r="T528" t="inlineStr">
        <is>
          <t>20</t>
        </is>
      </c>
      <c r="U528" t="inlineStr">
        <is>
          <t>15</t>
        </is>
      </c>
      <c r="V528" t="inlineStr">
        <is>
          <t>35</t>
        </is>
      </c>
      <c r="W528" t="n">
        <v>2</v>
      </c>
      <c r="X528" s="12" t="n">
        <v>5500000</v>
      </c>
      <c r="Y528" s="12" t="n">
        <v>5500000</v>
      </c>
      <c r="Z528" s="9" t="n">
        <v>4</v>
      </c>
      <c r="AA528" s="9" t="n">
        <v>4.5</v>
      </c>
      <c r="AB528" s="9" t="n">
        <v>8</v>
      </c>
      <c r="AC528" s="9" t="n">
        <v>10</v>
      </c>
      <c r="AD528" s="9" t="n">
        <v>12</v>
      </c>
      <c r="AE528" s="9" t="n">
        <v>14.5</v>
      </c>
      <c r="AF528" t="n">
        <v>2022</v>
      </c>
      <c r="AH528" t="inlineStr">
        <is>
          <t>Apartment</t>
        </is>
      </c>
      <c r="AI528" t="inlineStr">
        <is>
          <t>Prime</t>
        </is>
      </c>
      <c r="AJ528" t="inlineStr">
        <is>
          <t>Established</t>
        </is>
      </c>
      <c r="AK528" t="inlineStr">
        <is>
          <t>Prime resilient / selective</t>
        </is>
      </c>
      <c r="AL528" s="7" t="inlineStr">
        <is>
          <t>Better support from quality, branding, and scarcer prime stock; still entry-price sensitive.</t>
        </is>
      </c>
      <c r="AM528" s="9" t="n">
        <v>9</v>
      </c>
      <c r="AN528" s="9" t="n">
        <v>4.25</v>
      </c>
      <c r="AO528" s="10" t="n">
        <v>0.55</v>
      </c>
      <c r="AP528" s="13" t="n">
        <v>0.02</v>
      </c>
      <c r="AQ528" s="13" t="n">
        <v>0</v>
      </c>
      <c r="AR528" s="13" t="n">
        <v>0</v>
      </c>
      <c r="AS528" s="13" t="n">
        <v>0.03</v>
      </c>
      <c r="AT528" s="13" t="n">
        <v>0</v>
      </c>
      <c r="AU528" s="13" t="n">
        <v>0</v>
      </c>
      <c r="AV528" s="13" t="n">
        <v>-0.005</v>
      </c>
      <c r="AW528" s="13">
        <f>IF(X528="","",(AM528/100*AO528)+AP528+AQ528+AR528)</f>
        <v/>
      </c>
      <c r="AX528" s="13">
        <f>IF(X528="","",AS528+AT528+AU528+AV528)</f>
        <v/>
      </c>
      <c r="AY528" s="12">
        <f>IF(AZ528="","",ROUND(AZ528*(1+Assumptions!$B$10),0))</f>
        <v/>
      </c>
      <c r="AZ528" s="12">
        <f>IF(X528="","",ROUND(X528*(1+AW528),0))</f>
        <v/>
      </c>
      <c r="BA528" s="12">
        <f>IF(AZ528="","",ROUND(AZ528*(1+Assumptions!$B$11),0))</f>
        <v/>
      </c>
      <c r="BB528" s="12">
        <f>IF(AZ528="","",ROUND(AZ528*(1+AX528+Assumptions!$B$10),0))</f>
        <v/>
      </c>
      <c r="BC528" s="12">
        <f>IF(AZ528="","",ROUND(AZ528*(1+AX528),0))</f>
        <v/>
      </c>
      <c r="BD528" s="12">
        <f>IF(AZ528="","",ROUND(AZ528*(1+AX528+Assumptions!$B$11),0))</f>
        <v/>
      </c>
      <c r="BE528" s="12">
        <f>IF(AZ528="","",ROUND(AZ528*(1+AX528)*(1+AX528),0))</f>
        <v/>
      </c>
      <c r="BF528" s="7" t="inlineStr">
        <is>
          <t>Rules-based enrichment using launch-price anchor, cap-app realization, and 2026 segment conditions.</t>
        </is>
      </c>
      <c r="BG528" t="inlineStr">
        <is>
          <t>2026-03-17</t>
        </is>
      </c>
      <c r="BH528" s="7" t="inlineStr">
        <is>
          <t>DLD / Digital Dubai / CBUAE / Savills / Knight Frank-Moody’s / Reuters</t>
        </is>
      </c>
    </row>
    <row r="529">
      <c r="A529" t="n">
        <v>528</v>
      </c>
      <c r="B529" s="7" t="inlineStr">
        <is>
          <t>Mama Residences</t>
        </is>
      </c>
      <c r="C529" t="inlineStr">
        <is>
          <t>Khamas Group</t>
        </is>
      </c>
      <c r="D529" t="inlineStr">
        <is>
          <t>Business Bay</t>
        </is>
      </c>
      <c r="E529" t="inlineStr">
        <is>
          <t>Branded Apts</t>
        </is>
      </c>
      <c r="F529" s="7" t="inlineStr">
        <is>
          <t>Trendy / Ennismore</t>
        </is>
      </c>
      <c r="G529" t="inlineStr">
        <is>
          <t>2.2M</t>
        </is>
      </c>
      <c r="H529" t="inlineStr">
        <is>
          <t>2500</t>
        </is>
      </c>
      <c r="I529" t="inlineStr">
        <is>
          <t>25</t>
        </is>
      </c>
      <c r="J529" t="inlineStr">
        <is>
          <t>60/40</t>
        </is>
      </c>
      <c r="K529" t="inlineStr">
        <is>
          <t>2022</t>
        </is>
      </c>
      <c r="L529" t="inlineStr">
        <is>
          <t>6.0-6.5</t>
        </is>
      </c>
      <c r="M529" t="inlineStr">
        <is>
          <t>7-9</t>
        </is>
      </c>
      <c r="N529" t="inlineStr">
        <is>
          <t>13.0-15.5</t>
        </is>
      </c>
      <c r="O529" s="7" t="inlineStr">
        <is>
          <t>Hartland Intl</t>
        </is>
      </c>
      <c r="P529" s="7" t="inlineStr">
        <is>
          <t>Emirates Hospital BB</t>
        </is>
      </c>
      <c r="Q529" s="7" t="inlineStr">
        <is>
          <t>Dubai Mall</t>
        </is>
      </c>
      <c r="R529" s="7" t="inlineStr">
        <is>
          <t>Al Khail E44</t>
        </is>
      </c>
      <c r="S529" t="inlineStr">
        <is>
          <t>5</t>
        </is>
      </c>
      <c r="T529" t="inlineStr">
        <is>
          <t>20</t>
        </is>
      </c>
      <c r="U529" t="inlineStr">
        <is>
          <t>15</t>
        </is>
      </c>
      <c r="V529" t="inlineStr">
        <is>
          <t>35</t>
        </is>
      </c>
      <c r="W529" t="n">
        <v>2</v>
      </c>
      <c r="X529" s="12" t="n">
        <v>2200000</v>
      </c>
      <c r="Y529" s="12" t="n">
        <v>2200000</v>
      </c>
      <c r="Z529" s="9" t="n">
        <v>6</v>
      </c>
      <c r="AA529" s="9" t="n">
        <v>6.5</v>
      </c>
      <c r="AB529" s="9" t="n">
        <v>7</v>
      </c>
      <c r="AC529" s="9" t="n">
        <v>9</v>
      </c>
      <c r="AD529" s="9" t="n">
        <v>13</v>
      </c>
      <c r="AE529" s="9" t="n">
        <v>15.5</v>
      </c>
      <c r="AF529" t="n">
        <v>2022</v>
      </c>
      <c r="AH529" t="inlineStr">
        <is>
          <t>Apartment</t>
        </is>
      </c>
      <c r="AI529" t="inlineStr">
        <is>
          <t>Prime</t>
        </is>
      </c>
      <c r="AJ529" t="inlineStr">
        <is>
          <t>Established</t>
        </is>
      </c>
      <c r="AK529" t="inlineStr">
        <is>
          <t>Prime resilient / selective</t>
        </is>
      </c>
      <c r="AL529" s="7" t="inlineStr">
        <is>
          <t>Better support from quality, branding, and scarcer prime stock; still entry-price sensitive.</t>
        </is>
      </c>
      <c r="AM529" s="9" t="n">
        <v>8</v>
      </c>
      <c r="AN529" s="9" t="n">
        <v>6.25</v>
      </c>
      <c r="AO529" s="10" t="n">
        <v>0.55</v>
      </c>
      <c r="AP529" s="13" t="n">
        <v>0.02</v>
      </c>
      <c r="AQ529" s="13" t="n">
        <v>0</v>
      </c>
      <c r="AR529" s="13" t="n">
        <v>0</v>
      </c>
      <c r="AS529" s="13" t="n">
        <v>0.03</v>
      </c>
      <c r="AT529" s="13" t="n">
        <v>0</v>
      </c>
      <c r="AU529" s="13" t="n">
        <v>0.0025</v>
      </c>
      <c r="AV529" s="13" t="n">
        <v>-0.005</v>
      </c>
      <c r="AW529" s="13">
        <f>IF(X529="","",(AM529/100*AO529)+AP529+AQ529+AR529)</f>
        <v/>
      </c>
      <c r="AX529" s="13">
        <f>IF(X529="","",AS529+AT529+AU529+AV529)</f>
        <v/>
      </c>
      <c r="AY529" s="12">
        <f>IF(AZ529="","",ROUND(AZ529*(1+Assumptions!$B$10),0))</f>
        <v/>
      </c>
      <c r="AZ529" s="12">
        <f>IF(X529="","",ROUND(X529*(1+AW529),0))</f>
        <v/>
      </c>
      <c r="BA529" s="12">
        <f>IF(AZ529="","",ROUND(AZ529*(1+Assumptions!$B$11),0))</f>
        <v/>
      </c>
      <c r="BB529" s="12">
        <f>IF(AZ529="","",ROUND(AZ529*(1+AX529+Assumptions!$B$10),0))</f>
        <v/>
      </c>
      <c r="BC529" s="12">
        <f>IF(AZ529="","",ROUND(AZ529*(1+AX529),0))</f>
        <v/>
      </c>
      <c r="BD529" s="12">
        <f>IF(AZ529="","",ROUND(AZ529*(1+AX529+Assumptions!$B$11),0))</f>
        <v/>
      </c>
      <c r="BE529" s="12">
        <f>IF(AZ529="","",ROUND(AZ529*(1+AX529)*(1+AX529),0))</f>
        <v/>
      </c>
      <c r="BF529" s="7" t="inlineStr">
        <is>
          <t>Rules-based enrichment using launch-price anchor, cap-app realization, and 2026 segment conditions.</t>
        </is>
      </c>
      <c r="BG529" t="inlineStr">
        <is>
          <t>2026-03-17</t>
        </is>
      </c>
      <c r="BH529" s="7" t="inlineStr">
        <is>
          <t>DLD / Digital Dubai / CBUAE / Savills / Knight Frank-Moody’s / Reuters</t>
        </is>
      </c>
    </row>
    <row r="530">
      <c r="A530" t="n">
        <v>529</v>
      </c>
      <c r="B530" s="7" t="inlineStr">
        <is>
          <t>Marriott Residences JVC</t>
        </is>
      </c>
      <c r="C530" t="inlineStr">
        <is>
          <t>Khamas Group</t>
        </is>
      </c>
      <c r="D530" t="inlineStr">
        <is>
          <t>JVC</t>
        </is>
      </c>
      <c r="E530" t="inlineStr">
        <is>
          <t>Branded Apts</t>
        </is>
      </c>
      <c r="F530" s="7" t="inlineStr">
        <is>
          <t>Hotel Service</t>
        </is>
      </c>
      <c r="G530" t="inlineStr">
        <is>
          <t>1.5M</t>
        </is>
      </c>
      <c r="H530" t="inlineStr">
        <is>
          <t>1600</t>
        </is>
      </c>
      <c r="I530" t="inlineStr">
        <is>
          <t>20</t>
        </is>
      </c>
      <c r="J530" t="inlineStr">
        <is>
          <t>60/40</t>
        </is>
      </c>
      <c r="K530" t="inlineStr">
        <is>
          <t>2023</t>
        </is>
      </c>
      <c r="L530" t="inlineStr">
        <is>
          <t>7.0-7.5</t>
        </is>
      </c>
      <c r="M530" t="inlineStr">
        <is>
          <t>6-8</t>
        </is>
      </c>
      <c r="N530" t="inlineStr">
        <is>
          <t>13.0-15.5</t>
        </is>
      </c>
      <c r="O530" s="7" t="inlineStr">
        <is>
          <t>JSS International</t>
        </is>
      </c>
      <c r="P530" s="7" t="inlineStr">
        <is>
          <t>Saudi German Hospital</t>
        </is>
      </c>
      <c r="Q530" s="7" t="inlineStr">
        <is>
          <t>Circle Mall</t>
        </is>
      </c>
      <c r="R530" s="7" t="inlineStr">
        <is>
          <t>Hessa St / E44</t>
        </is>
      </c>
      <c r="S530" t="inlineStr">
        <is>
          <t>20</t>
        </is>
      </c>
      <c r="T530" t="inlineStr">
        <is>
          <t>15</t>
        </is>
      </c>
      <c r="U530" t="inlineStr">
        <is>
          <t>25</t>
        </is>
      </c>
      <c r="V530" t="inlineStr">
        <is>
          <t>30</t>
        </is>
      </c>
      <c r="W530" t="n">
        <v>2</v>
      </c>
      <c r="X530" s="12" t="n">
        <v>1500000</v>
      </c>
      <c r="Y530" s="12" t="n">
        <v>1500000</v>
      </c>
      <c r="Z530" s="9" t="n">
        <v>7</v>
      </c>
      <c r="AA530" s="9" t="n">
        <v>7.5</v>
      </c>
      <c r="AB530" s="9" t="n">
        <v>6</v>
      </c>
      <c r="AC530" s="9" t="n">
        <v>8</v>
      </c>
      <c r="AD530" s="9" t="n">
        <v>13</v>
      </c>
      <c r="AE530" s="9" t="n">
        <v>15.5</v>
      </c>
      <c r="AF530" t="n">
        <v>2023</v>
      </c>
      <c r="AH530" t="inlineStr">
        <is>
          <t>Apartment</t>
        </is>
      </c>
      <c r="AI530" t="inlineStr">
        <is>
          <t>SupplySensitiveApartment</t>
        </is>
      </c>
      <c r="AJ530" t="inlineStr">
        <is>
          <t>Established</t>
        </is>
      </c>
      <c r="AK530" t="inlineStr">
        <is>
          <t>Supply-sensitive / selective</t>
        </is>
      </c>
      <c r="AL530" s="7" t="inlineStr">
        <is>
          <t>Higher delivery risk in more price-sensitive apartment clusters; building selection and exit liquidity matter.</t>
        </is>
      </c>
      <c r="AM530" s="9" t="n">
        <v>7</v>
      </c>
      <c r="AN530" s="9" t="n">
        <v>7.25</v>
      </c>
      <c r="AO530" s="10" t="n">
        <v>0.55</v>
      </c>
      <c r="AP530" s="13" t="n">
        <v>0</v>
      </c>
      <c r="AQ530" s="13" t="n">
        <v>0</v>
      </c>
      <c r="AR530" s="13" t="n">
        <v>-0.01</v>
      </c>
      <c r="AS530" s="13" t="n">
        <v>-0.01</v>
      </c>
      <c r="AT530" s="13" t="n">
        <v>0</v>
      </c>
      <c r="AU530" s="13" t="n">
        <v>0.0025</v>
      </c>
      <c r="AV530" s="13" t="n">
        <v>-0.005</v>
      </c>
      <c r="AW530" s="13">
        <f>IF(X530="","",(AM530/100*AO530)+AP530+AQ530+AR530)</f>
        <v/>
      </c>
      <c r="AX530" s="13">
        <f>IF(X530="","",AS530+AT530+AU530+AV530)</f>
        <v/>
      </c>
      <c r="AY530" s="12">
        <f>IF(AZ530="","",ROUND(AZ530*(1+Assumptions!$B$10),0))</f>
        <v/>
      </c>
      <c r="AZ530" s="12">
        <f>IF(X530="","",ROUND(X530*(1+AW530),0))</f>
        <v/>
      </c>
      <c r="BA530" s="12">
        <f>IF(AZ530="","",ROUND(AZ530*(1+Assumptions!$B$11),0))</f>
        <v/>
      </c>
      <c r="BB530" s="12">
        <f>IF(AZ530="","",ROUND(AZ530*(1+AX530+Assumptions!$B$10),0))</f>
        <v/>
      </c>
      <c r="BC530" s="12">
        <f>IF(AZ530="","",ROUND(AZ530*(1+AX530),0))</f>
        <v/>
      </c>
      <c r="BD530" s="12">
        <f>IF(AZ530="","",ROUND(AZ530*(1+AX530+Assumptions!$B$11),0))</f>
        <v/>
      </c>
      <c r="BE530" s="12">
        <f>IF(AZ530="","",ROUND(AZ530*(1+AX530)*(1+AX530),0))</f>
        <v/>
      </c>
      <c r="BF530" s="7" t="inlineStr">
        <is>
          <t>Rules-based enrichment using launch-price anchor, cap-app realization, and 2026 segment conditions.</t>
        </is>
      </c>
      <c r="BG530" t="inlineStr">
        <is>
          <t>2026-03-17</t>
        </is>
      </c>
      <c r="BH530" s="7" t="inlineStr">
        <is>
          <t>DLD / Digital Dubai / CBUAE / Savills / Knight Frank-Moody’s / Reuters</t>
        </is>
      </c>
    </row>
    <row r="531">
      <c r="A531" t="n">
        <v>530</v>
      </c>
      <c r="B531" s="7" t="inlineStr">
        <is>
          <t>The Autograph S Series</t>
        </is>
      </c>
      <c r="C531" t="inlineStr">
        <is>
          <t>Green Group</t>
        </is>
      </c>
      <c r="D531" t="inlineStr">
        <is>
          <t>JVC (District 15)</t>
        </is>
      </c>
      <c r="E531" t="inlineStr">
        <is>
          <t>Apartments</t>
        </is>
      </c>
      <c r="F531" s="7" t="inlineStr">
        <is>
          <t>Boutique / Design</t>
        </is>
      </c>
      <c r="G531" t="inlineStr">
        <is>
          <t>1.2M</t>
        </is>
      </c>
      <c r="H531" t="inlineStr">
        <is>
          <t>1450</t>
        </is>
      </c>
      <c r="I531" t="inlineStr">
        <is>
          <t>16</t>
        </is>
      </c>
      <c r="J531" t="inlineStr">
        <is>
          <t>50/50</t>
        </is>
      </c>
      <c r="K531" t="inlineStr">
        <is>
          <t>2024</t>
        </is>
      </c>
      <c r="L531" t="inlineStr">
        <is>
          <t>7.5-8.0</t>
        </is>
      </c>
      <c r="M531" t="inlineStr">
        <is>
          <t>8-10</t>
        </is>
      </c>
      <c r="N531" t="inlineStr">
        <is>
          <t>15.5-18.0</t>
        </is>
      </c>
      <c r="O531" s="7" t="inlineStr">
        <is>
          <t>JSS International</t>
        </is>
      </c>
      <c r="P531" s="7" t="inlineStr">
        <is>
          <t>Saudi German Hospital</t>
        </is>
      </c>
      <c r="Q531" s="7" t="inlineStr">
        <is>
          <t>Circle Mall</t>
        </is>
      </c>
      <c r="R531" s="7" t="inlineStr">
        <is>
          <t>Hessa St / E44</t>
        </is>
      </c>
      <c r="S531" t="inlineStr">
        <is>
          <t>20</t>
        </is>
      </c>
      <c r="T531" t="inlineStr">
        <is>
          <t>15</t>
        </is>
      </c>
      <c r="U531" t="inlineStr">
        <is>
          <t>25</t>
        </is>
      </c>
      <c r="V531" t="inlineStr">
        <is>
          <t>30</t>
        </is>
      </c>
      <c r="W531" t="n">
        <v>2</v>
      </c>
      <c r="X531" s="12" t="n">
        <v>1200000</v>
      </c>
      <c r="Y531" s="12" t="n">
        <v>1200000</v>
      </c>
      <c r="Z531" s="9" t="n">
        <v>7.5</v>
      </c>
      <c r="AA531" s="9" t="n">
        <v>8</v>
      </c>
      <c r="AB531" s="9" t="n">
        <v>8</v>
      </c>
      <c r="AC531" s="9" t="n">
        <v>10</v>
      </c>
      <c r="AD531" s="9" t="n">
        <v>15.5</v>
      </c>
      <c r="AE531" s="9" t="n">
        <v>18</v>
      </c>
      <c r="AF531" t="n">
        <v>2024</v>
      </c>
      <c r="AH531" t="inlineStr">
        <is>
          <t>Apartment</t>
        </is>
      </c>
      <c r="AI531" t="inlineStr">
        <is>
          <t>MainstreamSelective</t>
        </is>
      </c>
      <c r="AJ531" t="inlineStr">
        <is>
          <t>Established</t>
        </is>
      </c>
      <c r="AK531" t="inlineStr">
        <is>
          <t>Balanced / selective</t>
        </is>
      </c>
      <c r="AL531" s="7" t="inlineStr">
        <is>
          <t>Market remains active but increasingly differentiated by developer, micro-location, livability, and pricing discipline.</t>
        </is>
      </c>
      <c r="AM531" s="9" t="n">
        <v>9</v>
      </c>
      <c r="AN531" s="9" t="n">
        <v>7.75</v>
      </c>
      <c r="AO531" s="10" t="n">
        <v>0.55</v>
      </c>
      <c r="AP531" s="13" t="n">
        <v>0</v>
      </c>
      <c r="AQ531" s="13" t="n">
        <v>0</v>
      </c>
      <c r="AR531" s="13" t="n">
        <v>0</v>
      </c>
      <c r="AS531" s="13" t="n">
        <v>0.01</v>
      </c>
      <c r="AT531" s="13" t="n">
        <v>0</v>
      </c>
      <c r="AU531" s="13" t="n">
        <v>0.0025</v>
      </c>
      <c r="AV531" s="13" t="n">
        <v>-0.005</v>
      </c>
      <c r="AW531" s="13">
        <f>IF(X531="","",(AM531/100*AO531)+AP531+AQ531+AR531)</f>
        <v/>
      </c>
      <c r="AX531" s="13">
        <f>IF(X531="","",AS531+AT531+AU531+AV531)</f>
        <v/>
      </c>
      <c r="AY531" s="12">
        <f>IF(AZ531="","",ROUND(AZ531*(1+Assumptions!$B$10),0))</f>
        <v/>
      </c>
      <c r="AZ531" s="12">
        <f>IF(X531="","",ROUND(X531*(1+AW531),0))</f>
        <v/>
      </c>
      <c r="BA531" s="12">
        <f>IF(AZ531="","",ROUND(AZ531*(1+Assumptions!$B$11),0))</f>
        <v/>
      </c>
      <c r="BB531" s="12">
        <f>IF(AZ531="","",ROUND(AZ531*(1+AX531+Assumptions!$B$10),0))</f>
        <v/>
      </c>
      <c r="BC531" s="12">
        <f>IF(AZ531="","",ROUND(AZ531*(1+AX531),0))</f>
        <v/>
      </c>
      <c r="BD531" s="12">
        <f>IF(AZ531="","",ROUND(AZ531*(1+AX531+Assumptions!$B$11),0))</f>
        <v/>
      </c>
      <c r="BE531" s="12">
        <f>IF(AZ531="","",ROUND(AZ531*(1+AX531)*(1+AX531),0))</f>
        <v/>
      </c>
      <c r="BF531" s="7" t="inlineStr">
        <is>
          <t>Rules-based enrichment using launch-price anchor, cap-app realization, and 2026 segment conditions.</t>
        </is>
      </c>
      <c r="BG531" t="inlineStr">
        <is>
          <t>2026-03-17</t>
        </is>
      </c>
      <c r="BH531" s="7" t="inlineStr">
        <is>
          <t>DLD / Digital Dubai / CBUAE / Savills / Knight Frank-Moody’s / Reuters</t>
        </is>
      </c>
    </row>
    <row r="532">
      <c r="A532" t="n">
        <v>531</v>
      </c>
      <c r="B532" s="7" t="inlineStr">
        <is>
          <t>The Autograph X Series</t>
        </is>
      </c>
      <c r="C532" t="inlineStr">
        <is>
          <t>Green Group</t>
        </is>
      </c>
      <c r="D532" t="inlineStr">
        <is>
          <t>JVC (District 13)</t>
        </is>
      </c>
      <c r="E532" t="inlineStr">
        <is>
          <t>Townhouses</t>
        </is>
      </c>
      <c r="F532" s="7" t="inlineStr">
        <is>
          <t>Boutique / Luxury</t>
        </is>
      </c>
      <c r="G532" t="inlineStr">
        <is>
          <t>3.6M</t>
        </is>
      </c>
      <c r="H532" t="inlineStr">
        <is>
          <t>1100</t>
        </is>
      </c>
      <c r="I532" t="inlineStr">
        <is>
          <t>12</t>
        </is>
      </c>
      <c r="J532" t="inlineStr">
        <is>
          <t>50/50</t>
        </is>
      </c>
      <c r="K532" t="inlineStr">
        <is>
          <t>2023</t>
        </is>
      </c>
      <c r="L532" t="inlineStr">
        <is>
          <t>7.0-7.5</t>
        </is>
      </c>
      <c r="M532" t="inlineStr">
        <is>
          <t>8-10</t>
        </is>
      </c>
      <c r="N532" t="inlineStr">
        <is>
          <t>15.0-17.5</t>
        </is>
      </c>
      <c r="O532" s="7" t="inlineStr">
        <is>
          <t>JSS International</t>
        </is>
      </c>
      <c r="P532" s="7" t="inlineStr">
        <is>
          <t>Saudi German Hospital</t>
        </is>
      </c>
      <c r="Q532" s="7" t="inlineStr">
        <is>
          <t>Circle Mall</t>
        </is>
      </c>
      <c r="R532" s="7" t="inlineStr">
        <is>
          <t>Hessa St / E44</t>
        </is>
      </c>
      <c r="S532" t="inlineStr">
        <is>
          <t>20</t>
        </is>
      </c>
      <c r="T532" t="inlineStr">
        <is>
          <t>15</t>
        </is>
      </c>
      <c r="U532" t="inlineStr">
        <is>
          <t>25</t>
        </is>
      </c>
      <c r="V532" t="inlineStr">
        <is>
          <t>30</t>
        </is>
      </c>
      <c r="W532" t="n">
        <v>2</v>
      </c>
      <c r="X532" s="12" t="n">
        <v>3600000</v>
      </c>
      <c r="Y532" s="12" t="n">
        <v>3600000</v>
      </c>
      <c r="Z532" s="9" t="n">
        <v>7</v>
      </c>
      <c r="AA532" s="9" t="n">
        <v>7.5</v>
      </c>
      <c r="AB532" s="9" t="n">
        <v>8</v>
      </c>
      <c r="AC532" s="9" t="n">
        <v>10</v>
      </c>
      <c r="AD532" s="9" t="n">
        <v>15</v>
      </c>
      <c r="AE532" s="9" t="n">
        <v>17.5</v>
      </c>
      <c r="AF532" t="n">
        <v>2023</v>
      </c>
      <c r="AH532" t="inlineStr">
        <is>
          <t>Townhouse</t>
        </is>
      </c>
      <c r="AI532" t="inlineStr">
        <is>
          <t>MainstreamSelective</t>
        </is>
      </c>
      <c r="AJ532" t="inlineStr">
        <is>
          <t>Established</t>
        </is>
      </c>
      <c r="AK532" t="inlineStr">
        <is>
          <t>Family-villa resilient</t>
        </is>
      </c>
      <c r="AL532" s="7" t="inlineStr">
        <is>
          <t>Villa/townhouse demand remains relatively firmer, though growth should be slower than the post-2020 surge.</t>
        </is>
      </c>
      <c r="AM532" s="9" t="n">
        <v>9</v>
      </c>
      <c r="AN532" s="9" t="n">
        <v>7.25</v>
      </c>
      <c r="AO532" s="10" t="n">
        <v>0.55</v>
      </c>
      <c r="AP532" s="13" t="n">
        <v>0</v>
      </c>
      <c r="AQ532" s="13" t="n">
        <v>0.015</v>
      </c>
      <c r="AR532" s="13" t="n">
        <v>0</v>
      </c>
      <c r="AS532" s="13" t="n">
        <v>0.025</v>
      </c>
      <c r="AT532" s="13" t="n">
        <v>0</v>
      </c>
      <c r="AU532" s="13" t="n">
        <v>0.0025</v>
      </c>
      <c r="AV532" s="13" t="n">
        <v>-0.005</v>
      </c>
      <c r="AW532" s="13">
        <f>IF(X532="","",(AM532/100*AO532)+AP532+AQ532+AR532)</f>
        <v/>
      </c>
      <c r="AX532" s="13">
        <f>IF(X532="","",AS532+AT532+AU532+AV532)</f>
        <v/>
      </c>
      <c r="AY532" s="12">
        <f>IF(AZ532="","",ROUND(AZ532*(1+Assumptions!$B$10),0))</f>
        <v/>
      </c>
      <c r="AZ532" s="12">
        <f>IF(X532="","",ROUND(X532*(1+AW532),0))</f>
        <v/>
      </c>
      <c r="BA532" s="12">
        <f>IF(AZ532="","",ROUND(AZ532*(1+Assumptions!$B$11),0))</f>
        <v/>
      </c>
      <c r="BB532" s="12">
        <f>IF(AZ532="","",ROUND(AZ532*(1+AX532+Assumptions!$B$10),0))</f>
        <v/>
      </c>
      <c r="BC532" s="12">
        <f>IF(AZ532="","",ROUND(AZ532*(1+AX532),0))</f>
        <v/>
      </c>
      <c r="BD532" s="12">
        <f>IF(AZ532="","",ROUND(AZ532*(1+AX532+Assumptions!$B$11),0))</f>
        <v/>
      </c>
      <c r="BE532" s="12">
        <f>IF(AZ532="","",ROUND(AZ532*(1+AX532)*(1+AX532),0))</f>
        <v/>
      </c>
      <c r="BF532" s="7" t="inlineStr">
        <is>
          <t>Rules-based enrichment using launch-price anchor, cap-app realization, and 2026 segment conditions.</t>
        </is>
      </c>
      <c r="BG532" t="inlineStr">
        <is>
          <t>2026-03-17</t>
        </is>
      </c>
      <c r="BH532" s="7" t="inlineStr">
        <is>
          <t>DLD / Digital Dubai / CBUAE / Savills / Knight Frank-Moody’s / Reuters</t>
        </is>
      </c>
    </row>
    <row r="533">
      <c r="A533" t="n">
        <v>532</v>
      </c>
      <c r="B533" s="7" t="inlineStr">
        <is>
          <t>The Autograph I Series</t>
        </is>
      </c>
      <c r="C533" t="inlineStr">
        <is>
          <t>Green Group</t>
        </is>
      </c>
      <c r="D533" t="inlineStr">
        <is>
          <t>JVC</t>
        </is>
      </c>
      <c r="E533" t="inlineStr">
        <is>
          <t>Apartments</t>
        </is>
      </c>
      <c r="F533" s="7" t="inlineStr">
        <is>
          <t>Boutique / Smart</t>
        </is>
      </c>
      <c r="G533" t="inlineStr">
        <is>
          <t>1.1M</t>
        </is>
      </c>
      <c r="H533" t="inlineStr">
        <is>
          <t>1400</t>
        </is>
      </c>
      <c r="I533" t="inlineStr">
        <is>
          <t>16</t>
        </is>
      </c>
      <c r="J533" t="inlineStr">
        <is>
          <t>50/50</t>
        </is>
      </c>
      <c r="K533" t="inlineStr">
        <is>
          <t>2024</t>
        </is>
      </c>
      <c r="L533" t="inlineStr">
        <is>
          <t>7.5-8.0</t>
        </is>
      </c>
      <c r="M533" t="inlineStr">
        <is>
          <t>8-10</t>
        </is>
      </c>
      <c r="N533" t="inlineStr">
        <is>
          <t>15.5-18.0</t>
        </is>
      </c>
      <c r="O533" s="7" t="inlineStr">
        <is>
          <t>JSS International</t>
        </is>
      </c>
      <c r="P533" s="7" t="inlineStr">
        <is>
          <t>Saudi German Hospital</t>
        </is>
      </c>
      <c r="Q533" s="7" t="inlineStr">
        <is>
          <t>Circle Mall</t>
        </is>
      </c>
      <c r="R533" s="7" t="inlineStr">
        <is>
          <t>Hessa St / E44</t>
        </is>
      </c>
      <c r="S533" t="inlineStr">
        <is>
          <t>20</t>
        </is>
      </c>
      <c r="T533" t="inlineStr">
        <is>
          <t>15</t>
        </is>
      </c>
      <c r="U533" t="inlineStr">
        <is>
          <t>25</t>
        </is>
      </c>
      <c r="V533" t="inlineStr">
        <is>
          <t>30</t>
        </is>
      </c>
      <c r="W533" t="n">
        <v>2</v>
      </c>
      <c r="X533" s="12" t="n">
        <v>1100000</v>
      </c>
      <c r="Y533" s="12" t="n">
        <v>1100000</v>
      </c>
      <c r="Z533" s="9" t="n">
        <v>7.5</v>
      </c>
      <c r="AA533" s="9" t="n">
        <v>8</v>
      </c>
      <c r="AB533" s="9" t="n">
        <v>8</v>
      </c>
      <c r="AC533" s="9" t="n">
        <v>10</v>
      </c>
      <c r="AD533" s="9" t="n">
        <v>15.5</v>
      </c>
      <c r="AE533" s="9" t="n">
        <v>18</v>
      </c>
      <c r="AF533" t="n">
        <v>2024</v>
      </c>
      <c r="AH533" t="inlineStr">
        <is>
          <t>Apartment</t>
        </is>
      </c>
      <c r="AI533" t="inlineStr">
        <is>
          <t>SupplySensitiveApartment</t>
        </is>
      </c>
      <c r="AJ533" t="inlineStr">
        <is>
          <t>Established</t>
        </is>
      </c>
      <c r="AK533" t="inlineStr">
        <is>
          <t>Supply-sensitive / selective</t>
        </is>
      </c>
      <c r="AL533" s="7" t="inlineStr">
        <is>
          <t>Higher delivery risk in more price-sensitive apartment clusters; building selection and exit liquidity matter.</t>
        </is>
      </c>
      <c r="AM533" s="9" t="n">
        <v>9</v>
      </c>
      <c r="AN533" s="9" t="n">
        <v>7.75</v>
      </c>
      <c r="AO533" s="10" t="n">
        <v>0.55</v>
      </c>
      <c r="AP533" s="13" t="n">
        <v>0</v>
      </c>
      <c r="AQ533" s="13" t="n">
        <v>0</v>
      </c>
      <c r="AR533" s="13" t="n">
        <v>-0.01</v>
      </c>
      <c r="AS533" s="13" t="n">
        <v>-0.01</v>
      </c>
      <c r="AT533" s="13" t="n">
        <v>0</v>
      </c>
      <c r="AU533" s="13" t="n">
        <v>0.0025</v>
      </c>
      <c r="AV533" s="13" t="n">
        <v>-0.005</v>
      </c>
      <c r="AW533" s="13">
        <f>IF(X533="","",(AM533/100*AO533)+AP533+AQ533+AR533)</f>
        <v/>
      </c>
      <c r="AX533" s="13">
        <f>IF(X533="","",AS533+AT533+AU533+AV533)</f>
        <v/>
      </c>
      <c r="AY533" s="12">
        <f>IF(AZ533="","",ROUND(AZ533*(1+Assumptions!$B$10),0))</f>
        <v/>
      </c>
      <c r="AZ533" s="12">
        <f>IF(X533="","",ROUND(X533*(1+AW533),0))</f>
        <v/>
      </c>
      <c r="BA533" s="12">
        <f>IF(AZ533="","",ROUND(AZ533*(1+Assumptions!$B$11),0))</f>
        <v/>
      </c>
      <c r="BB533" s="12">
        <f>IF(AZ533="","",ROUND(AZ533*(1+AX533+Assumptions!$B$10),0))</f>
        <v/>
      </c>
      <c r="BC533" s="12">
        <f>IF(AZ533="","",ROUND(AZ533*(1+AX533),0))</f>
        <v/>
      </c>
      <c r="BD533" s="12">
        <f>IF(AZ533="","",ROUND(AZ533*(1+AX533+Assumptions!$B$11),0))</f>
        <v/>
      </c>
      <c r="BE533" s="12">
        <f>IF(AZ533="","",ROUND(AZ533*(1+AX533)*(1+AX533),0))</f>
        <v/>
      </c>
      <c r="BF533" s="7" t="inlineStr">
        <is>
          <t>Rules-based enrichment using launch-price anchor, cap-app realization, and 2026 segment conditions.</t>
        </is>
      </c>
      <c r="BG533" t="inlineStr">
        <is>
          <t>2026-03-17</t>
        </is>
      </c>
      <c r="BH533" s="7" t="inlineStr">
        <is>
          <t>DLD / Digital Dubai / CBUAE / Savills / Knight Frank-Moody’s / Reuters</t>
        </is>
      </c>
    </row>
    <row r="534">
      <c r="A534" t="n">
        <v>533</v>
      </c>
      <c r="B534" s="7" t="inlineStr">
        <is>
          <t>Paradise Lakes (Resale)</t>
        </is>
      </c>
      <c r="C534" t="inlineStr">
        <is>
          <t>Sweet Homes (Orig.)</t>
        </is>
      </c>
      <c r="D534" t="inlineStr">
        <is>
          <t>Emirates City (Ajman)</t>
        </is>
      </c>
      <c r="E534" t="inlineStr">
        <is>
          <t>Apartments</t>
        </is>
      </c>
      <c r="F534" s="7" t="inlineStr">
        <is>
          <t>Budget / Resale</t>
        </is>
      </c>
      <c r="G534" t="inlineStr">
        <is>
          <t>250k</t>
        </is>
      </c>
      <c r="H534" t="inlineStr">
        <is>
          <t>350</t>
        </is>
      </c>
      <c r="I534" t="inlineStr">
        <is>
          <t>10</t>
        </is>
      </c>
      <c r="J534" t="inlineStr">
        <is>
          <t>Cash</t>
        </is>
      </c>
      <c r="K534" t="inlineStr">
        <is>
          <t>2008</t>
        </is>
      </c>
      <c r="L534" t="inlineStr">
        <is>
          <t>9.0-10.0</t>
        </is>
      </c>
      <c r="M534" t="inlineStr">
        <is>
          <t>3-5</t>
        </is>
      </c>
      <c r="N534" t="inlineStr">
        <is>
          <t>12.0-15.0</t>
        </is>
      </c>
      <c r="O534" s="7" t="inlineStr">
        <is>
          <t>Ajman Academy</t>
        </is>
      </c>
      <c r="P534" s="7" t="inlineStr">
        <is>
          <t>Saudi German Ajman</t>
        </is>
      </c>
      <c r="Q534" s="7" t="inlineStr">
        <is>
          <t>China Mall Ajman</t>
        </is>
      </c>
      <c r="R534" s="7" t="inlineStr">
        <is>
          <t>E311 (Ajman)</t>
        </is>
      </c>
      <c r="S534" t="inlineStr">
        <is>
          <t>40</t>
        </is>
      </c>
      <c r="T534" t="inlineStr">
        <is>
          <t>60</t>
        </is>
      </c>
      <c r="U534" t="inlineStr">
        <is>
          <t>25</t>
        </is>
      </c>
      <c r="V534" t="inlineStr">
        <is>
          <t>60</t>
        </is>
      </c>
      <c r="W534" t="n">
        <v>2</v>
      </c>
      <c r="X534" s="12" t="n">
        <v>250000</v>
      </c>
      <c r="Y534" s="12" t="n">
        <v>250000</v>
      </c>
      <c r="Z534" s="9" t="n">
        <v>9</v>
      </c>
      <c r="AA534" s="9" t="n">
        <v>10</v>
      </c>
      <c r="AB534" s="9" t="n">
        <v>3</v>
      </c>
      <c r="AC534" s="9" t="n">
        <v>5</v>
      </c>
      <c r="AD534" s="9" t="n">
        <v>12</v>
      </c>
      <c r="AE534" s="9" t="n">
        <v>15</v>
      </c>
      <c r="AF534" t="n">
        <v>2008</v>
      </c>
      <c r="AH534" t="inlineStr">
        <is>
          <t>Apartment</t>
        </is>
      </c>
      <c r="AI534" t="inlineStr">
        <is>
          <t>MainstreamSelective</t>
        </is>
      </c>
      <c r="AJ534" t="inlineStr">
        <is>
          <t>Established</t>
        </is>
      </c>
      <c r="AK534" t="inlineStr">
        <is>
          <t>Balanced / selective</t>
        </is>
      </c>
      <c r="AL534" s="7" t="inlineStr">
        <is>
          <t>Market remains active but increasingly differentiated by developer, micro-location, livability, and pricing discipline.</t>
        </is>
      </c>
      <c r="AM534" s="9" t="n">
        <v>4</v>
      </c>
      <c r="AN534" s="9" t="n">
        <v>9.5</v>
      </c>
      <c r="AO534" s="10" t="n">
        <v>0.55</v>
      </c>
      <c r="AP534" s="13" t="n">
        <v>0</v>
      </c>
      <c r="AQ534" s="13" t="n">
        <v>0</v>
      </c>
      <c r="AR534" s="13" t="n">
        <v>0</v>
      </c>
      <c r="AS534" s="13" t="n">
        <v>0.01</v>
      </c>
      <c r="AT534" s="13" t="n">
        <v>0</v>
      </c>
      <c r="AU534" s="13" t="n">
        <v>0.0025</v>
      </c>
      <c r="AV534" s="13" t="n">
        <v>-0.005</v>
      </c>
      <c r="AW534" s="13">
        <f>IF(X534="","",(AM534/100*AO534)+AP534+AQ534+AR534)</f>
        <v/>
      </c>
      <c r="AX534" s="13">
        <f>IF(X534="","",AS534+AT534+AU534+AV534)</f>
        <v/>
      </c>
      <c r="AY534" s="12">
        <f>IF(AZ534="","",ROUND(AZ534*(1+Assumptions!$B$10),0))</f>
        <v/>
      </c>
      <c r="AZ534" s="12">
        <f>IF(X534="","",ROUND(X534*(1+AW534),0))</f>
        <v/>
      </c>
      <c r="BA534" s="12">
        <f>IF(AZ534="","",ROUND(AZ534*(1+Assumptions!$B$11),0))</f>
        <v/>
      </c>
      <c r="BB534" s="12">
        <f>IF(AZ534="","",ROUND(AZ534*(1+AX534+Assumptions!$B$10),0))</f>
        <v/>
      </c>
      <c r="BC534" s="12">
        <f>IF(AZ534="","",ROUND(AZ534*(1+AX534),0))</f>
        <v/>
      </c>
      <c r="BD534" s="12">
        <f>IF(AZ534="","",ROUND(AZ534*(1+AX534+Assumptions!$B$11),0))</f>
        <v/>
      </c>
      <c r="BE534" s="12">
        <f>IF(AZ534="","",ROUND(AZ534*(1+AX534)*(1+AX534),0))</f>
        <v/>
      </c>
      <c r="BF534" s="7" t="inlineStr">
        <is>
          <t>Rules-based enrichment using launch-price anchor, cap-app realization, and 2026 segment conditions.</t>
        </is>
      </c>
      <c r="BG534" t="inlineStr">
        <is>
          <t>2026-03-17</t>
        </is>
      </c>
      <c r="BH534" s="7" t="inlineStr">
        <is>
          <t>DLD / Digital Dubai / CBUAE / Savills / Knight Frank-Moody’s / Reuters</t>
        </is>
      </c>
    </row>
    <row r="535">
      <c r="A535" t="n">
        <v>534</v>
      </c>
      <c r="B535" s="7" t="inlineStr">
        <is>
          <t>Helvetia Residences</t>
        </is>
      </c>
      <c r="C535" t="inlineStr">
        <is>
          <t>DHG Properties</t>
        </is>
      </c>
      <c r="D535" t="inlineStr">
        <is>
          <t>JVC</t>
        </is>
      </c>
      <c r="E535" t="inlineStr">
        <is>
          <t>Apartments</t>
        </is>
      </c>
      <c r="F535" s="7" t="inlineStr">
        <is>
          <t>Swiss Quality</t>
        </is>
      </c>
      <c r="G535" t="inlineStr">
        <is>
          <t>900k</t>
        </is>
      </c>
      <c r="H535" t="inlineStr">
        <is>
          <t>1200</t>
        </is>
      </c>
      <c r="I535" t="inlineStr">
        <is>
          <t>15</t>
        </is>
      </c>
      <c r="J535" t="inlineStr">
        <is>
          <t>60/40</t>
        </is>
      </c>
      <c r="K535" t="inlineStr">
        <is>
          <t>2023</t>
        </is>
      </c>
      <c r="L535" t="inlineStr">
        <is>
          <t>7.5-8.0</t>
        </is>
      </c>
      <c r="M535" t="inlineStr">
        <is>
          <t>6-8</t>
        </is>
      </c>
      <c r="N535" t="inlineStr">
        <is>
          <t>13.5-16.0</t>
        </is>
      </c>
      <c r="O535" s="7" t="inlineStr">
        <is>
          <t>JSS International</t>
        </is>
      </c>
      <c r="P535" s="7" t="inlineStr">
        <is>
          <t>Saudi German Hospital</t>
        </is>
      </c>
      <c r="Q535" s="7" t="inlineStr">
        <is>
          <t>Circle Mall</t>
        </is>
      </c>
      <c r="R535" s="7" t="inlineStr">
        <is>
          <t>Hessa St / E44</t>
        </is>
      </c>
      <c r="S535" t="inlineStr">
        <is>
          <t>20</t>
        </is>
      </c>
      <c r="T535" t="inlineStr">
        <is>
          <t>15</t>
        </is>
      </c>
      <c r="U535" t="inlineStr">
        <is>
          <t>25</t>
        </is>
      </c>
      <c r="V535" t="inlineStr">
        <is>
          <t>30</t>
        </is>
      </c>
      <c r="W535" t="n">
        <v>2</v>
      </c>
      <c r="X535" s="12" t="n">
        <v>900000</v>
      </c>
      <c r="Y535" s="12" t="n">
        <v>900000</v>
      </c>
      <c r="Z535" s="9" t="n">
        <v>7.5</v>
      </c>
      <c r="AA535" s="9" t="n">
        <v>8</v>
      </c>
      <c r="AB535" s="9" t="n">
        <v>6</v>
      </c>
      <c r="AC535" s="9" t="n">
        <v>8</v>
      </c>
      <c r="AD535" s="9" t="n">
        <v>13.5</v>
      </c>
      <c r="AE535" s="9" t="n">
        <v>16</v>
      </c>
      <c r="AF535" t="n">
        <v>2023</v>
      </c>
      <c r="AH535" t="inlineStr">
        <is>
          <t>Apartment</t>
        </is>
      </c>
      <c r="AI535" t="inlineStr">
        <is>
          <t>SupplySensitiveApartment</t>
        </is>
      </c>
      <c r="AJ535" t="inlineStr">
        <is>
          <t>Established</t>
        </is>
      </c>
      <c r="AK535" t="inlineStr">
        <is>
          <t>Supply-sensitive / selective</t>
        </is>
      </c>
      <c r="AL535" s="7" t="inlineStr">
        <is>
          <t>Higher delivery risk in more price-sensitive apartment clusters; building selection and exit liquidity matter.</t>
        </is>
      </c>
      <c r="AM535" s="9" t="n">
        <v>7</v>
      </c>
      <c r="AN535" s="9" t="n">
        <v>7.75</v>
      </c>
      <c r="AO535" s="10" t="n">
        <v>0.55</v>
      </c>
      <c r="AP535" s="13" t="n">
        <v>0</v>
      </c>
      <c r="AQ535" s="13" t="n">
        <v>0</v>
      </c>
      <c r="AR535" s="13" t="n">
        <v>-0.01</v>
      </c>
      <c r="AS535" s="13" t="n">
        <v>-0.01</v>
      </c>
      <c r="AT535" s="13" t="n">
        <v>0</v>
      </c>
      <c r="AU535" s="13" t="n">
        <v>0.0025</v>
      </c>
      <c r="AV535" s="13" t="n">
        <v>-0.005</v>
      </c>
      <c r="AW535" s="13">
        <f>IF(X535="","",(AM535/100*AO535)+AP535+AQ535+AR535)</f>
        <v/>
      </c>
      <c r="AX535" s="13">
        <f>IF(X535="","",AS535+AT535+AU535+AV535)</f>
        <v/>
      </c>
      <c r="AY535" s="12">
        <f>IF(AZ535="","",ROUND(AZ535*(1+Assumptions!$B$10),0))</f>
        <v/>
      </c>
      <c r="AZ535" s="12">
        <f>IF(X535="","",ROUND(X535*(1+AW535),0))</f>
        <v/>
      </c>
      <c r="BA535" s="12">
        <f>IF(AZ535="","",ROUND(AZ535*(1+Assumptions!$B$11),0))</f>
        <v/>
      </c>
      <c r="BB535" s="12">
        <f>IF(AZ535="","",ROUND(AZ535*(1+AX535+Assumptions!$B$10),0))</f>
        <v/>
      </c>
      <c r="BC535" s="12">
        <f>IF(AZ535="","",ROUND(AZ535*(1+AX535),0))</f>
        <v/>
      </c>
      <c r="BD535" s="12">
        <f>IF(AZ535="","",ROUND(AZ535*(1+AX535+Assumptions!$B$11),0))</f>
        <v/>
      </c>
      <c r="BE535" s="12">
        <f>IF(AZ535="","",ROUND(AZ535*(1+AX535)*(1+AX535),0))</f>
        <v/>
      </c>
      <c r="BF535" s="7" t="inlineStr">
        <is>
          <t>Rules-based enrichment using launch-price anchor, cap-app realization, and 2026 segment conditions.</t>
        </is>
      </c>
      <c r="BG535" t="inlineStr">
        <is>
          <t>2026-03-17</t>
        </is>
      </c>
      <c r="BH535" s="7" t="inlineStr">
        <is>
          <t>DLD / Digital Dubai / CBUAE / Savills / Knight Frank-Moody’s / Reuters</t>
        </is>
      </c>
    </row>
    <row r="536">
      <c r="A536" t="n">
        <v>535</v>
      </c>
      <c r="B536" s="7" t="inlineStr">
        <is>
          <t>Helvetia Marine</t>
        </is>
      </c>
      <c r="C536" t="inlineStr">
        <is>
          <t>DHG Properties</t>
        </is>
      </c>
      <c r="D536" t="inlineStr">
        <is>
          <t>Dubai Maritime City</t>
        </is>
      </c>
      <c r="E536" t="inlineStr">
        <is>
          <t>Apartments</t>
        </is>
      </c>
      <c r="F536" s="7" t="inlineStr">
        <is>
          <t>Sea View</t>
        </is>
      </c>
      <c r="G536" t="inlineStr">
        <is>
          <t>1.5M</t>
        </is>
      </c>
      <c r="H536" t="inlineStr">
        <is>
          <t>1600</t>
        </is>
      </c>
      <c r="I536" t="inlineStr">
        <is>
          <t>18</t>
        </is>
      </c>
      <c r="J536" t="inlineStr">
        <is>
          <t>60/40</t>
        </is>
      </c>
      <c r="K536" t="inlineStr">
        <is>
          <t>2024</t>
        </is>
      </c>
      <c r="L536" t="inlineStr">
        <is>
          <t>6.5-7.0</t>
        </is>
      </c>
      <c r="M536" t="inlineStr">
        <is>
          <t>8-10</t>
        </is>
      </c>
      <c r="N536" t="inlineStr">
        <is>
          <t>14.5-17.0</t>
        </is>
      </c>
      <c r="O536" s="7" t="inlineStr">
        <is>
          <t>New Academy School</t>
        </is>
      </c>
      <c r="P536" s="7" t="inlineStr">
        <is>
          <t>Aster Hospital Mankhool</t>
        </is>
      </c>
      <c r="Q536" s="7" t="inlineStr">
        <is>
          <t>Dubai Mall</t>
        </is>
      </c>
      <c r="R536" s="7" t="inlineStr">
        <is>
          <t>Al Khaleej / E11</t>
        </is>
      </c>
      <c r="S536" t="inlineStr">
        <is>
          <t>15</t>
        </is>
      </c>
      <c r="T536" t="inlineStr">
        <is>
          <t>25</t>
        </is>
      </c>
      <c r="U536" t="inlineStr">
        <is>
          <t>15</t>
        </is>
      </c>
      <c r="V536" t="inlineStr">
        <is>
          <t>45</t>
        </is>
      </c>
      <c r="W536" t="n">
        <v>2</v>
      </c>
      <c r="X536" s="12" t="n">
        <v>1500000</v>
      </c>
      <c r="Y536" s="12" t="n">
        <v>1500000</v>
      </c>
      <c r="Z536" s="9" t="n">
        <v>6.5</v>
      </c>
      <c r="AA536" s="9" t="n">
        <v>7</v>
      </c>
      <c r="AB536" s="9" t="n">
        <v>8</v>
      </c>
      <c r="AC536" s="9" t="n">
        <v>10</v>
      </c>
      <c r="AD536" s="9" t="n">
        <v>14.5</v>
      </c>
      <c r="AE536" s="9" t="n">
        <v>17</v>
      </c>
      <c r="AF536" t="n">
        <v>2024</v>
      </c>
      <c r="AH536" t="inlineStr">
        <is>
          <t>Apartment</t>
        </is>
      </c>
      <c r="AI536" t="inlineStr">
        <is>
          <t>MainstreamSelective</t>
        </is>
      </c>
      <c r="AJ536" t="inlineStr">
        <is>
          <t>Established</t>
        </is>
      </c>
      <c r="AK536" t="inlineStr">
        <is>
          <t>Balanced / selective</t>
        </is>
      </c>
      <c r="AL536" s="7" t="inlineStr">
        <is>
          <t>Market remains active but increasingly differentiated by developer, micro-location, livability, and pricing discipline.</t>
        </is>
      </c>
      <c r="AM536" s="9" t="n">
        <v>9</v>
      </c>
      <c r="AN536" s="9" t="n">
        <v>6.75</v>
      </c>
      <c r="AO536" s="10" t="n">
        <v>0.55</v>
      </c>
      <c r="AP536" s="13" t="n">
        <v>0</v>
      </c>
      <c r="AQ536" s="13" t="n">
        <v>0</v>
      </c>
      <c r="AR536" s="13" t="n">
        <v>0</v>
      </c>
      <c r="AS536" s="13" t="n">
        <v>0.01</v>
      </c>
      <c r="AT536" s="13" t="n">
        <v>0</v>
      </c>
      <c r="AU536" s="13" t="n">
        <v>0.0025</v>
      </c>
      <c r="AV536" s="13" t="n">
        <v>-0.005</v>
      </c>
      <c r="AW536" s="13">
        <f>IF(X536="","",(AM536/100*AO536)+AP536+AQ536+AR536)</f>
        <v/>
      </c>
      <c r="AX536" s="13">
        <f>IF(X536="","",AS536+AT536+AU536+AV536)</f>
        <v/>
      </c>
      <c r="AY536" s="12">
        <f>IF(AZ536="","",ROUND(AZ536*(1+Assumptions!$B$10),0))</f>
        <v/>
      </c>
      <c r="AZ536" s="12">
        <f>IF(X536="","",ROUND(X536*(1+AW536),0))</f>
        <v/>
      </c>
      <c r="BA536" s="12">
        <f>IF(AZ536="","",ROUND(AZ536*(1+Assumptions!$B$11),0))</f>
        <v/>
      </c>
      <c r="BB536" s="12">
        <f>IF(AZ536="","",ROUND(AZ536*(1+AX536+Assumptions!$B$10),0))</f>
        <v/>
      </c>
      <c r="BC536" s="12">
        <f>IF(AZ536="","",ROUND(AZ536*(1+AX536),0))</f>
        <v/>
      </c>
      <c r="BD536" s="12">
        <f>IF(AZ536="","",ROUND(AZ536*(1+AX536+Assumptions!$B$11),0))</f>
        <v/>
      </c>
      <c r="BE536" s="12">
        <f>IF(AZ536="","",ROUND(AZ536*(1+AX536)*(1+AX536),0))</f>
        <v/>
      </c>
      <c r="BF536" s="7" t="inlineStr">
        <is>
          <t>Rules-based enrichment using launch-price anchor, cap-app realization, and 2026 segment conditions.</t>
        </is>
      </c>
      <c r="BG536" t="inlineStr">
        <is>
          <t>2026-03-17</t>
        </is>
      </c>
      <c r="BH536" s="7" t="inlineStr">
        <is>
          <t>DLD / Digital Dubai / CBUAE / Savills / Knight Frank-Moody’s / Reuters</t>
        </is>
      </c>
    </row>
    <row r="537">
      <c r="A537" t="n">
        <v>536</v>
      </c>
      <c r="B537" s="7" t="inlineStr">
        <is>
          <t>Helvetia Verde</t>
        </is>
      </c>
      <c r="C537" t="inlineStr">
        <is>
          <t>DHG Properties</t>
        </is>
      </c>
      <c r="D537" t="inlineStr">
        <is>
          <t>JVC</t>
        </is>
      </c>
      <c r="E537" t="inlineStr">
        <is>
          <t>Apartments</t>
        </is>
      </c>
      <c r="F537" s="7" t="inlineStr">
        <is>
          <t>Green</t>
        </is>
      </c>
      <c r="G537" t="inlineStr">
        <is>
          <t>950k</t>
        </is>
      </c>
      <c r="H537" t="inlineStr">
        <is>
          <t>1250</t>
        </is>
      </c>
      <c r="I537" t="inlineStr">
        <is>
          <t>15</t>
        </is>
      </c>
      <c r="J537" t="inlineStr">
        <is>
          <t>60/40</t>
        </is>
      </c>
      <c r="K537" t="inlineStr">
        <is>
          <t>2024</t>
        </is>
      </c>
      <c r="L537" t="inlineStr">
        <is>
          <t>7.5-8.0</t>
        </is>
      </c>
      <c r="M537" t="inlineStr">
        <is>
          <t>6-8</t>
        </is>
      </c>
      <c r="N537" t="inlineStr">
        <is>
          <t>13.5-16.0</t>
        </is>
      </c>
      <c r="O537" s="7" t="inlineStr">
        <is>
          <t>JSS International</t>
        </is>
      </c>
      <c r="P537" s="7" t="inlineStr">
        <is>
          <t>Saudi German Hospital</t>
        </is>
      </c>
      <c r="Q537" s="7" t="inlineStr">
        <is>
          <t>Circle Mall</t>
        </is>
      </c>
      <c r="R537" s="7" t="inlineStr">
        <is>
          <t>Hessa St / E44</t>
        </is>
      </c>
      <c r="S537" t="inlineStr">
        <is>
          <t>20</t>
        </is>
      </c>
      <c r="T537" t="inlineStr">
        <is>
          <t>15</t>
        </is>
      </c>
      <c r="U537" t="inlineStr">
        <is>
          <t>25</t>
        </is>
      </c>
      <c r="V537" t="inlineStr">
        <is>
          <t>30</t>
        </is>
      </c>
      <c r="W537" t="n">
        <v>2</v>
      </c>
      <c r="X537" s="12" t="n">
        <v>950000</v>
      </c>
      <c r="Y537" s="12" t="n">
        <v>950000</v>
      </c>
      <c r="Z537" s="9" t="n">
        <v>7.5</v>
      </c>
      <c r="AA537" s="9" t="n">
        <v>8</v>
      </c>
      <c r="AB537" s="9" t="n">
        <v>6</v>
      </c>
      <c r="AC537" s="9" t="n">
        <v>8</v>
      </c>
      <c r="AD537" s="9" t="n">
        <v>13.5</v>
      </c>
      <c r="AE537" s="9" t="n">
        <v>16</v>
      </c>
      <c r="AF537" t="n">
        <v>2024</v>
      </c>
      <c r="AH537" t="inlineStr">
        <is>
          <t>Apartment</t>
        </is>
      </c>
      <c r="AI537" t="inlineStr">
        <is>
          <t>SupplySensitiveApartment</t>
        </is>
      </c>
      <c r="AJ537" t="inlineStr">
        <is>
          <t>Established</t>
        </is>
      </c>
      <c r="AK537" t="inlineStr">
        <is>
          <t>Supply-sensitive / selective</t>
        </is>
      </c>
      <c r="AL537" s="7" t="inlineStr">
        <is>
          <t>Higher delivery risk in more price-sensitive apartment clusters; building selection and exit liquidity matter.</t>
        </is>
      </c>
      <c r="AM537" s="9" t="n">
        <v>7</v>
      </c>
      <c r="AN537" s="9" t="n">
        <v>7.75</v>
      </c>
      <c r="AO537" s="10" t="n">
        <v>0.55</v>
      </c>
      <c r="AP537" s="13" t="n">
        <v>0</v>
      </c>
      <c r="AQ537" s="13" t="n">
        <v>0</v>
      </c>
      <c r="AR537" s="13" t="n">
        <v>-0.01</v>
      </c>
      <c r="AS537" s="13" t="n">
        <v>-0.01</v>
      </c>
      <c r="AT537" s="13" t="n">
        <v>0</v>
      </c>
      <c r="AU537" s="13" t="n">
        <v>0.0025</v>
      </c>
      <c r="AV537" s="13" t="n">
        <v>-0.005</v>
      </c>
      <c r="AW537" s="13">
        <f>IF(X537="","",(AM537/100*AO537)+AP537+AQ537+AR537)</f>
        <v/>
      </c>
      <c r="AX537" s="13">
        <f>IF(X537="","",AS537+AT537+AU537+AV537)</f>
        <v/>
      </c>
      <c r="AY537" s="12">
        <f>IF(AZ537="","",ROUND(AZ537*(1+Assumptions!$B$10),0))</f>
        <v/>
      </c>
      <c r="AZ537" s="12">
        <f>IF(X537="","",ROUND(X537*(1+AW537),0))</f>
        <v/>
      </c>
      <c r="BA537" s="12">
        <f>IF(AZ537="","",ROUND(AZ537*(1+Assumptions!$B$11),0))</f>
        <v/>
      </c>
      <c r="BB537" s="12">
        <f>IF(AZ537="","",ROUND(AZ537*(1+AX537+Assumptions!$B$10),0))</f>
        <v/>
      </c>
      <c r="BC537" s="12">
        <f>IF(AZ537="","",ROUND(AZ537*(1+AX537),0))</f>
        <v/>
      </c>
      <c r="BD537" s="12">
        <f>IF(AZ537="","",ROUND(AZ537*(1+AX537+Assumptions!$B$11),0))</f>
        <v/>
      </c>
      <c r="BE537" s="12">
        <f>IF(AZ537="","",ROUND(AZ537*(1+AX537)*(1+AX537),0))</f>
        <v/>
      </c>
      <c r="BF537" s="7" t="inlineStr">
        <is>
          <t>Rules-based enrichment using launch-price anchor, cap-app realization, and 2026 segment conditions.</t>
        </is>
      </c>
      <c r="BG537" t="inlineStr">
        <is>
          <t>2026-03-17</t>
        </is>
      </c>
      <c r="BH537" s="7" t="inlineStr">
        <is>
          <t>DLD / Digital Dubai / CBUAE / Savills / Knight Frank-Moody’s / Reuters</t>
        </is>
      </c>
    </row>
    <row r="538">
      <c r="A538" t="n">
        <v>537</v>
      </c>
      <c r="B538" s="7" t="inlineStr">
        <is>
          <t>City Walk Crestlane</t>
        </is>
      </c>
      <c r="C538" t="inlineStr">
        <is>
          <t>Meraas</t>
        </is>
      </c>
      <c r="D538" t="inlineStr">
        <is>
          <t>City Walk</t>
        </is>
      </c>
      <c r="E538" t="inlineStr">
        <is>
          <t>Apartments</t>
        </is>
      </c>
      <c r="F538" s="7" t="inlineStr">
        <is>
          <t>Urban / Mixed-Use</t>
        </is>
      </c>
      <c r="G538" t="inlineStr">
        <is>
          <t>2.6M</t>
        </is>
      </c>
      <c r="H538" t="inlineStr">
        <is>
          <t>TBA</t>
        </is>
      </c>
      <c r="I538" t="inlineStr">
        <is>
          <t>TBA</t>
        </is>
      </c>
      <c r="J538" t="inlineStr">
        <is>
          <t>Flexible</t>
        </is>
      </c>
      <c r="K538" t="inlineStr">
        <is>
          <t>Q1 2025</t>
        </is>
      </c>
      <c r="L538" t="inlineStr">
        <is>
          <t>4.5-5.5</t>
        </is>
      </c>
      <c r="M538" t="inlineStr">
        <is>
          <t>3-6</t>
        </is>
      </c>
      <c r="N538" t="inlineStr">
        <is>
          <t>7.5-11.5</t>
        </is>
      </c>
      <c r="O538" s="7" t="inlineStr">
        <is>
          <t>GEMS Wellington / JSS Private</t>
        </is>
      </c>
      <c r="P538" s="7" t="inlineStr">
        <is>
          <t>Medcare / Emirates Hospital Jumeirah</t>
        </is>
      </c>
      <c r="Q538" s="7" t="inlineStr">
        <is>
          <t>City Walk / Dubai Mall</t>
        </is>
      </c>
      <c r="R538" s="7" t="inlineStr">
        <is>
          <t>Al Safa St / Sheikh Zayed Rd</t>
        </is>
      </c>
      <c r="S538" t="n">
        <v>10</v>
      </c>
      <c r="T538" t="n">
        <v>20</v>
      </c>
      <c r="U538" t="n">
        <v>15</v>
      </c>
      <c r="V538" t="n">
        <v>40</v>
      </c>
      <c r="W538" t="n">
        <v>1</v>
      </c>
      <c r="X538" t="n">
        <v>2600000</v>
      </c>
      <c r="Y538" t="n">
        <v>2600000</v>
      </c>
      <c r="Z538" t="n">
        <v>4.5</v>
      </c>
      <c r="AA538" t="n">
        <v>5.5</v>
      </c>
      <c r="AB538" t="n">
        <v>3</v>
      </c>
      <c r="AC538" t="n">
        <v>6</v>
      </c>
      <c r="AD538" t="n">
        <v>7.5</v>
      </c>
      <c r="AE538" t="n">
        <v>11.5</v>
      </c>
      <c r="AF538" t="n">
        <v>2025</v>
      </c>
      <c r="AG538" t="n">
        <v>1</v>
      </c>
      <c r="AH538" t="inlineStr">
        <is>
          <t>Apartment</t>
        </is>
      </c>
      <c r="AI538" t="inlineStr">
        <is>
          <t>Prime</t>
        </is>
      </c>
      <c r="AJ538" t="inlineStr">
        <is>
          <t>TopTier</t>
        </is>
      </c>
      <c r="AK538" t="inlineStr">
        <is>
          <t>Prime resilient / selective</t>
        </is>
      </c>
      <c r="AL538" s="7" t="inlineStr">
        <is>
          <t>Better support from quality, branding, and scarcer prime stock; still entry-price sensitive.</t>
        </is>
      </c>
      <c r="AM538" t="n">
        <v>4.5</v>
      </c>
      <c r="AN538" t="n">
        <v>5</v>
      </c>
      <c r="AO538" t="n">
        <v>0.4</v>
      </c>
      <c r="AP538" t="n">
        <v>0.02</v>
      </c>
      <c r="AQ538" t="n">
        <v>0</v>
      </c>
      <c r="AR538" t="n">
        <v>0</v>
      </c>
      <c r="AS538" t="n">
        <v>0.03</v>
      </c>
      <c r="AT538" t="n">
        <v>0.005</v>
      </c>
      <c r="AU538" t="n">
        <v>0</v>
      </c>
      <c r="AV538" t="n">
        <v>-0.005</v>
      </c>
      <c r="AW538">
        <f>IF(X538="","",(AM538/100*AO538)+AP538+AQ538+AR538)</f>
        <v/>
      </c>
      <c r="AX538">
        <f>IF(X538="","",AS538+AT538+AU538+AV538)</f>
        <v/>
      </c>
      <c r="AY538">
        <f>IF(AZ538="","",ROUND(AZ538*(1+Assumptions!$B$10),0))</f>
        <v/>
      </c>
      <c r="AZ538">
        <f>IF(X538="","",ROUND(X538*(1+AW538),0))</f>
        <v/>
      </c>
      <c r="BA538">
        <f>IF(AZ538="","",ROUND(AZ538*(1+Assumptions!$B$11),0))</f>
        <v/>
      </c>
      <c r="BB538">
        <f>IF(AZ538="","",ROUND(AZ538*(1+AX538+Assumptions!$B$10),0))</f>
        <v/>
      </c>
      <c r="BC538">
        <f>IF(AZ538="","",ROUND(AZ538*(1+AX538),0))</f>
        <v/>
      </c>
      <c r="BD538">
        <f>IF(AZ538="","",ROUND(AZ538*(1+AX538+Assumptions!$B$11),0))</f>
        <v/>
      </c>
      <c r="BE538">
        <f>IF(AZ538="","",ROUND(AZ538*(1+AX538)*(1+AX538),0))</f>
        <v/>
      </c>
      <c r="BF538" s="7" t="inlineStr">
        <is>
          <t>Rules-based enrichment using launch-price anchor, cap-app realization, and 2026 segment conditions.</t>
        </is>
      </c>
      <c r="BG538" t="inlineStr">
        <is>
          <t>2026-03-18</t>
        </is>
      </c>
      <c r="BH538" s="7" t="inlineStr">
        <is>
          <t>Project row added from current web launch/pricing sources</t>
        </is>
      </c>
      <c r="BI538" s="7" t="inlineStr">
        <is>
          <t>https://eplogoffplan.com/projects/city-walk-crestlane-by-meraas-apartments/paymentplan-details</t>
        </is>
      </c>
      <c r="BJ538" t="inlineStr">
        <is>
          <t>web_added</t>
        </is>
      </c>
      <c r="BK538" t="inlineStr">
        <is>
          <t>2026-03-18</t>
        </is>
      </c>
    </row>
    <row r="539">
      <c r="A539" t="n">
        <v>538</v>
      </c>
      <c r="B539" s="7" t="inlineStr">
        <is>
          <t>The Edit at d3</t>
        </is>
      </c>
      <c r="C539" t="inlineStr">
        <is>
          <t>Meraas</t>
        </is>
      </c>
      <c r="D539" t="inlineStr">
        <is>
          <t>Dubai Design District (d3)</t>
        </is>
      </c>
      <c r="E539" t="inlineStr">
        <is>
          <t>Apartments</t>
        </is>
      </c>
      <c r="F539" s="7" t="inlineStr">
        <is>
          <t>Waterfront / Design-Led</t>
        </is>
      </c>
      <c r="G539" t="inlineStr">
        <is>
          <t>1.87M</t>
        </is>
      </c>
      <c r="H539" t="inlineStr">
        <is>
          <t>TBA</t>
        </is>
      </c>
      <c r="I539" t="inlineStr">
        <is>
          <t>TBA</t>
        </is>
      </c>
      <c r="J539" t="inlineStr">
        <is>
          <t>75/25</t>
        </is>
      </c>
      <c r="K539" t="inlineStr">
        <is>
          <t>Q1 2026</t>
        </is>
      </c>
      <c r="L539" t="inlineStr">
        <is>
          <t>5.0-6.0</t>
        </is>
      </c>
      <c r="M539" t="inlineStr">
        <is>
          <t>4-7</t>
        </is>
      </c>
      <c r="N539" t="inlineStr">
        <is>
          <t>9.0-13.0</t>
        </is>
      </c>
      <c r="O539" s="7" t="inlineStr">
        <is>
          <t>Hartland Intl / North London Collegiate</t>
        </is>
      </c>
      <c r="P539" s="7" t="inlineStr">
        <is>
          <t>Medcare / Emirates Hospital</t>
        </is>
      </c>
      <c r="Q539" s="7" t="inlineStr">
        <is>
          <t>Dubai Mall</t>
        </is>
      </c>
      <c r="R539" s="7" t="inlineStr">
        <is>
          <t>Ras Al Khor Rd / Al Khail Rd</t>
        </is>
      </c>
      <c r="S539" t="n">
        <v>7</v>
      </c>
      <c r="T539" t="n">
        <v>20</v>
      </c>
      <c r="U539" t="n">
        <v>15</v>
      </c>
      <c r="V539" t="n">
        <v>35</v>
      </c>
      <c r="W539" t="n">
        <v>1</v>
      </c>
      <c r="X539" t="n">
        <v>1870000</v>
      </c>
      <c r="Y539" t="n">
        <v>1870000</v>
      </c>
      <c r="Z539" t="n">
        <v>5</v>
      </c>
      <c r="AA539" t="n">
        <v>6</v>
      </c>
      <c r="AB539" t="n">
        <v>4</v>
      </c>
      <c r="AC539" t="n">
        <v>7</v>
      </c>
      <c r="AD539" t="n">
        <v>9</v>
      </c>
      <c r="AE539" t="n">
        <v>13</v>
      </c>
      <c r="AF539" t="n">
        <v>2026</v>
      </c>
      <c r="AG539" t="n">
        <v>1</v>
      </c>
      <c r="AH539" t="inlineStr">
        <is>
          <t>Apartment</t>
        </is>
      </c>
      <c r="AI539" t="inlineStr">
        <is>
          <t>MainstreamSelective</t>
        </is>
      </c>
      <c r="AJ539" t="inlineStr">
        <is>
          <t>TopTier</t>
        </is>
      </c>
      <c r="AK539" t="inlineStr">
        <is>
          <t>Balanced / selective</t>
        </is>
      </c>
      <c r="AL539" s="7" t="inlineStr">
        <is>
          <t>Market remains active but increasingly differentiated by developer, micro-location, livability, and pricing discipline.</t>
        </is>
      </c>
      <c r="AM539" t="n">
        <v>5.5</v>
      </c>
      <c r="AN539" t="n">
        <v>5.5</v>
      </c>
      <c r="AO539" t="n">
        <v>0.1</v>
      </c>
      <c r="AP539" t="n">
        <v>0</v>
      </c>
      <c r="AQ539" t="n">
        <v>0</v>
      </c>
      <c r="AR539" t="n">
        <v>0</v>
      </c>
      <c r="AS539" t="n">
        <v>0.01</v>
      </c>
      <c r="AT539" t="n">
        <v>0.005</v>
      </c>
      <c r="AU539" t="n">
        <v>0</v>
      </c>
      <c r="AV539" t="n">
        <v>-0.005</v>
      </c>
      <c r="AW539">
        <f>IF(X539="","",(AM539/100*AO539)+AP539+AQ539+AR539)</f>
        <v/>
      </c>
      <c r="AX539">
        <f>IF(X539="","",AS539+AT539+AU539+AV539)</f>
        <v/>
      </c>
      <c r="AY539">
        <f>IF(AZ539="","",ROUND(AZ539*(1+Assumptions!$B$10),0))</f>
        <v/>
      </c>
      <c r="AZ539">
        <f>IF(X539="","",ROUND(X539*(1+AW539),0))</f>
        <v/>
      </c>
      <c r="BA539">
        <f>IF(AZ539="","",ROUND(AZ539*(1+Assumptions!$B$11),0))</f>
        <v/>
      </c>
      <c r="BB539">
        <f>IF(AZ539="","",ROUND(AZ539*(1+AX539+Assumptions!$B$10),0))</f>
        <v/>
      </c>
      <c r="BC539">
        <f>IF(AZ539="","",ROUND(AZ539*(1+AX539),0))</f>
        <v/>
      </c>
      <c r="BD539">
        <f>IF(AZ539="","",ROUND(AZ539*(1+AX539+Assumptions!$B$11),0))</f>
        <v/>
      </c>
      <c r="BE539">
        <f>IF(AZ539="","",ROUND(AZ539*(1+AX539)*(1+AX539),0))</f>
        <v/>
      </c>
      <c r="BF539" s="7" t="inlineStr">
        <is>
          <t>Rules-based enrichment using launch-price anchor, cap-app realization, and 2026 segment conditions.</t>
        </is>
      </c>
      <c r="BG539" t="inlineStr">
        <is>
          <t>2026-03-18</t>
        </is>
      </c>
      <c r="BH539" s="7" t="inlineStr">
        <is>
          <t>Project row added from current web launch/pricing sources</t>
        </is>
      </c>
      <c r="BI539" s="7" t="inlineStr">
        <is>
          <t>https://www.engelvoelkers.com/ae/en/off-plan/the-edit-d3</t>
        </is>
      </c>
      <c r="BJ539" t="inlineStr">
        <is>
          <t>web_added</t>
        </is>
      </c>
      <c r="BK539" t="inlineStr">
        <is>
          <t>2026-03-18</t>
        </is>
      </c>
    </row>
    <row r="540">
      <c r="A540" t="n">
        <v>539</v>
      </c>
      <c r="B540" s="7" t="inlineStr">
        <is>
          <t>Jumeirah Residences Emirates Towers</t>
        </is>
      </c>
      <c r="C540" t="inlineStr">
        <is>
          <t>Meraas</t>
        </is>
      </c>
      <c r="D540" t="inlineStr">
        <is>
          <t>Sheikh Zayed Road</t>
        </is>
      </c>
      <c r="E540" t="inlineStr">
        <is>
          <t>Apartments</t>
        </is>
      </c>
      <c r="F540" s="7" t="inlineStr">
        <is>
          <t>Branded / Urban Core</t>
        </is>
      </c>
      <c r="G540" t="inlineStr">
        <is>
          <t>3.51M</t>
        </is>
      </c>
      <c r="H540" t="inlineStr">
        <is>
          <t>TBA</t>
        </is>
      </c>
      <c r="I540" t="inlineStr">
        <is>
          <t>TBA</t>
        </is>
      </c>
      <c r="J540" t="inlineStr">
        <is>
          <t>80/20</t>
        </is>
      </c>
      <c r="K540" t="inlineStr">
        <is>
          <t>Q2 2025</t>
        </is>
      </c>
      <c r="L540" t="inlineStr">
        <is>
          <t>4.0-5.0</t>
        </is>
      </c>
      <c r="M540" t="inlineStr">
        <is>
          <t>3-6</t>
        </is>
      </c>
      <c r="N540" t="inlineStr">
        <is>
          <t>7.0-11.0</t>
        </is>
      </c>
      <c r="O540" s="7" t="inlineStr">
        <is>
          <t>GEMS Wellington / JESS</t>
        </is>
      </c>
      <c r="P540" s="7" t="inlineStr">
        <is>
          <t>Medcare / Emirates Hospital</t>
        </is>
      </c>
      <c r="Q540" s="7" t="inlineStr">
        <is>
          <t>Museum of the Future / Dubai Mall</t>
        </is>
      </c>
      <c r="R540" s="7" t="inlineStr">
        <is>
          <t>Sheikh Zayed Rd</t>
        </is>
      </c>
      <c r="S540" t="n">
        <v>10</v>
      </c>
      <c r="T540" t="n">
        <v>20</v>
      </c>
      <c r="U540" t="n">
        <v>15</v>
      </c>
      <c r="V540" t="n">
        <v>40</v>
      </c>
      <c r="W540" t="n">
        <v>1</v>
      </c>
      <c r="X540" t="n">
        <v>3510000</v>
      </c>
      <c r="Y540" t="n">
        <v>3510000</v>
      </c>
      <c r="Z540" t="n">
        <v>4</v>
      </c>
      <c r="AA540" t="n">
        <v>5</v>
      </c>
      <c r="AB540" t="n">
        <v>3</v>
      </c>
      <c r="AC540" t="n">
        <v>6</v>
      </c>
      <c r="AD540" t="n">
        <v>7</v>
      </c>
      <c r="AE540" t="n">
        <v>11</v>
      </c>
      <c r="AF540" t="n">
        <v>2025</v>
      </c>
      <c r="AG540" t="n">
        <v>2</v>
      </c>
      <c r="AH540" t="inlineStr">
        <is>
          <t>Apartment</t>
        </is>
      </c>
      <c r="AI540" t="inlineStr">
        <is>
          <t>MainstreamSelective</t>
        </is>
      </c>
      <c r="AJ540" t="inlineStr">
        <is>
          <t>TopTier</t>
        </is>
      </c>
      <c r="AK540" t="inlineStr">
        <is>
          <t>Balanced / selective</t>
        </is>
      </c>
      <c r="AL540" s="7" t="inlineStr">
        <is>
          <t>Market remains active but increasingly differentiated by developer, micro-location, livability, and pricing discipline.</t>
        </is>
      </c>
      <c r="AM540" t="n">
        <v>4.5</v>
      </c>
      <c r="AN540" t="n">
        <v>4.5</v>
      </c>
      <c r="AO540" t="n">
        <v>0.33</v>
      </c>
      <c r="AP540" t="n">
        <v>0</v>
      </c>
      <c r="AQ540" t="n">
        <v>0</v>
      </c>
      <c r="AR540" t="n">
        <v>0</v>
      </c>
      <c r="AS540" t="n">
        <v>0.01</v>
      </c>
      <c r="AT540" t="n">
        <v>0.005</v>
      </c>
      <c r="AU540" t="n">
        <v>0</v>
      </c>
      <c r="AV540" t="n">
        <v>-0.005</v>
      </c>
      <c r="AW540">
        <f>IF(X540="","",(AM540/100*AO540)+AP540+AQ540+AR540)</f>
        <v/>
      </c>
      <c r="AX540">
        <f>IF(X540="","",AS540+AT540+AU540+AV540)</f>
        <v/>
      </c>
      <c r="AY540">
        <f>IF(AZ540="","",ROUND(AZ540*(1+Assumptions!$B$10),0))</f>
        <v/>
      </c>
      <c r="AZ540">
        <f>IF(X540="","",ROUND(X540*(1+AW540),0))</f>
        <v/>
      </c>
      <c r="BA540">
        <f>IF(AZ540="","",ROUND(AZ540*(1+Assumptions!$B$11),0))</f>
        <v/>
      </c>
      <c r="BB540">
        <f>IF(AZ540="","",ROUND(AZ540*(1+AX540+Assumptions!$B$10),0))</f>
        <v/>
      </c>
      <c r="BC540">
        <f>IF(AZ540="","",ROUND(AZ540*(1+AX540),0))</f>
        <v/>
      </c>
      <c r="BD540">
        <f>IF(AZ540="","",ROUND(AZ540*(1+AX540+Assumptions!$B$11),0))</f>
        <v/>
      </c>
      <c r="BE540">
        <f>IF(AZ540="","",ROUND(AZ540*(1+AX540)*(1+AX540),0))</f>
        <v/>
      </c>
      <c r="BF540" s="7" t="inlineStr">
        <is>
          <t>Rules-based enrichment using launch-price anchor, cap-app realization, and 2026 segment conditions.</t>
        </is>
      </c>
      <c r="BG540" t="inlineStr">
        <is>
          <t>2026-03-18</t>
        </is>
      </c>
      <c r="BH540" s="7" t="inlineStr">
        <is>
          <t>Project row added from current web launch/pricing sources</t>
        </is>
      </c>
      <c r="BI540" s="7" t="inlineStr">
        <is>
          <t>https://metropolitan.realestate/sheikh-zayed-road/jumeirah-residences-emirates-towers/</t>
        </is>
      </c>
      <c r="BJ540" t="inlineStr">
        <is>
          <t>web_added</t>
        </is>
      </c>
      <c r="BK540" t="inlineStr">
        <is>
          <t>2026-03-18</t>
        </is>
      </c>
    </row>
    <row r="541">
      <c r="A541" t="n">
        <v>540</v>
      </c>
      <c r="B541" s="7" t="inlineStr">
        <is>
          <t>Atélis at d3</t>
        </is>
      </c>
      <c r="C541" t="inlineStr">
        <is>
          <t>Meraas</t>
        </is>
      </c>
      <c r="D541" t="inlineStr">
        <is>
          <t>Dubai Design District (d3)</t>
        </is>
      </c>
      <c r="E541" t="inlineStr">
        <is>
          <t>Apartments &amp; Sky Villas</t>
        </is>
      </c>
      <c r="F541" s="7" t="inlineStr">
        <is>
          <t>Waterfront / Design-Led</t>
        </is>
      </c>
      <c r="G541" t="inlineStr">
        <is>
          <t>2.1M</t>
        </is>
      </c>
      <c r="H541" t="inlineStr">
        <is>
          <t>TBA</t>
        </is>
      </c>
      <c r="I541" t="inlineStr">
        <is>
          <t>TBA</t>
        </is>
      </c>
      <c r="J541" t="inlineStr">
        <is>
          <t>50/50</t>
        </is>
      </c>
      <c r="K541" t="inlineStr">
        <is>
          <t>Q1 2026</t>
        </is>
      </c>
      <c r="L541" t="inlineStr">
        <is>
          <t>5.0-6.0</t>
        </is>
      </c>
      <c r="M541" t="inlineStr">
        <is>
          <t>4-7</t>
        </is>
      </c>
      <c r="N541" t="inlineStr">
        <is>
          <t>9.0-13.0</t>
        </is>
      </c>
      <c r="O541" s="7" t="inlineStr">
        <is>
          <t>Hartland Intl / North London Collegiate</t>
        </is>
      </c>
      <c r="P541" s="7" t="inlineStr">
        <is>
          <t>Medcare / Emirates Hospital</t>
        </is>
      </c>
      <c r="Q541" s="7" t="inlineStr">
        <is>
          <t>Dubai Mall</t>
        </is>
      </c>
      <c r="R541" s="7" t="inlineStr">
        <is>
          <t>Ras Al Khor Rd / Al Khail Rd</t>
        </is>
      </c>
      <c r="S541" t="n">
        <v>6</v>
      </c>
      <c r="T541" t="n">
        <v>20</v>
      </c>
      <c r="U541" t="n">
        <v>15</v>
      </c>
      <c r="V541" t="n">
        <v>35</v>
      </c>
      <c r="W541" t="n">
        <v>1</v>
      </c>
      <c r="X541" t="n">
        <v>2100000</v>
      </c>
      <c r="Y541" t="n">
        <v>2100000</v>
      </c>
      <c r="Z541" t="n">
        <v>5</v>
      </c>
      <c r="AA541" t="n">
        <v>6</v>
      </c>
      <c r="AB541" t="n">
        <v>4</v>
      </c>
      <c r="AC541" t="n">
        <v>7</v>
      </c>
      <c r="AD541" t="n">
        <v>9</v>
      </c>
      <c r="AE541" t="n">
        <v>13</v>
      </c>
      <c r="AF541" t="n">
        <v>2026</v>
      </c>
      <c r="AG541" t="n">
        <v>1</v>
      </c>
      <c r="AH541" t="inlineStr">
        <is>
          <t>Villa</t>
        </is>
      </c>
      <c r="AI541" t="inlineStr">
        <is>
          <t>MainstreamSelective</t>
        </is>
      </c>
      <c r="AJ541" t="inlineStr">
        <is>
          <t>TopTier</t>
        </is>
      </c>
      <c r="AK541" t="inlineStr">
        <is>
          <t>Family-villa resilient</t>
        </is>
      </c>
      <c r="AL541" s="7" t="inlineStr">
        <is>
          <t>Villa/townhouse demand remains relatively firmer, though growth should be slower than the post-2020 surge.</t>
        </is>
      </c>
      <c r="AM541" t="n">
        <v>5.5</v>
      </c>
      <c r="AN541" t="n">
        <v>5.5</v>
      </c>
      <c r="AO541" t="n">
        <v>0.1</v>
      </c>
      <c r="AP541" t="n">
        <v>0</v>
      </c>
      <c r="AQ541" t="n">
        <v>0.015</v>
      </c>
      <c r="AR541" t="n">
        <v>0</v>
      </c>
      <c r="AS541" t="n">
        <v>0.025</v>
      </c>
      <c r="AT541" t="n">
        <v>0.005</v>
      </c>
      <c r="AU541" t="n">
        <v>0</v>
      </c>
      <c r="AV541" t="n">
        <v>-0.005</v>
      </c>
      <c r="AW541">
        <f>IF(X541="","",(AM541/100*AO541)+AP541+AQ541+AR541)</f>
        <v/>
      </c>
      <c r="AX541">
        <f>IF(X541="","",AS541+AT541+AU541+AV541)</f>
        <v/>
      </c>
      <c r="AY541">
        <f>IF(AZ541="","",ROUND(AZ541*(1+Assumptions!$B$10),0))</f>
        <v/>
      </c>
      <c r="AZ541">
        <f>IF(X541="","",ROUND(X541*(1+AW541),0))</f>
        <v/>
      </c>
      <c r="BA541">
        <f>IF(AZ541="","",ROUND(AZ541*(1+Assumptions!$B$11),0))</f>
        <v/>
      </c>
      <c r="BB541">
        <f>IF(AZ541="","",ROUND(AZ541*(1+AX541+Assumptions!$B$10),0))</f>
        <v/>
      </c>
      <c r="BC541">
        <f>IF(AZ541="","",ROUND(AZ541*(1+AX541),0))</f>
        <v/>
      </c>
      <c r="BD541">
        <f>IF(AZ541="","",ROUND(AZ541*(1+AX541+Assumptions!$B$11),0))</f>
        <v/>
      </c>
      <c r="BE541">
        <f>IF(AZ541="","",ROUND(AZ541*(1+AX541)*(1+AX541),0))</f>
        <v/>
      </c>
      <c r="BF541" s="7" t="inlineStr">
        <is>
          <t>Rules-based enrichment using launch-price anchor, cap-app realization, and 2026 segment conditions.</t>
        </is>
      </c>
      <c r="BG541" t="inlineStr">
        <is>
          <t>2026-03-18</t>
        </is>
      </c>
      <c r="BH541" s="7" t="inlineStr">
        <is>
          <t>Project row added from current web launch/pricing sources</t>
        </is>
      </c>
      <c r="BI541" s="7" t="inlineStr">
        <is>
          <t>https://www.sekene.com/off-plane/atelis-at-d3/</t>
        </is>
      </c>
      <c r="BJ541" t="inlineStr">
        <is>
          <t>web_added</t>
        </is>
      </c>
      <c r="BK541" t="inlineStr">
        <is>
          <t>2026-03-18</t>
        </is>
      </c>
    </row>
    <row r="542">
      <c r="A542" t="n">
        <v>541</v>
      </c>
      <c r="B542" s="7" t="inlineStr">
        <is>
          <t>Jumeirah Asora Bay</t>
        </is>
      </c>
      <c r="C542" t="inlineStr">
        <is>
          <t>Meraas</t>
        </is>
      </c>
      <c r="D542" t="inlineStr">
        <is>
          <t>La Mer / Jumeirah</t>
        </is>
      </c>
      <c r="E542" t="inlineStr">
        <is>
          <t>Apartments, Villas &amp; Penthouses</t>
        </is>
      </c>
      <c r="F542" s="7" t="inlineStr">
        <is>
          <t>Ultra-Luxury Waterfront</t>
        </is>
      </c>
      <c r="G542" t="inlineStr">
        <is>
          <t>45M</t>
        </is>
      </c>
      <c r="H542" t="inlineStr">
        <is>
          <t>TBA</t>
        </is>
      </c>
      <c r="I542" t="inlineStr">
        <is>
          <t>TBA</t>
        </is>
      </c>
      <c r="J542" t="inlineStr">
        <is>
          <t>20/40/40</t>
        </is>
      </c>
      <c r="K542" t="inlineStr">
        <is>
          <t>Q1 2026</t>
        </is>
      </c>
      <c r="L542" t="inlineStr">
        <is>
          <t>2.5-3.5</t>
        </is>
      </c>
      <c r="M542" t="inlineStr">
        <is>
          <t>3-6</t>
        </is>
      </c>
      <c r="N542" t="inlineStr">
        <is>
          <t>5.5-9.5</t>
        </is>
      </c>
      <c r="O542" s="7" t="inlineStr">
        <is>
          <t>Jumeirah College / GEMS Wellington</t>
        </is>
      </c>
      <c r="P542" s="7" t="inlineStr">
        <is>
          <t>Medcare / Emirates Hospital Jumeirah</t>
        </is>
      </c>
      <c r="Q542" s="7" t="inlineStr">
        <is>
          <t>La Mer / Dubai Mall</t>
        </is>
      </c>
      <c r="R542" s="7" t="inlineStr">
        <is>
          <t>Jumeirah St / Sheikh Zayed Rd</t>
        </is>
      </c>
      <c r="S542" t="n">
        <v>15</v>
      </c>
      <c r="T542" t="n">
        <v>20</v>
      </c>
      <c r="U542" t="n">
        <v>20</v>
      </c>
      <c r="V542" t="n">
        <v>45</v>
      </c>
      <c r="W542" t="n">
        <v>1</v>
      </c>
      <c r="X542" t="n">
        <v>45000000</v>
      </c>
      <c r="Y542" t="n">
        <v>45000000</v>
      </c>
      <c r="Z542" t="n">
        <v>2.5</v>
      </c>
      <c r="AA542" t="n">
        <v>3.5</v>
      </c>
      <c r="AB542" t="n">
        <v>3</v>
      </c>
      <c r="AC542" t="n">
        <v>6</v>
      </c>
      <c r="AD542" t="n">
        <v>5.5</v>
      </c>
      <c r="AE542" t="n">
        <v>9.5</v>
      </c>
      <c r="AF542" t="n">
        <v>2026</v>
      </c>
      <c r="AG542" t="n">
        <v>1</v>
      </c>
      <c r="AH542" t="inlineStr">
        <is>
          <t>Villa</t>
        </is>
      </c>
      <c r="AI542" t="inlineStr">
        <is>
          <t>Prime</t>
        </is>
      </c>
      <c r="AJ542" t="inlineStr">
        <is>
          <t>TopTier</t>
        </is>
      </c>
      <c r="AK542" t="inlineStr">
        <is>
          <t>Prime resilient / selective</t>
        </is>
      </c>
      <c r="AL542" s="7" t="inlineStr">
        <is>
          <t>Better support from quality, branding, and scarcer prime stock; still entry-price sensitive.</t>
        </is>
      </c>
      <c r="AM542" t="n">
        <v>4.5</v>
      </c>
      <c r="AN542" t="n">
        <v>3</v>
      </c>
      <c r="AO542" t="n">
        <v>0.1</v>
      </c>
      <c r="AP542" t="n">
        <v>0.02</v>
      </c>
      <c r="AQ542" t="n">
        <v>0.015</v>
      </c>
      <c r="AR542" t="n">
        <v>0</v>
      </c>
      <c r="AS542" t="n">
        <v>0.03</v>
      </c>
      <c r="AT542" t="n">
        <v>0.005</v>
      </c>
      <c r="AU542" t="n">
        <v>0</v>
      </c>
      <c r="AV542" t="n">
        <v>-0.005</v>
      </c>
      <c r="AW542">
        <f>IF(X542="","",(AM542/100*AO542)+AP542+AQ542+AR542)</f>
        <v/>
      </c>
      <c r="AX542">
        <f>IF(X542="","",AS542+AT542+AU542+AV542)</f>
        <v/>
      </c>
      <c r="AY542">
        <f>IF(AZ542="","",ROUND(AZ542*(1+Assumptions!$B$10),0))</f>
        <v/>
      </c>
      <c r="AZ542">
        <f>IF(X542="","",ROUND(X542*(1+AW542),0))</f>
        <v/>
      </c>
      <c r="BA542">
        <f>IF(AZ542="","",ROUND(AZ542*(1+Assumptions!$B$11),0))</f>
        <v/>
      </c>
      <c r="BB542">
        <f>IF(AZ542="","",ROUND(AZ542*(1+AX542+Assumptions!$B$10),0))</f>
        <v/>
      </c>
      <c r="BC542">
        <f>IF(AZ542="","",ROUND(AZ542*(1+AX542),0))</f>
        <v/>
      </c>
      <c r="BD542">
        <f>IF(AZ542="","",ROUND(AZ542*(1+AX542+Assumptions!$B$11),0))</f>
        <v/>
      </c>
      <c r="BE542">
        <f>IF(AZ542="","",ROUND(AZ542*(1+AX542)*(1+AX542),0))</f>
        <v/>
      </c>
      <c r="BF542" s="7" t="inlineStr">
        <is>
          <t>Rules-based enrichment using launch-price anchor, cap-app realization, and 2026 segment conditions.</t>
        </is>
      </c>
      <c r="BG542" t="inlineStr">
        <is>
          <t>2026-03-18</t>
        </is>
      </c>
      <c r="BH542" s="7" t="inlineStr">
        <is>
          <t>Project row added from current web launch/pricing sources</t>
        </is>
      </c>
      <c r="BI542" s="7" t="inlineStr">
        <is>
          <t>https://eplogoffplan.com/projects/jumeirah-asora-bay-by-meraas-apartment/paymentplan-details</t>
        </is>
      </c>
      <c r="BJ542" t="inlineStr">
        <is>
          <t>web_added</t>
        </is>
      </c>
      <c r="BK542" t="inlineStr">
        <is>
          <t>2026-03-18</t>
        </is>
      </c>
    </row>
    <row r="543">
      <c r="A543" t="n">
        <v>542</v>
      </c>
      <c r="B543" s="7" t="inlineStr">
        <is>
          <t>The Acres Villas</t>
        </is>
      </c>
      <c r="C543" t="inlineStr">
        <is>
          <t>Meraas</t>
        </is>
      </c>
      <c r="D543" t="inlineStr">
        <is>
          <t>Dubailand</t>
        </is>
      </c>
      <c r="E543" t="inlineStr">
        <is>
          <t>Villas</t>
        </is>
      </c>
      <c r="F543" s="7" t="inlineStr">
        <is>
          <t>Gated / Nature-Led</t>
        </is>
      </c>
      <c r="G543" t="inlineStr">
        <is>
          <t>5.05M</t>
        </is>
      </c>
      <c r="H543" t="inlineStr">
        <is>
          <t>TBA</t>
        </is>
      </c>
      <c r="I543" t="inlineStr">
        <is>
          <t>TBA</t>
        </is>
      </c>
      <c r="J543" t="inlineStr">
        <is>
          <t>65/35</t>
        </is>
      </c>
      <c r="K543" t="inlineStr">
        <is>
          <t>Q1 2026</t>
        </is>
      </c>
      <c r="L543" t="inlineStr">
        <is>
          <t>4.0-5.0</t>
        </is>
      </c>
      <c r="M543" t="inlineStr">
        <is>
          <t>3-6</t>
        </is>
      </c>
      <c r="N543" t="inlineStr">
        <is>
          <t>7.0-11.0</t>
        </is>
      </c>
      <c r="O543" s="7" t="inlineStr">
        <is>
          <t>GEMS FirstPoint / Repton</t>
        </is>
      </c>
      <c r="P543" s="7" t="inlineStr">
        <is>
          <t>Fakeeh University / Mediclinic Parkview</t>
        </is>
      </c>
      <c r="Q543" s="7" t="inlineStr">
        <is>
          <t>Dubai Outlet Mall / Cityland Mall</t>
        </is>
      </c>
      <c r="R543" s="7" t="inlineStr">
        <is>
          <t>Sheikh Zayed Bin Hamdan / Emirates Rd</t>
        </is>
      </c>
      <c r="S543" t="n">
        <v>25</v>
      </c>
      <c r="T543" t="n">
        <v>25</v>
      </c>
      <c r="U543" t="n">
        <v>30</v>
      </c>
      <c r="V543" t="n">
        <v>35</v>
      </c>
      <c r="W543" t="n">
        <v>1</v>
      </c>
      <c r="X543" t="n">
        <v>5050000</v>
      </c>
      <c r="Y543" t="n">
        <v>5050000</v>
      </c>
      <c r="Z543" t="n">
        <v>4</v>
      </c>
      <c r="AA543" t="n">
        <v>5</v>
      </c>
      <c r="AB543" t="n">
        <v>3</v>
      </c>
      <c r="AC543" t="n">
        <v>6</v>
      </c>
      <c r="AD543" t="n">
        <v>7</v>
      </c>
      <c r="AE543" t="n">
        <v>11</v>
      </c>
      <c r="AF543" t="n">
        <v>2026</v>
      </c>
      <c r="AG543" t="n">
        <v>1</v>
      </c>
      <c r="AH543" t="inlineStr">
        <is>
          <t>Villa</t>
        </is>
      </c>
      <c r="AI543" t="inlineStr">
        <is>
          <t>MainstreamSelective</t>
        </is>
      </c>
      <c r="AJ543" t="inlineStr">
        <is>
          <t>TopTier</t>
        </is>
      </c>
      <c r="AK543" t="inlineStr">
        <is>
          <t>Family-villa resilient</t>
        </is>
      </c>
      <c r="AL543" s="7" t="inlineStr">
        <is>
          <t>Villa/townhouse demand remains relatively firmer, though growth should be slower than the post-2020 surge.</t>
        </is>
      </c>
      <c r="AM543" t="n">
        <v>4.5</v>
      </c>
      <c r="AN543" t="n">
        <v>4.5</v>
      </c>
      <c r="AO543" t="n">
        <v>0.1</v>
      </c>
      <c r="AP543" t="n">
        <v>0</v>
      </c>
      <c r="AQ543" t="n">
        <v>0.015</v>
      </c>
      <c r="AR543" t="n">
        <v>0</v>
      </c>
      <c r="AS543" t="n">
        <v>0.025</v>
      </c>
      <c r="AT543" t="n">
        <v>0.005</v>
      </c>
      <c r="AU543" t="n">
        <v>0</v>
      </c>
      <c r="AV543" t="n">
        <v>-0.005</v>
      </c>
      <c r="AW543">
        <f>IF(X543="","",(AM543/100*AO543)+AP543+AQ543+AR543)</f>
        <v/>
      </c>
      <c r="AX543">
        <f>IF(X543="","",AS543+AT543+AU543+AV543)</f>
        <v/>
      </c>
      <c r="AY543">
        <f>IF(AZ543="","",ROUND(AZ543*(1+Assumptions!$B$10),0))</f>
        <v/>
      </c>
      <c r="AZ543">
        <f>IF(X543="","",ROUND(X543*(1+AW543),0))</f>
        <v/>
      </c>
      <c r="BA543">
        <f>IF(AZ543="","",ROUND(AZ543*(1+Assumptions!$B$11),0))</f>
        <v/>
      </c>
      <c r="BB543">
        <f>IF(AZ543="","",ROUND(AZ543*(1+AX543+Assumptions!$B$10),0))</f>
        <v/>
      </c>
      <c r="BC543">
        <f>IF(AZ543="","",ROUND(AZ543*(1+AX543),0))</f>
        <v/>
      </c>
      <c r="BD543">
        <f>IF(AZ543="","",ROUND(AZ543*(1+AX543+Assumptions!$B$11),0))</f>
        <v/>
      </c>
      <c r="BE543">
        <f>IF(AZ543="","",ROUND(AZ543*(1+AX543)*(1+AX543),0))</f>
        <v/>
      </c>
      <c r="BF543" s="7" t="inlineStr">
        <is>
          <t>Rules-based enrichment using launch-price anchor, cap-app realization, and 2026 segment conditions.</t>
        </is>
      </c>
      <c r="BG543" t="inlineStr">
        <is>
          <t>2026-03-18</t>
        </is>
      </c>
      <c r="BH543" s="7" t="inlineStr">
        <is>
          <t>Project row added from current web launch/pricing sources</t>
        </is>
      </c>
      <c r="BI543" s="7" t="inlineStr">
        <is>
          <t>https://eplogoffplan.com/projects/acres-by-meraas-villas-dubailand/paymentplan-details</t>
        </is>
      </c>
      <c r="BJ543" t="inlineStr">
        <is>
          <t>web_added</t>
        </is>
      </c>
      <c r="BK543" t="inlineStr">
        <is>
          <t>2026-03-18</t>
        </is>
      </c>
    </row>
    <row r="544">
      <c r="A544" t="n">
        <v>543</v>
      </c>
      <c r="B544" s="7" t="inlineStr">
        <is>
          <t>District One Naya Residences</t>
        </is>
      </c>
      <c r="C544" t="inlineStr">
        <is>
          <t>Nakheel Properties</t>
        </is>
      </c>
      <c r="D544" t="inlineStr">
        <is>
          <t>District One / MBR City</t>
        </is>
      </c>
      <c r="E544" t="inlineStr">
        <is>
          <t>Apartments, Penthouses &amp; Villas</t>
        </is>
      </c>
      <c r="F544" s="7" t="inlineStr">
        <is>
          <t>Lagoon / Waterfront</t>
        </is>
      </c>
      <c r="G544" t="inlineStr">
        <is>
          <t>1.7M</t>
        </is>
      </c>
      <c r="H544" t="inlineStr">
        <is>
          <t>TBA</t>
        </is>
      </c>
      <c r="I544" t="inlineStr">
        <is>
          <t>TBA</t>
        </is>
      </c>
      <c r="J544" t="inlineStr">
        <is>
          <t>65/35</t>
        </is>
      </c>
      <c r="K544" t="inlineStr">
        <is>
          <t>Q1 2025</t>
        </is>
      </c>
      <c r="L544" t="inlineStr">
        <is>
          <t>4.5-5.5</t>
        </is>
      </c>
      <c r="M544" t="inlineStr">
        <is>
          <t>4-7</t>
        </is>
      </c>
      <c r="N544" t="inlineStr">
        <is>
          <t>8.5-12.5</t>
        </is>
      </c>
      <c r="O544" s="7" t="inlineStr">
        <is>
          <t>Hartland Intl / North London Collegiate</t>
        </is>
      </c>
      <c r="P544" s="7" t="inlineStr">
        <is>
          <t>MediClinic City / Emirates Hospital</t>
        </is>
      </c>
      <c r="Q544" s="7" t="inlineStr">
        <is>
          <t>Dubai Mall / Meydan One</t>
        </is>
      </c>
      <c r="R544" s="7" t="inlineStr">
        <is>
          <t>Al Khail Rd / Meydan Rd</t>
        </is>
      </c>
      <c r="S544" t="n">
        <v>12</v>
      </c>
      <c r="T544" t="n">
        <v>22</v>
      </c>
      <c r="U544" t="n">
        <v>18</v>
      </c>
      <c r="V544" t="n">
        <v>40</v>
      </c>
      <c r="W544" t="n">
        <v>1</v>
      </c>
      <c r="X544" t="n">
        <v>1700000</v>
      </c>
      <c r="Y544" t="n">
        <v>1700000</v>
      </c>
      <c r="Z544" t="n">
        <v>4.5</v>
      </c>
      <c r="AA544" t="n">
        <v>5.5</v>
      </c>
      <c r="AB544" t="n">
        <v>4</v>
      </c>
      <c r="AC544" t="n">
        <v>7</v>
      </c>
      <c r="AD544" t="n">
        <v>8.5</v>
      </c>
      <c r="AE544" t="n">
        <v>12.5</v>
      </c>
      <c r="AF544" t="n">
        <v>2025</v>
      </c>
      <c r="AG544" t="n">
        <v>1</v>
      </c>
      <c r="AH544" t="inlineStr">
        <is>
          <t>Villa</t>
        </is>
      </c>
      <c r="AI544" t="inlineStr">
        <is>
          <t>Prime</t>
        </is>
      </c>
      <c r="AJ544" t="inlineStr">
        <is>
          <t>TopTier</t>
        </is>
      </c>
      <c r="AK544" t="inlineStr">
        <is>
          <t>Prime resilient / selective</t>
        </is>
      </c>
      <c r="AL544" s="7" t="inlineStr">
        <is>
          <t>Better support from quality, branding, and scarcer prime stock; still entry-price sensitive.</t>
        </is>
      </c>
      <c r="AM544" t="n">
        <v>5.5</v>
      </c>
      <c r="AN544" t="n">
        <v>5</v>
      </c>
      <c r="AO544" t="n">
        <v>0.4</v>
      </c>
      <c r="AP544" t="n">
        <v>0.02</v>
      </c>
      <c r="AQ544" t="n">
        <v>0.015</v>
      </c>
      <c r="AR544" t="n">
        <v>0</v>
      </c>
      <c r="AS544" t="n">
        <v>0.03</v>
      </c>
      <c r="AT544" t="n">
        <v>0.005</v>
      </c>
      <c r="AU544" t="n">
        <v>0</v>
      </c>
      <c r="AV544" t="n">
        <v>-0.005</v>
      </c>
      <c r="AW544">
        <f>IF(X544="","",(AM544/100*AO544)+AP544+AQ544+AR544)</f>
        <v/>
      </c>
      <c r="AX544">
        <f>IF(X544="","",AS544+AT544+AU544+AV544)</f>
        <v/>
      </c>
      <c r="AY544">
        <f>IF(AZ544="","",ROUND(AZ544*(1+Assumptions!$B$10),0))</f>
        <v/>
      </c>
      <c r="AZ544">
        <f>IF(X544="","",ROUND(X544*(1+AW544),0))</f>
        <v/>
      </c>
      <c r="BA544">
        <f>IF(AZ544="","",ROUND(AZ544*(1+Assumptions!$B$11),0))</f>
        <v/>
      </c>
      <c r="BB544">
        <f>IF(AZ544="","",ROUND(AZ544*(1+AX544+Assumptions!$B$10),0))</f>
        <v/>
      </c>
      <c r="BC544">
        <f>IF(AZ544="","",ROUND(AZ544*(1+AX544),0))</f>
        <v/>
      </c>
      <c r="BD544">
        <f>IF(AZ544="","",ROUND(AZ544*(1+AX544+Assumptions!$B$11),0))</f>
        <v/>
      </c>
      <c r="BE544">
        <f>IF(AZ544="","",ROUND(AZ544*(1+AX544)*(1+AX544),0))</f>
        <v/>
      </c>
      <c r="BF544" s="7" t="inlineStr">
        <is>
          <t>Rules-based enrichment using launch-price anchor, cap-app realization, and 2026 segment conditions.</t>
        </is>
      </c>
      <c r="BG544" t="inlineStr">
        <is>
          <t>2026-03-18</t>
        </is>
      </c>
      <c r="BH544" s="7" t="inlineStr">
        <is>
          <t>Project row added from current web launch/pricing sources</t>
        </is>
      </c>
      <c r="BI544" s="7" t="inlineStr">
        <is>
          <t>https://www.proprain.com/projects/district-one-naya-residences-by-nakheel-download-brochure/</t>
        </is>
      </c>
      <c r="BJ544" t="inlineStr">
        <is>
          <t>web_added</t>
        </is>
      </c>
      <c r="BK544" t="inlineStr">
        <is>
          <t>2026-03-18</t>
        </is>
      </c>
    </row>
    <row r="545">
      <c r="A545" t="n">
        <v>544</v>
      </c>
      <c r="B545" s="7" t="inlineStr">
        <is>
          <t>Rixos Hotel &amp; Residences Dubai Islands</t>
        </is>
      </c>
      <c r="C545" t="inlineStr">
        <is>
          <t>Nakheel Properties</t>
        </is>
      </c>
      <c r="D545" t="inlineStr">
        <is>
          <t>Dubai Islands</t>
        </is>
      </c>
      <c r="E545" t="inlineStr">
        <is>
          <t>Apartments, Duplexes, Beach Houses &amp; Villas</t>
        </is>
      </c>
      <c r="F545" s="7" t="inlineStr">
        <is>
          <t>Branded Waterfront / Resort</t>
        </is>
      </c>
      <c r="G545" t="inlineStr">
        <is>
          <t>2.6M</t>
        </is>
      </c>
      <c r="H545" t="inlineStr">
        <is>
          <t>TBA</t>
        </is>
      </c>
      <c r="I545" t="inlineStr">
        <is>
          <t>TBA</t>
        </is>
      </c>
      <c r="J545" t="inlineStr">
        <is>
          <t>80/20</t>
        </is>
      </c>
      <c r="K545" t="inlineStr">
        <is>
          <t>Q3 2023</t>
        </is>
      </c>
      <c r="L545" t="inlineStr">
        <is>
          <t>4.5-6.0</t>
        </is>
      </c>
      <c r="M545" t="inlineStr">
        <is>
          <t>4-7</t>
        </is>
      </c>
      <c r="N545" t="inlineStr">
        <is>
          <t>8.5-13.0</t>
        </is>
      </c>
      <c r="O545" s="7" t="inlineStr">
        <is>
          <t>The Elite English School / Deira Intl</t>
        </is>
      </c>
      <c r="P545" s="7" t="inlineStr">
        <is>
          <t>Dubai Hospital</t>
        </is>
      </c>
      <c r="Q545" s="7" t="inlineStr">
        <is>
          <t>Souk Al Marfa / Deira City Centre</t>
        </is>
      </c>
      <c r="R545" s="7" t="inlineStr">
        <is>
          <t>Infinity Bridge / Al Khaleej Rd</t>
        </is>
      </c>
      <c r="S545" t="n">
        <v>25</v>
      </c>
      <c r="T545" t="n">
        <v>35</v>
      </c>
      <c r="U545" t="n">
        <v>20</v>
      </c>
      <c r="V545" t="n">
        <v>55</v>
      </c>
      <c r="W545" t="n">
        <v>1</v>
      </c>
      <c r="X545" t="n">
        <v>2600000</v>
      </c>
      <c r="Y545" t="n">
        <v>2600000</v>
      </c>
      <c r="Z545" t="n">
        <v>4.5</v>
      </c>
      <c r="AA545" t="n">
        <v>6</v>
      </c>
      <c r="AB545" t="n">
        <v>4</v>
      </c>
      <c r="AC545" t="n">
        <v>7</v>
      </c>
      <c r="AD545" t="n">
        <v>8.5</v>
      </c>
      <c r="AE545" t="n">
        <v>13</v>
      </c>
      <c r="AF545" t="n">
        <v>2023</v>
      </c>
      <c r="AG545" t="n">
        <v>3</v>
      </c>
      <c r="AH545" t="inlineStr">
        <is>
          <t>Villa</t>
        </is>
      </c>
      <c r="AI545" t="inlineStr">
        <is>
          <t>MainstreamSelective</t>
        </is>
      </c>
      <c r="AJ545" t="inlineStr">
        <is>
          <t>TopTier</t>
        </is>
      </c>
      <c r="AK545" t="inlineStr">
        <is>
          <t>Family-villa resilient</t>
        </is>
      </c>
      <c r="AL545" s="7" t="inlineStr">
        <is>
          <t>Villa/townhouse demand remains relatively firmer, though growth should be slower than the post-2020 surge.</t>
        </is>
      </c>
      <c r="AM545" t="n">
        <v>5.5</v>
      </c>
      <c r="AN545" t="n">
        <v>5.25</v>
      </c>
      <c r="AO545" t="n">
        <v>0.55</v>
      </c>
      <c r="AP545" t="n">
        <v>0</v>
      </c>
      <c r="AQ545" t="n">
        <v>0.015</v>
      </c>
      <c r="AR545" t="n">
        <v>0</v>
      </c>
      <c r="AS545" t="n">
        <v>0.025</v>
      </c>
      <c r="AT545" t="n">
        <v>0.005</v>
      </c>
      <c r="AU545" t="n">
        <v>0</v>
      </c>
      <c r="AV545" t="n">
        <v>-0.005</v>
      </c>
      <c r="AW545">
        <f>IF(X545="","",(AM545/100*AO545)+AP545+AQ545+AR545)</f>
        <v/>
      </c>
      <c r="AX545">
        <f>IF(X545="","",AS545+AT545+AU545+AV545)</f>
        <v/>
      </c>
      <c r="AY545">
        <f>IF(AZ545="","",ROUND(AZ545*(1+Assumptions!$B$10),0))</f>
        <v/>
      </c>
      <c r="AZ545">
        <f>IF(X545="","",ROUND(X545*(1+AW545),0))</f>
        <v/>
      </c>
      <c r="BA545">
        <f>IF(AZ545="","",ROUND(AZ545*(1+Assumptions!$B$11),0))</f>
        <v/>
      </c>
      <c r="BB545">
        <f>IF(AZ545="","",ROUND(AZ545*(1+AX545+Assumptions!$B$10),0))</f>
        <v/>
      </c>
      <c r="BC545">
        <f>IF(AZ545="","",ROUND(AZ545*(1+AX545),0))</f>
        <v/>
      </c>
      <c r="BD545">
        <f>IF(AZ545="","",ROUND(AZ545*(1+AX545+Assumptions!$B$11),0))</f>
        <v/>
      </c>
      <c r="BE545">
        <f>IF(AZ545="","",ROUND(AZ545*(1+AX545)*(1+AX545),0))</f>
        <v/>
      </c>
      <c r="BF545" s="7" t="inlineStr">
        <is>
          <t>Rules-based enrichment using launch-price anchor, cap-app realization, and 2026 segment conditions.</t>
        </is>
      </c>
      <c r="BG545" t="inlineStr">
        <is>
          <t>2026-03-18</t>
        </is>
      </c>
      <c r="BH545" s="7" t="inlineStr">
        <is>
          <t>Project row added from current web launch/pricing sources</t>
        </is>
      </c>
      <c r="BI545" s="7" t="inlineStr">
        <is>
          <t>https://www.propjunction.ae/projects/nakheel-rixos-dubai-islands-payment-plan</t>
        </is>
      </c>
      <c r="BJ545" t="inlineStr">
        <is>
          <t>web_added</t>
        </is>
      </c>
      <c r="BK545" t="inlineStr">
        <is>
          <t>2026-03-18</t>
        </is>
      </c>
    </row>
    <row r="546">
      <c r="A546" t="n">
        <v>545</v>
      </c>
      <c r="B546" s="7" t="inlineStr">
        <is>
          <t>Palm Beach Towers</t>
        </is>
      </c>
      <c r="C546" t="inlineStr">
        <is>
          <t>Nakheel Properties</t>
        </is>
      </c>
      <c r="D546" t="inlineStr">
        <is>
          <t>Palm Jumeirah</t>
        </is>
      </c>
      <c r="E546" t="inlineStr">
        <is>
          <t>Apartments</t>
        </is>
      </c>
      <c r="F546" s="7" t="inlineStr">
        <is>
          <t>Waterfront / High-Rise</t>
        </is>
      </c>
      <c r="G546" t="inlineStr">
        <is>
          <t>3.6M</t>
        </is>
      </c>
      <c r="H546" t="inlineStr">
        <is>
          <t>TBA</t>
        </is>
      </c>
      <c r="I546" t="inlineStr">
        <is>
          <t>TBA</t>
        </is>
      </c>
      <c r="J546" t="inlineStr">
        <is>
          <t>10/70/20</t>
        </is>
      </c>
      <c r="K546" t="inlineStr">
        <is>
          <t>Q4 2022</t>
        </is>
      </c>
      <c r="L546" t="inlineStr">
        <is>
          <t>4.0-5.0</t>
        </is>
      </c>
      <c r="M546" t="inlineStr">
        <is>
          <t>3-6</t>
        </is>
      </c>
      <c r="N546" t="inlineStr">
        <is>
          <t>7.0-11.0</t>
        </is>
      </c>
      <c r="O546" s="7" t="inlineStr">
        <is>
          <t>GEMS Wellington Intl / Dubai College</t>
        </is>
      </c>
      <c r="P546" s="7" t="inlineStr">
        <is>
          <t>Al Zahra / Saudi German</t>
        </is>
      </c>
      <c r="Q546" s="7" t="inlineStr">
        <is>
          <t>Nakheel Mall / Dubai Marina Mall</t>
        </is>
      </c>
      <c r="R546" s="7" t="inlineStr">
        <is>
          <t>Sheikh Zayed Rd / Palm Monorail</t>
        </is>
      </c>
      <c r="S546" t="n">
        <v>20</v>
      </c>
      <c r="T546" t="n">
        <v>5</v>
      </c>
      <c r="U546" t="n">
        <v>30</v>
      </c>
      <c r="V546" t="n">
        <v>45</v>
      </c>
      <c r="W546" t="n">
        <v>1</v>
      </c>
      <c r="X546" t="n">
        <v>3600000</v>
      </c>
      <c r="Y546" t="n">
        <v>3600000</v>
      </c>
      <c r="Z546" t="n">
        <v>4</v>
      </c>
      <c r="AA546" t="n">
        <v>5</v>
      </c>
      <c r="AB546" t="n">
        <v>3</v>
      </c>
      <c r="AC546" t="n">
        <v>6</v>
      </c>
      <c r="AD546" t="n">
        <v>7</v>
      </c>
      <c r="AE546" t="n">
        <v>11</v>
      </c>
      <c r="AF546" t="n">
        <v>2022</v>
      </c>
      <c r="AG546" t="n">
        <v>4</v>
      </c>
      <c r="AH546" t="inlineStr">
        <is>
          <t>Apartment</t>
        </is>
      </c>
      <c r="AI546" t="inlineStr">
        <is>
          <t>Prime</t>
        </is>
      </c>
      <c r="AJ546" t="inlineStr">
        <is>
          <t>TopTier</t>
        </is>
      </c>
      <c r="AK546" t="inlineStr">
        <is>
          <t>Prime resilient / selective</t>
        </is>
      </c>
      <c r="AL546" s="7" t="inlineStr">
        <is>
          <t>Better support from quality, branding, and scarcer prime stock; still entry-price sensitive.</t>
        </is>
      </c>
      <c r="AM546" t="n">
        <v>4.5</v>
      </c>
      <c r="AN546" t="n">
        <v>4.5</v>
      </c>
      <c r="AO546" t="n">
        <v>0.55</v>
      </c>
      <c r="AP546" t="n">
        <v>0.02</v>
      </c>
      <c r="AQ546" t="n">
        <v>0</v>
      </c>
      <c r="AR546" t="n">
        <v>0</v>
      </c>
      <c r="AS546" t="n">
        <v>0.03</v>
      </c>
      <c r="AT546" t="n">
        <v>0.005</v>
      </c>
      <c r="AU546" t="n">
        <v>0</v>
      </c>
      <c r="AV546" t="n">
        <v>-0.005</v>
      </c>
      <c r="AW546">
        <f>IF(X546="","",(AM546/100*AO546)+AP546+AQ546+AR546)</f>
        <v/>
      </c>
      <c r="AX546">
        <f>IF(X546="","",AS546+AT546+AU546+AV546)</f>
        <v/>
      </c>
      <c r="AY546">
        <f>IF(AZ546="","",ROUND(AZ546*(1+Assumptions!$B$10),0))</f>
        <v/>
      </c>
      <c r="AZ546">
        <f>IF(X546="","",ROUND(X546*(1+AW546),0))</f>
        <v/>
      </c>
      <c r="BA546">
        <f>IF(AZ546="","",ROUND(AZ546*(1+Assumptions!$B$11),0))</f>
        <v/>
      </c>
      <c r="BB546">
        <f>IF(AZ546="","",ROUND(AZ546*(1+AX546+Assumptions!$B$10),0))</f>
        <v/>
      </c>
      <c r="BC546">
        <f>IF(AZ546="","",ROUND(AZ546*(1+AX546),0))</f>
        <v/>
      </c>
      <c r="BD546">
        <f>IF(AZ546="","",ROUND(AZ546*(1+AX546+Assumptions!$B$11),0))</f>
        <v/>
      </c>
      <c r="BE546">
        <f>IF(AZ546="","",ROUND(AZ546*(1+AX546)*(1+AX546),0))</f>
        <v/>
      </c>
      <c r="BF546" s="7" t="inlineStr">
        <is>
          <t>Rules-based enrichment using launch-price anchor, cap-app realization, and 2026 segment conditions.</t>
        </is>
      </c>
      <c r="BG546" t="inlineStr">
        <is>
          <t>2026-03-18</t>
        </is>
      </c>
      <c r="BH546" s="7" t="inlineStr">
        <is>
          <t>Project row added from current web launch/pricing sources</t>
        </is>
      </c>
      <c r="BI546" s="7" t="inlineStr">
        <is>
          <t>https://eplogoffplan.com/projects/palm-beach-towers-3-at-palm-jumeirah/paymentplan-details</t>
        </is>
      </c>
      <c r="BJ546" t="inlineStr">
        <is>
          <t>web_added</t>
        </is>
      </c>
      <c r="BK546" t="inlineStr">
        <is>
          <t>2026-03-18</t>
        </is>
      </c>
    </row>
    <row r="547">
      <c r="A547" t="n">
        <v>546</v>
      </c>
      <c r="B547" s="7" t="inlineStr">
        <is>
          <t>The Heights Country Club &amp; Wellness</t>
        </is>
      </c>
      <c r="C547" t="inlineStr">
        <is>
          <t>Emaar Properties</t>
        </is>
      </c>
      <c r="D547" t="inlineStr">
        <is>
          <t>Dubai South</t>
        </is>
      </c>
      <c r="E547" t="inlineStr">
        <is>
          <t>Townhouses &amp; Villas</t>
        </is>
      </c>
      <c r="F547" s="7" t="inlineStr">
        <is>
          <t>Wellness / Master Community</t>
        </is>
      </c>
      <c r="G547" t="inlineStr">
        <is>
          <t>2.49M</t>
        </is>
      </c>
      <c r="H547" t="inlineStr">
        <is>
          <t>TBA</t>
        </is>
      </c>
      <c r="I547" t="inlineStr">
        <is>
          <t>TBA</t>
        </is>
      </c>
      <c r="J547" t="inlineStr">
        <is>
          <t>80/20</t>
        </is>
      </c>
      <c r="K547" t="inlineStr">
        <is>
          <t>Q1 2026</t>
        </is>
      </c>
      <c r="L547" t="inlineStr">
        <is>
          <t>4.0-5.0</t>
        </is>
      </c>
      <c r="M547" t="inlineStr">
        <is>
          <t>3-6</t>
        </is>
      </c>
      <c r="N547" t="inlineStr">
        <is>
          <t>7.0-11.0</t>
        </is>
      </c>
      <c r="O547" s="7" t="inlineStr">
        <is>
          <t>Greenfield Intl / Bright Riders</t>
        </is>
      </c>
      <c r="P547" s="7" t="inlineStr">
        <is>
          <t>NMC Royal DIP / Al Maktoum Hospital</t>
        </is>
      </c>
      <c r="Q547" s="7" t="inlineStr">
        <is>
          <t>Expo City / Ibn Battuta Mall</t>
        </is>
      </c>
      <c r="R547" s="7" t="inlineStr">
        <is>
          <t>Emirates Rd / Expo Rd</t>
        </is>
      </c>
      <c r="S547" t="n">
        <v>35</v>
      </c>
      <c r="T547" t="n">
        <v>25</v>
      </c>
      <c r="U547" t="n">
        <v>35</v>
      </c>
      <c r="V547" t="n">
        <v>15</v>
      </c>
      <c r="W547" t="n">
        <v>1</v>
      </c>
      <c r="X547" t="n">
        <v>2490000</v>
      </c>
      <c r="Y547" t="n">
        <v>2490000</v>
      </c>
      <c r="Z547" t="n">
        <v>4</v>
      </c>
      <c r="AA547" t="n">
        <v>5</v>
      </c>
      <c r="AB547" t="n">
        <v>3</v>
      </c>
      <c r="AC547" t="n">
        <v>6</v>
      </c>
      <c r="AD547" t="n">
        <v>7</v>
      </c>
      <c r="AE547" t="n">
        <v>11</v>
      </c>
      <c r="AF547" t="n">
        <v>2026</v>
      </c>
      <c r="AG547" t="n">
        <v>1</v>
      </c>
      <c r="AH547" t="inlineStr">
        <is>
          <t>Villa/Townhouse</t>
        </is>
      </c>
      <c r="AI547" t="inlineStr">
        <is>
          <t>FamilyVilla</t>
        </is>
      </c>
      <c r="AJ547" t="inlineStr">
        <is>
          <t>TopTier</t>
        </is>
      </c>
      <c r="AK547" t="inlineStr">
        <is>
          <t>Family-villa resilient</t>
        </is>
      </c>
      <c r="AL547" s="7" t="inlineStr">
        <is>
          <t>Villa/townhouse demand remains relatively firmer, though growth should be slower than the post-2020 surge.</t>
        </is>
      </c>
      <c r="AM547" t="n">
        <v>4.5</v>
      </c>
      <c r="AN547" t="n">
        <v>4.5</v>
      </c>
      <c r="AO547" t="n">
        <v>0.1</v>
      </c>
      <c r="AP547" t="n">
        <v>0</v>
      </c>
      <c r="AQ547" t="n">
        <v>0.015</v>
      </c>
      <c r="AR547" t="n">
        <v>0</v>
      </c>
      <c r="AS547" t="n">
        <v>0.025</v>
      </c>
      <c r="AT547" t="n">
        <v>0.005</v>
      </c>
      <c r="AU547" t="n">
        <v>0</v>
      </c>
      <c r="AV547" t="n">
        <v>-0.005</v>
      </c>
      <c r="AW547">
        <f>IF(X547="","",(AM547/100*AO547)+AP547+AQ547+AR547)</f>
        <v/>
      </c>
      <c r="AX547">
        <f>IF(X547="","",AS547+AT547+AU547+AV547)</f>
        <v/>
      </c>
      <c r="AY547">
        <f>IF(AZ547="","",ROUND(AZ547*(1+Assumptions!$B$10),0))</f>
        <v/>
      </c>
      <c r="AZ547">
        <f>IF(X547="","",ROUND(X547*(1+AW547),0))</f>
        <v/>
      </c>
      <c r="BA547">
        <f>IF(AZ547="","",ROUND(AZ547*(1+Assumptions!$B$11),0))</f>
        <v/>
      </c>
      <c r="BB547">
        <f>IF(AZ547="","",ROUND(AZ547*(1+AX547+Assumptions!$B$10),0))</f>
        <v/>
      </c>
      <c r="BC547">
        <f>IF(AZ547="","",ROUND(AZ547*(1+AX547),0))</f>
        <v/>
      </c>
      <c r="BD547">
        <f>IF(AZ547="","",ROUND(AZ547*(1+AX547+Assumptions!$B$11),0))</f>
        <v/>
      </c>
      <c r="BE547">
        <f>IF(AZ547="","",ROUND(AZ547*(1+AX547)*(1+AX547),0))</f>
        <v/>
      </c>
      <c r="BF547" s="7" t="inlineStr">
        <is>
          <t>Rules-based enrichment using launch-price anchor, cap-app realization, and 2026 segment conditions.</t>
        </is>
      </c>
      <c r="BG547" t="inlineStr">
        <is>
          <t>2026-03-18</t>
        </is>
      </c>
      <c r="BH547" s="7" t="inlineStr">
        <is>
          <t>Project row added from current web launch/pricing sources</t>
        </is>
      </c>
      <c r="BI547" s="7" t="inlineStr">
        <is>
          <t>https://eplogoffplan.com/projects/the-heights-country-club-and-wellness-by-emaar/paymentplan-details</t>
        </is>
      </c>
      <c r="BJ547" t="inlineStr">
        <is>
          <t>web_added</t>
        </is>
      </c>
      <c r="BK547" t="inlineStr">
        <is>
          <t>2026-03-18</t>
        </is>
      </c>
    </row>
    <row r="548">
      <c r="A548" t="n">
        <v>547</v>
      </c>
      <c r="B548" s="7" t="inlineStr">
        <is>
          <t>Dubai Mansions</t>
        </is>
      </c>
      <c r="C548" t="inlineStr">
        <is>
          <t>Emaar Properties</t>
        </is>
      </c>
      <c r="D548" t="inlineStr">
        <is>
          <t>Emaar Hills / Dubai Hills Estate</t>
        </is>
      </c>
      <c r="E548" t="inlineStr">
        <is>
          <t>Mansions</t>
        </is>
      </c>
      <c r="F548" s="7" t="inlineStr">
        <is>
          <t>Ultra-Luxury / Golf-Adjacent</t>
        </is>
      </c>
      <c r="G548" t="inlineStr">
        <is>
          <t>TBA</t>
        </is>
      </c>
      <c r="H548" t="inlineStr">
        <is>
          <t>TBA</t>
        </is>
      </c>
      <c r="I548" t="inlineStr">
        <is>
          <t>TBA</t>
        </is>
      </c>
      <c r="J548" t="inlineStr">
        <is>
          <t>TBA</t>
        </is>
      </c>
      <c r="K548" t="inlineStr">
        <is>
          <t>Q3 2025</t>
        </is>
      </c>
      <c r="L548" t="inlineStr">
        <is>
          <t>2.5-3.5</t>
        </is>
      </c>
      <c r="M548" t="inlineStr">
        <is>
          <t>4-7</t>
        </is>
      </c>
      <c r="N548" t="inlineStr">
        <is>
          <t>6.5-10.5</t>
        </is>
      </c>
      <c r="O548" s="7" t="inlineStr">
        <is>
          <t>GEMS Wellington / King’s School Al Barsha</t>
        </is>
      </c>
      <c r="P548" s="7" t="inlineStr">
        <is>
          <t>King’s College Hospital / Mediclinic Parkview</t>
        </is>
      </c>
      <c r="Q548" s="7" t="inlineStr">
        <is>
          <t>Dubai Hills Mall / Mall of the Emirates</t>
        </is>
      </c>
      <c r="R548" s="7" t="inlineStr">
        <is>
          <t>Al Khail Rd / Umm Suqeim St</t>
        </is>
      </c>
      <c r="S548" t="n">
        <v>20</v>
      </c>
      <c r="T548" t="n">
        <v>15</v>
      </c>
      <c r="U548" t="n">
        <v>25</v>
      </c>
      <c r="V548" t="n">
        <v>35</v>
      </c>
      <c r="W548" t="n">
        <v>1</v>
      </c>
      <c r="Z548" t="n">
        <v>2.5</v>
      </c>
      <c r="AA548" t="n">
        <v>3.5</v>
      </c>
      <c r="AB548" t="n">
        <v>4</v>
      </c>
      <c r="AC548" t="n">
        <v>7</v>
      </c>
      <c r="AD548" t="n">
        <v>6.5</v>
      </c>
      <c r="AE548" t="n">
        <v>10.5</v>
      </c>
      <c r="AF548" t="n">
        <v>2025</v>
      </c>
      <c r="AG548" t="n">
        <v>3</v>
      </c>
      <c r="AH548" t="inlineStr">
        <is>
          <t>Villa</t>
        </is>
      </c>
      <c r="AI548" t="inlineStr">
        <is>
          <t>Prime</t>
        </is>
      </c>
      <c r="AJ548" t="inlineStr">
        <is>
          <t>TopTier</t>
        </is>
      </c>
      <c r="AK548" t="inlineStr">
        <is>
          <t>Prime resilient / selective</t>
        </is>
      </c>
      <c r="AL548" s="7" t="inlineStr">
        <is>
          <t>Better support from quality, branding, and scarcer prime stock; still entry-price sensitive.</t>
        </is>
      </c>
      <c r="AM548" t="n">
        <v>5.5</v>
      </c>
      <c r="AN548" t="n">
        <v>3</v>
      </c>
      <c r="AO548" t="n">
        <v>0.27</v>
      </c>
      <c r="AP548" t="n">
        <v>0.02</v>
      </c>
      <c r="AQ548" t="n">
        <v>0.015</v>
      </c>
      <c r="AR548" t="n">
        <v>0</v>
      </c>
      <c r="AS548" t="n">
        <v>0.03</v>
      </c>
      <c r="AT548" t="n">
        <v>0.005</v>
      </c>
      <c r="AU548" t="n">
        <v>0</v>
      </c>
      <c r="AV548" t="n">
        <v>-0.005</v>
      </c>
      <c r="AW548">
        <f>IF(X548="","",(AM548/100*AO548)+AP548+AQ548+AR548)</f>
        <v/>
      </c>
      <c r="AX548">
        <f>IF(X548="","",AS548+AT548+AU548+AV548)</f>
        <v/>
      </c>
      <c r="AY548">
        <f>IF(AZ548="","",ROUND(AZ548*(1+Assumptions!$B$10),0))</f>
        <v/>
      </c>
      <c r="AZ548">
        <f>IF(X548="","",ROUND(X548*(1+AW548),0))</f>
        <v/>
      </c>
      <c r="BA548">
        <f>IF(AZ548="","",ROUND(AZ548*(1+Assumptions!$B$11),0))</f>
        <v/>
      </c>
      <c r="BB548">
        <f>IF(AZ548="","",ROUND(AZ548*(1+AX548+Assumptions!$B$10),0))</f>
        <v/>
      </c>
      <c r="BC548">
        <f>IF(AZ548="","",ROUND(AZ548*(1+AX548),0))</f>
        <v/>
      </c>
      <c r="BD548">
        <f>IF(AZ548="","",ROUND(AZ548*(1+AX548+Assumptions!$B$11),0))</f>
        <v/>
      </c>
      <c r="BE548">
        <f>IF(AZ548="","",ROUND(AZ548*(1+AX548)*(1+AX548),0))</f>
        <v/>
      </c>
      <c r="BF548" s="7" t="inlineStr">
        <is>
          <t>Rules-based enrichment using launch-price anchor, cap-app realization, and 2026 segment conditions.</t>
        </is>
      </c>
      <c r="BG548" t="inlineStr">
        <is>
          <t>2026-03-18</t>
        </is>
      </c>
      <c r="BH548" s="7" t="inlineStr">
        <is>
          <t>Project row added from current web launch/pricing sources</t>
        </is>
      </c>
      <c r="BI548" s="7" t="inlineStr">
        <is>
          <t>https://properties.emaar.com/en/press-release-listing/emaar-to-reveal-its-iconic-ultra-luxury-address-dubai-mansions/</t>
        </is>
      </c>
      <c r="BJ548" t="inlineStr">
        <is>
          <t>web_added</t>
        </is>
      </c>
      <c r="BK548" t="inlineStr">
        <is>
          <t>2026-03-18</t>
        </is>
      </c>
    </row>
  </sheetData>
  <autoFilter ref="A1:BK5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24" customWidth="1" min="4" max="4"/>
    <col width="21" customWidth="1" min="5" max="5"/>
    <col width="23" customWidth="1" min="6" max="6"/>
    <col width="26" customWidth="1" min="7" max="7"/>
    <col width="21" customWidth="1" min="8" max="8"/>
    <col width="16" customWidth="1" min="9" max="9"/>
    <col width="14" customWidth="1" min="10" max="10"/>
    <col width="13" customWidth="1" min="11" max="11"/>
    <col width="16" customWidth="1" min="12" max="12"/>
    <col width="12" customWidth="1" min="13" max="13"/>
    <col width="16" customWidth="1" min="14" max="14"/>
    <col width="30" customWidth="1" min="15" max="15"/>
    <col width="25" customWidth="1" min="16" max="16"/>
    <col width="26" customWidth="1" min="17" max="17"/>
    <col width="19" customWidth="1" min="18" max="18"/>
    <col width="12" customWidth="1" min="19" max="19"/>
    <col width="16" customWidth="1" min="20" max="20"/>
    <col width="13" customWidth="1" min="21" max="21"/>
    <col width="13" customWidth="1" min="22" max="22"/>
    <col width="28" customWidth="1" min="23" max="23"/>
    <col width="28" customWidth="1" min="24" max="24"/>
    <col width="28" customWidth="1" min="25" max="25"/>
    <col width="29" customWidth="1" min="26" max="26"/>
    <col width="30" customWidth="1" min="27" max="27"/>
    <col width="24" customWidth="1" min="28" max="28"/>
    <col width="25" customWidth="1" min="29" max="29"/>
    <col width="29" customWidth="1" min="30" max="30"/>
    <col width="30" customWidth="1" min="31" max="31"/>
    <col width="20" customWidth="1" min="32" max="32"/>
    <col width="23" customWidth="1" min="33" max="33"/>
    <col width="20" customWidth="1" min="34" max="34"/>
    <col width="26" customWidth="1" min="35" max="35"/>
    <col width="23" customWidth="1" min="36" max="36"/>
    <col width="30" customWidth="1" min="37" max="37"/>
    <col width="30" customWidth="1" min="38" max="38"/>
    <col width="24" customWidth="1" min="39" max="39"/>
    <col width="29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25" customWidth="1" min="49" max="49"/>
    <col width="23" customWidth="1" min="50" max="50"/>
    <col width="23" customWidth="1" min="51" max="51"/>
    <col width="24" customWidth="1" min="52" max="52"/>
    <col width="24" customWidth="1" min="53" max="53"/>
    <col width="22" customWidth="1" min="54" max="54"/>
    <col width="23" customWidth="1" min="55" max="55"/>
    <col width="23" customWidth="1" min="56" max="56"/>
    <col width="23" customWidth="1" min="57" max="57"/>
    <col width="30" customWidth="1" min="58" max="58"/>
    <col width="25" customWidth="1" min="59" max="59"/>
    <col width="30" customWidth="1" min="60" max="60"/>
    <col width="26" customWidth="1" min="61" max="61"/>
    <col width="22" customWidth="1" min="62" max="62"/>
    <col width="12" customWidth="1" min="63" max="6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Developer</t>
        </is>
      </c>
      <c r="D1" s="1" t="inlineStr">
        <is>
          <t>Location</t>
        </is>
      </c>
      <c r="E1" s="1" t="inlineStr">
        <is>
          <t>Unit Type</t>
        </is>
      </c>
      <c r="F1" s="1" t="inlineStr">
        <is>
          <t>Community Type</t>
        </is>
      </c>
      <c r="G1" s="1" t="inlineStr">
        <is>
          <t>Start Price (AED)</t>
        </is>
      </c>
      <c r="H1" s="1" t="inlineStr">
        <is>
          <t>Price per Sqm (AED)</t>
        </is>
      </c>
      <c r="I1" s="1" t="inlineStr">
        <is>
          <t>Service Charge</t>
        </is>
      </c>
      <c r="J1" s="1" t="inlineStr">
        <is>
          <t>Payment Plan</t>
        </is>
      </c>
      <c r="K1" s="1" t="inlineStr">
        <is>
          <t>Launch Date</t>
        </is>
      </c>
      <c r="L1" s="1" t="inlineStr">
        <is>
          <t>Annual Yield %</t>
        </is>
      </c>
      <c r="M1" s="1" t="inlineStr">
        <is>
          <t>Cap Appr %</t>
        </is>
      </c>
      <c r="N1" s="1" t="inlineStr">
        <is>
          <t>Total Return %</t>
        </is>
      </c>
      <c r="O1" s="1" t="inlineStr">
        <is>
          <t>Nearest Schools</t>
        </is>
      </c>
      <c r="P1" s="1" t="inlineStr">
        <is>
          <t>Nearest Hospitals</t>
        </is>
      </c>
      <c r="Q1" s="1" t="inlineStr">
        <is>
          <t>Nearest Malls</t>
        </is>
      </c>
      <c r="R1" s="1" t="inlineStr">
        <is>
          <t>Main Access Roads</t>
        </is>
      </c>
      <c r="S1" s="1" t="inlineStr">
        <is>
          <t>Mins to DT</t>
        </is>
      </c>
      <c r="T1" s="1" t="inlineStr">
        <is>
          <t>Mins to Marina</t>
        </is>
      </c>
      <c r="U1" s="1" t="inlineStr">
        <is>
          <t>Mins to DXB</t>
        </is>
      </c>
      <c r="V1" s="1" t="inlineStr">
        <is>
          <t>Mins to DWC</t>
        </is>
      </c>
      <c r="W1" s="1" t="inlineStr">
        <is>
          <t>Duplicate_Count_From_Merge</t>
        </is>
      </c>
      <c r="X1" s="1" t="inlineStr">
        <is>
          <t>Helper_Start_Price_Min_AED</t>
        </is>
      </c>
      <c r="Y1" s="1" t="inlineStr">
        <is>
          <t>Helper_Start_Price_Max_AED</t>
        </is>
      </c>
      <c r="Z1" s="1" t="inlineStr">
        <is>
          <t>Helper_Annual_Yield_Low_Pct</t>
        </is>
      </c>
      <c r="AA1" s="1" t="inlineStr">
        <is>
          <t>Helper_Annual_Yield_High_Pct</t>
        </is>
      </c>
      <c r="AB1" s="1" t="inlineStr">
        <is>
          <t>Helper_Cap_App_Low_Pct</t>
        </is>
      </c>
      <c r="AC1" s="1" t="inlineStr">
        <is>
          <t>Helper_Cap_App_High_Pct</t>
        </is>
      </c>
      <c r="AD1" s="1" t="inlineStr">
        <is>
          <t>Helper_Total_Return_Low_Pct</t>
        </is>
      </c>
      <c r="AE1" s="1" t="inlineStr">
        <is>
          <t>Helper_Total_Return_High_Pct</t>
        </is>
      </c>
      <c r="AF1" s="1" t="inlineStr">
        <is>
          <t>Helper_Launch_Year</t>
        </is>
      </c>
      <c r="AG1" s="1" t="inlineStr">
        <is>
          <t>Helper_Launch_Quarter</t>
        </is>
      </c>
      <c r="AH1" s="1" t="inlineStr">
        <is>
          <t>Helper_Asset_Class</t>
        </is>
      </c>
      <c r="AI1" s="1" t="inlineStr">
        <is>
          <t>Helper_Area_Segment</t>
        </is>
      </c>
      <c r="AJ1" s="1" t="inlineStr">
        <is>
          <t>Helper_Developer_Tier</t>
        </is>
      </c>
      <c r="AK1" s="1" t="inlineStr">
        <is>
          <t>Market_Condition</t>
        </is>
      </c>
      <c r="AL1" s="1" t="inlineStr">
        <is>
          <t>Conditions_Notes</t>
        </is>
      </c>
      <c r="AM1" s="1" t="inlineStr">
        <is>
          <t>Helper_Cap_App_Mid_Pct</t>
        </is>
      </c>
      <c r="AN1" s="1" t="inlineStr">
        <is>
          <t>Helper_Annual_Yield_Mid_Pct</t>
        </is>
      </c>
      <c r="AO1" s="1" t="inlineStr">
        <is>
          <t>Helper_Current_Realization_Factor</t>
        </is>
      </c>
      <c r="AP1" s="1" t="inlineStr">
        <is>
          <t>Helper_Current_Prime_Premium_Pct</t>
        </is>
      </c>
      <c r="AQ1" s="1" t="inlineStr">
        <is>
          <t>Helper_Current_Asset_Adjustment_Pct</t>
        </is>
      </c>
      <c r="AR1" s="1" t="inlineStr">
        <is>
          <t>Helper_Current_Supply_Adjustment_Pct</t>
        </is>
      </c>
      <c r="AS1" s="1" t="inlineStr">
        <is>
          <t>Helper_Forecast_Segment_Base_Pct</t>
        </is>
      </c>
      <c r="AT1" s="1" t="inlineStr">
        <is>
          <t>Helper_Forecast_Developer_Adjustment_Pct</t>
        </is>
      </c>
      <c r="AU1" s="1" t="inlineStr">
        <is>
          <t>Helper_Forecast_Yield_Adjustment_Pct</t>
        </is>
      </c>
      <c r="AV1" s="1" t="inlineStr">
        <is>
          <t>Helper_Forecast_Risk_Adjustment_Pct</t>
        </is>
      </c>
      <c r="AW1" s="1" t="inlineStr">
        <is>
          <t>Current_Adjustment_Rate</t>
        </is>
      </c>
      <c r="AX1" s="1" t="inlineStr">
        <is>
          <t>Forecast_12M_Base_Pct</t>
        </is>
      </c>
      <c r="AY1" s="1" t="inlineStr">
        <is>
          <t>Current_Value_Low_AED</t>
        </is>
      </c>
      <c r="AZ1" s="1" t="inlineStr">
        <is>
          <t>Current_Value_Base_AED</t>
        </is>
      </c>
      <c r="BA1" s="1" t="inlineStr">
        <is>
          <t>Current_Value_High_AED</t>
        </is>
      </c>
      <c r="BB1" s="1" t="inlineStr">
        <is>
          <t>Forecast_12M_Low_AED</t>
        </is>
      </c>
      <c r="BC1" s="1" t="inlineStr">
        <is>
          <t>Forecast_12M_Base_AED</t>
        </is>
      </c>
      <c r="BD1" s="1" t="inlineStr">
        <is>
          <t>Forecast_12M_High_AED</t>
        </is>
      </c>
      <c r="BE1" s="1" t="inlineStr">
        <is>
          <t>Forecast_24M_Base_AED</t>
        </is>
      </c>
      <c r="BF1" s="1" t="inlineStr">
        <is>
          <t>Forecast_Method</t>
        </is>
      </c>
      <c r="BG1" s="1" t="inlineStr">
        <is>
          <t>Enrichment_Refresh_Date</t>
        </is>
      </c>
      <c r="BH1" s="1" t="inlineStr">
        <is>
          <t>Source_Summary</t>
        </is>
      </c>
      <c r="BI1" s="1" t="inlineStr">
        <is>
          <t>Added_Project_Source_URL</t>
        </is>
      </c>
      <c r="BJ1" s="1" t="inlineStr">
        <is>
          <t>Added_Project_Status</t>
        </is>
      </c>
      <c r="BK1" s="1" t="inlineStr">
        <is>
          <t>Added_On</t>
        </is>
      </c>
    </row>
    <row r="2">
      <c r="A2" t="n">
        <v>1</v>
      </c>
      <c r="B2" t="inlineStr">
        <is>
          <t>Grand Polo Club &amp; Resort</t>
        </is>
      </c>
      <c r="C2" t="inlineStr">
        <is>
          <t>Emaar Properties</t>
        </is>
      </c>
      <c r="D2" t="inlineStr">
        <is>
          <t>Near The Oasis/DIP</t>
        </is>
      </c>
      <c r="E2" t="inlineStr">
        <is>
          <t>Villas &amp; Townhouses</t>
        </is>
      </c>
      <c r="F2" t="inlineStr">
        <is>
          <t>Gated / Golf / Equine</t>
        </is>
      </c>
      <c r="G2" t="inlineStr">
        <is>
          <t>3.6M (TH) / 5.7M (Villa)</t>
        </is>
      </c>
      <c r="H2" t="inlineStr">
        <is>
          <t>1400-1600</t>
        </is>
      </c>
      <c r="I2" t="inlineStr">
        <is>
          <t>TBA</t>
        </is>
      </c>
      <c r="J2" t="inlineStr">
        <is>
          <t>80/20</t>
        </is>
      </c>
      <c r="K2" t="inlineStr">
        <is>
          <t>Q1 2025</t>
        </is>
      </c>
      <c r="L2" t="inlineStr">
        <is>
          <t>5.5-6.5</t>
        </is>
      </c>
      <c r="M2" t="inlineStr">
        <is>
          <t>8-12</t>
        </is>
      </c>
      <c r="N2" t="inlineStr">
        <is>
          <t>13.5-18.5</t>
        </is>
      </c>
      <c r="O2" t="inlineStr">
        <is>
          <t>Victory Heights / South View</t>
        </is>
      </c>
      <c r="P2" t="inlineStr">
        <is>
          <t>NMC Royal DIP</t>
        </is>
      </c>
      <c r="Q2" t="inlineStr">
        <is>
          <t>Damac Mall / First Ave</t>
        </is>
      </c>
      <c r="R2" t="inlineStr">
        <is>
          <t>Yalayis St / E611</t>
        </is>
      </c>
      <c r="S2" t="inlineStr">
        <is>
          <t>25</t>
        </is>
      </c>
      <c r="T2" t="inlineStr">
        <is>
          <t>20</t>
        </is>
      </c>
      <c r="U2" t="inlineStr">
        <is>
          <t>30</t>
        </is>
      </c>
      <c r="V2" t="inlineStr">
        <is>
          <t>18</t>
        </is>
      </c>
      <c r="W2" t="n">
        <v>2</v>
      </c>
      <c r="X2" s="12" t="n">
        <v>3600000</v>
      </c>
      <c r="Y2" s="12" t="n">
        <v>5700000</v>
      </c>
      <c r="Z2" s="9" t="n">
        <v>5.5</v>
      </c>
      <c r="AA2" s="9" t="n">
        <v>6.5</v>
      </c>
      <c r="AB2" s="9" t="n">
        <v>8</v>
      </c>
      <c r="AC2" s="9" t="n">
        <v>12</v>
      </c>
      <c r="AD2" s="9" t="n">
        <v>13.5</v>
      </c>
      <c r="AE2" s="9" t="n">
        <v>18.5</v>
      </c>
      <c r="AF2" t="n">
        <v>2025</v>
      </c>
      <c r="AG2" t="n">
        <v>1</v>
      </c>
      <c r="AH2" t="inlineStr">
        <is>
          <t>Villa/Townhouse</t>
        </is>
      </c>
      <c r="AI2" t="inlineStr">
        <is>
          <t>FamilyVilla</t>
        </is>
      </c>
      <c r="AJ2" t="inlineStr">
        <is>
          <t>TopTier</t>
        </is>
      </c>
      <c r="AK2" t="inlineStr">
        <is>
          <t>Family-villa resilient</t>
        </is>
      </c>
      <c r="AL2" t="inlineStr">
        <is>
          <t>Villa/townhouse demand remains relatively firmer, though growth should be slower than the post-2020 surge.</t>
        </is>
      </c>
      <c r="AM2" s="9" t="n">
        <v>10</v>
      </c>
      <c r="AN2" s="9" t="n">
        <v>6</v>
      </c>
      <c r="AO2" s="10" t="n">
        <v>0.4</v>
      </c>
      <c r="AP2" s="13" t="n">
        <v>0</v>
      </c>
      <c r="AQ2" s="13" t="n">
        <v>0.015</v>
      </c>
      <c r="AR2" s="13" t="n">
        <v>0</v>
      </c>
      <c r="AS2" s="13" t="n">
        <v>0.025</v>
      </c>
      <c r="AT2" s="13" t="n">
        <v>0.005</v>
      </c>
      <c r="AU2" s="13" t="n">
        <v>0</v>
      </c>
      <c r="AV2" s="13" t="n">
        <v>-0.005</v>
      </c>
      <c r="AW2" s="13" t="n">
        <v>0.05500000000000001</v>
      </c>
      <c r="AX2" s="13" t="n">
        <v>0.025</v>
      </c>
      <c r="AY2" s="12" t="n">
        <v>3684060</v>
      </c>
      <c r="AZ2" s="12" t="n">
        <v>3798000</v>
      </c>
      <c r="BA2" s="12" t="n">
        <v>3911940</v>
      </c>
      <c r="BB2" s="12" t="n">
        <v>3779010</v>
      </c>
      <c r="BC2" s="12" t="n">
        <v>3892950</v>
      </c>
      <c r="BD2" s="12" t="n">
        <v>4006890</v>
      </c>
      <c r="BE2" s="12" t="n">
        <v>3990274</v>
      </c>
      <c r="BF2" t="inlineStr">
        <is>
          <t>Frozen values from same rules-based model as formula sheet.</t>
        </is>
      </c>
      <c r="BG2" t="inlineStr">
        <is>
          <t>2026-03-17</t>
        </is>
      </c>
      <c r="BH2" t="inlineStr">
        <is>
          <t>DLD / Digital Dubai / CBUAE / Savills / Knight Frank-Moody’s / Reuters</t>
        </is>
      </c>
    </row>
    <row r="3">
      <c r="A3" t="n">
        <v>2</v>
      </c>
      <c r="B3" t="inlineStr">
        <is>
          <t>Equiterra (Phases 1 &amp; 2)</t>
        </is>
      </c>
      <c r="C3" t="inlineStr">
        <is>
          <t>Emaar Properties</t>
        </is>
      </c>
      <c r="D3" t="inlineStr">
        <is>
          <t>Grand Polo Club</t>
        </is>
      </c>
      <c r="E3" t="inlineStr">
        <is>
          <t>Townhouses</t>
        </is>
      </c>
      <c r="F3" t="inlineStr">
        <is>
          <t>Gated Community</t>
        </is>
      </c>
      <c r="G3" t="inlineStr">
        <is>
          <t>3.6M</t>
        </is>
      </c>
      <c r="H3" t="inlineStr">
        <is>
          <t>1450</t>
        </is>
      </c>
      <c r="I3" t="inlineStr">
        <is>
          <t>TBA</t>
        </is>
      </c>
      <c r="J3" t="inlineStr">
        <is>
          <t>80/20</t>
        </is>
      </c>
      <c r="K3" t="inlineStr">
        <is>
          <t>Q1 2025</t>
        </is>
      </c>
      <c r="L3" t="inlineStr">
        <is>
          <t>5.5-6.0</t>
        </is>
      </c>
      <c r="M3" t="inlineStr">
        <is>
          <t>8-12</t>
        </is>
      </c>
      <c r="N3" t="inlineStr">
        <is>
          <t>13.5-18.0</t>
        </is>
      </c>
      <c r="O3" t="inlineStr">
        <is>
          <t>Victory Heights / South View</t>
        </is>
      </c>
      <c r="P3" t="inlineStr">
        <is>
          <t>NMC Royal DIP</t>
        </is>
      </c>
      <c r="Q3" t="inlineStr">
        <is>
          <t>Damac Mall / First Ave</t>
        </is>
      </c>
      <c r="R3" t="inlineStr">
        <is>
          <t>Yalayis St / E611</t>
        </is>
      </c>
      <c r="S3" t="inlineStr">
        <is>
          <t>25</t>
        </is>
      </c>
      <c r="T3" t="inlineStr">
        <is>
          <t>20</t>
        </is>
      </c>
      <c r="U3" t="inlineStr">
        <is>
          <t>30</t>
        </is>
      </c>
      <c r="V3" t="inlineStr">
        <is>
          <t>18</t>
        </is>
      </c>
      <c r="W3" t="n">
        <v>2</v>
      </c>
      <c r="X3" s="12" t="n">
        <v>3600000</v>
      </c>
      <c r="Y3" s="12" t="n">
        <v>3600000</v>
      </c>
      <c r="Z3" s="9" t="n">
        <v>5.5</v>
      </c>
      <c r="AA3" s="9" t="n">
        <v>6</v>
      </c>
      <c r="AB3" s="9" t="n">
        <v>8</v>
      </c>
      <c r="AC3" s="9" t="n">
        <v>12</v>
      </c>
      <c r="AD3" s="9" t="n">
        <v>13.5</v>
      </c>
      <c r="AE3" s="9" t="n">
        <v>18</v>
      </c>
      <c r="AF3" t="n">
        <v>2025</v>
      </c>
      <c r="AG3" t="n">
        <v>1</v>
      </c>
      <c r="AH3" t="inlineStr">
        <is>
          <t>Townhouse</t>
        </is>
      </c>
      <c r="AI3" t="inlineStr">
        <is>
          <t>FamilyVilla</t>
        </is>
      </c>
      <c r="AJ3" t="inlineStr">
        <is>
          <t>TopTier</t>
        </is>
      </c>
      <c r="AK3" t="inlineStr">
        <is>
          <t>Family-villa resilient</t>
        </is>
      </c>
      <c r="AL3" t="inlineStr">
        <is>
          <t>Villa/townhouse demand remains relatively firmer, though growth should be slower than the post-2020 surge.</t>
        </is>
      </c>
      <c r="AM3" s="9" t="n">
        <v>10</v>
      </c>
      <c r="AN3" s="9" t="n">
        <v>5.75</v>
      </c>
      <c r="AO3" s="10" t="n">
        <v>0.4</v>
      </c>
      <c r="AP3" s="13" t="n">
        <v>0</v>
      </c>
      <c r="AQ3" s="13" t="n">
        <v>0.015</v>
      </c>
      <c r="AR3" s="13" t="n">
        <v>0</v>
      </c>
      <c r="AS3" s="13" t="n">
        <v>0.025</v>
      </c>
      <c r="AT3" s="13" t="n">
        <v>0.005</v>
      </c>
      <c r="AU3" s="13" t="n">
        <v>0</v>
      </c>
      <c r="AV3" s="13" t="n">
        <v>-0.005</v>
      </c>
      <c r="AW3" s="13" t="n">
        <v>0.05500000000000001</v>
      </c>
      <c r="AX3" s="13" t="n">
        <v>0.025</v>
      </c>
      <c r="AY3" s="12" t="n">
        <v>3684060</v>
      </c>
      <c r="AZ3" s="12" t="n">
        <v>3798000</v>
      </c>
      <c r="BA3" s="12" t="n">
        <v>3911940</v>
      </c>
      <c r="BB3" s="12" t="n">
        <v>3779010</v>
      </c>
      <c r="BC3" s="12" t="n">
        <v>3892950</v>
      </c>
      <c r="BD3" s="12" t="n">
        <v>4006890</v>
      </c>
      <c r="BE3" s="12" t="n">
        <v>3990274</v>
      </c>
      <c r="BF3" t="inlineStr">
        <is>
          <t>Frozen values from same rules-based model as formula sheet.</t>
        </is>
      </c>
      <c r="BG3" t="inlineStr">
        <is>
          <t>2026-03-17</t>
        </is>
      </c>
      <c r="BH3" t="inlineStr">
        <is>
          <t>DLD / Digital Dubai / CBUAE / Savills / Knight Frank-Moody’s / Reuters</t>
        </is>
      </c>
    </row>
    <row r="4">
      <c r="A4" t="n">
        <v>3</v>
      </c>
      <c r="B4" t="inlineStr">
        <is>
          <t>Equestra</t>
        </is>
      </c>
      <c r="C4" t="inlineStr">
        <is>
          <t>Emaar Properties</t>
        </is>
      </c>
      <c r="D4" t="inlineStr">
        <is>
          <t>Grand Polo Club</t>
        </is>
      </c>
      <c r="E4" t="inlineStr">
        <is>
          <t>Townhouses</t>
        </is>
      </c>
      <c r="F4" t="inlineStr">
        <is>
          <t>Gated Community</t>
        </is>
      </c>
      <c r="G4" t="inlineStr">
        <is>
          <t>3.7M</t>
        </is>
      </c>
      <c r="H4" t="inlineStr">
        <is>
          <t>1450</t>
        </is>
      </c>
      <c r="I4" t="inlineStr">
        <is>
          <t>TBA</t>
        </is>
      </c>
      <c r="J4" t="inlineStr">
        <is>
          <t>80/20</t>
        </is>
      </c>
      <c r="K4" t="inlineStr">
        <is>
          <t>Q1 2025</t>
        </is>
      </c>
      <c r="L4" t="inlineStr">
        <is>
          <t>5.5-6.0</t>
        </is>
      </c>
      <c r="M4" t="inlineStr">
        <is>
          <t>8-12</t>
        </is>
      </c>
      <c r="N4" t="inlineStr">
        <is>
          <t>13.5-18.0</t>
        </is>
      </c>
      <c r="O4" t="inlineStr">
        <is>
          <t>Victory Heights / South View</t>
        </is>
      </c>
      <c r="P4" t="inlineStr">
        <is>
          <t>NMC Royal DIP</t>
        </is>
      </c>
      <c r="Q4" t="inlineStr">
        <is>
          <t>Damac Mall / First Ave</t>
        </is>
      </c>
      <c r="R4" t="inlineStr">
        <is>
          <t>Yalayis St / E611</t>
        </is>
      </c>
      <c r="S4" t="inlineStr">
        <is>
          <t>25</t>
        </is>
      </c>
      <c r="T4" t="inlineStr">
        <is>
          <t>20</t>
        </is>
      </c>
      <c r="U4" t="inlineStr">
        <is>
          <t>30</t>
        </is>
      </c>
      <c r="V4" t="inlineStr">
        <is>
          <t>18</t>
        </is>
      </c>
      <c r="W4" t="n">
        <v>2</v>
      </c>
      <c r="X4" s="12" t="n">
        <v>3700000</v>
      </c>
      <c r="Y4" s="12" t="n">
        <v>3700000</v>
      </c>
      <c r="Z4" s="9" t="n">
        <v>5.5</v>
      </c>
      <c r="AA4" s="9" t="n">
        <v>6</v>
      </c>
      <c r="AB4" s="9" t="n">
        <v>8</v>
      </c>
      <c r="AC4" s="9" t="n">
        <v>12</v>
      </c>
      <c r="AD4" s="9" t="n">
        <v>13.5</v>
      </c>
      <c r="AE4" s="9" t="n">
        <v>18</v>
      </c>
      <c r="AF4" t="n">
        <v>2025</v>
      </c>
      <c r="AG4" t="n">
        <v>1</v>
      </c>
      <c r="AH4" t="inlineStr">
        <is>
          <t>Townhouse</t>
        </is>
      </c>
      <c r="AI4" t="inlineStr">
        <is>
          <t>FamilyVilla</t>
        </is>
      </c>
      <c r="AJ4" t="inlineStr">
        <is>
          <t>TopTier</t>
        </is>
      </c>
      <c r="AK4" t="inlineStr">
        <is>
          <t>Family-villa resilient</t>
        </is>
      </c>
      <c r="AL4" t="inlineStr">
        <is>
          <t>Villa/townhouse demand remains relatively firmer, though growth should be slower than the post-2020 surge.</t>
        </is>
      </c>
      <c r="AM4" s="9" t="n">
        <v>10</v>
      </c>
      <c r="AN4" s="9" t="n">
        <v>5.75</v>
      </c>
      <c r="AO4" s="10" t="n">
        <v>0.4</v>
      </c>
      <c r="AP4" s="13" t="n">
        <v>0</v>
      </c>
      <c r="AQ4" s="13" t="n">
        <v>0.015</v>
      </c>
      <c r="AR4" s="13" t="n">
        <v>0</v>
      </c>
      <c r="AS4" s="13" t="n">
        <v>0.025</v>
      </c>
      <c r="AT4" s="13" t="n">
        <v>0.005</v>
      </c>
      <c r="AU4" s="13" t="n">
        <v>0</v>
      </c>
      <c r="AV4" s="13" t="n">
        <v>-0.005</v>
      </c>
      <c r="AW4" s="13" t="n">
        <v>0.05500000000000001</v>
      </c>
      <c r="AX4" s="13" t="n">
        <v>0.025</v>
      </c>
      <c r="AY4" s="12" t="n">
        <v>3786395</v>
      </c>
      <c r="AZ4" s="12" t="n">
        <v>3903500</v>
      </c>
      <c r="BA4" s="12" t="n">
        <v>4020605</v>
      </c>
      <c r="BB4" s="12" t="n">
        <v>3883982</v>
      </c>
      <c r="BC4" s="12" t="n">
        <v>4001087</v>
      </c>
      <c r="BD4" s="12" t="n">
        <v>4118192</v>
      </c>
      <c r="BE4" s="12" t="n">
        <v>4101115</v>
      </c>
      <c r="BF4" t="inlineStr">
        <is>
          <t>Frozen values from same rules-based model as formula sheet.</t>
        </is>
      </c>
      <c r="BG4" t="inlineStr">
        <is>
          <t>2026-03-17</t>
        </is>
      </c>
      <c r="BH4" t="inlineStr">
        <is>
          <t>DLD / Digital Dubai / CBUAE / Savills / Knight Frank-Moody’s / Reuters</t>
        </is>
      </c>
    </row>
    <row r="5">
      <c r="A5" t="n">
        <v>4</v>
      </c>
      <c r="B5" t="inlineStr">
        <is>
          <t>Chevalia Estate 2</t>
        </is>
      </c>
      <c r="C5" t="inlineStr">
        <is>
          <t>Emaar Properties</t>
        </is>
      </c>
      <c r="D5" t="inlineStr">
        <is>
          <t>Grand Polo Club</t>
        </is>
      </c>
      <c r="E5" t="inlineStr">
        <is>
          <t>Villas (Large)</t>
        </is>
      </c>
      <c r="F5" t="inlineStr">
        <is>
          <t>Gated Community</t>
        </is>
      </c>
      <c r="G5" t="inlineStr">
        <is>
          <t>7.9M</t>
        </is>
      </c>
      <c r="H5" t="inlineStr">
        <is>
          <t>1600</t>
        </is>
      </c>
      <c r="I5" t="inlineStr">
        <is>
          <t>TBA</t>
        </is>
      </c>
      <c r="J5" t="inlineStr">
        <is>
          <t>80/20</t>
        </is>
      </c>
      <c r="K5" t="inlineStr">
        <is>
          <t>Q1 2025</t>
        </is>
      </c>
      <c r="L5" t="inlineStr">
        <is>
          <t>4.5-5.5</t>
        </is>
      </c>
      <c r="M5" t="inlineStr">
        <is>
          <t>8-12</t>
        </is>
      </c>
      <c r="N5" t="inlineStr">
        <is>
          <t>12.5-17.5</t>
        </is>
      </c>
      <c r="O5" t="inlineStr">
        <is>
          <t>Victory Heights / South View</t>
        </is>
      </c>
      <c r="P5" t="inlineStr">
        <is>
          <t>NMC Royal DIP</t>
        </is>
      </c>
      <c r="Q5" t="inlineStr">
        <is>
          <t>Damac Mall / First Ave</t>
        </is>
      </c>
      <c r="R5" t="inlineStr">
        <is>
          <t>Yalayis St / E611</t>
        </is>
      </c>
      <c r="S5" t="inlineStr">
        <is>
          <t>25</t>
        </is>
      </c>
      <c r="T5" t="inlineStr">
        <is>
          <t>20</t>
        </is>
      </c>
      <c r="U5" t="inlineStr">
        <is>
          <t>30</t>
        </is>
      </c>
      <c r="V5" t="inlineStr">
        <is>
          <t>18</t>
        </is>
      </c>
      <c r="W5" t="n">
        <v>2</v>
      </c>
      <c r="X5" s="12" t="n">
        <v>7900000</v>
      </c>
      <c r="Y5" s="12" t="n">
        <v>7900000</v>
      </c>
      <c r="Z5" s="9" t="n">
        <v>4.5</v>
      </c>
      <c r="AA5" s="9" t="n">
        <v>5.5</v>
      </c>
      <c r="AB5" s="9" t="n">
        <v>8</v>
      </c>
      <c r="AC5" s="9" t="n">
        <v>12</v>
      </c>
      <c r="AD5" s="9" t="n">
        <v>12.5</v>
      </c>
      <c r="AE5" s="9" t="n">
        <v>17.5</v>
      </c>
      <c r="AF5" t="n">
        <v>2025</v>
      </c>
      <c r="AG5" t="n">
        <v>1</v>
      </c>
      <c r="AH5" t="inlineStr">
        <is>
          <t>Villa</t>
        </is>
      </c>
      <c r="AI5" t="inlineStr">
        <is>
          <t>FamilyVilla</t>
        </is>
      </c>
      <c r="AJ5" t="inlineStr">
        <is>
          <t>TopTier</t>
        </is>
      </c>
      <c r="AK5" t="inlineStr">
        <is>
          <t>Family-villa resilient</t>
        </is>
      </c>
      <c r="AL5" t="inlineStr">
        <is>
          <t>Villa/townhouse demand remains relatively firmer, though growth should be slower than the post-2020 surge.</t>
        </is>
      </c>
      <c r="AM5" s="9" t="n">
        <v>10</v>
      </c>
      <c r="AN5" s="9" t="n">
        <v>5</v>
      </c>
      <c r="AO5" s="10" t="n">
        <v>0.4</v>
      </c>
      <c r="AP5" s="13" t="n">
        <v>0</v>
      </c>
      <c r="AQ5" s="13" t="n">
        <v>0.015</v>
      </c>
      <c r="AR5" s="13" t="n">
        <v>0</v>
      </c>
      <c r="AS5" s="13" t="n">
        <v>0.025</v>
      </c>
      <c r="AT5" s="13" t="n">
        <v>0.005</v>
      </c>
      <c r="AU5" s="13" t="n">
        <v>0</v>
      </c>
      <c r="AV5" s="13" t="n">
        <v>-0.005</v>
      </c>
      <c r="AW5" s="13" t="n">
        <v>0.05500000000000001</v>
      </c>
      <c r="AX5" s="13" t="n">
        <v>0.025</v>
      </c>
      <c r="AY5" s="12" t="n">
        <v>8084465</v>
      </c>
      <c r="AZ5" s="12" t="n">
        <v>8334500</v>
      </c>
      <c r="BA5" s="12" t="n">
        <v>8584535</v>
      </c>
      <c r="BB5" s="12" t="n">
        <v>8292827</v>
      </c>
      <c r="BC5" s="12" t="n">
        <v>8542862</v>
      </c>
      <c r="BD5" s="12" t="n">
        <v>8792898</v>
      </c>
      <c r="BE5" s="12" t="n">
        <v>8756434</v>
      </c>
      <c r="BF5" t="inlineStr">
        <is>
          <t>Frozen values from same rules-based model as formula sheet.</t>
        </is>
      </c>
      <c r="BG5" t="inlineStr">
        <is>
          <t>2026-03-17</t>
        </is>
      </c>
      <c r="BH5" t="inlineStr">
        <is>
          <t>DLD / Digital Dubai / CBUAE / Savills / Knight Frank-Moody’s / Reuters</t>
        </is>
      </c>
    </row>
    <row r="6">
      <c r="A6" t="n">
        <v>5</v>
      </c>
      <c r="B6" t="inlineStr">
        <is>
          <t>Selvara (Phases 3 &amp; 4)</t>
        </is>
      </c>
      <c r="C6" t="inlineStr">
        <is>
          <t>Emaar Properties</t>
        </is>
      </c>
      <c r="D6" t="inlineStr">
        <is>
          <t>Grand Polo Club</t>
        </is>
      </c>
      <c r="E6" t="inlineStr">
        <is>
          <t>Villas</t>
        </is>
      </c>
      <c r="F6" t="inlineStr">
        <is>
          <t>Gated Community</t>
        </is>
      </c>
      <c r="G6" t="inlineStr">
        <is>
          <t>6.2M</t>
        </is>
      </c>
      <c r="H6" t="inlineStr">
        <is>
          <t>1550</t>
        </is>
      </c>
      <c r="I6" t="inlineStr">
        <is>
          <t>TBA</t>
        </is>
      </c>
      <c r="J6" t="inlineStr">
        <is>
          <t>80/20</t>
        </is>
      </c>
      <c r="K6" t="inlineStr">
        <is>
          <t>Q1 2025</t>
        </is>
      </c>
      <c r="L6" t="inlineStr">
        <is>
          <t>5.0-5.5</t>
        </is>
      </c>
      <c r="M6" t="inlineStr">
        <is>
          <t>8-12</t>
        </is>
      </c>
      <c r="N6" t="inlineStr">
        <is>
          <t>13.0-17.5</t>
        </is>
      </c>
      <c r="O6" t="inlineStr">
        <is>
          <t>Victory Heights / South View</t>
        </is>
      </c>
      <c r="P6" t="inlineStr">
        <is>
          <t>NMC Royal DIP</t>
        </is>
      </c>
      <c r="Q6" t="inlineStr">
        <is>
          <t>Damac Mall / First Ave</t>
        </is>
      </c>
      <c r="R6" t="inlineStr">
        <is>
          <t>Yalayis St / E611</t>
        </is>
      </c>
      <c r="S6" t="inlineStr">
        <is>
          <t>25</t>
        </is>
      </c>
      <c r="T6" t="inlineStr">
        <is>
          <t>20</t>
        </is>
      </c>
      <c r="U6" t="inlineStr">
        <is>
          <t>30</t>
        </is>
      </c>
      <c r="V6" t="inlineStr">
        <is>
          <t>18</t>
        </is>
      </c>
      <c r="W6" t="n">
        <v>2</v>
      </c>
      <c r="X6" s="12" t="n">
        <v>6200000</v>
      </c>
      <c r="Y6" s="12" t="n">
        <v>6200000</v>
      </c>
      <c r="Z6" s="9" t="n">
        <v>5</v>
      </c>
      <c r="AA6" s="9" t="n">
        <v>5.5</v>
      </c>
      <c r="AB6" s="9" t="n">
        <v>8</v>
      </c>
      <c r="AC6" s="9" t="n">
        <v>12</v>
      </c>
      <c r="AD6" s="9" t="n">
        <v>13</v>
      </c>
      <c r="AE6" s="9" t="n">
        <v>17.5</v>
      </c>
      <c r="AF6" t="n">
        <v>2025</v>
      </c>
      <c r="AG6" t="n">
        <v>1</v>
      </c>
      <c r="AH6" t="inlineStr">
        <is>
          <t>Villa</t>
        </is>
      </c>
      <c r="AI6" t="inlineStr">
        <is>
          <t>FamilyVilla</t>
        </is>
      </c>
      <c r="AJ6" t="inlineStr">
        <is>
          <t>TopTier</t>
        </is>
      </c>
      <c r="AK6" t="inlineStr">
        <is>
          <t>Family-villa resilient</t>
        </is>
      </c>
      <c r="AL6" t="inlineStr">
        <is>
          <t>Villa/townhouse demand remains relatively firmer, though growth should be slower than the post-2020 surge.</t>
        </is>
      </c>
      <c r="AM6" s="9" t="n">
        <v>10</v>
      </c>
      <c r="AN6" s="9" t="n">
        <v>5.25</v>
      </c>
      <c r="AO6" s="10" t="n">
        <v>0.4</v>
      </c>
      <c r="AP6" s="13" t="n">
        <v>0</v>
      </c>
      <c r="AQ6" s="13" t="n">
        <v>0.015</v>
      </c>
      <c r="AR6" s="13" t="n">
        <v>0</v>
      </c>
      <c r="AS6" s="13" t="n">
        <v>0.025</v>
      </c>
      <c r="AT6" s="13" t="n">
        <v>0.005</v>
      </c>
      <c r="AU6" s="13" t="n">
        <v>0</v>
      </c>
      <c r="AV6" s="13" t="n">
        <v>-0.005</v>
      </c>
      <c r="AW6" s="13" t="n">
        <v>0.05500000000000001</v>
      </c>
      <c r="AX6" s="13" t="n">
        <v>0.025</v>
      </c>
      <c r="AY6" s="12" t="n">
        <v>6344770</v>
      </c>
      <c r="AZ6" s="12" t="n">
        <v>6541000</v>
      </c>
      <c r="BA6" s="12" t="n">
        <v>6737230</v>
      </c>
      <c r="BB6" s="12" t="n">
        <v>6508295</v>
      </c>
      <c r="BC6" s="12" t="n">
        <v>6704525</v>
      </c>
      <c r="BD6" s="12" t="n">
        <v>6900755</v>
      </c>
      <c r="BE6" s="12" t="n">
        <v>6872138</v>
      </c>
      <c r="BF6" t="inlineStr">
        <is>
          <t>Frozen values from same rules-based model as formula sheet.</t>
        </is>
      </c>
      <c r="BG6" t="inlineStr">
        <is>
          <t>2026-03-17</t>
        </is>
      </c>
      <c r="BH6" t="inlineStr">
        <is>
          <t>DLD / Digital Dubai / CBUAE / Savills / Knight Frank-Moody’s / Reuters</t>
        </is>
      </c>
    </row>
    <row r="7">
      <c r="A7" t="n">
        <v>6</v>
      </c>
      <c r="B7" t="inlineStr">
        <is>
          <t>Rashid Yachts &amp; Marina</t>
        </is>
      </c>
      <c r="C7" t="inlineStr">
        <is>
          <t>Emaar Properties</t>
        </is>
      </c>
      <c r="D7" t="inlineStr">
        <is>
          <t>Mina Rashid</t>
        </is>
      </c>
      <c r="E7" t="inlineStr">
        <is>
          <t>Mixed</t>
        </is>
      </c>
      <c r="F7" t="inlineStr">
        <is>
          <t>Waterfront / Marina</t>
        </is>
      </c>
      <c r="I7" t="inlineStr">
        <is>
          <t>25-30</t>
        </is>
      </c>
      <c r="J7" t="inlineStr">
        <is>
          <t>Varies</t>
        </is>
      </c>
      <c r="K7" t="inlineStr">
        <is>
          <t>2023-2025</t>
        </is>
      </c>
      <c r="L7" t="inlineStr">
        <is>
          <t>5.5-6.5</t>
        </is>
      </c>
      <c r="M7" t="inlineStr">
        <is>
          <t>10-15</t>
        </is>
      </c>
      <c r="N7" t="inlineStr">
        <is>
          <t>15.5-21.5</t>
        </is>
      </c>
      <c r="O7" t="inlineStr">
        <is>
          <t>New Academy School</t>
        </is>
      </c>
      <c r="P7" t="inlineStr">
        <is>
          <t>Aster Hospital Mankhool</t>
        </is>
      </c>
      <c r="Q7" t="inlineStr">
        <is>
          <t>Dubai Mall / City Centre</t>
        </is>
      </c>
      <c r="R7" t="inlineStr">
        <is>
          <t>Al Khaleej / E11</t>
        </is>
      </c>
      <c r="S7" t="inlineStr">
        <is>
          <t>15</t>
        </is>
      </c>
      <c r="T7" t="inlineStr">
        <is>
          <t>25</t>
        </is>
      </c>
      <c r="U7" t="inlineStr">
        <is>
          <t>15</t>
        </is>
      </c>
      <c r="V7" t="inlineStr">
        <is>
          <t>45</t>
        </is>
      </c>
      <c r="W7" t="n">
        <v>2</v>
      </c>
      <c r="X7" s="12" t="n"/>
      <c r="Y7" s="12" t="n"/>
      <c r="Z7" s="9" t="n">
        <v>5.5</v>
      </c>
      <c r="AA7" s="9" t="n">
        <v>6.5</v>
      </c>
      <c r="AB7" s="9" t="n">
        <v>10</v>
      </c>
      <c r="AC7" s="9" t="n">
        <v>15</v>
      </c>
      <c r="AD7" s="9" t="n">
        <v>15.5</v>
      </c>
      <c r="AE7" s="9" t="n">
        <v>21.5</v>
      </c>
      <c r="AF7" t="n">
        <v>2023</v>
      </c>
      <c r="AH7" t="inlineStr">
        <is>
          <t>Mixed/Other</t>
        </is>
      </c>
      <c r="AI7" t="inlineStr">
        <is>
          <t>MainstreamSelective</t>
        </is>
      </c>
      <c r="AJ7" t="inlineStr">
        <is>
          <t>TopTier</t>
        </is>
      </c>
      <c r="AK7" t="inlineStr">
        <is>
          <t>Balanced / selective</t>
        </is>
      </c>
      <c r="AL7" t="inlineStr">
        <is>
          <t>Market remains active but increasingly differentiated by developer, micro-location, livability, and pricing discipline.</t>
        </is>
      </c>
      <c r="AM7" s="9" t="n">
        <v>12.5</v>
      </c>
      <c r="AN7" s="9" t="n">
        <v>6</v>
      </c>
      <c r="AO7" s="10" t="n">
        <v>0.55</v>
      </c>
      <c r="AP7" s="13" t="n">
        <v>0</v>
      </c>
      <c r="AQ7" s="13" t="n">
        <v>0</v>
      </c>
      <c r="AR7" s="13" t="n">
        <v>0</v>
      </c>
      <c r="AS7" s="13" t="n">
        <v>0.01</v>
      </c>
      <c r="AT7" s="13" t="n">
        <v>0.005</v>
      </c>
      <c r="AU7" s="13" t="n">
        <v>0</v>
      </c>
      <c r="AV7" s="13" t="n">
        <v>-0.005</v>
      </c>
      <c r="AW7" s="13" t="n">
        <v>0.06875000000000001</v>
      </c>
      <c r="AX7" s="13" t="n">
        <v>0.009999999999999998</v>
      </c>
      <c r="AY7" s="12" t="n"/>
      <c r="AZ7" s="12" t="n"/>
      <c r="BA7" s="12" t="n"/>
      <c r="BB7" s="12" t="n"/>
      <c r="BC7" s="12" t="n"/>
      <c r="BD7" s="12" t="n"/>
      <c r="BE7" s="12" t="n"/>
      <c r="BF7" t="inlineStr">
        <is>
          <t>Frozen values from same rules-based model as formula sheet.</t>
        </is>
      </c>
      <c r="BG7" t="inlineStr">
        <is>
          <t>2026-03-17</t>
        </is>
      </c>
      <c r="BH7" t="inlineStr">
        <is>
          <t>DLD / Digital Dubai / CBUAE / Savills / Knight Frank-Moody’s / Reuters</t>
        </is>
      </c>
    </row>
    <row r="8">
      <c r="A8" t="n">
        <v>7</v>
      </c>
      <c r="B8" t="inlineStr">
        <is>
          <t>Aurea</t>
        </is>
      </c>
      <c r="C8" t="inlineStr">
        <is>
          <t>Emaar Properties</t>
        </is>
      </c>
      <c r="D8" t="inlineStr">
        <is>
          <t>Rashid Yachts &amp; Marina</t>
        </is>
      </c>
      <c r="E8" t="inlineStr">
        <is>
          <t>Apartments</t>
        </is>
      </c>
      <c r="F8" t="inlineStr">
        <is>
          <t>Waterfront</t>
        </is>
      </c>
      <c r="G8" t="inlineStr">
        <is>
          <t>1.8M</t>
        </is>
      </c>
      <c r="H8" t="inlineStr">
        <is>
          <t>2200</t>
        </is>
      </c>
      <c r="I8" t="inlineStr">
        <is>
          <t>25</t>
        </is>
      </c>
      <c r="J8" t="inlineStr">
        <is>
          <t>80/20</t>
        </is>
      </c>
      <c r="K8" t="inlineStr">
        <is>
          <t>2024</t>
        </is>
      </c>
      <c r="L8" t="inlineStr">
        <is>
          <t>5.5-6.0</t>
        </is>
      </c>
      <c r="M8" t="inlineStr">
        <is>
          <t>10-12</t>
        </is>
      </c>
      <c r="N8" t="inlineStr">
        <is>
          <t>15.5-18.0</t>
        </is>
      </c>
      <c r="O8" t="inlineStr">
        <is>
          <t>New Academy School</t>
        </is>
      </c>
      <c r="P8" t="inlineStr">
        <is>
          <t>Aster Hospital Mankhool</t>
        </is>
      </c>
      <c r="Q8" t="inlineStr">
        <is>
          <t>Dubai Mall / City Centre</t>
        </is>
      </c>
      <c r="R8" t="inlineStr">
        <is>
          <t>Al Khaleej / E11</t>
        </is>
      </c>
      <c r="S8" t="inlineStr">
        <is>
          <t>15</t>
        </is>
      </c>
      <c r="T8" t="inlineStr">
        <is>
          <t>25</t>
        </is>
      </c>
      <c r="U8" t="inlineStr">
        <is>
          <t>15</t>
        </is>
      </c>
      <c r="V8" t="inlineStr">
        <is>
          <t>45</t>
        </is>
      </c>
      <c r="W8" t="n">
        <v>2</v>
      </c>
      <c r="X8" s="12" t="n">
        <v>1800000</v>
      </c>
      <c r="Y8" s="12" t="n">
        <v>1800000</v>
      </c>
      <c r="Z8" s="9" t="n">
        <v>5.5</v>
      </c>
      <c r="AA8" s="9" t="n">
        <v>6</v>
      </c>
      <c r="AB8" s="9" t="n">
        <v>10</v>
      </c>
      <c r="AC8" s="9" t="n">
        <v>12</v>
      </c>
      <c r="AD8" s="9" t="n">
        <v>15.5</v>
      </c>
      <c r="AE8" s="9" t="n">
        <v>18</v>
      </c>
      <c r="AF8" t="n">
        <v>2024</v>
      </c>
      <c r="AH8" t="inlineStr">
        <is>
          <t>Apartment</t>
        </is>
      </c>
      <c r="AI8" t="inlineStr">
        <is>
          <t>MainstreamSelective</t>
        </is>
      </c>
      <c r="AJ8" t="inlineStr">
        <is>
          <t>TopTier</t>
        </is>
      </c>
      <c r="AK8" t="inlineStr">
        <is>
          <t>Balanced / selective</t>
        </is>
      </c>
      <c r="AL8" t="inlineStr">
        <is>
          <t>Market remains active but increasingly differentiated by developer, micro-location, livability, and pricing discipline.</t>
        </is>
      </c>
      <c r="AM8" s="9" t="n">
        <v>11</v>
      </c>
      <c r="AN8" s="9" t="n">
        <v>5.75</v>
      </c>
      <c r="AO8" s="10" t="n">
        <v>0.55</v>
      </c>
      <c r="AP8" s="13" t="n">
        <v>0</v>
      </c>
      <c r="AQ8" s="13" t="n">
        <v>0</v>
      </c>
      <c r="AR8" s="13" t="n">
        <v>0</v>
      </c>
      <c r="AS8" s="13" t="n">
        <v>0.01</v>
      </c>
      <c r="AT8" s="13" t="n">
        <v>0.005</v>
      </c>
      <c r="AU8" s="13" t="n">
        <v>0</v>
      </c>
      <c r="AV8" s="13" t="n">
        <v>-0.005</v>
      </c>
      <c r="AW8" s="13" t="n">
        <v>0.06050000000000001</v>
      </c>
      <c r="AX8" s="13" t="n">
        <v>0.009999999999999998</v>
      </c>
      <c r="AY8" s="12" t="n">
        <v>1851633</v>
      </c>
      <c r="AZ8" s="12" t="n">
        <v>1908900</v>
      </c>
      <c r="BA8" s="12" t="n">
        <v>1966167</v>
      </c>
      <c r="BB8" s="12" t="n">
        <v>1870722</v>
      </c>
      <c r="BC8" s="12" t="n">
        <v>1927989</v>
      </c>
      <c r="BD8" s="12" t="n">
        <v>1985256</v>
      </c>
      <c r="BE8" s="12" t="n">
        <v>1947269</v>
      </c>
      <c r="BF8" t="inlineStr">
        <is>
          <t>Frozen values from same rules-based model as formula sheet.</t>
        </is>
      </c>
      <c r="BG8" t="inlineStr">
        <is>
          <t>2026-03-17</t>
        </is>
      </c>
      <c r="BH8" t="inlineStr">
        <is>
          <t>DLD / Digital Dubai / CBUAE / Savills / Knight Frank-Moody’s / Reuters</t>
        </is>
      </c>
    </row>
    <row r="9">
      <c r="A9" t="n">
        <v>8</v>
      </c>
      <c r="B9" t="inlineStr">
        <is>
          <t>Pier Point</t>
        </is>
      </c>
      <c r="C9" t="inlineStr">
        <is>
          <t>Emaar Properties</t>
        </is>
      </c>
      <c r="D9" t="inlineStr">
        <is>
          <t>Rashid Yachts &amp; Marina</t>
        </is>
      </c>
      <c r="E9" t="inlineStr">
        <is>
          <t>Apartments</t>
        </is>
      </c>
      <c r="F9" t="inlineStr">
        <is>
          <t>Waterfront</t>
        </is>
      </c>
      <c r="G9" t="inlineStr">
        <is>
          <t>2.1M</t>
        </is>
      </c>
      <c r="H9" t="inlineStr">
        <is>
          <t>2300</t>
        </is>
      </c>
      <c r="I9" t="inlineStr">
        <is>
          <t>25</t>
        </is>
      </c>
      <c r="J9" t="inlineStr">
        <is>
          <t>80/20</t>
        </is>
      </c>
      <c r="K9" t="inlineStr">
        <is>
          <t>2024</t>
        </is>
      </c>
      <c r="L9" t="inlineStr">
        <is>
          <t>5.5-6.0</t>
        </is>
      </c>
      <c r="M9" t="inlineStr">
        <is>
          <t>10-12</t>
        </is>
      </c>
      <c r="N9" t="inlineStr">
        <is>
          <t>15.5-18.0</t>
        </is>
      </c>
      <c r="O9" t="inlineStr">
        <is>
          <t>New Academy School</t>
        </is>
      </c>
      <c r="P9" t="inlineStr">
        <is>
          <t>Aster Hospital Mankhool</t>
        </is>
      </c>
      <c r="Q9" t="inlineStr">
        <is>
          <t>Dubai Mall / City Centre</t>
        </is>
      </c>
      <c r="R9" t="inlineStr">
        <is>
          <t>Al Khaleej / E11</t>
        </is>
      </c>
      <c r="S9" t="inlineStr">
        <is>
          <t>15</t>
        </is>
      </c>
      <c r="T9" t="inlineStr">
        <is>
          <t>25</t>
        </is>
      </c>
      <c r="U9" t="inlineStr">
        <is>
          <t>15</t>
        </is>
      </c>
      <c r="V9" t="inlineStr">
        <is>
          <t>45</t>
        </is>
      </c>
      <c r="W9" t="n">
        <v>2</v>
      </c>
      <c r="X9" s="12" t="n">
        <v>2100000</v>
      </c>
      <c r="Y9" s="12" t="n">
        <v>2100000</v>
      </c>
      <c r="Z9" s="9" t="n">
        <v>5.5</v>
      </c>
      <c r="AA9" s="9" t="n">
        <v>6</v>
      </c>
      <c r="AB9" s="9" t="n">
        <v>10</v>
      </c>
      <c r="AC9" s="9" t="n">
        <v>12</v>
      </c>
      <c r="AD9" s="9" t="n">
        <v>15.5</v>
      </c>
      <c r="AE9" s="9" t="n">
        <v>18</v>
      </c>
      <c r="AF9" t="n">
        <v>2024</v>
      </c>
      <c r="AH9" t="inlineStr">
        <is>
          <t>Apartment</t>
        </is>
      </c>
      <c r="AI9" t="inlineStr">
        <is>
          <t>MainstreamSelective</t>
        </is>
      </c>
      <c r="AJ9" t="inlineStr">
        <is>
          <t>TopTier</t>
        </is>
      </c>
      <c r="AK9" t="inlineStr">
        <is>
          <t>Balanced / selective</t>
        </is>
      </c>
      <c r="AL9" t="inlineStr">
        <is>
          <t>Market remains active but increasingly differentiated by developer, micro-location, livability, and pricing discipline.</t>
        </is>
      </c>
      <c r="AM9" s="9" t="n">
        <v>11</v>
      </c>
      <c r="AN9" s="9" t="n">
        <v>5.75</v>
      </c>
      <c r="AO9" s="10" t="n">
        <v>0.55</v>
      </c>
      <c r="AP9" s="13" t="n">
        <v>0</v>
      </c>
      <c r="AQ9" s="13" t="n">
        <v>0</v>
      </c>
      <c r="AR9" s="13" t="n">
        <v>0</v>
      </c>
      <c r="AS9" s="13" t="n">
        <v>0.01</v>
      </c>
      <c r="AT9" s="13" t="n">
        <v>0.005</v>
      </c>
      <c r="AU9" s="13" t="n">
        <v>0</v>
      </c>
      <c r="AV9" s="13" t="n">
        <v>-0.005</v>
      </c>
      <c r="AW9" s="13" t="n">
        <v>0.06050000000000001</v>
      </c>
      <c r="AX9" s="13" t="n">
        <v>0.009999999999999998</v>
      </c>
      <c r="AY9" s="12" t="n">
        <v>2160238</v>
      </c>
      <c r="AZ9" s="12" t="n">
        <v>2227050</v>
      </c>
      <c r="BA9" s="12" t="n">
        <v>2293862</v>
      </c>
      <c r="BB9" s="12" t="n">
        <v>2182509</v>
      </c>
      <c r="BC9" s="12" t="n">
        <v>2249320</v>
      </c>
      <c r="BD9" s="12" t="n">
        <v>2316132</v>
      </c>
      <c r="BE9" s="12" t="n">
        <v>2271814</v>
      </c>
      <c r="BF9" t="inlineStr">
        <is>
          <t>Frozen values from same rules-based model as formula sheet.</t>
        </is>
      </c>
      <c r="BG9" t="inlineStr">
        <is>
          <t>2026-03-17</t>
        </is>
      </c>
      <c r="BH9" t="inlineStr">
        <is>
          <t>DLD / Digital Dubai / CBUAE / Savills / Knight Frank-Moody’s / Reuters</t>
        </is>
      </c>
    </row>
    <row r="10">
      <c r="A10" t="n">
        <v>9</v>
      </c>
      <c r="B10" t="inlineStr">
        <is>
          <t>Marina Cove</t>
        </is>
      </c>
      <c r="C10" t="inlineStr">
        <is>
          <t>Emaar Properties</t>
        </is>
      </c>
      <c r="D10" t="inlineStr">
        <is>
          <t>Rashid Yachts &amp; Marina</t>
        </is>
      </c>
      <c r="E10" t="inlineStr">
        <is>
          <t>Apartments</t>
        </is>
      </c>
      <c r="F10" t="inlineStr">
        <is>
          <t>Waterfront</t>
        </is>
      </c>
      <c r="G10" t="inlineStr">
        <is>
          <t>1.9M</t>
        </is>
      </c>
      <c r="H10" t="inlineStr">
        <is>
          <t>2250</t>
        </is>
      </c>
      <c r="I10" t="inlineStr">
        <is>
          <t>25</t>
        </is>
      </c>
      <c r="J10" t="inlineStr">
        <is>
          <t>80/20</t>
        </is>
      </c>
      <c r="K10" t="inlineStr">
        <is>
          <t>2024</t>
        </is>
      </c>
      <c r="L10" t="inlineStr">
        <is>
          <t>5.5-6.0</t>
        </is>
      </c>
      <c r="M10" t="inlineStr">
        <is>
          <t>10-12</t>
        </is>
      </c>
      <c r="N10" t="inlineStr">
        <is>
          <t>15.5-18.0</t>
        </is>
      </c>
      <c r="O10" t="inlineStr">
        <is>
          <t>New Academy School</t>
        </is>
      </c>
      <c r="P10" t="inlineStr">
        <is>
          <t>Aster Hospital Mankhool</t>
        </is>
      </c>
      <c r="Q10" t="inlineStr">
        <is>
          <t>Dubai Mall / City Centre</t>
        </is>
      </c>
      <c r="R10" t="inlineStr">
        <is>
          <t>Al Khaleej / E11</t>
        </is>
      </c>
      <c r="S10" t="inlineStr">
        <is>
          <t>15</t>
        </is>
      </c>
      <c r="T10" t="inlineStr">
        <is>
          <t>25</t>
        </is>
      </c>
      <c r="U10" t="inlineStr">
        <is>
          <t>15</t>
        </is>
      </c>
      <c r="V10" t="inlineStr">
        <is>
          <t>45</t>
        </is>
      </c>
      <c r="W10" t="n">
        <v>2</v>
      </c>
      <c r="X10" s="12" t="n">
        <v>1900000</v>
      </c>
      <c r="Y10" s="12" t="n">
        <v>1900000</v>
      </c>
      <c r="Z10" s="9" t="n">
        <v>5.5</v>
      </c>
      <c r="AA10" s="9" t="n">
        <v>6</v>
      </c>
      <c r="AB10" s="9" t="n">
        <v>10</v>
      </c>
      <c r="AC10" s="9" t="n">
        <v>12</v>
      </c>
      <c r="AD10" s="9" t="n">
        <v>15.5</v>
      </c>
      <c r="AE10" s="9" t="n">
        <v>18</v>
      </c>
      <c r="AF10" t="n">
        <v>2024</v>
      </c>
      <c r="AH10" t="inlineStr">
        <is>
          <t>Apartment</t>
        </is>
      </c>
      <c r="AI10" t="inlineStr">
        <is>
          <t>MainstreamSelective</t>
        </is>
      </c>
      <c r="AJ10" t="inlineStr">
        <is>
          <t>TopTier</t>
        </is>
      </c>
      <c r="AK10" t="inlineStr">
        <is>
          <t>Balanced / selective</t>
        </is>
      </c>
      <c r="AL10" t="inlineStr">
        <is>
          <t>Market remains active but increasingly differentiated by developer, micro-location, livability, and pricing discipline.</t>
        </is>
      </c>
      <c r="AM10" s="9" t="n">
        <v>11</v>
      </c>
      <c r="AN10" s="9" t="n">
        <v>5.75</v>
      </c>
      <c r="AO10" s="10" t="n">
        <v>0.55</v>
      </c>
      <c r="AP10" s="13" t="n">
        <v>0</v>
      </c>
      <c r="AQ10" s="13" t="n">
        <v>0</v>
      </c>
      <c r="AR10" s="13" t="n">
        <v>0</v>
      </c>
      <c r="AS10" s="13" t="n">
        <v>0.01</v>
      </c>
      <c r="AT10" s="13" t="n">
        <v>0.005</v>
      </c>
      <c r="AU10" s="13" t="n">
        <v>0</v>
      </c>
      <c r="AV10" s="13" t="n">
        <v>-0.005</v>
      </c>
      <c r="AW10" s="13" t="n">
        <v>0.06050000000000001</v>
      </c>
      <c r="AX10" s="13" t="n">
        <v>0.009999999999999998</v>
      </c>
      <c r="AY10" s="12" t="n">
        <v>1954502</v>
      </c>
      <c r="AZ10" s="12" t="n">
        <v>2014950</v>
      </c>
      <c r="BA10" s="12" t="n">
        <v>2075398</v>
      </c>
      <c r="BB10" s="12" t="n">
        <v>1974651</v>
      </c>
      <c r="BC10" s="12" t="n">
        <v>2035100</v>
      </c>
      <c r="BD10" s="12" t="n">
        <v>2095548</v>
      </c>
      <c r="BE10" s="12" t="n">
        <v>2055450</v>
      </c>
      <c r="BF10" t="inlineStr">
        <is>
          <t>Frozen values from same rules-based model as formula sheet.</t>
        </is>
      </c>
      <c r="BG10" t="inlineStr">
        <is>
          <t>2026-03-17</t>
        </is>
      </c>
      <c r="BH10" t="inlineStr">
        <is>
          <t>DLD / Digital Dubai / CBUAE / Savills / Knight Frank-Moody’s / Reuters</t>
        </is>
      </c>
    </row>
    <row r="11">
      <c r="A11" t="n">
        <v>10</v>
      </c>
      <c r="B11" t="inlineStr">
        <is>
          <t>Sera 2</t>
        </is>
      </c>
      <c r="C11" t="inlineStr">
        <is>
          <t>Emaar Properties</t>
        </is>
      </c>
      <c r="D11" t="inlineStr">
        <is>
          <t>Rashid Yachts &amp; Marina</t>
        </is>
      </c>
      <c r="E11" t="inlineStr">
        <is>
          <t>Apartments</t>
        </is>
      </c>
      <c r="F11" t="inlineStr">
        <is>
          <t>Waterfront</t>
        </is>
      </c>
      <c r="G11" t="inlineStr">
        <is>
          <t>1.7M</t>
        </is>
      </c>
      <c r="H11" t="inlineStr">
        <is>
          <t>2100</t>
        </is>
      </c>
      <c r="I11" t="inlineStr">
        <is>
          <t>25</t>
        </is>
      </c>
      <c r="J11" t="inlineStr">
        <is>
          <t>80/20</t>
        </is>
      </c>
      <c r="K11" t="inlineStr">
        <is>
          <t>2024</t>
        </is>
      </c>
      <c r="L11" t="inlineStr">
        <is>
          <t>6.0-6.5</t>
        </is>
      </c>
      <c r="M11" t="inlineStr">
        <is>
          <t>10-12</t>
        </is>
      </c>
      <c r="N11" t="inlineStr">
        <is>
          <t>16.0-18.5</t>
        </is>
      </c>
      <c r="O11" t="inlineStr">
        <is>
          <t>New Academy School</t>
        </is>
      </c>
      <c r="P11" t="inlineStr">
        <is>
          <t>Aster Hospital Mankhool</t>
        </is>
      </c>
      <c r="Q11" t="inlineStr">
        <is>
          <t>Dubai Mall / City Centre</t>
        </is>
      </c>
      <c r="R11" t="inlineStr">
        <is>
          <t>Al Khaleej / E11</t>
        </is>
      </c>
      <c r="S11" t="inlineStr">
        <is>
          <t>15</t>
        </is>
      </c>
      <c r="T11" t="inlineStr">
        <is>
          <t>25</t>
        </is>
      </c>
      <c r="U11" t="inlineStr">
        <is>
          <t>15</t>
        </is>
      </c>
      <c r="V11" t="inlineStr">
        <is>
          <t>45</t>
        </is>
      </c>
      <c r="W11" t="n">
        <v>2</v>
      </c>
      <c r="X11" s="12" t="n">
        <v>1700000</v>
      </c>
      <c r="Y11" s="12" t="n">
        <v>1700000</v>
      </c>
      <c r="Z11" s="9" t="n">
        <v>6</v>
      </c>
      <c r="AA11" s="9" t="n">
        <v>6.5</v>
      </c>
      <c r="AB11" s="9" t="n">
        <v>10</v>
      </c>
      <c r="AC11" s="9" t="n">
        <v>12</v>
      </c>
      <c r="AD11" s="9" t="n">
        <v>16</v>
      </c>
      <c r="AE11" s="9" t="n">
        <v>18.5</v>
      </c>
      <c r="AF11" t="n">
        <v>2024</v>
      </c>
      <c r="AH11" t="inlineStr">
        <is>
          <t>Apartment</t>
        </is>
      </c>
      <c r="AI11" t="inlineStr">
        <is>
          <t>MainstreamSelective</t>
        </is>
      </c>
      <c r="AJ11" t="inlineStr">
        <is>
          <t>TopTier</t>
        </is>
      </c>
      <c r="AK11" t="inlineStr">
        <is>
          <t>Balanced / selective</t>
        </is>
      </c>
      <c r="AL11" t="inlineStr">
        <is>
          <t>Market remains active but increasingly differentiated by developer, micro-location, livability, and pricing discipline.</t>
        </is>
      </c>
      <c r="AM11" s="9" t="n">
        <v>11</v>
      </c>
      <c r="AN11" s="9" t="n">
        <v>6.25</v>
      </c>
      <c r="AO11" s="10" t="n">
        <v>0.55</v>
      </c>
      <c r="AP11" s="13" t="n">
        <v>0</v>
      </c>
      <c r="AQ11" s="13" t="n">
        <v>0</v>
      </c>
      <c r="AR11" s="13" t="n">
        <v>0</v>
      </c>
      <c r="AS11" s="13" t="n">
        <v>0.01</v>
      </c>
      <c r="AT11" s="13" t="n">
        <v>0.005</v>
      </c>
      <c r="AU11" s="13" t="n">
        <v>0.0025</v>
      </c>
      <c r="AV11" s="13" t="n">
        <v>-0.005</v>
      </c>
      <c r="AW11" s="13" t="n">
        <v>0.06050000000000001</v>
      </c>
      <c r="AX11" s="13" t="n">
        <v>0.0125</v>
      </c>
      <c r="AY11" s="12" t="n">
        <v>1748764</v>
      </c>
      <c r="AZ11" s="12" t="n">
        <v>1802850</v>
      </c>
      <c r="BA11" s="12" t="n">
        <v>1856936</v>
      </c>
      <c r="BB11" s="12" t="n">
        <v>1771300</v>
      </c>
      <c r="BC11" s="12" t="n">
        <v>1825386</v>
      </c>
      <c r="BD11" s="12" t="n">
        <v>1879471</v>
      </c>
      <c r="BE11" s="12" t="n">
        <v>1848203</v>
      </c>
      <c r="BF11" t="inlineStr">
        <is>
          <t>Frozen values from same rules-based model as formula sheet.</t>
        </is>
      </c>
      <c r="BG11" t="inlineStr">
        <is>
          <t>2026-03-17</t>
        </is>
      </c>
      <c r="BH11" t="inlineStr">
        <is>
          <t>DLD / Digital Dubai / CBUAE / Savills / Knight Frank-Moody’s / Reuters</t>
        </is>
      </c>
    </row>
    <row r="12">
      <c r="A12" t="n">
        <v>11</v>
      </c>
      <c r="B12" t="inlineStr">
        <is>
          <t>Ocean Cove</t>
        </is>
      </c>
      <c r="C12" t="inlineStr">
        <is>
          <t>Emaar Properties</t>
        </is>
      </c>
      <c r="D12" t="inlineStr">
        <is>
          <t>Rashid Yachts &amp; Marina</t>
        </is>
      </c>
      <c r="E12" t="inlineStr">
        <is>
          <t>Apartments</t>
        </is>
      </c>
      <c r="F12" t="inlineStr">
        <is>
          <t>Waterfront</t>
        </is>
      </c>
      <c r="G12" t="inlineStr">
        <is>
          <t>1.8M</t>
        </is>
      </c>
      <c r="H12" t="inlineStr">
        <is>
          <t>2200</t>
        </is>
      </c>
      <c r="I12" t="inlineStr">
        <is>
          <t>25</t>
        </is>
      </c>
      <c r="J12" t="inlineStr">
        <is>
          <t>80/20</t>
        </is>
      </c>
      <c r="K12" t="inlineStr">
        <is>
          <t>2024</t>
        </is>
      </c>
      <c r="L12" t="inlineStr">
        <is>
          <t>5.5-6.0</t>
        </is>
      </c>
      <c r="M12" t="inlineStr">
        <is>
          <t>10-12</t>
        </is>
      </c>
      <c r="N12" t="inlineStr">
        <is>
          <t>15.5-18.0</t>
        </is>
      </c>
      <c r="O12" t="inlineStr">
        <is>
          <t>New Academy School</t>
        </is>
      </c>
      <c r="P12" t="inlineStr">
        <is>
          <t>Aster Hospital Mankhool</t>
        </is>
      </c>
      <c r="Q12" t="inlineStr">
        <is>
          <t>Dubai Mall / City Centre</t>
        </is>
      </c>
      <c r="R12" t="inlineStr">
        <is>
          <t>Al Khaleej / E11</t>
        </is>
      </c>
      <c r="S12" t="inlineStr">
        <is>
          <t>15</t>
        </is>
      </c>
      <c r="T12" t="inlineStr">
        <is>
          <t>25</t>
        </is>
      </c>
      <c r="U12" t="inlineStr">
        <is>
          <t>15</t>
        </is>
      </c>
      <c r="V12" t="inlineStr">
        <is>
          <t>45</t>
        </is>
      </c>
      <c r="W12" t="n">
        <v>2</v>
      </c>
      <c r="X12" s="12" t="n">
        <v>1800000</v>
      </c>
      <c r="Y12" s="12" t="n">
        <v>1800000</v>
      </c>
      <c r="Z12" s="9" t="n">
        <v>5.5</v>
      </c>
      <c r="AA12" s="9" t="n">
        <v>6</v>
      </c>
      <c r="AB12" s="9" t="n">
        <v>10</v>
      </c>
      <c r="AC12" s="9" t="n">
        <v>12</v>
      </c>
      <c r="AD12" s="9" t="n">
        <v>15.5</v>
      </c>
      <c r="AE12" s="9" t="n">
        <v>18</v>
      </c>
      <c r="AF12" t="n">
        <v>2024</v>
      </c>
      <c r="AH12" t="inlineStr">
        <is>
          <t>Apartment</t>
        </is>
      </c>
      <c r="AI12" t="inlineStr">
        <is>
          <t>MainstreamSelective</t>
        </is>
      </c>
      <c r="AJ12" t="inlineStr">
        <is>
          <t>TopTier</t>
        </is>
      </c>
      <c r="AK12" t="inlineStr">
        <is>
          <t>Balanced / selective</t>
        </is>
      </c>
      <c r="AL12" t="inlineStr">
        <is>
          <t>Market remains active but increasingly differentiated by developer, micro-location, livability, and pricing discipline.</t>
        </is>
      </c>
      <c r="AM12" s="9" t="n">
        <v>11</v>
      </c>
      <c r="AN12" s="9" t="n">
        <v>5.75</v>
      </c>
      <c r="AO12" s="10" t="n">
        <v>0.55</v>
      </c>
      <c r="AP12" s="13" t="n">
        <v>0</v>
      </c>
      <c r="AQ12" s="13" t="n">
        <v>0</v>
      </c>
      <c r="AR12" s="13" t="n">
        <v>0</v>
      </c>
      <c r="AS12" s="13" t="n">
        <v>0.01</v>
      </c>
      <c r="AT12" s="13" t="n">
        <v>0.005</v>
      </c>
      <c r="AU12" s="13" t="n">
        <v>0</v>
      </c>
      <c r="AV12" s="13" t="n">
        <v>-0.005</v>
      </c>
      <c r="AW12" s="13" t="n">
        <v>0.06050000000000001</v>
      </c>
      <c r="AX12" s="13" t="n">
        <v>0.009999999999999998</v>
      </c>
      <c r="AY12" s="12" t="n">
        <v>1851633</v>
      </c>
      <c r="AZ12" s="12" t="n">
        <v>1908900</v>
      </c>
      <c r="BA12" s="12" t="n">
        <v>1966167</v>
      </c>
      <c r="BB12" s="12" t="n">
        <v>1870722</v>
      </c>
      <c r="BC12" s="12" t="n">
        <v>1927989</v>
      </c>
      <c r="BD12" s="12" t="n">
        <v>1985256</v>
      </c>
      <c r="BE12" s="12" t="n">
        <v>1947269</v>
      </c>
      <c r="BF12" t="inlineStr">
        <is>
          <t>Frozen values from same rules-based model as formula sheet.</t>
        </is>
      </c>
      <c r="BG12" t="inlineStr">
        <is>
          <t>2026-03-17</t>
        </is>
      </c>
      <c r="BH12" t="inlineStr">
        <is>
          <t>DLD / Digital Dubai / CBUAE / Savills / Knight Frank-Moody’s / Reuters</t>
        </is>
      </c>
    </row>
    <row r="13">
      <c r="A13" t="n">
        <v>12</v>
      </c>
      <c r="B13" t="inlineStr">
        <is>
          <t>Baystar</t>
        </is>
      </c>
      <c r="C13" t="inlineStr">
        <is>
          <t>Emaar Properties</t>
        </is>
      </c>
      <c r="D13" t="inlineStr">
        <is>
          <t>Rashid Yachts &amp; Marina</t>
        </is>
      </c>
      <c r="E13" t="inlineStr">
        <is>
          <t>Apartments</t>
        </is>
      </c>
      <c r="F13" t="inlineStr">
        <is>
          <t>Waterfront</t>
        </is>
      </c>
      <c r="G13" t="inlineStr">
        <is>
          <t>1.75M</t>
        </is>
      </c>
      <c r="H13" t="inlineStr">
        <is>
          <t>2150</t>
        </is>
      </c>
      <c r="I13" t="inlineStr">
        <is>
          <t>25</t>
        </is>
      </c>
      <c r="J13" t="inlineStr">
        <is>
          <t>80/20</t>
        </is>
      </c>
      <c r="K13" t="inlineStr">
        <is>
          <t>2024</t>
        </is>
      </c>
      <c r="L13" t="inlineStr">
        <is>
          <t>5.5-6.0</t>
        </is>
      </c>
      <c r="M13" t="inlineStr">
        <is>
          <t>10-12</t>
        </is>
      </c>
      <c r="N13" t="inlineStr">
        <is>
          <t>15.5-18.0</t>
        </is>
      </c>
      <c r="O13" t="inlineStr">
        <is>
          <t>New Academy School</t>
        </is>
      </c>
      <c r="P13" t="inlineStr">
        <is>
          <t>Aster Hospital Mankhool</t>
        </is>
      </c>
      <c r="Q13" t="inlineStr">
        <is>
          <t>Dubai Mall / City Centre</t>
        </is>
      </c>
      <c r="R13" t="inlineStr">
        <is>
          <t>Al Khaleej / E11</t>
        </is>
      </c>
      <c r="S13" t="inlineStr">
        <is>
          <t>15</t>
        </is>
      </c>
      <c r="T13" t="inlineStr">
        <is>
          <t>25</t>
        </is>
      </c>
      <c r="U13" t="inlineStr">
        <is>
          <t>15</t>
        </is>
      </c>
      <c r="V13" t="inlineStr">
        <is>
          <t>45</t>
        </is>
      </c>
      <c r="W13" t="n">
        <v>2</v>
      </c>
      <c r="X13" s="12" t="n">
        <v>1750000</v>
      </c>
      <c r="Y13" s="12" t="n">
        <v>1750000</v>
      </c>
      <c r="Z13" s="9" t="n">
        <v>5.5</v>
      </c>
      <c r="AA13" s="9" t="n">
        <v>6</v>
      </c>
      <c r="AB13" s="9" t="n">
        <v>10</v>
      </c>
      <c r="AC13" s="9" t="n">
        <v>12</v>
      </c>
      <c r="AD13" s="9" t="n">
        <v>15.5</v>
      </c>
      <c r="AE13" s="9" t="n">
        <v>18</v>
      </c>
      <c r="AF13" t="n">
        <v>2024</v>
      </c>
      <c r="AH13" t="inlineStr">
        <is>
          <t>Apartment</t>
        </is>
      </c>
      <c r="AI13" t="inlineStr">
        <is>
          <t>MainstreamSelective</t>
        </is>
      </c>
      <c r="AJ13" t="inlineStr">
        <is>
          <t>TopTier</t>
        </is>
      </c>
      <c r="AK13" t="inlineStr">
        <is>
          <t>Balanced / selective</t>
        </is>
      </c>
      <c r="AL13" t="inlineStr">
        <is>
          <t>Market remains active but increasingly differentiated by developer, micro-location, livability, and pricing discipline.</t>
        </is>
      </c>
      <c r="AM13" s="9" t="n">
        <v>11</v>
      </c>
      <c r="AN13" s="9" t="n">
        <v>5.75</v>
      </c>
      <c r="AO13" s="10" t="n">
        <v>0.55</v>
      </c>
      <c r="AP13" s="13" t="n">
        <v>0</v>
      </c>
      <c r="AQ13" s="13" t="n">
        <v>0</v>
      </c>
      <c r="AR13" s="13" t="n">
        <v>0</v>
      </c>
      <c r="AS13" s="13" t="n">
        <v>0.01</v>
      </c>
      <c r="AT13" s="13" t="n">
        <v>0.005</v>
      </c>
      <c r="AU13" s="13" t="n">
        <v>0</v>
      </c>
      <c r="AV13" s="13" t="n">
        <v>-0.005</v>
      </c>
      <c r="AW13" s="13" t="n">
        <v>0.06050000000000001</v>
      </c>
      <c r="AX13" s="13" t="n">
        <v>0.009999999999999998</v>
      </c>
      <c r="AY13" s="12" t="n">
        <v>1800199</v>
      </c>
      <c r="AZ13" s="12" t="n">
        <v>1855875</v>
      </c>
      <c r="BA13" s="12" t="n">
        <v>1911551</v>
      </c>
      <c r="BB13" s="12" t="n">
        <v>1818758</v>
      </c>
      <c r="BC13" s="12" t="n">
        <v>1874434</v>
      </c>
      <c r="BD13" s="12" t="n">
        <v>1930110</v>
      </c>
      <c r="BE13" s="12" t="n">
        <v>1893178</v>
      </c>
      <c r="BF13" t="inlineStr">
        <is>
          <t>Frozen values from same rules-based model as formula sheet.</t>
        </is>
      </c>
      <c r="BG13" t="inlineStr">
        <is>
          <t>2026-03-17</t>
        </is>
      </c>
      <c r="BH13" t="inlineStr">
        <is>
          <t>DLD / Digital Dubai / CBUAE / Savills / Knight Frank-Moody’s / Reuters</t>
        </is>
      </c>
    </row>
    <row r="14">
      <c r="A14" t="n">
        <v>13</v>
      </c>
      <c r="B14" t="inlineStr">
        <is>
          <t>Seagate</t>
        </is>
      </c>
      <c r="C14" t="inlineStr">
        <is>
          <t>Emaar Properties</t>
        </is>
      </c>
      <c r="D14" t="inlineStr">
        <is>
          <t>Rashid Yachts &amp; Marina</t>
        </is>
      </c>
      <c r="E14" t="inlineStr">
        <is>
          <t>Apartments</t>
        </is>
      </c>
      <c r="F14" t="inlineStr">
        <is>
          <t>Waterfront</t>
        </is>
      </c>
      <c r="G14" t="inlineStr">
        <is>
          <t>1.6M</t>
        </is>
      </c>
      <c r="H14" t="inlineStr">
        <is>
          <t>2000</t>
        </is>
      </c>
      <c r="I14" t="inlineStr">
        <is>
          <t>25</t>
        </is>
      </c>
      <c r="J14" t="inlineStr">
        <is>
          <t>80/20</t>
        </is>
      </c>
      <c r="K14" t="inlineStr">
        <is>
          <t>2023</t>
        </is>
      </c>
      <c r="L14" t="inlineStr">
        <is>
          <t>6.0-6.5</t>
        </is>
      </c>
      <c r="M14" t="inlineStr">
        <is>
          <t>8-10</t>
        </is>
      </c>
      <c r="N14" t="inlineStr">
        <is>
          <t>14.0-16.5</t>
        </is>
      </c>
      <c r="O14" t="inlineStr">
        <is>
          <t>New Academy School</t>
        </is>
      </c>
      <c r="P14" t="inlineStr">
        <is>
          <t>Aster Hospital Mankhool</t>
        </is>
      </c>
      <c r="Q14" t="inlineStr">
        <is>
          <t>Dubai Mall / City Centre</t>
        </is>
      </c>
      <c r="R14" t="inlineStr">
        <is>
          <t>Al Khaleej / E11</t>
        </is>
      </c>
      <c r="S14" t="inlineStr">
        <is>
          <t>15</t>
        </is>
      </c>
      <c r="T14" t="inlineStr">
        <is>
          <t>25</t>
        </is>
      </c>
      <c r="U14" t="inlineStr">
        <is>
          <t>15</t>
        </is>
      </c>
      <c r="V14" t="inlineStr">
        <is>
          <t>45</t>
        </is>
      </c>
      <c r="W14" t="n">
        <v>2</v>
      </c>
      <c r="X14" s="12" t="n">
        <v>1600000</v>
      </c>
      <c r="Y14" s="12" t="n">
        <v>1600000</v>
      </c>
      <c r="Z14" s="9" t="n">
        <v>6</v>
      </c>
      <c r="AA14" s="9" t="n">
        <v>6.5</v>
      </c>
      <c r="AB14" s="9" t="n">
        <v>8</v>
      </c>
      <c r="AC14" s="9" t="n">
        <v>10</v>
      </c>
      <c r="AD14" s="9" t="n">
        <v>14</v>
      </c>
      <c r="AE14" s="9" t="n">
        <v>16.5</v>
      </c>
      <c r="AF14" t="n">
        <v>2023</v>
      </c>
      <c r="AH14" t="inlineStr">
        <is>
          <t>Apartment</t>
        </is>
      </c>
      <c r="AI14" t="inlineStr">
        <is>
          <t>MainstreamSelective</t>
        </is>
      </c>
      <c r="AJ14" t="inlineStr">
        <is>
          <t>TopTier</t>
        </is>
      </c>
      <c r="AK14" t="inlineStr">
        <is>
          <t>Balanced / selective</t>
        </is>
      </c>
      <c r="AL14" t="inlineStr">
        <is>
          <t>Market remains active but increasingly differentiated by developer, micro-location, livability, and pricing discipline.</t>
        </is>
      </c>
      <c r="AM14" s="9" t="n">
        <v>9</v>
      </c>
      <c r="AN14" s="9" t="n">
        <v>6.25</v>
      </c>
      <c r="AO14" s="10" t="n">
        <v>0.55</v>
      </c>
      <c r="AP14" s="13" t="n">
        <v>0</v>
      </c>
      <c r="AQ14" s="13" t="n">
        <v>0</v>
      </c>
      <c r="AR14" s="13" t="n">
        <v>0</v>
      </c>
      <c r="AS14" s="13" t="n">
        <v>0.01</v>
      </c>
      <c r="AT14" s="13" t="n">
        <v>0.005</v>
      </c>
      <c r="AU14" s="13" t="n">
        <v>0.0025</v>
      </c>
      <c r="AV14" s="13" t="n">
        <v>-0.005</v>
      </c>
      <c r="AW14" s="13" t="n">
        <v>0.0495</v>
      </c>
      <c r="AX14" s="13" t="n">
        <v>0.0125</v>
      </c>
      <c r="AY14" s="12" t="n">
        <v>1628824</v>
      </c>
      <c r="AZ14" s="12" t="n">
        <v>1679200</v>
      </c>
      <c r="BA14" s="12" t="n">
        <v>1729576</v>
      </c>
      <c r="BB14" s="12" t="n">
        <v>1649814</v>
      </c>
      <c r="BC14" s="12" t="n">
        <v>1700190</v>
      </c>
      <c r="BD14" s="12" t="n">
        <v>1750566</v>
      </c>
      <c r="BE14" s="12" t="n">
        <v>1721442</v>
      </c>
      <c r="BF14" t="inlineStr">
        <is>
          <t>Frozen values from same rules-based model as formula sheet.</t>
        </is>
      </c>
      <c r="BG14" t="inlineStr">
        <is>
          <t>2026-03-17</t>
        </is>
      </c>
      <c r="BH14" t="inlineStr">
        <is>
          <t>DLD / Digital Dubai / CBUAE / Savills / Knight Frank-Moody’s / Reuters</t>
        </is>
      </c>
    </row>
    <row r="15">
      <c r="A15" t="n">
        <v>14</v>
      </c>
      <c r="B15" t="inlineStr">
        <is>
          <t>Clearpoint</t>
        </is>
      </c>
      <c r="C15" t="inlineStr">
        <is>
          <t>Emaar Properties</t>
        </is>
      </c>
      <c r="D15" t="inlineStr">
        <is>
          <t>Rashid Yachts &amp; Marina</t>
        </is>
      </c>
      <c r="E15" t="inlineStr">
        <is>
          <t>Apartments</t>
        </is>
      </c>
      <c r="F15" t="inlineStr">
        <is>
          <t>Waterfront</t>
        </is>
      </c>
      <c r="G15" t="inlineStr">
        <is>
          <t>1.6M</t>
        </is>
      </c>
      <c r="H15" t="inlineStr">
        <is>
          <t>2000</t>
        </is>
      </c>
      <c r="I15" t="inlineStr">
        <is>
          <t>25</t>
        </is>
      </c>
      <c r="J15" t="inlineStr">
        <is>
          <t>80/20</t>
        </is>
      </c>
      <c r="K15" t="inlineStr">
        <is>
          <t>2023</t>
        </is>
      </c>
      <c r="L15" t="inlineStr">
        <is>
          <t>6.0-6.5</t>
        </is>
      </c>
      <c r="M15" t="inlineStr">
        <is>
          <t>8-10</t>
        </is>
      </c>
      <c r="N15" t="inlineStr">
        <is>
          <t>14.0-16.5</t>
        </is>
      </c>
      <c r="O15" t="inlineStr">
        <is>
          <t>New Academy School</t>
        </is>
      </c>
      <c r="P15" t="inlineStr">
        <is>
          <t>Aster Hospital Mankhool</t>
        </is>
      </c>
      <c r="Q15" t="inlineStr">
        <is>
          <t>Dubai Mall / City Centre</t>
        </is>
      </c>
      <c r="R15" t="inlineStr">
        <is>
          <t>Al Khaleej / E11</t>
        </is>
      </c>
      <c r="S15" t="inlineStr">
        <is>
          <t>15</t>
        </is>
      </c>
      <c r="T15" t="inlineStr">
        <is>
          <t>25</t>
        </is>
      </c>
      <c r="U15" t="inlineStr">
        <is>
          <t>15</t>
        </is>
      </c>
      <c r="V15" t="inlineStr">
        <is>
          <t>45</t>
        </is>
      </c>
      <c r="W15" t="n">
        <v>2</v>
      </c>
      <c r="X15" s="12" t="n">
        <v>1600000</v>
      </c>
      <c r="Y15" s="12" t="n">
        <v>1600000</v>
      </c>
      <c r="Z15" s="9" t="n">
        <v>6</v>
      </c>
      <c r="AA15" s="9" t="n">
        <v>6.5</v>
      </c>
      <c r="AB15" s="9" t="n">
        <v>8</v>
      </c>
      <c r="AC15" s="9" t="n">
        <v>10</v>
      </c>
      <c r="AD15" s="9" t="n">
        <v>14</v>
      </c>
      <c r="AE15" s="9" t="n">
        <v>16.5</v>
      </c>
      <c r="AF15" t="n">
        <v>2023</v>
      </c>
      <c r="AH15" t="inlineStr">
        <is>
          <t>Apartment</t>
        </is>
      </c>
      <c r="AI15" t="inlineStr">
        <is>
          <t>MainstreamSelective</t>
        </is>
      </c>
      <c r="AJ15" t="inlineStr">
        <is>
          <t>TopTier</t>
        </is>
      </c>
      <c r="AK15" t="inlineStr">
        <is>
          <t>Balanced / selective</t>
        </is>
      </c>
      <c r="AL15" t="inlineStr">
        <is>
          <t>Market remains active but increasingly differentiated by developer, micro-location, livability, and pricing discipline.</t>
        </is>
      </c>
      <c r="AM15" s="9" t="n">
        <v>9</v>
      </c>
      <c r="AN15" s="9" t="n">
        <v>6.25</v>
      </c>
      <c r="AO15" s="10" t="n">
        <v>0.55</v>
      </c>
      <c r="AP15" s="13" t="n">
        <v>0</v>
      </c>
      <c r="AQ15" s="13" t="n">
        <v>0</v>
      </c>
      <c r="AR15" s="13" t="n">
        <v>0</v>
      </c>
      <c r="AS15" s="13" t="n">
        <v>0.01</v>
      </c>
      <c r="AT15" s="13" t="n">
        <v>0.005</v>
      </c>
      <c r="AU15" s="13" t="n">
        <v>0.0025</v>
      </c>
      <c r="AV15" s="13" t="n">
        <v>-0.005</v>
      </c>
      <c r="AW15" s="13" t="n">
        <v>0.0495</v>
      </c>
      <c r="AX15" s="13" t="n">
        <v>0.0125</v>
      </c>
      <c r="AY15" s="12" t="n">
        <v>1628824</v>
      </c>
      <c r="AZ15" s="12" t="n">
        <v>1679200</v>
      </c>
      <c r="BA15" s="12" t="n">
        <v>1729576</v>
      </c>
      <c r="BB15" s="12" t="n">
        <v>1649814</v>
      </c>
      <c r="BC15" s="12" t="n">
        <v>1700190</v>
      </c>
      <c r="BD15" s="12" t="n">
        <v>1750566</v>
      </c>
      <c r="BE15" s="12" t="n">
        <v>1721442</v>
      </c>
      <c r="BF15" t="inlineStr">
        <is>
          <t>Frozen values from same rules-based model as formula sheet.</t>
        </is>
      </c>
      <c r="BG15" t="inlineStr">
        <is>
          <t>2026-03-17</t>
        </is>
      </c>
      <c r="BH15" t="inlineStr">
        <is>
          <t>DLD / Digital Dubai / CBUAE / Savills / Knight Frank-Moody’s / Reuters</t>
        </is>
      </c>
    </row>
    <row r="16">
      <c r="A16" t="n">
        <v>15</v>
      </c>
      <c r="B16" t="inlineStr">
        <is>
          <t>Sunridge</t>
        </is>
      </c>
      <c r="C16" t="inlineStr">
        <is>
          <t>Emaar Properties</t>
        </is>
      </c>
      <c r="D16" t="inlineStr">
        <is>
          <t>Rashid Yachts &amp; Marina</t>
        </is>
      </c>
      <c r="E16" t="inlineStr">
        <is>
          <t>Apartments</t>
        </is>
      </c>
      <c r="F16" t="inlineStr">
        <is>
          <t>Waterfront</t>
        </is>
      </c>
      <c r="G16" t="inlineStr">
        <is>
          <t>1.55M</t>
        </is>
      </c>
      <c r="H16" t="inlineStr">
        <is>
          <t>1950</t>
        </is>
      </c>
      <c r="I16" t="inlineStr">
        <is>
          <t>25</t>
        </is>
      </c>
      <c r="J16" t="inlineStr">
        <is>
          <t>80/20</t>
        </is>
      </c>
      <c r="K16" t="inlineStr">
        <is>
          <t>2023</t>
        </is>
      </c>
      <c r="L16" t="inlineStr">
        <is>
          <t>6.0-6.5</t>
        </is>
      </c>
      <c r="M16" t="inlineStr">
        <is>
          <t>8-10</t>
        </is>
      </c>
      <c r="N16" t="inlineStr">
        <is>
          <t>14.0-16.5</t>
        </is>
      </c>
      <c r="O16" t="inlineStr">
        <is>
          <t>New Academy School</t>
        </is>
      </c>
      <c r="P16" t="inlineStr">
        <is>
          <t>Aster Hospital Mankhool</t>
        </is>
      </c>
      <c r="Q16" t="inlineStr">
        <is>
          <t>Dubai Mall / City Centre</t>
        </is>
      </c>
      <c r="R16" t="inlineStr">
        <is>
          <t>Al Khaleej / E11</t>
        </is>
      </c>
      <c r="S16" t="inlineStr">
        <is>
          <t>15</t>
        </is>
      </c>
      <c r="T16" t="inlineStr">
        <is>
          <t>25</t>
        </is>
      </c>
      <c r="U16" t="inlineStr">
        <is>
          <t>15</t>
        </is>
      </c>
      <c r="V16" t="inlineStr">
        <is>
          <t>45</t>
        </is>
      </c>
      <c r="W16" t="n">
        <v>2</v>
      </c>
      <c r="X16" s="12" t="n">
        <v>1550000</v>
      </c>
      <c r="Y16" s="12" t="n">
        <v>1550000</v>
      </c>
      <c r="Z16" s="9" t="n">
        <v>6</v>
      </c>
      <c r="AA16" s="9" t="n">
        <v>6.5</v>
      </c>
      <c r="AB16" s="9" t="n">
        <v>8</v>
      </c>
      <c r="AC16" s="9" t="n">
        <v>10</v>
      </c>
      <c r="AD16" s="9" t="n">
        <v>14</v>
      </c>
      <c r="AE16" s="9" t="n">
        <v>16.5</v>
      </c>
      <c r="AF16" t="n">
        <v>2023</v>
      </c>
      <c r="AH16" t="inlineStr">
        <is>
          <t>Apartment</t>
        </is>
      </c>
      <c r="AI16" t="inlineStr">
        <is>
          <t>MainstreamSelective</t>
        </is>
      </c>
      <c r="AJ16" t="inlineStr">
        <is>
          <t>TopTier</t>
        </is>
      </c>
      <c r="AK16" t="inlineStr">
        <is>
          <t>Balanced / selective</t>
        </is>
      </c>
      <c r="AL16" t="inlineStr">
        <is>
          <t>Market remains active but increasingly differentiated by developer, micro-location, livability, and pricing discipline.</t>
        </is>
      </c>
      <c r="AM16" s="9" t="n">
        <v>9</v>
      </c>
      <c r="AN16" s="9" t="n">
        <v>6.25</v>
      </c>
      <c r="AO16" s="10" t="n">
        <v>0.55</v>
      </c>
      <c r="AP16" s="13" t="n">
        <v>0</v>
      </c>
      <c r="AQ16" s="13" t="n">
        <v>0</v>
      </c>
      <c r="AR16" s="13" t="n">
        <v>0</v>
      </c>
      <c r="AS16" s="13" t="n">
        <v>0.01</v>
      </c>
      <c r="AT16" s="13" t="n">
        <v>0.005</v>
      </c>
      <c r="AU16" s="13" t="n">
        <v>0.0025</v>
      </c>
      <c r="AV16" s="13" t="n">
        <v>-0.005</v>
      </c>
      <c r="AW16" s="13" t="n">
        <v>0.0495</v>
      </c>
      <c r="AX16" s="13" t="n">
        <v>0.0125</v>
      </c>
      <c r="AY16" s="12" t="n">
        <v>1577923</v>
      </c>
      <c r="AZ16" s="12" t="n">
        <v>1626725</v>
      </c>
      <c r="BA16" s="12" t="n">
        <v>1675527</v>
      </c>
      <c r="BB16" s="12" t="n">
        <v>1598257</v>
      </c>
      <c r="BC16" s="12" t="n">
        <v>1647059</v>
      </c>
      <c r="BD16" s="12" t="n">
        <v>1695861</v>
      </c>
      <c r="BE16" s="12" t="n">
        <v>1667647</v>
      </c>
      <c r="BF16" t="inlineStr">
        <is>
          <t>Frozen values from same rules-based model as formula sheet.</t>
        </is>
      </c>
      <c r="BG16" t="inlineStr">
        <is>
          <t>2026-03-17</t>
        </is>
      </c>
      <c r="BH16" t="inlineStr">
        <is>
          <t>DLD / Digital Dubai / CBUAE / Savills / Knight Frank-Moody’s / Reuters</t>
        </is>
      </c>
    </row>
    <row r="17">
      <c r="A17" t="n">
        <v>16</v>
      </c>
      <c r="B17" t="inlineStr">
        <is>
          <t>Dubai Creek Harbour</t>
        </is>
      </c>
      <c r="C17" t="inlineStr">
        <is>
          <t>Emaar Properties</t>
        </is>
      </c>
      <c r="D17" t="inlineStr">
        <is>
          <t>The Creek</t>
        </is>
      </c>
      <c r="E17" t="inlineStr">
        <is>
          <t>Mixed</t>
        </is>
      </c>
      <c r="F17" t="inlineStr">
        <is>
          <t>Waterfront / City</t>
        </is>
      </c>
      <c r="I17" t="inlineStr">
        <is>
          <t>25-30</t>
        </is>
      </c>
      <c r="J17" t="inlineStr">
        <is>
          <t>Varies</t>
        </is>
      </c>
      <c r="K17" t="inlineStr">
        <is>
          <t>Ongoing</t>
        </is>
      </c>
      <c r="L17" t="inlineStr">
        <is>
          <t>5.5-6.5</t>
        </is>
      </c>
      <c r="M17" t="inlineStr">
        <is>
          <t>9-12</t>
        </is>
      </c>
      <c r="N17" t="inlineStr">
        <is>
          <t>14.5-18.5</t>
        </is>
      </c>
      <c r="O17" t="inlineStr">
        <is>
          <t>Swiss Intl School</t>
        </is>
      </c>
      <c r="P17" t="inlineStr">
        <is>
          <t>American Hospital</t>
        </is>
      </c>
      <c r="Q17" t="inlineStr">
        <is>
          <t>Dubai Festival City</t>
        </is>
      </c>
      <c r="R17" t="inlineStr">
        <is>
          <t>Ras Al Khor / E44</t>
        </is>
      </c>
      <c r="S17" t="inlineStr">
        <is>
          <t>12</t>
        </is>
      </c>
      <c r="T17" t="inlineStr">
        <is>
          <t>25</t>
        </is>
      </c>
      <c r="U17" t="inlineStr">
        <is>
          <t>10</t>
        </is>
      </c>
      <c r="V17" t="inlineStr">
        <is>
          <t>40</t>
        </is>
      </c>
      <c r="W17" t="n">
        <v>2</v>
      </c>
      <c r="X17" s="12" t="n"/>
      <c r="Y17" s="12" t="n"/>
      <c r="Z17" s="9" t="n">
        <v>5.5</v>
      </c>
      <c r="AA17" s="9" t="n">
        <v>6.5</v>
      </c>
      <c r="AB17" s="9" t="n">
        <v>9</v>
      </c>
      <c r="AC17" s="9" t="n">
        <v>12</v>
      </c>
      <c r="AD17" s="9" t="n">
        <v>14.5</v>
      </c>
      <c r="AE17" s="9" t="n">
        <v>18.5</v>
      </c>
      <c r="AH17" t="inlineStr">
        <is>
          <t>Mixed/Other</t>
        </is>
      </c>
      <c r="AI17" t="inlineStr">
        <is>
          <t>MainstreamSelective</t>
        </is>
      </c>
      <c r="AJ17" t="inlineStr">
        <is>
          <t>TopTier</t>
        </is>
      </c>
      <c r="AK17" t="inlineStr">
        <is>
          <t>Balanced / selective</t>
        </is>
      </c>
      <c r="AL17" t="inlineStr">
        <is>
          <t>Market remains active but increasingly differentiated by developer, micro-location, livability, and pricing discipline.</t>
        </is>
      </c>
      <c r="AM17" s="9" t="n">
        <v>10.5</v>
      </c>
      <c r="AN17" s="9" t="n">
        <v>6</v>
      </c>
      <c r="AO17" s="10" t="n">
        <v>0.25</v>
      </c>
      <c r="AP17" s="13" t="n">
        <v>0</v>
      </c>
      <c r="AQ17" s="13" t="n">
        <v>0</v>
      </c>
      <c r="AR17" s="13" t="n">
        <v>0</v>
      </c>
      <c r="AS17" s="13" t="n">
        <v>0.01</v>
      </c>
      <c r="AT17" s="13" t="n">
        <v>0.005</v>
      </c>
      <c r="AU17" s="13" t="n">
        <v>0</v>
      </c>
      <c r="AV17" s="13" t="n">
        <v>-0.005</v>
      </c>
      <c r="AW17" s="13" t="n">
        <v>0.02625</v>
      </c>
      <c r="AX17" s="13" t="n">
        <v>0.009999999999999998</v>
      </c>
      <c r="AY17" s="12" t="n"/>
      <c r="AZ17" s="12" t="n"/>
      <c r="BA17" s="12" t="n"/>
      <c r="BB17" s="12" t="n"/>
      <c r="BC17" s="12" t="n"/>
      <c r="BD17" s="12" t="n"/>
      <c r="BE17" s="12" t="n"/>
      <c r="BF17" t="inlineStr">
        <is>
          <t>Frozen values from same rules-based model as formula sheet.</t>
        </is>
      </c>
      <c r="BG17" t="inlineStr">
        <is>
          <t>2026-03-17</t>
        </is>
      </c>
      <c r="BH17" t="inlineStr">
        <is>
          <t>DLD / Digital Dubai / CBUAE / Savills / Knight Frank-Moody’s / Reuters</t>
        </is>
      </c>
    </row>
    <row r="18">
      <c r="A18" t="n">
        <v>17</v>
      </c>
      <c r="B18" t="inlineStr">
        <is>
          <t>Valo</t>
        </is>
      </c>
      <c r="C18" t="inlineStr">
        <is>
          <t>Emaar Properties</t>
        </is>
      </c>
      <c r="D18" t="inlineStr">
        <is>
          <t>Dubai Creek Harbour</t>
        </is>
      </c>
      <c r="E18" t="inlineStr">
        <is>
          <t>Apartments</t>
        </is>
      </c>
      <c r="F18" t="inlineStr">
        <is>
          <t>Waterfront / Metro</t>
        </is>
      </c>
      <c r="G18" t="inlineStr">
        <is>
          <t>1.9M</t>
        </is>
      </c>
      <c r="H18" t="inlineStr">
        <is>
          <t>2300</t>
        </is>
      </c>
      <c r="I18" t="inlineStr">
        <is>
          <t>25</t>
        </is>
      </c>
      <c r="J18" t="inlineStr">
        <is>
          <t>80/20</t>
        </is>
      </c>
      <c r="K18" t="inlineStr">
        <is>
          <t>2024</t>
        </is>
      </c>
      <c r="L18" t="inlineStr">
        <is>
          <t>5.5-6.0</t>
        </is>
      </c>
      <c r="M18" t="inlineStr">
        <is>
          <t>9-12</t>
        </is>
      </c>
      <c r="N18" t="inlineStr">
        <is>
          <t>14.5-18.0</t>
        </is>
      </c>
      <c r="O18" t="inlineStr">
        <is>
          <t>Swiss Intl School</t>
        </is>
      </c>
      <c r="P18" t="inlineStr">
        <is>
          <t>American Hospital</t>
        </is>
      </c>
      <c r="Q18" t="inlineStr">
        <is>
          <t>Dubai Festival City</t>
        </is>
      </c>
      <c r="R18" t="inlineStr">
        <is>
          <t>Ras Al Khor / E44</t>
        </is>
      </c>
      <c r="S18" t="inlineStr">
        <is>
          <t>12</t>
        </is>
      </c>
      <c r="T18" t="inlineStr">
        <is>
          <t>25</t>
        </is>
      </c>
      <c r="U18" t="inlineStr">
        <is>
          <t>10</t>
        </is>
      </c>
      <c r="V18" t="inlineStr">
        <is>
          <t>40</t>
        </is>
      </c>
      <c r="W18" t="n">
        <v>2</v>
      </c>
      <c r="X18" s="12" t="n">
        <v>1900000</v>
      </c>
      <c r="Y18" s="12" t="n">
        <v>1900000</v>
      </c>
      <c r="Z18" s="9" t="n">
        <v>5.5</v>
      </c>
      <c r="AA18" s="9" t="n">
        <v>6</v>
      </c>
      <c r="AB18" s="9" t="n">
        <v>9</v>
      </c>
      <c r="AC18" s="9" t="n">
        <v>12</v>
      </c>
      <c r="AD18" s="9" t="n">
        <v>14.5</v>
      </c>
      <c r="AE18" s="9" t="n">
        <v>18</v>
      </c>
      <c r="AF18" t="n">
        <v>2024</v>
      </c>
      <c r="AH18" t="inlineStr">
        <is>
          <t>Apartment</t>
        </is>
      </c>
      <c r="AI18" t="inlineStr">
        <is>
          <t>Prime</t>
        </is>
      </c>
      <c r="AJ18" t="inlineStr">
        <is>
          <t>TopTier</t>
        </is>
      </c>
      <c r="AK18" t="inlineStr">
        <is>
          <t>Prime resilient / selective</t>
        </is>
      </c>
      <c r="AL18" t="inlineStr">
        <is>
          <t>Better support from quality, branding, and scarcer prime stock; still entry-price sensitive.</t>
        </is>
      </c>
      <c r="AM18" s="9" t="n">
        <v>10.5</v>
      </c>
      <c r="AN18" s="9" t="n">
        <v>5.75</v>
      </c>
      <c r="AO18" s="10" t="n">
        <v>0.55</v>
      </c>
      <c r="AP18" s="13" t="n">
        <v>0.02</v>
      </c>
      <c r="AQ18" s="13" t="n">
        <v>0</v>
      </c>
      <c r="AR18" s="13" t="n">
        <v>0</v>
      </c>
      <c r="AS18" s="13" t="n">
        <v>0.03</v>
      </c>
      <c r="AT18" s="13" t="n">
        <v>0.005</v>
      </c>
      <c r="AU18" s="13" t="n">
        <v>0</v>
      </c>
      <c r="AV18" s="13" t="n">
        <v>-0.005</v>
      </c>
      <c r="AW18" s="13" t="n">
        <v>0.07775</v>
      </c>
      <c r="AX18" s="13" t="n">
        <v>0.03</v>
      </c>
      <c r="AY18" s="12" t="n">
        <v>1986293</v>
      </c>
      <c r="AZ18" s="12" t="n">
        <v>2047725</v>
      </c>
      <c r="BA18" s="12" t="n">
        <v>2109157</v>
      </c>
      <c r="BB18" s="12" t="n">
        <v>2047725</v>
      </c>
      <c r="BC18" s="12" t="n">
        <v>2109157</v>
      </c>
      <c r="BD18" s="12" t="n">
        <v>2170588</v>
      </c>
      <c r="BE18" s="12" t="n">
        <v>2172431</v>
      </c>
      <c r="BF18" t="inlineStr">
        <is>
          <t>Frozen values from same rules-based model as formula sheet.</t>
        </is>
      </c>
      <c r="BG18" t="inlineStr">
        <is>
          <t>2026-03-17</t>
        </is>
      </c>
      <c r="BH18" t="inlineStr">
        <is>
          <t>DLD / Digital Dubai / CBUAE / Savills / Knight Frank-Moody’s / Reuters</t>
        </is>
      </c>
    </row>
    <row r="19">
      <c r="A19" t="n">
        <v>18</v>
      </c>
      <c r="B19" t="inlineStr">
        <is>
          <t>Aeon</t>
        </is>
      </c>
      <c r="C19" t="inlineStr">
        <is>
          <t>Emaar Properties</t>
        </is>
      </c>
      <c r="D19" t="inlineStr">
        <is>
          <t>Dubai Creek Harbour</t>
        </is>
      </c>
      <c r="E19" t="inlineStr">
        <is>
          <t>Apartments</t>
        </is>
      </c>
      <c r="F19" t="inlineStr">
        <is>
          <t>Waterfront</t>
        </is>
      </c>
      <c r="G19" t="inlineStr">
        <is>
          <t>1.8M</t>
        </is>
      </c>
      <c r="H19" t="inlineStr">
        <is>
          <t>2200</t>
        </is>
      </c>
      <c r="I19" t="inlineStr">
        <is>
          <t>25</t>
        </is>
      </c>
      <c r="J19" t="inlineStr">
        <is>
          <t>80/20</t>
        </is>
      </c>
      <c r="K19" t="inlineStr">
        <is>
          <t>2024</t>
        </is>
      </c>
      <c r="L19" t="inlineStr">
        <is>
          <t>5.5-6.0</t>
        </is>
      </c>
      <c r="M19" t="inlineStr">
        <is>
          <t>9-12</t>
        </is>
      </c>
      <c r="N19" t="inlineStr">
        <is>
          <t>14.5-18.0</t>
        </is>
      </c>
      <c r="O19" t="inlineStr">
        <is>
          <t>Swiss Intl School</t>
        </is>
      </c>
      <c r="P19" t="inlineStr">
        <is>
          <t>American Hospital</t>
        </is>
      </c>
      <c r="Q19" t="inlineStr">
        <is>
          <t>Dubai Festival City</t>
        </is>
      </c>
      <c r="R19" t="inlineStr">
        <is>
          <t>Ras Al Khor / E44</t>
        </is>
      </c>
      <c r="S19" t="inlineStr">
        <is>
          <t>12</t>
        </is>
      </c>
      <c r="T19" t="inlineStr">
        <is>
          <t>25</t>
        </is>
      </c>
      <c r="U19" t="inlineStr">
        <is>
          <t>10</t>
        </is>
      </c>
      <c r="V19" t="inlineStr">
        <is>
          <t>40</t>
        </is>
      </c>
      <c r="W19" t="n">
        <v>2</v>
      </c>
      <c r="X19" s="12" t="n">
        <v>1800000</v>
      </c>
      <c r="Y19" s="12" t="n">
        <v>1800000</v>
      </c>
      <c r="Z19" s="9" t="n">
        <v>5.5</v>
      </c>
      <c r="AA19" s="9" t="n">
        <v>6</v>
      </c>
      <c r="AB19" s="9" t="n">
        <v>9</v>
      </c>
      <c r="AC19" s="9" t="n">
        <v>12</v>
      </c>
      <c r="AD19" s="9" t="n">
        <v>14.5</v>
      </c>
      <c r="AE19" s="9" t="n">
        <v>18</v>
      </c>
      <c r="AF19" t="n">
        <v>2024</v>
      </c>
      <c r="AH19" t="inlineStr">
        <is>
          <t>Apartment</t>
        </is>
      </c>
      <c r="AI19" t="inlineStr">
        <is>
          <t>Prime</t>
        </is>
      </c>
      <c r="AJ19" t="inlineStr">
        <is>
          <t>TopTier</t>
        </is>
      </c>
      <c r="AK19" t="inlineStr">
        <is>
          <t>Prime resilient / selective</t>
        </is>
      </c>
      <c r="AL19" t="inlineStr">
        <is>
          <t>Better support from quality, branding, and scarcer prime stock; still entry-price sensitive.</t>
        </is>
      </c>
      <c r="AM19" s="9" t="n">
        <v>10.5</v>
      </c>
      <c r="AN19" s="9" t="n">
        <v>5.75</v>
      </c>
      <c r="AO19" s="10" t="n">
        <v>0.55</v>
      </c>
      <c r="AP19" s="13" t="n">
        <v>0.02</v>
      </c>
      <c r="AQ19" s="13" t="n">
        <v>0</v>
      </c>
      <c r="AR19" s="13" t="n">
        <v>0</v>
      </c>
      <c r="AS19" s="13" t="n">
        <v>0.03</v>
      </c>
      <c r="AT19" s="13" t="n">
        <v>0.005</v>
      </c>
      <c r="AU19" s="13" t="n">
        <v>0</v>
      </c>
      <c r="AV19" s="13" t="n">
        <v>-0.005</v>
      </c>
      <c r="AW19" s="13" t="n">
        <v>0.07775</v>
      </c>
      <c r="AX19" s="13" t="n">
        <v>0.03</v>
      </c>
      <c r="AY19" s="12" t="n">
        <v>1881752</v>
      </c>
      <c r="AZ19" s="12" t="n">
        <v>1939950</v>
      </c>
      <c r="BA19" s="12" t="n">
        <v>1998148</v>
      </c>
      <c r="BB19" s="12" t="n">
        <v>1939950</v>
      </c>
      <c r="BC19" s="12" t="n">
        <v>1998148</v>
      </c>
      <c r="BD19" s="12" t="n">
        <v>2056347</v>
      </c>
      <c r="BE19" s="12" t="n">
        <v>2058093</v>
      </c>
      <c r="BF19" t="inlineStr">
        <is>
          <t>Frozen values from same rules-based model as formula sheet.</t>
        </is>
      </c>
      <c r="BG19" t="inlineStr">
        <is>
          <t>2026-03-17</t>
        </is>
      </c>
      <c r="BH19" t="inlineStr">
        <is>
          <t>DLD / Digital Dubai / CBUAE / Savills / Knight Frank-Moody’s / Reuters</t>
        </is>
      </c>
    </row>
    <row r="20">
      <c r="A20" t="n">
        <v>19</v>
      </c>
      <c r="B20" t="inlineStr">
        <is>
          <t>Oria</t>
        </is>
      </c>
      <c r="C20" t="inlineStr">
        <is>
          <t>Emaar Properties</t>
        </is>
      </c>
      <c r="D20" t="inlineStr">
        <is>
          <t>Dubai Creek Harbour</t>
        </is>
      </c>
      <c r="E20" t="inlineStr">
        <is>
          <t>Apartments</t>
        </is>
      </c>
      <c r="F20" t="inlineStr">
        <is>
          <t>Waterfront</t>
        </is>
      </c>
      <c r="G20" t="inlineStr">
        <is>
          <t>1.7M</t>
        </is>
      </c>
      <c r="H20" t="inlineStr">
        <is>
          <t>2100</t>
        </is>
      </c>
      <c r="I20" t="inlineStr">
        <is>
          <t>25</t>
        </is>
      </c>
      <c r="J20" t="inlineStr">
        <is>
          <t>80/20</t>
        </is>
      </c>
      <c r="K20" t="inlineStr">
        <is>
          <t>2024</t>
        </is>
      </c>
      <c r="L20" t="inlineStr">
        <is>
          <t>6.0-6.5</t>
        </is>
      </c>
      <c r="M20" t="inlineStr">
        <is>
          <t>9-12</t>
        </is>
      </c>
      <c r="N20" t="inlineStr">
        <is>
          <t>15.0-18.5</t>
        </is>
      </c>
      <c r="O20" t="inlineStr">
        <is>
          <t>Swiss Intl School</t>
        </is>
      </c>
      <c r="P20" t="inlineStr">
        <is>
          <t>American Hospital</t>
        </is>
      </c>
      <c r="Q20" t="inlineStr">
        <is>
          <t>Dubai Festival City</t>
        </is>
      </c>
      <c r="R20" t="inlineStr">
        <is>
          <t>Ras Al Khor / E44</t>
        </is>
      </c>
      <c r="S20" t="inlineStr">
        <is>
          <t>12</t>
        </is>
      </c>
      <c r="T20" t="inlineStr">
        <is>
          <t>25</t>
        </is>
      </c>
      <c r="U20" t="inlineStr">
        <is>
          <t>10</t>
        </is>
      </c>
      <c r="V20" t="inlineStr">
        <is>
          <t>40</t>
        </is>
      </c>
      <c r="W20" t="n">
        <v>2</v>
      </c>
      <c r="X20" s="12" t="n">
        <v>1700000</v>
      </c>
      <c r="Y20" s="12" t="n">
        <v>1700000</v>
      </c>
      <c r="Z20" s="9" t="n">
        <v>6</v>
      </c>
      <c r="AA20" s="9" t="n">
        <v>6.5</v>
      </c>
      <c r="AB20" s="9" t="n">
        <v>9</v>
      </c>
      <c r="AC20" s="9" t="n">
        <v>12</v>
      </c>
      <c r="AD20" s="9" t="n">
        <v>15</v>
      </c>
      <c r="AE20" s="9" t="n">
        <v>18.5</v>
      </c>
      <c r="AF20" t="n">
        <v>2024</v>
      </c>
      <c r="AH20" t="inlineStr">
        <is>
          <t>Apartment</t>
        </is>
      </c>
      <c r="AI20" t="inlineStr">
        <is>
          <t>Prime</t>
        </is>
      </c>
      <c r="AJ20" t="inlineStr">
        <is>
          <t>TopTier</t>
        </is>
      </c>
      <c r="AK20" t="inlineStr">
        <is>
          <t>Prime resilient / selective</t>
        </is>
      </c>
      <c r="AL20" t="inlineStr">
        <is>
          <t>Better support from quality, branding, and scarcer prime stock; still entry-price sensitive.</t>
        </is>
      </c>
      <c r="AM20" s="9" t="n">
        <v>10.5</v>
      </c>
      <c r="AN20" s="9" t="n">
        <v>6.25</v>
      </c>
      <c r="AO20" s="10" t="n">
        <v>0.55</v>
      </c>
      <c r="AP20" s="13" t="n">
        <v>0.02</v>
      </c>
      <c r="AQ20" s="13" t="n">
        <v>0</v>
      </c>
      <c r="AR20" s="13" t="n">
        <v>0</v>
      </c>
      <c r="AS20" s="13" t="n">
        <v>0.03</v>
      </c>
      <c r="AT20" s="13" t="n">
        <v>0.005</v>
      </c>
      <c r="AU20" s="13" t="n">
        <v>0.0025</v>
      </c>
      <c r="AV20" s="13" t="n">
        <v>-0.005</v>
      </c>
      <c r="AW20" s="13" t="n">
        <v>0.07775</v>
      </c>
      <c r="AX20" s="13" t="n">
        <v>0.0325</v>
      </c>
      <c r="AY20" s="12" t="n">
        <v>1777210</v>
      </c>
      <c r="AZ20" s="12" t="n">
        <v>1832175</v>
      </c>
      <c r="BA20" s="12" t="n">
        <v>1887140</v>
      </c>
      <c r="BB20" s="12" t="n">
        <v>1836755</v>
      </c>
      <c r="BC20" s="12" t="n">
        <v>1891721</v>
      </c>
      <c r="BD20" s="12" t="n">
        <v>1946686</v>
      </c>
      <c r="BE20" s="12" t="n">
        <v>1953202</v>
      </c>
      <c r="BF20" t="inlineStr">
        <is>
          <t>Frozen values from same rules-based model as formula sheet.</t>
        </is>
      </c>
      <c r="BG20" t="inlineStr">
        <is>
          <t>2026-03-17</t>
        </is>
      </c>
      <c r="BH20" t="inlineStr">
        <is>
          <t>DLD / Digital Dubai / CBUAE / Savills / Knight Frank-Moody’s / Reuters</t>
        </is>
      </c>
    </row>
    <row r="21">
      <c r="A21" t="n">
        <v>20</v>
      </c>
      <c r="B21" t="inlineStr">
        <is>
          <t>Mangrove (Creek Beach)</t>
        </is>
      </c>
      <c r="C21" t="inlineStr">
        <is>
          <t>Emaar Properties</t>
        </is>
      </c>
      <c r="D21" t="inlineStr">
        <is>
          <t>Dubai Creek Harbour</t>
        </is>
      </c>
      <c r="E21" t="inlineStr">
        <is>
          <t>Apartments</t>
        </is>
      </c>
      <c r="F21" t="inlineStr">
        <is>
          <t>Beachfront</t>
        </is>
      </c>
      <c r="G21" t="inlineStr">
        <is>
          <t>1.6M</t>
        </is>
      </c>
      <c r="H21" t="inlineStr">
        <is>
          <t>2000</t>
        </is>
      </c>
      <c r="I21" t="inlineStr">
        <is>
          <t>25</t>
        </is>
      </c>
      <c r="J21" t="inlineStr">
        <is>
          <t>80/20</t>
        </is>
      </c>
      <c r="K21" t="inlineStr">
        <is>
          <t>2024</t>
        </is>
      </c>
      <c r="L21" t="inlineStr">
        <is>
          <t>6.0-6.5</t>
        </is>
      </c>
      <c r="M21" t="inlineStr">
        <is>
          <t>9-12</t>
        </is>
      </c>
      <c r="N21" t="inlineStr">
        <is>
          <t>15.0-18.5</t>
        </is>
      </c>
      <c r="O21" t="inlineStr">
        <is>
          <t>Swiss Intl School</t>
        </is>
      </c>
      <c r="P21" t="inlineStr">
        <is>
          <t>American Hospital</t>
        </is>
      </c>
      <c r="Q21" t="inlineStr">
        <is>
          <t>Dubai Festival City</t>
        </is>
      </c>
      <c r="R21" t="inlineStr">
        <is>
          <t>Ras Al Khor / E44</t>
        </is>
      </c>
      <c r="S21" t="inlineStr">
        <is>
          <t>12</t>
        </is>
      </c>
      <c r="T21" t="inlineStr">
        <is>
          <t>25</t>
        </is>
      </c>
      <c r="U21" t="inlineStr">
        <is>
          <t>10</t>
        </is>
      </c>
      <c r="V21" t="inlineStr">
        <is>
          <t>40</t>
        </is>
      </c>
      <c r="W21" t="n">
        <v>2</v>
      </c>
      <c r="X21" s="12" t="n">
        <v>1600000</v>
      </c>
      <c r="Y21" s="12" t="n">
        <v>1600000</v>
      </c>
      <c r="Z21" s="9" t="n">
        <v>6</v>
      </c>
      <c r="AA21" s="9" t="n">
        <v>6.5</v>
      </c>
      <c r="AB21" s="9" t="n">
        <v>9</v>
      </c>
      <c r="AC21" s="9" t="n">
        <v>12</v>
      </c>
      <c r="AD21" s="9" t="n">
        <v>15</v>
      </c>
      <c r="AE21" s="9" t="n">
        <v>18.5</v>
      </c>
      <c r="AF21" t="n">
        <v>2024</v>
      </c>
      <c r="AH21" t="inlineStr">
        <is>
          <t>Apartment</t>
        </is>
      </c>
      <c r="AI21" t="inlineStr">
        <is>
          <t>Prime</t>
        </is>
      </c>
      <c r="AJ21" t="inlineStr">
        <is>
          <t>TopTier</t>
        </is>
      </c>
      <c r="AK21" t="inlineStr">
        <is>
          <t>Prime resilient / selective</t>
        </is>
      </c>
      <c r="AL21" t="inlineStr">
        <is>
          <t>Better support from quality, branding, and scarcer prime stock; still entry-price sensitive.</t>
        </is>
      </c>
      <c r="AM21" s="9" t="n">
        <v>10.5</v>
      </c>
      <c r="AN21" s="9" t="n">
        <v>6.25</v>
      </c>
      <c r="AO21" s="10" t="n">
        <v>0.55</v>
      </c>
      <c r="AP21" s="13" t="n">
        <v>0.02</v>
      </c>
      <c r="AQ21" s="13" t="n">
        <v>0</v>
      </c>
      <c r="AR21" s="13" t="n">
        <v>0</v>
      </c>
      <c r="AS21" s="13" t="n">
        <v>0.03</v>
      </c>
      <c r="AT21" s="13" t="n">
        <v>0.005</v>
      </c>
      <c r="AU21" s="13" t="n">
        <v>0.0025</v>
      </c>
      <c r="AV21" s="13" t="n">
        <v>-0.005</v>
      </c>
      <c r="AW21" s="13" t="n">
        <v>0.07775</v>
      </c>
      <c r="AX21" s="13" t="n">
        <v>0.0325</v>
      </c>
      <c r="AY21" s="12" t="n">
        <v>1672668</v>
      </c>
      <c r="AZ21" s="12" t="n">
        <v>1724400</v>
      </c>
      <c r="BA21" s="12" t="n">
        <v>1776132</v>
      </c>
      <c r="BB21" s="12" t="n">
        <v>1728711</v>
      </c>
      <c r="BC21" s="12" t="n">
        <v>1780443</v>
      </c>
      <c r="BD21" s="12" t="n">
        <v>1832175</v>
      </c>
      <c r="BE21" s="12" t="n">
        <v>1838307</v>
      </c>
      <c r="BF21" t="inlineStr">
        <is>
          <t>Frozen values from same rules-based model as formula sheet.</t>
        </is>
      </c>
      <c r="BG21" t="inlineStr">
        <is>
          <t>2026-03-17</t>
        </is>
      </c>
      <c r="BH21" t="inlineStr">
        <is>
          <t>DLD / Digital Dubai / CBUAE / Savills / Knight Frank-Moody’s / Reuters</t>
        </is>
      </c>
    </row>
    <row r="22">
      <c r="A22" t="n">
        <v>21</v>
      </c>
      <c r="B22" t="inlineStr">
        <is>
          <t>Altan</t>
        </is>
      </c>
      <c r="C22" t="inlineStr">
        <is>
          <t>Emaar Properties</t>
        </is>
      </c>
      <c r="D22" t="inlineStr">
        <is>
          <t>Dubai Creek Harbour</t>
        </is>
      </c>
      <c r="E22" t="inlineStr">
        <is>
          <t>Apartments</t>
        </is>
      </c>
      <c r="F22" t="inlineStr">
        <is>
          <t>Waterfront</t>
        </is>
      </c>
      <c r="G22" t="inlineStr">
        <is>
          <t>1.8M</t>
        </is>
      </c>
      <c r="H22" t="inlineStr">
        <is>
          <t>2200</t>
        </is>
      </c>
      <c r="I22" t="inlineStr">
        <is>
          <t>25</t>
        </is>
      </c>
      <c r="J22" t="inlineStr">
        <is>
          <t>80/20</t>
        </is>
      </c>
      <c r="K22" t="inlineStr">
        <is>
          <t>2024</t>
        </is>
      </c>
      <c r="L22" t="inlineStr">
        <is>
          <t>5.5-6.0</t>
        </is>
      </c>
      <c r="M22" t="inlineStr">
        <is>
          <t>9-12</t>
        </is>
      </c>
      <c r="N22" t="inlineStr">
        <is>
          <t>14.5-18.0</t>
        </is>
      </c>
      <c r="O22" t="inlineStr">
        <is>
          <t>Swiss Intl School</t>
        </is>
      </c>
      <c r="P22" t="inlineStr">
        <is>
          <t>American Hospital</t>
        </is>
      </c>
      <c r="Q22" t="inlineStr">
        <is>
          <t>Dubai Festival City</t>
        </is>
      </c>
      <c r="R22" t="inlineStr">
        <is>
          <t>Ras Al Khor / E44</t>
        </is>
      </c>
      <c r="S22" t="inlineStr">
        <is>
          <t>12</t>
        </is>
      </c>
      <c r="T22" t="inlineStr">
        <is>
          <t>25</t>
        </is>
      </c>
      <c r="U22" t="inlineStr">
        <is>
          <t>10</t>
        </is>
      </c>
      <c r="V22" t="inlineStr">
        <is>
          <t>40</t>
        </is>
      </c>
      <c r="W22" t="n">
        <v>2</v>
      </c>
      <c r="X22" s="12" t="n">
        <v>1800000</v>
      </c>
      <c r="Y22" s="12" t="n">
        <v>1800000</v>
      </c>
      <c r="Z22" s="9" t="n">
        <v>5.5</v>
      </c>
      <c r="AA22" s="9" t="n">
        <v>6</v>
      </c>
      <c r="AB22" s="9" t="n">
        <v>9</v>
      </c>
      <c r="AC22" s="9" t="n">
        <v>12</v>
      </c>
      <c r="AD22" s="9" t="n">
        <v>14.5</v>
      </c>
      <c r="AE22" s="9" t="n">
        <v>18</v>
      </c>
      <c r="AF22" t="n">
        <v>2024</v>
      </c>
      <c r="AH22" t="inlineStr">
        <is>
          <t>Apartment</t>
        </is>
      </c>
      <c r="AI22" t="inlineStr">
        <is>
          <t>Prime</t>
        </is>
      </c>
      <c r="AJ22" t="inlineStr">
        <is>
          <t>TopTier</t>
        </is>
      </c>
      <c r="AK22" t="inlineStr">
        <is>
          <t>Prime resilient / selective</t>
        </is>
      </c>
      <c r="AL22" t="inlineStr">
        <is>
          <t>Better support from quality, branding, and scarcer prime stock; still entry-price sensitive.</t>
        </is>
      </c>
      <c r="AM22" s="9" t="n">
        <v>10.5</v>
      </c>
      <c r="AN22" s="9" t="n">
        <v>5.75</v>
      </c>
      <c r="AO22" s="10" t="n">
        <v>0.55</v>
      </c>
      <c r="AP22" s="13" t="n">
        <v>0.02</v>
      </c>
      <c r="AQ22" s="13" t="n">
        <v>0</v>
      </c>
      <c r="AR22" s="13" t="n">
        <v>0</v>
      </c>
      <c r="AS22" s="13" t="n">
        <v>0.03</v>
      </c>
      <c r="AT22" s="13" t="n">
        <v>0.005</v>
      </c>
      <c r="AU22" s="13" t="n">
        <v>0</v>
      </c>
      <c r="AV22" s="13" t="n">
        <v>-0.005</v>
      </c>
      <c r="AW22" s="13" t="n">
        <v>0.07775</v>
      </c>
      <c r="AX22" s="13" t="n">
        <v>0.03</v>
      </c>
      <c r="AY22" s="12" t="n">
        <v>1881752</v>
      </c>
      <c r="AZ22" s="12" t="n">
        <v>1939950</v>
      </c>
      <c r="BA22" s="12" t="n">
        <v>1998148</v>
      </c>
      <c r="BB22" s="12" t="n">
        <v>1939950</v>
      </c>
      <c r="BC22" s="12" t="n">
        <v>1998148</v>
      </c>
      <c r="BD22" s="12" t="n">
        <v>2056347</v>
      </c>
      <c r="BE22" s="12" t="n">
        <v>2058093</v>
      </c>
      <c r="BF22" t="inlineStr">
        <is>
          <t>Frozen values from same rules-based model as formula sheet.</t>
        </is>
      </c>
      <c r="BG22" t="inlineStr">
        <is>
          <t>2026-03-17</t>
        </is>
      </c>
      <c r="BH22" t="inlineStr">
        <is>
          <t>DLD / Digital Dubai / CBUAE / Savills / Knight Frank-Moody’s / Reuters</t>
        </is>
      </c>
    </row>
    <row r="23">
      <c r="A23" t="n">
        <v>22</v>
      </c>
      <c r="B23" t="inlineStr">
        <is>
          <t>Silva</t>
        </is>
      </c>
      <c r="C23" t="inlineStr">
        <is>
          <t>Emaar Properties</t>
        </is>
      </c>
      <c r="D23" t="inlineStr">
        <is>
          <t>Dubai Creek Harbour</t>
        </is>
      </c>
      <c r="E23" t="inlineStr">
        <is>
          <t>Apartments</t>
        </is>
      </c>
      <c r="F23" t="inlineStr">
        <is>
          <t>Waterfront</t>
        </is>
      </c>
      <c r="G23" t="inlineStr">
        <is>
          <t>1.85M</t>
        </is>
      </c>
      <c r="H23" t="inlineStr">
        <is>
          <t>2250</t>
        </is>
      </c>
      <c r="I23" t="inlineStr">
        <is>
          <t>25</t>
        </is>
      </c>
      <c r="J23" t="inlineStr">
        <is>
          <t>80/20</t>
        </is>
      </c>
      <c r="K23" t="inlineStr">
        <is>
          <t>2024</t>
        </is>
      </c>
      <c r="L23" t="inlineStr">
        <is>
          <t>5.5-6.0</t>
        </is>
      </c>
      <c r="M23" t="inlineStr">
        <is>
          <t>9-12</t>
        </is>
      </c>
      <c r="N23" t="inlineStr">
        <is>
          <t>14.5-18.0</t>
        </is>
      </c>
      <c r="O23" t="inlineStr">
        <is>
          <t>Swiss Intl School</t>
        </is>
      </c>
      <c r="P23" t="inlineStr">
        <is>
          <t>American Hospital</t>
        </is>
      </c>
      <c r="Q23" t="inlineStr">
        <is>
          <t>Dubai Festival City</t>
        </is>
      </c>
      <c r="R23" t="inlineStr">
        <is>
          <t>Ras Al Khor / E44</t>
        </is>
      </c>
      <c r="S23" t="inlineStr">
        <is>
          <t>12</t>
        </is>
      </c>
      <c r="T23" t="inlineStr">
        <is>
          <t>25</t>
        </is>
      </c>
      <c r="U23" t="inlineStr">
        <is>
          <t>10</t>
        </is>
      </c>
      <c r="V23" t="inlineStr">
        <is>
          <t>40</t>
        </is>
      </c>
      <c r="W23" t="n">
        <v>2</v>
      </c>
      <c r="X23" s="12" t="n">
        <v>1850000</v>
      </c>
      <c r="Y23" s="12" t="n">
        <v>1850000</v>
      </c>
      <c r="Z23" s="9" t="n">
        <v>5.5</v>
      </c>
      <c r="AA23" s="9" t="n">
        <v>6</v>
      </c>
      <c r="AB23" s="9" t="n">
        <v>9</v>
      </c>
      <c r="AC23" s="9" t="n">
        <v>12</v>
      </c>
      <c r="AD23" s="9" t="n">
        <v>14.5</v>
      </c>
      <c r="AE23" s="9" t="n">
        <v>18</v>
      </c>
      <c r="AF23" t="n">
        <v>2024</v>
      </c>
      <c r="AH23" t="inlineStr">
        <is>
          <t>Apartment</t>
        </is>
      </c>
      <c r="AI23" t="inlineStr">
        <is>
          <t>Prime</t>
        </is>
      </c>
      <c r="AJ23" t="inlineStr">
        <is>
          <t>TopTier</t>
        </is>
      </c>
      <c r="AK23" t="inlineStr">
        <is>
          <t>Prime resilient / selective</t>
        </is>
      </c>
      <c r="AL23" t="inlineStr">
        <is>
          <t>Better support from quality, branding, and scarcer prime stock; still entry-price sensitive.</t>
        </is>
      </c>
      <c r="AM23" s="9" t="n">
        <v>10.5</v>
      </c>
      <c r="AN23" s="9" t="n">
        <v>5.75</v>
      </c>
      <c r="AO23" s="10" t="n">
        <v>0.55</v>
      </c>
      <c r="AP23" s="13" t="n">
        <v>0.02</v>
      </c>
      <c r="AQ23" s="13" t="n">
        <v>0</v>
      </c>
      <c r="AR23" s="13" t="n">
        <v>0</v>
      </c>
      <c r="AS23" s="13" t="n">
        <v>0.03</v>
      </c>
      <c r="AT23" s="13" t="n">
        <v>0.005</v>
      </c>
      <c r="AU23" s="13" t="n">
        <v>0</v>
      </c>
      <c r="AV23" s="13" t="n">
        <v>-0.005</v>
      </c>
      <c r="AW23" s="13" t="n">
        <v>0.07775</v>
      </c>
      <c r="AX23" s="13" t="n">
        <v>0.03</v>
      </c>
      <c r="AY23" s="12" t="n">
        <v>1934023</v>
      </c>
      <c r="AZ23" s="12" t="n">
        <v>1993838</v>
      </c>
      <c r="BA23" s="12" t="n">
        <v>2053653</v>
      </c>
      <c r="BB23" s="12" t="n">
        <v>1993838</v>
      </c>
      <c r="BC23" s="12" t="n">
        <v>2053653</v>
      </c>
      <c r="BD23" s="12" t="n">
        <v>2113468</v>
      </c>
      <c r="BE23" s="12" t="n">
        <v>2115263</v>
      </c>
      <c r="BF23" t="inlineStr">
        <is>
          <t>Frozen values from same rules-based model as formula sheet.</t>
        </is>
      </c>
      <c r="BG23" t="inlineStr">
        <is>
          <t>2026-03-17</t>
        </is>
      </c>
      <c r="BH23" t="inlineStr">
        <is>
          <t>DLD / Digital Dubai / CBUAE / Savills / Knight Frank-Moody’s / Reuters</t>
        </is>
      </c>
    </row>
    <row r="24">
      <c r="A24" t="n">
        <v>23</v>
      </c>
      <c r="B24" t="inlineStr">
        <is>
          <t>Albero</t>
        </is>
      </c>
      <c r="C24" t="inlineStr">
        <is>
          <t>Emaar Properties</t>
        </is>
      </c>
      <c r="D24" t="inlineStr">
        <is>
          <t>Dubai Creek Harbour</t>
        </is>
      </c>
      <c r="E24" t="inlineStr">
        <is>
          <t>Apartments</t>
        </is>
      </c>
      <c r="F24" t="inlineStr">
        <is>
          <t>Waterfront</t>
        </is>
      </c>
      <c r="G24" t="inlineStr">
        <is>
          <t>1.75M</t>
        </is>
      </c>
      <c r="H24" t="inlineStr">
        <is>
          <t>2150</t>
        </is>
      </c>
      <c r="I24" t="inlineStr">
        <is>
          <t>25</t>
        </is>
      </c>
      <c r="J24" t="inlineStr">
        <is>
          <t>80/20</t>
        </is>
      </c>
      <c r="K24" t="inlineStr">
        <is>
          <t>2024</t>
        </is>
      </c>
      <c r="L24" t="inlineStr">
        <is>
          <t>5.5-6.0</t>
        </is>
      </c>
      <c r="M24" t="inlineStr">
        <is>
          <t>9-12</t>
        </is>
      </c>
      <c r="N24" t="inlineStr">
        <is>
          <t>14.5-18.0</t>
        </is>
      </c>
      <c r="O24" t="inlineStr">
        <is>
          <t>Swiss Intl School</t>
        </is>
      </c>
      <c r="P24" t="inlineStr">
        <is>
          <t>American Hospital</t>
        </is>
      </c>
      <c r="Q24" t="inlineStr">
        <is>
          <t>Dubai Festival City</t>
        </is>
      </c>
      <c r="R24" t="inlineStr">
        <is>
          <t>Ras Al Khor / E44</t>
        </is>
      </c>
      <c r="S24" t="inlineStr">
        <is>
          <t>12</t>
        </is>
      </c>
      <c r="T24" t="inlineStr">
        <is>
          <t>25</t>
        </is>
      </c>
      <c r="U24" t="inlineStr">
        <is>
          <t>10</t>
        </is>
      </c>
      <c r="V24" t="inlineStr">
        <is>
          <t>40</t>
        </is>
      </c>
      <c r="W24" t="n">
        <v>2</v>
      </c>
      <c r="X24" s="12" t="n">
        <v>1750000</v>
      </c>
      <c r="Y24" s="12" t="n">
        <v>1750000</v>
      </c>
      <c r="Z24" s="9" t="n">
        <v>5.5</v>
      </c>
      <c r="AA24" s="9" t="n">
        <v>6</v>
      </c>
      <c r="AB24" s="9" t="n">
        <v>9</v>
      </c>
      <c r="AC24" s="9" t="n">
        <v>12</v>
      </c>
      <c r="AD24" s="9" t="n">
        <v>14.5</v>
      </c>
      <c r="AE24" s="9" t="n">
        <v>18</v>
      </c>
      <c r="AF24" t="n">
        <v>2024</v>
      </c>
      <c r="AH24" t="inlineStr">
        <is>
          <t>Apartment</t>
        </is>
      </c>
      <c r="AI24" t="inlineStr">
        <is>
          <t>Prime</t>
        </is>
      </c>
      <c r="AJ24" t="inlineStr">
        <is>
          <t>TopTier</t>
        </is>
      </c>
      <c r="AK24" t="inlineStr">
        <is>
          <t>Prime resilient / selective</t>
        </is>
      </c>
      <c r="AL24" t="inlineStr">
        <is>
          <t>Better support from quality, branding, and scarcer prime stock; still entry-price sensitive.</t>
        </is>
      </c>
      <c r="AM24" s="9" t="n">
        <v>10.5</v>
      </c>
      <c r="AN24" s="9" t="n">
        <v>5.75</v>
      </c>
      <c r="AO24" s="10" t="n">
        <v>0.55</v>
      </c>
      <c r="AP24" s="13" t="n">
        <v>0.02</v>
      </c>
      <c r="AQ24" s="13" t="n">
        <v>0</v>
      </c>
      <c r="AR24" s="13" t="n">
        <v>0</v>
      </c>
      <c r="AS24" s="13" t="n">
        <v>0.03</v>
      </c>
      <c r="AT24" s="13" t="n">
        <v>0.005</v>
      </c>
      <c r="AU24" s="13" t="n">
        <v>0</v>
      </c>
      <c r="AV24" s="13" t="n">
        <v>-0.005</v>
      </c>
      <c r="AW24" s="13" t="n">
        <v>0.07775</v>
      </c>
      <c r="AX24" s="13" t="n">
        <v>0.03</v>
      </c>
      <c r="AY24" s="12" t="n">
        <v>1829480</v>
      </c>
      <c r="AZ24" s="12" t="n">
        <v>1886062</v>
      </c>
      <c r="BA24" s="12" t="n">
        <v>1942644</v>
      </c>
      <c r="BB24" s="12" t="n">
        <v>1886062</v>
      </c>
      <c r="BC24" s="12" t="n">
        <v>1942644</v>
      </c>
      <c r="BD24" s="12" t="n">
        <v>1999226</v>
      </c>
      <c r="BE24" s="12" t="n">
        <v>2000923</v>
      </c>
      <c r="BF24" t="inlineStr">
        <is>
          <t>Frozen values from same rules-based model as formula sheet.</t>
        </is>
      </c>
      <c r="BG24" t="inlineStr">
        <is>
          <t>2026-03-17</t>
        </is>
      </c>
      <c r="BH24" t="inlineStr">
        <is>
          <t>DLD / Digital Dubai / CBUAE / Savills / Knight Frank-Moody’s / Reuters</t>
        </is>
      </c>
    </row>
    <row r="25">
      <c r="A25" t="n">
        <v>24</v>
      </c>
      <c r="B25" t="inlineStr">
        <is>
          <t>Montiva</t>
        </is>
      </c>
      <c r="C25" t="inlineStr">
        <is>
          <t>Emaar Properties</t>
        </is>
      </c>
      <c r="D25" t="inlineStr">
        <is>
          <t>Dubai Creek Harbour</t>
        </is>
      </c>
      <c r="E25" t="inlineStr">
        <is>
          <t>Apartments</t>
        </is>
      </c>
      <c r="F25" t="inlineStr">
        <is>
          <t>Waterfront</t>
        </is>
      </c>
      <c r="G25" t="inlineStr">
        <is>
          <t>1.8M</t>
        </is>
      </c>
      <c r="H25" t="inlineStr">
        <is>
          <t>2200</t>
        </is>
      </c>
      <c r="I25" t="inlineStr">
        <is>
          <t>25</t>
        </is>
      </c>
      <c r="J25" t="inlineStr">
        <is>
          <t>80/20</t>
        </is>
      </c>
      <c r="K25" t="inlineStr">
        <is>
          <t>2024</t>
        </is>
      </c>
      <c r="L25" t="inlineStr">
        <is>
          <t>5.5-6.0</t>
        </is>
      </c>
      <c r="M25" t="inlineStr">
        <is>
          <t>9-12</t>
        </is>
      </c>
      <c r="N25" t="inlineStr">
        <is>
          <t>14.5-18.0</t>
        </is>
      </c>
      <c r="O25" t="inlineStr">
        <is>
          <t>Swiss Intl School</t>
        </is>
      </c>
      <c r="P25" t="inlineStr">
        <is>
          <t>American Hospital</t>
        </is>
      </c>
      <c r="Q25" t="inlineStr">
        <is>
          <t>Dubai Festival City</t>
        </is>
      </c>
      <c r="R25" t="inlineStr">
        <is>
          <t>Ras Al Khor / E44</t>
        </is>
      </c>
      <c r="S25" t="inlineStr">
        <is>
          <t>12</t>
        </is>
      </c>
      <c r="T25" t="inlineStr">
        <is>
          <t>25</t>
        </is>
      </c>
      <c r="U25" t="inlineStr">
        <is>
          <t>10</t>
        </is>
      </c>
      <c r="V25" t="inlineStr">
        <is>
          <t>40</t>
        </is>
      </c>
      <c r="W25" t="n">
        <v>2</v>
      </c>
      <c r="X25" s="12" t="n">
        <v>1800000</v>
      </c>
      <c r="Y25" s="12" t="n">
        <v>1800000</v>
      </c>
      <c r="Z25" s="9" t="n">
        <v>5.5</v>
      </c>
      <c r="AA25" s="9" t="n">
        <v>6</v>
      </c>
      <c r="AB25" s="9" t="n">
        <v>9</v>
      </c>
      <c r="AC25" s="9" t="n">
        <v>12</v>
      </c>
      <c r="AD25" s="9" t="n">
        <v>14.5</v>
      </c>
      <c r="AE25" s="9" t="n">
        <v>18</v>
      </c>
      <c r="AF25" t="n">
        <v>2024</v>
      </c>
      <c r="AH25" t="inlineStr">
        <is>
          <t>Apartment</t>
        </is>
      </c>
      <c r="AI25" t="inlineStr">
        <is>
          <t>Prime</t>
        </is>
      </c>
      <c r="AJ25" t="inlineStr">
        <is>
          <t>TopTier</t>
        </is>
      </c>
      <c r="AK25" t="inlineStr">
        <is>
          <t>Prime resilient / selective</t>
        </is>
      </c>
      <c r="AL25" t="inlineStr">
        <is>
          <t>Better support from quality, branding, and scarcer prime stock; still entry-price sensitive.</t>
        </is>
      </c>
      <c r="AM25" s="9" t="n">
        <v>10.5</v>
      </c>
      <c r="AN25" s="9" t="n">
        <v>5.75</v>
      </c>
      <c r="AO25" s="10" t="n">
        <v>0.55</v>
      </c>
      <c r="AP25" s="13" t="n">
        <v>0.02</v>
      </c>
      <c r="AQ25" s="13" t="n">
        <v>0</v>
      </c>
      <c r="AR25" s="13" t="n">
        <v>0</v>
      </c>
      <c r="AS25" s="13" t="n">
        <v>0.03</v>
      </c>
      <c r="AT25" s="13" t="n">
        <v>0.005</v>
      </c>
      <c r="AU25" s="13" t="n">
        <v>0</v>
      </c>
      <c r="AV25" s="13" t="n">
        <v>-0.005</v>
      </c>
      <c r="AW25" s="13" t="n">
        <v>0.07775</v>
      </c>
      <c r="AX25" s="13" t="n">
        <v>0.03</v>
      </c>
      <c r="AY25" s="12" t="n">
        <v>1881752</v>
      </c>
      <c r="AZ25" s="12" t="n">
        <v>1939950</v>
      </c>
      <c r="BA25" s="12" t="n">
        <v>1998148</v>
      </c>
      <c r="BB25" s="12" t="n">
        <v>1939950</v>
      </c>
      <c r="BC25" s="12" t="n">
        <v>1998148</v>
      </c>
      <c r="BD25" s="12" t="n">
        <v>2056347</v>
      </c>
      <c r="BE25" s="12" t="n">
        <v>2058093</v>
      </c>
      <c r="BF25" t="inlineStr">
        <is>
          <t>Frozen values from same rules-based model as formula sheet.</t>
        </is>
      </c>
      <c r="BG25" t="inlineStr">
        <is>
          <t>2026-03-17</t>
        </is>
      </c>
      <c r="BH25" t="inlineStr">
        <is>
          <t>DLD / Digital Dubai / CBUAE / Savills / Knight Frank-Moody’s / Reuters</t>
        </is>
      </c>
    </row>
    <row r="26">
      <c r="A26" t="n">
        <v>25</v>
      </c>
      <c r="B26" t="inlineStr">
        <is>
          <t>Creek Waters 1</t>
        </is>
      </c>
      <c r="C26" t="inlineStr">
        <is>
          <t>Emaar Properties</t>
        </is>
      </c>
      <c r="D26" t="inlineStr">
        <is>
          <t>Dubai Creek Harbour</t>
        </is>
      </c>
      <c r="E26" t="inlineStr">
        <is>
          <t>Apartments</t>
        </is>
      </c>
      <c r="F26" t="inlineStr">
        <is>
          <t>Waterfront / Island</t>
        </is>
      </c>
      <c r="G26" t="inlineStr">
        <is>
          <t>2.2M</t>
        </is>
      </c>
      <c r="H26" t="inlineStr">
        <is>
          <t>2400</t>
        </is>
      </c>
      <c r="I26" t="inlineStr">
        <is>
          <t>25</t>
        </is>
      </c>
      <c r="J26" t="inlineStr">
        <is>
          <t>80/20</t>
        </is>
      </c>
      <c r="K26" t="inlineStr">
        <is>
          <t>2023</t>
        </is>
      </c>
      <c r="L26" t="inlineStr">
        <is>
          <t>5.0-5.5</t>
        </is>
      </c>
      <c r="M26" t="inlineStr">
        <is>
          <t>8-10</t>
        </is>
      </c>
      <c r="N26" t="inlineStr">
        <is>
          <t>13.0-15.5</t>
        </is>
      </c>
      <c r="O26" t="inlineStr">
        <is>
          <t>Swiss Intl School</t>
        </is>
      </c>
      <c r="P26" t="inlineStr">
        <is>
          <t>American Hospital</t>
        </is>
      </c>
      <c r="Q26" t="inlineStr">
        <is>
          <t>Dubai Festival City</t>
        </is>
      </c>
      <c r="R26" t="inlineStr">
        <is>
          <t>Ras Al Khor / E44</t>
        </is>
      </c>
      <c r="S26" t="inlineStr">
        <is>
          <t>12</t>
        </is>
      </c>
      <c r="T26" t="inlineStr">
        <is>
          <t>25</t>
        </is>
      </c>
      <c r="U26" t="inlineStr">
        <is>
          <t>10</t>
        </is>
      </c>
      <c r="V26" t="inlineStr">
        <is>
          <t>40</t>
        </is>
      </c>
      <c r="W26" t="n">
        <v>2</v>
      </c>
      <c r="X26" s="12" t="n">
        <v>2200000</v>
      </c>
      <c r="Y26" s="12" t="n">
        <v>2200000</v>
      </c>
      <c r="Z26" s="9" t="n">
        <v>5</v>
      </c>
      <c r="AA26" s="9" t="n">
        <v>5.5</v>
      </c>
      <c r="AB26" s="9" t="n">
        <v>8</v>
      </c>
      <c r="AC26" s="9" t="n">
        <v>10</v>
      </c>
      <c r="AD26" s="9" t="n">
        <v>13</v>
      </c>
      <c r="AE26" s="9" t="n">
        <v>15.5</v>
      </c>
      <c r="AF26" t="n">
        <v>2023</v>
      </c>
      <c r="AH26" t="inlineStr">
        <is>
          <t>Apartment</t>
        </is>
      </c>
      <c r="AI26" t="inlineStr">
        <is>
          <t>Prime</t>
        </is>
      </c>
      <c r="AJ26" t="inlineStr">
        <is>
          <t>TopTier</t>
        </is>
      </c>
      <c r="AK26" t="inlineStr">
        <is>
          <t>Prime resilient / selective</t>
        </is>
      </c>
      <c r="AL26" t="inlineStr">
        <is>
          <t>Better support from quality, branding, and scarcer prime stock; still entry-price sensitive.</t>
        </is>
      </c>
      <c r="AM26" s="9" t="n">
        <v>9</v>
      </c>
      <c r="AN26" s="9" t="n">
        <v>5.25</v>
      </c>
      <c r="AO26" s="10" t="n">
        <v>0.55</v>
      </c>
      <c r="AP26" s="13" t="n">
        <v>0.02</v>
      </c>
      <c r="AQ26" s="13" t="n">
        <v>0</v>
      </c>
      <c r="AR26" s="13" t="n">
        <v>0</v>
      </c>
      <c r="AS26" s="13" t="n">
        <v>0.03</v>
      </c>
      <c r="AT26" s="13" t="n">
        <v>0.005</v>
      </c>
      <c r="AU26" s="13" t="n">
        <v>0</v>
      </c>
      <c r="AV26" s="13" t="n">
        <v>-0.005</v>
      </c>
      <c r="AW26" s="13" t="n">
        <v>0.06950000000000001</v>
      </c>
      <c r="AX26" s="13" t="n">
        <v>0.03</v>
      </c>
      <c r="AY26" s="12" t="n">
        <v>2282313</v>
      </c>
      <c r="AZ26" s="12" t="n">
        <v>2352900</v>
      </c>
      <c r="BA26" s="12" t="n">
        <v>2423487</v>
      </c>
      <c r="BB26" s="12" t="n">
        <v>2352900</v>
      </c>
      <c r="BC26" s="12" t="n">
        <v>2423487</v>
      </c>
      <c r="BD26" s="12" t="n">
        <v>2494074</v>
      </c>
      <c r="BE26" s="12" t="n">
        <v>2496192</v>
      </c>
      <c r="BF26" t="inlineStr">
        <is>
          <t>Frozen values from same rules-based model as formula sheet.</t>
        </is>
      </c>
      <c r="BG26" t="inlineStr">
        <is>
          <t>2026-03-17</t>
        </is>
      </c>
      <c r="BH26" t="inlineStr">
        <is>
          <t>DLD / Digital Dubai / CBUAE / Savills / Knight Frank-Moody’s / Reuters</t>
        </is>
      </c>
    </row>
    <row r="27">
      <c r="A27" t="n">
        <v>26</v>
      </c>
      <c r="B27" t="inlineStr">
        <is>
          <t>Creek Waters 2</t>
        </is>
      </c>
      <c r="C27" t="inlineStr">
        <is>
          <t>Emaar Properties</t>
        </is>
      </c>
      <c r="D27" t="inlineStr">
        <is>
          <t>Dubai Creek Harbour</t>
        </is>
      </c>
      <c r="E27" t="inlineStr">
        <is>
          <t>Apartments</t>
        </is>
      </c>
      <c r="F27" t="inlineStr">
        <is>
          <t>Waterfront / Island</t>
        </is>
      </c>
      <c r="G27" t="inlineStr">
        <is>
          <t>2.3M</t>
        </is>
      </c>
      <c r="H27" t="inlineStr">
        <is>
          <t>2450</t>
        </is>
      </c>
      <c r="I27" t="inlineStr">
        <is>
          <t>25</t>
        </is>
      </c>
      <c r="J27" t="inlineStr">
        <is>
          <t>80/20</t>
        </is>
      </c>
      <c r="K27" t="inlineStr">
        <is>
          <t>2023</t>
        </is>
      </c>
      <c r="L27" t="inlineStr">
        <is>
          <t>5.0-5.5</t>
        </is>
      </c>
      <c r="M27" t="inlineStr">
        <is>
          <t>8-10</t>
        </is>
      </c>
      <c r="N27" t="inlineStr">
        <is>
          <t>13.0-15.5</t>
        </is>
      </c>
      <c r="O27" t="inlineStr">
        <is>
          <t>Swiss Intl School</t>
        </is>
      </c>
      <c r="P27" t="inlineStr">
        <is>
          <t>American Hospital</t>
        </is>
      </c>
      <c r="Q27" t="inlineStr">
        <is>
          <t>Dubai Festival City</t>
        </is>
      </c>
      <c r="R27" t="inlineStr">
        <is>
          <t>Ras Al Khor / E44</t>
        </is>
      </c>
      <c r="S27" t="inlineStr">
        <is>
          <t>12</t>
        </is>
      </c>
      <c r="T27" t="inlineStr">
        <is>
          <t>25</t>
        </is>
      </c>
      <c r="U27" t="inlineStr">
        <is>
          <t>10</t>
        </is>
      </c>
      <c r="V27" t="inlineStr">
        <is>
          <t>40</t>
        </is>
      </c>
      <c r="W27" t="n">
        <v>2</v>
      </c>
      <c r="X27" s="12" t="n">
        <v>2300000</v>
      </c>
      <c r="Y27" s="12" t="n">
        <v>2300000</v>
      </c>
      <c r="Z27" s="9" t="n">
        <v>5</v>
      </c>
      <c r="AA27" s="9" t="n">
        <v>5.5</v>
      </c>
      <c r="AB27" s="9" t="n">
        <v>8</v>
      </c>
      <c r="AC27" s="9" t="n">
        <v>10</v>
      </c>
      <c r="AD27" s="9" t="n">
        <v>13</v>
      </c>
      <c r="AE27" s="9" t="n">
        <v>15.5</v>
      </c>
      <c r="AF27" t="n">
        <v>2023</v>
      </c>
      <c r="AH27" t="inlineStr">
        <is>
          <t>Apartment</t>
        </is>
      </c>
      <c r="AI27" t="inlineStr">
        <is>
          <t>Prime</t>
        </is>
      </c>
      <c r="AJ27" t="inlineStr">
        <is>
          <t>TopTier</t>
        </is>
      </c>
      <c r="AK27" t="inlineStr">
        <is>
          <t>Prime resilient / selective</t>
        </is>
      </c>
      <c r="AL27" t="inlineStr">
        <is>
          <t>Better support from quality, branding, and scarcer prime stock; still entry-price sensitive.</t>
        </is>
      </c>
      <c r="AM27" s="9" t="n">
        <v>9</v>
      </c>
      <c r="AN27" s="9" t="n">
        <v>5.25</v>
      </c>
      <c r="AO27" s="10" t="n">
        <v>0.55</v>
      </c>
      <c r="AP27" s="13" t="n">
        <v>0.02</v>
      </c>
      <c r="AQ27" s="13" t="n">
        <v>0</v>
      </c>
      <c r="AR27" s="13" t="n">
        <v>0</v>
      </c>
      <c r="AS27" s="13" t="n">
        <v>0.03</v>
      </c>
      <c r="AT27" s="13" t="n">
        <v>0.005</v>
      </c>
      <c r="AU27" s="13" t="n">
        <v>0</v>
      </c>
      <c r="AV27" s="13" t="n">
        <v>-0.005</v>
      </c>
      <c r="AW27" s="13" t="n">
        <v>0.06950000000000001</v>
      </c>
      <c r="AX27" s="13" t="n">
        <v>0.03</v>
      </c>
      <c r="AY27" s="12" t="n">
        <v>2386054</v>
      </c>
      <c r="AZ27" s="12" t="n">
        <v>2459850</v>
      </c>
      <c r="BA27" s="12" t="n">
        <v>2533646</v>
      </c>
      <c r="BB27" s="12" t="n">
        <v>2459850</v>
      </c>
      <c r="BC27" s="12" t="n">
        <v>2533646</v>
      </c>
      <c r="BD27" s="12" t="n">
        <v>2607441</v>
      </c>
      <c r="BE27" s="12" t="n">
        <v>2609655</v>
      </c>
      <c r="BF27" t="inlineStr">
        <is>
          <t>Frozen values from same rules-based model as formula sheet.</t>
        </is>
      </c>
      <c r="BG27" t="inlineStr">
        <is>
          <t>2026-03-17</t>
        </is>
      </c>
      <c r="BH27" t="inlineStr">
        <is>
          <t>DLD / Digital Dubai / CBUAE / Savills / Knight Frank-Moody’s / Reuters</t>
        </is>
      </c>
    </row>
    <row r="28">
      <c r="A28" t="n">
        <v>27</v>
      </c>
      <c r="B28" t="inlineStr">
        <is>
          <t>Creek Gate</t>
        </is>
      </c>
      <c r="C28" t="inlineStr">
        <is>
          <t>Emaar Properties</t>
        </is>
      </c>
      <c r="D28" t="inlineStr">
        <is>
          <t>Dubai Creek Harbour</t>
        </is>
      </c>
      <c r="E28" t="inlineStr">
        <is>
          <t>Apartments</t>
        </is>
      </c>
      <c r="F28" t="inlineStr">
        <is>
          <t>Waterfront</t>
        </is>
      </c>
      <c r="G28" t="inlineStr">
        <is>
          <t>Resale</t>
        </is>
      </c>
      <c r="H28" t="inlineStr">
        <is>
          <t>1800</t>
        </is>
      </c>
      <c r="I28" t="inlineStr">
        <is>
          <t>25</t>
        </is>
      </c>
      <c r="J28" t="inlineStr">
        <is>
          <t>Completed</t>
        </is>
      </c>
      <c r="K28" t="inlineStr">
        <is>
          <t>2017</t>
        </is>
      </c>
      <c r="L28" t="inlineStr">
        <is>
          <t>6.0-6.5</t>
        </is>
      </c>
      <c r="M28" t="inlineStr">
        <is>
          <t>5-7</t>
        </is>
      </c>
      <c r="N28" t="inlineStr">
        <is>
          <t>11.0-13.5</t>
        </is>
      </c>
      <c r="O28" t="inlineStr">
        <is>
          <t>Swiss Intl School</t>
        </is>
      </c>
      <c r="P28" t="inlineStr">
        <is>
          <t>American Hospital</t>
        </is>
      </c>
      <c r="Q28" t="inlineStr">
        <is>
          <t>Dubai Festival City</t>
        </is>
      </c>
      <c r="R28" t="inlineStr">
        <is>
          <t>Ras Al Khor / E44</t>
        </is>
      </c>
      <c r="S28" t="inlineStr">
        <is>
          <t>12</t>
        </is>
      </c>
      <c r="T28" t="inlineStr">
        <is>
          <t>25</t>
        </is>
      </c>
      <c r="U28" t="inlineStr">
        <is>
          <t>10</t>
        </is>
      </c>
      <c r="V28" t="inlineStr">
        <is>
          <t>40</t>
        </is>
      </c>
      <c r="W28" t="n">
        <v>2</v>
      </c>
      <c r="X28" s="12" t="n"/>
      <c r="Y28" s="12" t="n"/>
      <c r="Z28" s="9" t="n">
        <v>6</v>
      </c>
      <c r="AA28" s="9" t="n">
        <v>6.5</v>
      </c>
      <c r="AB28" s="9" t="n">
        <v>5</v>
      </c>
      <c r="AC28" s="9" t="n">
        <v>7</v>
      </c>
      <c r="AD28" s="9" t="n">
        <v>11</v>
      </c>
      <c r="AE28" s="9" t="n">
        <v>13.5</v>
      </c>
      <c r="AF28" t="n">
        <v>2017</v>
      </c>
      <c r="AH28" t="inlineStr">
        <is>
          <t>Apartment</t>
        </is>
      </c>
      <c r="AI28" t="inlineStr">
        <is>
          <t>Prime</t>
        </is>
      </c>
      <c r="AJ28" t="inlineStr">
        <is>
          <t>TopTier</t>
        </is>
      </c>
      <c r="AK28" t="inlineStr">
        <is>
          <t>Prime resilient / selective</t>
        </is>
      </c>
      <c r="AL28" t="inlineStr">
        <is>
          <t>Better support from quality, branding, and scarcer prime stock; still entry-price sensitive.</t>
        </is>
      </c>
      <c r="AM28" s="9" t="n">
        <v>6</v>
      </c>
      <c r="AN28" s="9" t="n">
        <v>6.25</v>
      </c>
      <c r="AO28" s="10" t="n">
        <v>0.55</v>
      </c>
      <c r="AP28" s="13" t="n">
        <v>0.02</v>
      </c>
      <c r="AQ28" s="13" t="n">
        <v>0</v>
      </c>
      <c r="AR28" s="13" t="n">
        <v>0</v>
      </c>
      <c r="AS28" s="13" t="n">
        <v>0.03</v>
      </c>
      <c r="AT28" s="13" t="n">
        <v>0.005</v>
      </c>
      <c r="AU28" s="13" t="n">
        <v>0.0025</v>
      </c>
      <c r="AV28" s="13" t="n">
        <v>-0.005</v>
      </c>
      <c r="AW28" s="13" t="n">
        <v>0.05300000000000001</v>
      </c>
      <c r="AX28" s="13" t="n">
        <v>0.0325</v>
      </c>
      <c r="AY28" s="12" t="n"/>
      <c r="AZ28" s="12" t="n"/>
      <c r="BA28" s="12" t="n"/>
      <c r="BB28" s="12" t="n"/>
      <c r="BC28" s="12" t="n"/>
      <c r="BD28" s="12" t="n"/>
      <c r="BE28" s="12" t="n"/>
      <c r="BF28" t="inlineStr">
        <is>
          <t>Frozen values from same rules-based model as formula sheet.</t>
        </is>
      </c>
      <c r="BG28" t="inlineStr">
        <is>
          <t>2026-03-17</t>
        </is>
      </c>
      <c r="BH28" t="inlineStr">
        <is>
          <t>DLD / Digital Dubai / CBUAE / Savills / Knight Frank-Moody’s / Reuters</t>
        </is>
      </c>
    </row>
    <row r="29">
      <c r="A29" t="n">
        <v>28</v>
      </c>
      <c r="B29" t="inlineStr">
        <is>
          <t>Address Grand Creek</t>
        </is>
      </c>
      <c r="C29" t="inlineStr">
        <is>
          <t>Emaar Properties</t>
        </is>
      </c>
      <c r="D29" t="inlineStr">
        <is>
          <t>Dubai Creek Harbour</t>
        </is>
      </c>
      <c r="E29" t="inlineStr">
        <is>
          <t>Branded Residences</t>
        </is>
      </c>
      <c r="F29" t="inlineStr">
        <is>
          <t>Luxury Hotel</t>
        </is>
      </c>
      <c r="G29" t="inlineStr">
        <is>
          <t>3.5M</t>
        </is>
      </c>
      <c r="H29" t="inlineStr">
        <is>
          <t>3500</t>
        </is>
      </c>
      <c r="I29" t="inlineStr">
        <is>
          <t>45+</t>
        </is>
      </c>
      <c r="J29" t="inlineStr">
        <is>
          <t>Varies</t>
        </is>
      </c>
      <c r="K29" t="inlineStr">
        <is>
          <t>2023</t>
        </is>
      </c>
      <c r="L29" t="inlineStr">
        <is>
          <t>4.0-5.0</t>
        </is>
      </c>
      <c r="M29" t="inlineStr">
        <is>
          <t>8-10</t>
        </is>
      </c>
      <c r="N29" t="inlineStr">
        <is>
          <t>12.0-15.0</t>
        </is>
      </c>
      <c r="O29" t="inlineStr">
        <is>
          <t>Swiss Intl School</t>
        </is>
      </c>
      <c r="P29" t="inlineStr">
        <is>
          <t>American Hospital</t>
        </is>
      </c>
      <c r="Q29" t="inlineStr">
        <is>
          <t>Dubai Festival City</t>
        </is>
      </c>
      <c r="R29" t="inlineStr">
        <is>
          <t>Ras Al Khor / E44</t>
        </is>
      </c>
      <c r="S29" t="inlineStr">
        <is>
          <t>12</t>
        </is>
      </c>
      <c r="T29" t="inlineStr">
        <is>
          <t>25</t>
        </is>
      </c>
      <c r="U29" t="inlineStr">
        <is>
          <t>10</t>
        </is>
      </c>
      <c r="V29" t="inlineStr">
        <is>
          <t>40</t>
        </is>
      </c>
      <c r="W29" t="n">
        <v>2</v>
      </c>
      <c r="X29" s="12" t="n">
        <v>3500000</v>
      </c>
      <c r="Y29" s="12" t="n">
        <v>3500000</v>
      </c>
      <c r="Z29" s="9" t="n">
        <v>4</v>
      </c>
      <c r="AA29" s="9" t="n">
        <v>5</v>
      </c>
      <c r="AB29" s="9" t="n">
        <v>8</v>
      </c>
      <c r="AC29" s="9" t="n">
        <v>10</v>
      </c>
      <c r="AD29" s="9" t="n">
        <v>12</v>
      </c>
      <c r="AE29" s="9" t="n">
        <v>15</v>
      </c>
      <c r="AF29" t="n">
        <v>2023</v>
      </c>
      <c r="AH29" t="inlineStr">
        <is>
          <t>Apartment</t>
        </is>
      </c>
      <c r="AI29" t="inlineStr">
        <is>
          <t>Prime</t>
        </is>
      </c>
      <c r="AJ29" t="inlineStr">
        <is>
          <t>TopTier</t>
        </is>
      </c>
      <c r="AK29" t="inlineStr">
        <is>
          <t>Prime resilient / selective</t>
        </is>
      </c>
      <c r="AL29" t="inlineStr">
        <is>
          <t>Better support from quality, branding, and scarcer prime stock; still entry-price sensitive.</t>
        </is>
      </c>
      <c r="AM29" s="9" t="n">
        <v>9</v>
      </c>
      <c r="AN29" s="9" t="n">
        <v>4.5</v>
      </c>
      <c r="AO29" s="10" t="n">
        <v>0.55</v>
      </c>
      <c r="AP29" s="13" t="n">
        <v>0.02</v>
      </c>
      <c r="AQ29" s="13" t="n">
        <v>0</v>
      </c>
      <c r="AR29" s="13" t="n">
        <v>0</v>
      </c>
      <c r="AS29" s="13" t="n">
        <v>0.03</v>
      </c>
      <c r="AT29" s="13" t="n">
        <v>0.005</v>
      </c>
      <c r="AU29" s="13" t="n">
        <v>0</v>
      </c>
      <c r="AV29" s="13" t="n">
        <v>-0.005</v>
      </c>
      <c r="AW29" s="13" t="n">
        <v>0.06950000000000001</v>
      </c>
      <c r="AX29" s="13" t="n">
        <v>0.03</v>
      </c>
      <c r="AY29" s="12" t="n">
        <v>3630952</v>
      </c>
      <c r="AZ29" s="12" t="n">
        <v>3743250</v>
      </c>
      <c r="BA29" s="12" t="n">
        <v>3855548</v>
      </c>
      <c r="BB29" s="12" t="n">
        <v>3743250</v>
      </c>
      <c r="BC29" s="12" t="n">
        <v>3855548</v>
      </c>
      <c r="BD29" s="12" t="n">
        <v>3967845</v>
      </c>
      <c r="BE29" s="12" t="n">
        <v>3971214</v>
      </c>
      <c r="BF29" t="inlineStr">
        <is>
          <t>Frozen values from same rules-based model as formula sheet.</t>
        </is>
      </c>
      <c r="BG29" t="inlineStr">
        <is>
          <t>2026-03-17</t>
        </is>
      </c>
      <c r="BH29" t="inlineStr">
        <is>
          <t>DLD / Digital Dubai / CBUAE / Savills / Knight Frank-Moody’s / Reuters</t>
        </is>
      </c>
    </row>
    <row r="30">
      <c r="A30" t="n">
        <v>29</v>
      </c>
      <c r="B30" t="inlineStr">
        <is>
          <t>Dubai Hills Estate</t>
        </is>
      </c>
      <c r="C30" t="inlineStr">
        <is>
          <t>Emaar Properties</t>
        </is>
      </c>
      <c r="D30" t="inlineStr">
        <is>
          <t>Al Khail Road</t>
        </is>
      </c>
      <c r="E30" t="inlineStr">
        <is>
          <t>Mixed</t>
        </is>
      </c>
      <c r="F30" t="inlineStr">
        <is>
          <t>Golf / Central Park</t>
        </is>
      </c>
      <c r="I30" t="inlineStr">
        <is>
          <t>20-25</t>
        </is>
      </c>
      <c r="J30" t="inlineStr">
        <is>
          <t>Varies</t>
        </is>
      </c>
      <c r="K30" t="inlineStr">
        <is>
          <t>Ongoing</t>
        </is>
      </c>
      <c r="L30" t="inlineStr">
        <is>
          <t>5.5-6.5</t>
        </is>
      </c>
      <c r="M30" t="inlineStr">
        <is>
          <t>8-12</t>
        </is>
      </c>
      <c r="N30" t="inlineStr">
        <is>
          <t>13.5-18.5</t>
        </is>
      </c>
      <c r="O30" t="inlineStr">
        <is>
          <t>GEMS Wellington</t>
        </is>
      </c>
      <c r="P30" t="inlineStr">
        <is>
          <t>King's College Hospital</t>
        </is>
      </c>
      <c r="Q30" t="inlineStr">
        <is>
          <t>Dubai Hills Mall</t>
        </is>
      </c>
      <c r="R30" t="inlineStr">
        <is>
          <t>Al Khail E44</t>
        </is>
      </c>
      <c r="S30" t="inlineStr">
        <is>
          <t>15</t>
        </is>
      </c>
      <c r="T30" t="inlineStr">
        <is>
          <t>15</t>
        </is>
      </c>
      <c r="U30" t="inlineStr">
        <is>
          <t>20</t>
        </is>
      </c>
      <c r="V30" t="inlineStr">
        <is>
          <t>30</t>
        </is>
      </c>
      <c r="W30" t="n">
        <v>2</v>
      </c>
      <c r="X30" s="12" t="n"/>
      <c r="Y30" s="12" t="n"/>
      <c r="Z30" s="9" t="n">
        <v>5.5</v>
      </c>
      <c r="AA30" s="9" t="n">
        <v>6.5</v>
      </c>
      <c r="AB30" s="9" t="n">
        <v>8</v>
      </c>
      <c r="AC30" s="9" t="n">
        <v>12</v>
      </c>
      <c r="AD30" s="9" t="n">
        <v>13.5</v>
      </c>
      <c r="AE30" s="9" t="n">
        <v>18.5</v>
      </c>
      <c r="AH30" t="inlineStr">
        <is>
          <t>Mixed/Other</t>
        </is>
      </c>
      <c r="AI30" t="inlineStr">
        <is>
          <t>MainstreamSelective</t>
        </is>
      </c>
      <c r="AJ30" t="inlineStr">
        <is>
          <t>TopTier</t>
        </is>
      </c>
      <c r="AK30" t="inlineStr">
        <is>
          <t>Balanced / selective</t>
        </is>
      </c>
      <c r="AL30" t="inlineStr">
        <is>
          <t>Market remains active but increasingly differentiated by developer, micro-location, livability, and pricing discipline.</t>
        </is>
      </c>
      <c r="AM30" s="9" t="n">
        <v>10</v>
      </c>
      <c r="AN30" s="9" t="n">
        <v>6</v>
      </c>
      <c r="AO30" s="10" t="n">
        <v>0.25</v>
      </c>
      <c r="AP30" s="13" t="n">
        <v>0</v>
      </c>
      <c r="AQ30" s="13" t="n">
        <v>0</v>
      </c>
      <c r="AR30" s="13" t="n">
        <v>0</v>
      </c>
      <c r="AS30" s="13" t="n">
        <v>0.01</v>
      </c>
      <c r="AT30" s="13" t="n">
        <v>0.005</v>
      </c>
      <c r="AU30" s="13" t="n">
        <v>0</v>
      </c>
      <c r="AV30" s="13" t="n">
        <v>-0.005</v>
      </c>
      <c r="AW30" s="13" t="n">
        <v>0.025</v>
      </c>
      <c r="AX30" s="13" t="n">
        <v>0.009999999999999998</v>
      </c>
      <c r="AY30" s="12" t="n"/>
      <c r="AZ30" s="12" t="n"/>
      <c r="BA30" s="12" t="n"/>
      <c r="BB30" s="12" t="n"/>
      <c r="BC30" s="12" t="n"/>
      <c r="BD30" s="12" t="n"/>
      <c r="BE30" s="12" t="n"/>
      <c r="BF30" t="inlineStr">
        <is>
          <t>Frozen values from same rules-based model as formula sheet.</t>
        </is>
      </c>
      <c r="BG30" t="inlineStr">
        <is>
          <t>2026-03-17</t>
        </is>
      </c>
      <c r="BH30" t="inlineStr">
        <is>
          <t>DLD / Digital Dubai / CBUAE / Savills / Knight Frank-Moody’s / Reuters</t>
        </is>
      </c>
    </row>
    <row r="31">
      <c r="A31" t="n">
        <v>30</v>
      </c>
      <c r="B31" t="inlineStr">
        <is>
          <t>Park Gate 2</t>
        </is>
      </c>
      <c r="C31" t="inlineStr">
        <is>
          <t>Emaar Properties</t>
        </is>
      </c>
      <c r="D31" t="inlineStr">
        <is>
          <t>Dubai Hills Estate</t>
        </is>
      </c>
      <c r="E31" t="inlineStr">
        <is>
          <t>Villas</t>
        </is>
      </c>
      <c r="F31" t="inlineStr">
        <is>
          <t>Gated / Park</t>
        </is>
      </c>
      <c r="G31" t="inlineStr">
        <is>
          <t>4.5M</t>
        </is>
      </c>
      <c r="H31" t="inlineStr">
        <is>
          <t>1800</t>
        </is>
      </c>
      <c r="I31" t="inlineStr">
        <is>
          <t>20</t>
        </is>
      </c>
      <c r="J31" t="inlineStr">
        <is>
          <t>80/20</t>
        </is>
      </c>
      <c r="K31" t="inlineStr">
        <is>
          <t>2024</t>
        </is>
      </c>
      <c r="L31" t="inlineStr">
        <is>
          <t>5.0-5.5</t>
        </is>
      </c>
      <c r="M31" t="inlineStr">
        <is>
          <t>8-12</t>
        </is>
      </c>
      <c r="N31" t="inlineStr">
        <is>
          <t>13.0-17.5</t>
        </is>
      </c>
      <c r="O31" t="inlineStr">
        <is>
          <t>GEMS Wellington</t>
        </is>
      </c>
      <c r="P31" t="inlineStr">
        <is>
          <t>King's College Hospital</t>
        </is>
      </c>
      <c r="Q31" t="inlineStr">
        <is>
          <t>Dubai Hills Mall</t>
        </is>
      </c>
      <c r="R31" t="inlineStr">
        <is>
          <t>Al Khail E44</t>
        </is>
      </c>
      <c r="S31" t="inlineStr">
        <is>
          <t>15</t>
        </is>
      </c>
      <c r="T31" t="inlineStr">
        <is>
          <t>15</t>
        </is>
      </c>
      <c r="U31" t="inlineStr">
        <is>
          <t>20</t>
        </is>
      </c>
      <c r="V31" t="inlineStr">
        <is>
          <t>30</t>
        </is>
      </c>
      <c r="W31" t="n">
        <v>2</v>
      </c>
      <c r="X31" s="12" t="n">
        <v>4500000</v>
      </c>
      <c r="Y31" s="12" t="n">
        <v>4500000</v>
      </c>
      <c r="Z31" s="9" t="n">
        <v>5</v>
      </c>
      <c r="AA31" s="9" t="n">
        <v>5.5</v>
      </c>
      <c r="AB31" s="9" t="n">
        <v>8</v>
      </c>
      <c r="AC31" s="9" t="n">
        <v>12</v>
      </c>
      <c r="AD31" s="9" t="n">
        <v>13</v>
      </c>
      <c r="AE31" s="9" t="n">
        <v>17.5</v>
      </c>
      <c r="AF31" t="n">
        <v>2024</v>
      </c>
      <c r="AH31" t="inlineStr">
        <is>
          <t>Villa</t>
        </is>
      </c>
      <c r="AI31" t="inlineStr">
        <is>
          <t>Prime</t>
        </is>
      </c>
      <c r="AJ31" t="inlineStr">
        <is>
          <t>TopTier</t>
        </is>
      </c>
      <c r="AK31" t="inlineStr">
        <is>
          <t>Prime resilient / selective</t>
        </is>
      </c>
      <c r="AL31" t="inlineStr">
        <is>
          <t>Better support from quality, branding, and scarcer prime stock; still entry-price sensitive.</t>
        </is>
      </c>
      <c r="AM31" s="9" t="n">
        <v>10</v>
      </c>
      <c r="AN31" s="9" t="n">
        <v>5.25</v>
      </c>
      <c r="AO31" s="10" t="n">
        <v>0.55</v>
      </c>
      <c r="AP31" s="13" t="n">
        <v>0.02</v>
      </c>
      <c r="AQ31" s="13" t="n">
        <v>0.015</v>
      </c>
      <c r="AR31" s="13" t="n">
        <v>0</v>
      </c>
      <c r="AS31" s="13" t="n">
        <v>0.03</v>
      </c>
      <c r="AT31" s="13" t="n">
        <v>0.005</v>
      </c>
      <c r="AU31" s="13" t="n">
        <v>0</v>
      </c>
      <c r="AV31" s="13" t="n">
        <v>-0.005</v>
      </c>
      <c r="AW31" s="13" t="n">
        <v>0.09000000000000001</v>
      </c>
      <c r="AX31" s="13" t="n">
        <v>0.03</v>
      </c>
      <c r="AY31" s="12" t="n">
        <v>4757850</v>
      </c>
      <c r="AZ31" s="12" t="n">
        <v>4905000</v>
      </c>
      <c r="BA31" s="12" t="n">
        <v>5052150</v>
      </c>
      <c r="BB31" s="12" t="n">
        <v>4905000</v>
      </c>
      <c r="BC31" s="12" t="n">
        <v>5052150</v>
      </c>
      <c r="BD31" s="12" t="n">
        <v>5199300</v>
      </c>
      <c r="BE31" s="12" t="n">
        <v>5203714</v>
      </c>
      <c r="BF31" t="inlineStr">
        <is>
          <t>Frozen values from same rules-based model as formula sheet.</t>
        </is>
      </c>
      <c r="BG31" t="inlineStr">
        <is>
          <t>2026-03-17</t>
        </is>
      </c>
      <c r="BH31" t="inlineStr">
        <is>
          <t>DLD / Digital Dubai / CBUAE / Savills / Knight Frank-Moody’s / Reuters</t>
        </is>
      </c>
    </row>
    <row r="32">
      <c r="A32" t="n">
        <v>31</v>
      </c>
      <c r="B32" t="inlineStr">
        <is>
          <t>Rosehill</t>
        </is>
      </c>
      <c r="C32" t="inlineStr">
        <is>
          <t>Emaar Properties</t>
        </is>
      </c>
      <c r="D32" t="inlineStr">
        <is>
          <t>Dubai Hills Estate</t>
        </is>
      </c>
      <c r="E32" t="inlineStr">
        <is>
          <t>Apartments</t>
        </is>
      </c>
      <c r="F32" t="inlineStr">
        <is>
          <t>Community View</t>
        </is>
      </c>
      <c r="G32" t="inlineStr">
        <is>
          <t>1.6M</t>
        </is>
      </c>
      <c r="H32" t="inlineStr">
        <is>
          <t>1900</t>
        </is>
      </c>
      <c r="I32" t="inlineStr">
        <is>
          <t>22</t>
        </is>
      </c>
      <c r="J32" t="inlineStr">
        <is>
          <t>80/20</t>
        </is>
      </c>
      <c r="K32" t="inlineStr">
        <is>
          <t>2024</t>
        </is>
      </c>
      <c r="L32" t="inlineStr">
        <is>
          <t>6.0-6.5</t>
        </is>
      </c>
      <c r="M32" t="inlineStr">
        <is>
          <t>8-12</t>
        </is>
      </c>
      <c r="N32" t="inlineStr">
        <is>
          <t>14.0-18.5</t>
        </is>
      </c>
      <c r="O32" t="inlineStr">
        <is>
          <t>GEMS Wellington</t>
        </is>
      </c>
      <c r="P32" t="inlineStr">
        <is>
          <t>King's College Hospital</t>
        </is>
      </c>
      <c r="Q32" t="inlineStr">
        <is>
          <t>Dubai Hills Mall</t>
        </is>
      </c>
      <c r="R32" t="inlineStr">
        <is>
          <t>Al Khail E44</t>
        </is>
      </c>
      <c r="S32" t="inlineStr">
        <is>
          <t>15</t>
        </is>
      </c>
      <c r="T32" t="inlineStr">
        <is>
          <t>15</t>
        </is>
      </c>
      <c r="U32" t="inlineStr">
        <is>
          <t>20</t>
        </is>
      </c>
      <c r="V32" t="inlineStr">
        <is>
          <t>30</t>
        </is>
      </c>
      <c r="W32" t="n">
        <v>2</v>
      </c>
      <c r="X32" s="12" t="n">
        <v>1600000</v>
      </c>
      <c r="Y32" s="12" t="n">
        <v>1600000</v>
      </c>
      <c r="Z32" s="9" t="n">
        <v>6</v>
      </c>
      <c r="AA32" s="9" t="n">
        <v>6.5</v>
      </c>
      <c r="AB32" s="9" t="n">
        <v>8</v>
      </c>
      <c r="AC32" s="9" t="n">
        <v>12</v>
      </c>
      <c r="AD32" s="9" t="n">
        <v>14</v>
      </c>
      <c r="AE32" s="9" t="n">
        <v>18.5</v>
      </c>
      <c r="AF32" t="n">
        <v>2024</v>
      </c>
      <c r="AH32" t="inlineStr">
        <is>
          <t>Apartment</t>
        </is>
      </c>
      <c r="AI32" t="inlineStr">
        <is>
          <t>Prime</t>
        </is>
      </c>
      <c r="AJ32" t="inlineStr">
        <is>
          <t>TopTier</t>
        </is>
      </c>
      <c r="AK32" t="inlineStr">
        <is>
          <t>Prime resilient / selective</t>
        </is>
      </c>
      <c r="AL32" t="inlineStr">
        <is>
          <t>Better support from quality, branding, and scarcer prime stock; still entry-price sensitive.</t>
        </is>
      </c>
      <c r="AM32" s="9" t="n">
        <v>10</v>
      </c>
      <c r="AN32" s="9" t="n">
        <v>6.25</v>
      </c>
      <c r="AO32" s="10" t="n">
        <v>0.55</v>
      </c>
      <c r="AP32" s="13" t="n">
        <v>0.02</v>
      </c>
      <c r="AQ32" s="13" t="n">
        <v>0</v>
      </c>
      <c r="AR32" s="13" t="n">
        <v>0</v>
      </c>
      <c r="AS32" s="13" t="n">
        <v>0.03</v>
      </c>
      <c r="AT32" s="13" t="n">
        <v>0.005</v>
      </c>
      <c r="AU32" s="13" t="n">
        <v>0.0025</v>
      </c>
      <c r="AV32" s="13" t="n">
        <v>-0.005</v>
      </c>
      <c r="AW32" s="13" t="n">
        <v>0.07500000000000001</v>
      </c>
      <c r="AX32" s="13" t="n">
        <v>0.0325</v>
      </c>
      <c r="AY32" s="12" t="n">
        <v>1668400</v>
      </c>
      <c r="AZ32" s="12" t="n">
        <v>1720000</v>
      </c>
      <c r="BA32" s="12" t="n">
        <v>1771600</v>
      </c>
      <c r="BB32" s="12" t="n">
        <v>1724300</v>
      </c>
      <c r="BC32" s="12" t="n">
        <v>1775900</v>
      </c>
      <c r="BD32" s="12" t="n">
        <v>1827500</v>
      </c>
      <c r="BE32" s="12" t="n">
        <v>1833617</v>
      </c>
      <c r="BF32" t="inlineStr">
        <is>
          <t>Frozen values from same rules-based model as formula sheet.</t>
        </is>
      </c>
      <c r="BG32" t="inlineStr">
        <is>
          <t>2026-03-17</t>
        </is>
      </c>
      <c r="BH32" t="inlineStr">
        <is>
          <t>DLD / Digital Dubai / CBUAE / Savills / Knight Frank-Moody’s / Reuters</t>
        </is>
      </c>
    </row>
    <row r="33">
      <c r="A33" t="n">
        <v>32</v>
      </c>
      <c r="B33" t="inlineStr">
        <is>
          <t>Greencrest</t>
        </is>
      </c>
      <c r="C33" t="inlineStr">
        <is>
          <t>Emaar Properties</t>
        </is>
      </c>
      <c r="D33" t="inlineStr">
        <is>
          <t>Dubai Hills Estate</t>
        </is>
      </c>
      <c r="E33" t="inlineStr">
        <is>
          <t>Apartments</t>
        </is>
      </c>
      <c r="F33" t="inlineStr">
        <is>
          <t>Community View</t>
        </is>
      </c>
      <c r="G33" t="inlineStr">
        <is>
          <t>1.55M</t>
        </is>
      </c>
      <c r="H33" t="inlineStr">
        <is>
          <t>1850</t>
        </is>
      </c>
      <c r="I33" t="inlineStr">
        <is>
          <t>22</t>
        </is>
      </c>
      <c r="J33" t="inlineStr">
        <is>
          <t>80/20</t>
        </is>
      </c>
      <c r="K33" t="inlineStr">
        <is>
          <t>2024</t>
        </is>
      </c>
      <c r="L33" t="inlineStr">
        <is>
          <t>6.0-6.5</t>
        </is>
      </c>
      <c r="M33" t="inlineStr">
        <is>
          <t>8-12</t>
        </is>
      </c>
      <c r="N33" t="inlineStr">
        <is>
          <t>14.0-18.5</t>
        </is>
      </c>
      <c r="O33" t="inlineStr">
        <is>
          <t>GEMS Wellington</t>
        </is>
      </c>
      <c r="P33" t="inlineStr">
        <is>
          <t>King's College Hospital</t>
        </is>
      </c>
      <c r="Q33" t="inlineStr">
        <is>
          <t>Dubai Hills Mall</t>
        </is>
      </c>
      <c r="R33" t="inlineStr">
        <is>
          <t>Al Khail E44</t>
        </is>
      </c>
      <c r="S33" t="inlineStr">
        <is>
          <t>15</t>
        </is>
      </c>
      <c r="T33" t="inlineStr">
        <is>
          <t>15</t>
        </is>
      </c>
      <c r="U33" t="inlineStr">
        <is>
          <t>20</t>
        </is>
      </c>
      <c r="V33" t="inlineStr">
        <is>
          <t>30</t>
        </is>
      </c>
      <c r="W33" t="n">
        <v>2</v>
      </c>
      <c r="X33" s="12" t="n">
        <v>1550000</v>
      </c>
      <c r="Y33" s="12" t="n">
        <v>1550000</v>
      </c>
      <c r="Z33" s="9" t="n">
        <v>6</v>
      </c>
      <c r="AA33" s="9" t="n">
        <v>6.5</v>
      </c>
      <c r="AB33" s="9" t="n">
        <v>8</v>
      </c>
      <c r="AC33" s="9" t="n">
        <v>12</v>
      </c>
      <c r="AD33" s="9" t="n">
        <v>14</v>
      </c>
      <c r="AE33" s="9" t="n">
        <v>18.5</v>
      </c>
      <c r="AF33" t="n">
        <v>2024</v>
      </c>
      <c r="AH33" t="inlineStr">
        <is>
          <t>Apartment</t>
        </is>
      </c>
      <c r="AI33" t="inlineStr">
        <is>
          <t>Prime</t>
        </is>
      </c>
      <c r="AJ33" t="inlineStr">
        <is>
          <t>TopTier</t>
        </is>
      </c>
      <c r="AK33" t="inlineStr">
        <is>
          <t>Prime resilient / selective</t>
        </is>
      </c>
      <c r="AL33" t="inlineStr">
        <is>
          <t>Better support from quality, branding, and scarcer prime stock; still entry-price sensitive.</t>
        </is>
      </c>
      <c r="AM33" s="9" t="n">
        <v>10</v>
      </c>
      <c r="AN33" s="9" t="n">
        <v>6.25</v>
      </c>
      <c r="AO33" s="10" t="n">
        <v>0.55</v>
      </c>
      <c r="AP33" s="13" t="n">
        <v>0.02</v>
      </c>
      <c r="AQ33" s="13" t="n">
        <v>0</v>
      </c>
      <c r="AR33" s="13" t="n">
        <v>0</v>
      </c>
      <c r="AS33" s="13" t="n">
        <v>0.03</v>
      </c>
      <c r="AT33" s="13" t="n">
        <v>0.005</v>
      </c>
      <c r="AU33" s="13" t="n">
        <v>0.0025</v>
      </c>
      <c r="AV33" s="13" t="n">
        <v>-0.005</v>
      </c>
      <c r="AW33" s="13" t="n">
        <v>0.07500000000000001</v>
      </c>
      <c r="AX33" s="13" t="n">
        <v>0.0325</v>
      </c>
      <c r="AY33" s="12" t="n">
        <v>1616262</v>
      </c>
      <c r="AZ33" s="12" t="n">
        <v>1666250</v>
      </c>
      <c r="BA33" s="12" t="n">
        <v>1716238</v>
      </c>
      <c r="BB33" s="12" t="n">
        <v>1670416</v>
      </c>
      <c r="BC33" s="12" t="n">
        <v>1720403</v>
      </c>
      <c r="BD33" s="12" t="n">
        <v>1770391</v>
      </c>
      <c r="BE33" s="12" t="n">
        <v>1776316</v>
      </c>
      <c r="BF33" t="inlineStr">
        <is>
          <t>Frozen values from same rules-based model as formula sheet.</t>
        </is>
      </c>
      <c r="BG33" t="inlineStr">
        <is>
          <t>2026-03-17</t>
        </is>
      </c>
      <c r="BH33" t="inlineStr">
        <is>
          <t>DLD / Digital Dubai / CBUAE / Savills / Knight Frank-Moody’s / Reuters</t>
        </is>
      </c>
    </row>
    <row r="34">
      <c r="A34" t="n">
        <v>33</v>
      </c>
      <c r="B34" t="inlineStr">
        <is>
          <t>Palace Residences Hillside</t>
        </is>
      </c>
      <c r="C34" t="inlineStr">
        <is>
          <t>Emaar Properties</t>
        </is>
      </c>
      <c r="D34" t="inlineStr">
        <is>
          <t>Dubai Hills Estate</t>
        </is>
      </c>
      <c r="E34" t="inlineStr">
        <is>
          <t>Branded Apartments</t>
        </is>
      </c>
      <c r="F34" t="inlineStr">
        <is>
          <t>Golf / Park</t>
        </is>
      </c>
      <c r="G34" t="inlineStr">
        <is>
          <t>2.5M</t>
        </is>
      </c>
      <c r="H34" t="inlineStr">
        <is>
          <t>2400</t>
        </is>
      </c>
      <c r="I34" t="inlineStr">
        <is>
          <t>35</t>
        </is>
      </c>
      <c r="J34" t="inlineStr">
        <is>
          <t>80/20</t>
        </is>
      </c>
      <c r="K34" t="inlineStr">
        <is>
          <t>2024</t>
        </is>
      </c>
      <c r="L34" t="inlineStr">
        <is>
          <t>4.5-5.0</t>
        </is>
      </c>
      <c r="M34" t="inlineStr">
        <is>
          <t>8-12</t>
        </is>
      </c>
      <c r="N34" t="inlineStr">
        <is>
          <t>12.5-17.0</t>
        </is>
      </c>
      <c r="O34" t="inlineStr">
        <is>
          <t>GEMS Wellington</t>
        </is>
      </c>
      <c r="P34" t="inlineStr">
        <is>
          <t>King's College Hospital</t>
        </is>
      </c>
      <c r="Q34" t="inlineStr">
        <is>
          <t>Dubai Hills Mall</t>
        </is>
      </c>
      <c r="R34" t="inlineStr">
        <is>
          <t>Al Khail E44</t>
        </is>
      </c>
      <c r="S34" t="inlineStr">
        <is>
          <t>15</t>
        </is>
      </c>
      <c r="T34" t="inlineStr">
        <is>
          <t>15</t>
        </is>
      </c>
      <c r="U34" t="inlineStr">
        <is>
          <t>20</t>
        </is>
      </c>
      <c r="V34" t="inlineStr">
        <is>
          <t>30</t>
        </is>
      </c>
      <c r="W34" t="n">
        <v>2</v>
      </c>
      <c r="X34" s="12" t="n">
        <v>2500000</v>
      </c>
      <c r="Y34" s="12" t="n">
        <v>2500000</v>
      </c>
      <c r="Z34" s="9" t="n">
        <v>4.5</v>
      </c>
      <c r="AA34" s="9" t="n">
        <v>5</v>
      </c>
      <c r="AB34" s="9" t="n">
        <v>8</v>
      </c>
      <c r="AC34" s="9" t="n">
        <v>12</v>
      </c>
      <c r="AD34" s="9" t="n">
        <v>12.5</v>
      </c>
      <c r="AE34" s="9" t="n">
        <v>17</v>
      </c>
      <c r="AF34" t="n">
        <v>2024</v>
      </c>
      <c r="AH34" t="inlineStr">
        <is>
          <t>Apartment</t>
        </is>
      </c>
      <c r="AI34" t="inlineStr">
        <is>
          <t>Prime</t>
        </is>
      </c>
      <c r="AJ34" t="inlineStr">
        <is>
          <t>TopTier</t>
        </is>
      </c>
      <c r="AK34" t="inlineStr">
        <is>
          <t>Prime resilient / selective</t>
        </is>
      </c>
      <c r="AL34" t="inlineStr">
        <is>
          <t>Better support from quality, branding, and scarcer prime stock; still entry-price sensitive.</t>
        </is>
      </c>
      <c r="AM34" s="9" t="n">
        <v>10</v>
      </c>
      <c r="AN34" s="9" t="n">
        <v>4.75</v>
      </c>
      <c r="AO34" s="10" t="n">
        <v>0.55</v>
      </c>
      <c r="AP34" s="13" t="n">
        <v>0.02</v>
      </c>
      <c r="AQ34" s="13" t="n">
        <v>0</v>
      </c>
      <c r="AR34" s="13" t="n">
        <v>0</v>
      </c>
      <c r="AS34" s="13" t="n">
        <v>0.03</v>
      </c>
      <c r="AT34" s="13" t="n">
        <v>0.005</v>
      </c>
      <c r="AU34" s="13" t="n">
        <v>0</v>
      </c>
      <c r="AV34" s="13" t="n">
        <v>-0.005</v>
      </c>
      <c r="AW34" s="13" t="n">
        <v>0.07500000000000001</v>
      </c>
      <c r="AX34" s="13" t="n">
        <v>0.03</v>
      </c>
      <c r="AY34" s="12" t="n">
        <v>2606875</v>
      </c>
      <c r="AZ34" s="12" t="n">
        <v>2687500</v>
      </c>
      <c r="BA34" s="12" t="n">
        <v>2768125</v>
      </c>
      <c r="BB34" s="12" t="n">
        <v>2687500</v>
      </c>
      <c r="BC34" s="12" t="n">
        <v>2768125</v>
      </c>
      <c r="BD34" s="12" t="n">
        <v>2848750</v>
      </c>
      <c r="BE34" s="12" t="n">
        <v>2851169</v>
      </c>
      <c r="BF34" t="inlineStr">
        <is>
          <t>Frozen values from same rules-based model as formula sheet.</t>
        </is>
      </c>
      <c r="BG34" t="inlineStr">
        <is>
          <t>2026-03-17</t>
        </is>
      </c>
      <c r="BH34" t="inlineStr">
        <is>
          <t>DLD / Digital Dubai / CBUAE / Savills / Knight Frank-Moody’s / Reuters</t>
        </is>
      </c>
    </row>
    <row r="35">
      <c r="A35" t="n">
        <v>34</v>
      </c>
      <c r="B35" t="inlineStr">
        <is>
          <t>Vida Residences Hillside</t>
        </is>
      </c>
      <c r="C35" t="inlineStr">
        <is>
          <t>Emaar Properties</t>
        </is>
      </c>
      <c r="D35" t="inlineStr">
        <is>
          <t>Dubai Hills Estate</t>
        </is>
      </c>
      <c r="E35" t="inlineStr">
        <is>
          <t>Branded Apartments</t>
        </is>
      </c>
      <c r="F35" t="inlineStr">
        <is>
          <t>Golf / Park</t>
        </is>
      </c>
      <c r="G35" t="inlineStr">
        <is>
          <t>2.2M</t>
        </is>
      </c>
      <c r="H35" t="inlineStr">
        <is>
          <t>2200</t>
        </is>
      </c>
      <c r="I35" t="inlineStr">
        <is>
          <t>30</t>
        </is>
      </c>
      <c r="J35" t="inlineStr">
        <is>
          <t>80/20</t>
        </is>
      </c>
      <c r="K35" t="inlineStr">
        <is>
          <t>2024</t>
        </is>
      </c>
      <c r="L35" t="inlineStr">
        <is>
          <t>5.0-5.5</t>
        </is>
      </c>
      <c r="M35" t="inlineStr">
        <is>
          <t>8-12</t>
        </is>
      </c>
      <c r="N35" t="inlineStr">
        <is>
          <t>13.0-17.5</t>
        </is>
      </c>
      <c r="O35" t="inlineStr">
        <is>
          <t>GEMS Wellington</t>
        </is>
      </c>
      <c r="P35" t="inlineStr">
        <is>
          <t>King's College Hospital</t>
        </is>
      </c>
      <c r="Q35" t="inlineStr">
        <is>
          <t>Dubai Hills Mall</t>
        </is>
      </c>
      <c r="R35" t="inlineStr">
        <is>
          <t>Al Khail E44</t>
        </is>
      </c>
      <c r="S35" t="inlineStr">
        <is>
          <t>15</t>
        </is>
      </c>
      <c r="T35" t="inlineStr">
        <is>
          <t>15</t>
        </is>
      </c>
      <c r="U35" t="inlineStr">
        <is>
          <t>20</t>
        </is>
      </c>
      <c r="V35" t="inlineStr">
        <is>
          <t>30</t>
        </is>
      </c>
      <c r="W35" t="n">
        <v>2</v>
      </c>
      <c r="X35" s="12" t="n">
        <v>2200000</v>
      </c>
      <c r="Y35" s="12" t="n">
        <v>2200000</v>
      </c>
      <c r="Z35" s="9" t="n">
        <v>5</v>
      </c>
      <c r="AA35" s="9" t="n">
        <v>5.5</v>
      </c>
      <c r="AB35" s="9" t="n">
        <v>8</v>
      </c>
      <c r="AC35" s="9" t="n">
        <v>12</v>
      </c>
      <c r="AD35" s="9" t="n">
        <v>13</v>
      </c>
      <c r="AE35" s="9" t="n">
        <v>17.5</v>
      </c>
      <c r="AF35" t="n">
        <v>2024</v>
      </c>
      <c r="AH35" t="inlineStr">
        <is>
          <t>Apartment</t>
        </is>
      </c>
      <c r="AI35" t="inlineStr">
        <is>
          <t>Prime</t>
        </is>
      </c>
      <c r="AJ35" t="inlineStr">
        <is>
          <t>TopTier</t>
        </is>
      </c>
      <c r="AK35" t="inlineStr">
        <is>
          <t>Prime resilient / selective</t>
        </is>
      </c>
      <c r="AL35" t="inlineStr">
        <is>
          <t>Better support from quality, branding, and scarcer prime stock; still entry-price sensitive.</t>
        </is>
      </c>
      <c r="AM35" s="9" t="n">
        <v>10</v>
      </c>
      <c r="AN35" s="9" t="n">
        <v>5.25</v>
      </c>
      <c r="AO35" s="10" t="n">
        <v>0.55</v>
      </c>
      <c r="AP35" s="13" t="n">
        <v>0.02</v>
      </c>
      <c r="AQ35" s="13" t="n">
        <v>0</v>
      </c>
      <c r="AR35" s="13" t="n">
        <v>0</v>
      </c>
      <c r="AS35" s="13" t="n">
        <v>0.03</v>
      </c>
      <c r="AT35" s="13" t="n">
        <v>0.005</v>
      </c>
      <c r="AU35" s="13" t="n">
        <v>0</v>
      </c>
      <c r="AV35" s="13" t="n">
        <v>-0.005</v>
      </c>
      <c r="AW35" s="13" t="n">
        <v>0.07500000000000001</v>
      </c>
      <c r="AX35" s="13" t="n">
        <v>0.03</v>
      </c>
      <c r="AY35" s="12" t="n">
        <v>2294050</v>
      </c>
      <c r="AZ35" s="12" t="n">
        <v>2365000</v>
      </c>
      <c r="BA35" s="12" t="n">
        <v>2435950</v>
      </c>
      <c r="BB35" s="12" t="n">
        <v>2365000</v>
      </c>
      <c r="BC35" s="12" t="n">
        <v>2435950</v>
      </c>
      <c r="BD35" s="12" t="n">
        <v>2506900</v>
      </c>
      <c r="BE35" s="12" t="n">
        <v>2509028</v>
      </c>
      <c r="BF35" t="inlineStr">
        <is>
          <t>Frozen values from same rules-based model as formula sheet.</t>
        </is>
      </c>
      <c r="BG35" t="inlineStr">
        <is>
          <t>2026-03-17</t>
        </is>
      </c>
      <c r="BH35" t="inlineStr">
        <is>
          <t>DLD / Digital Dubai / CBUAE / Savills / Knight Frank-Moody’s / Reuters</t>
        </is>
      </c>
    </row>
    <row r="36">
      <c r="A36" t="n">
        <v>35</v>
      </c>
      <c r="B36" t="inlineStr">
        <is>
          <t>Golf Hillside</t>
        </is>
      </c>
      <c r="C36" t="inlineStr">
        <is>
          <t>Emaar Properties</t>
        </is>
      </c>
      <c r="D36" t="inlineStr">
        <is>
          <t>Dubai Hills Estate</t>
        </is>
      </c>
      <c r="E36" t="inlineStr">
        <is>
          <t>Apartments</t>
        </is>
      </c>
      <c r="F36" t="inlineStr">
        <is>
          <t>Golf Course</t>
        </is>
      </c>
      <c r="G36" t="inlineStr">
        <is>
          <t>1.8M</t>
        </is>
      </c>
      <c r="H36" t="inlineStr">
        <is>
          <t>2000</t>
        </is>
      </c>
      <c r="I36" t="inlineStr">
        <is>
          <t>22</t>
        </is>
      </c>
      <c r="J36" t="inlineStr">
        <is>
          <t>80/20</t>
        </is>
      </c>
      <c r="K36" t="inlineStr">
        <is>
          <t>2024</t>
        </is>
      </c>
      <c r="L36" t="inlineStr">
        <is>
          <t>5.5-6.0</t>
        </is>
      </c>
      <c r="M36" t="inlineStr">
        <is>
          <t>8-12</t>
        </is>
      </c>
      <c r="N36" t="inlineStr">
        <is>
          <t>13.5-18.0</t>
        </is>
      </c>
      <c r="O36" t="inlineStr">
        <is>
          <t>GEMS Wellington</t>
        </is>
      </c>
      <c r="P36" t="inlineStr">
        <is>
          <t>King's College Hospital</t>
        </is>
      </c>
      <c r="Q36" t="inlineStr">
        <is>
          <t>Dubai Hills Mall</t>
        </is>
      </c>
      <c r="R36" t="inlineStr">
        <is>
          <t>Al Khail E44</t>
        </is>
      </c>
      <c r="S36" t="inlineStr">
        <is>
          <t>15</t>
        </is>
      </c>
      <c r="T36" t="inlineStr">
        <is>
          <t>15</t>
        </is>
      </c>
      <c r="U36" t="inlineStr">
        <is>
          <t>20</t>
        </is>
      </c>
      <c r="V36" t="inlineStr">
        <is>
          <t>30</t>
        </is>
      </c>
      <c r="W36" t="n">
        <v>2</v>
      </c>
      <c r="X36" s="12" t="n">
        <v>1800000</v>
      </c>
      <c r="Y36" s="12" t="n">
        <v>1800000</v>
      </c>
      <c r="Z36" s="9" t="n">
        <v>5.5</v>
      </c>
      <c r="AA36" s="9" t="n">
        <v>6</v>
      </c>
      <c r="AB36" s="9" t="n">
        <v>8</v>
      </c>
      <c r="AC36" s="9" t="n">
        <v>12</v>
      </c>
      <c r="AD36" s="9" t="n">
        <v>13.5</v>
      </c>
      <c r="AE36" s="9" t="n">
        <v>18</v>
      </c>
      <c r="AF36" t="n">
        <v>2024</v>
      </c>
      <c r="AH36" t="inlineStr">
        <is>
          <t>Apartment</t>
        </is>
      </c>
      <c r="AI36" t="inlineStr">
        <is>
          <t>Prime</t>
        </is>
      </c>
      <c r="AJ36" t="inlineStr">
        <is>
          <t>TopTier</t>
        </is>
      </c>
      <c r="AK36" t="inlineStr">
        <is>
          <t>Prime resilient / selective</t>
        </is>
      </c>
      <c r="AL36" t="inlineStr">
        <is>
          <t>Better support from quality, branding, and scarcer prime stock; still entry-price sensitive.</t>
        </is>
      </c>
      <c r="AM36" s="9" t="n">
        <v>10</v>
      </c>
      <c r="AN36" s="9" t="n">
        <v>5.75</v>
      </c>
      <c r="AO36" s="10" t="n">
        <v>0.55</v>
      </c>
      <c r="AP36" s="13" t="n">
        <v>0.02</v>
      </c>
      <c r="AQ36" s="13" t="n">
        <v>0</v>
      </c>
      <c r="AR36" s="13" t="n">
        <v>0</v>
      </c>
      <c r="AS36" s="13" t="n">
        <v>0.03</v>
      </c>
      <c r="AT36" s="13" t="n">
        <v>0.005</v>
      </c>
      <c r="AU36" s="13" t="n">
        <v>0</v>
      </c>
      <c r="AV36" s="13" t="n">
        <v>-0.005</v>
      </c>
      <c r="AW36" s="13" t="n">
        <v>0.07500000000000001</v>
      </c>
      <c r="AX36" s="13" t="n">
        <v>0.03</v>
      </c>
      <c r="AY36" s="12" t="n">
        <v>1876950</v>
      </c>
      <c r="AZ36" s="12" t="n">
        <v>1935000</v>
      </c>
      <c r="BA36" s="12" t="n">
        <v>1993050</v>
      </c>
      <c r="BB36" s="12" t="n">
        <v>1935000</v>
      </c>
      <c r="BC36" s="12" t="n">
        <v>1993050</v>
      </c>
      <c r="BD36" s="12" t="n">
        <v>2051100</v>
      </c>
      <c r="BE36" s="12" t="n">
        <v>2052842</v>
      </c>
      <c r="BF36" t="inlineStr">
        <is>
          <t>Frozen values from same rules-based model as formula sheet.</t>
        </is>
      </c>
      <c r="BG36" t="inlineStr">
        <is>
          <t>2026-03-17</t>
        </is>
      </c>
      <c r="BH36" t="inlineStr">
        <is>
          <t>DLD / Digital Dubai / CBUAE / Savills / Knight Frank-Moody’s / Reuters</t>
        </is>
      </c>
    </row>
    <row r="37">
      <c r="A37" t="n">
        <v>36</v>
      </c>
      <c r="B37" t="inlineStr">
        <is>
          <t>Parkland</t>
        </is>
      </c>
      <c r="C37" t="inlineStr">
        <is>
          <t>Emaar Properties</t>
        </is>
      </c>
      <c r="D37" t="inlineStr">
        <is>
          <t>Dubai Hills Estate</t>
        </is>
      </c>
      <c r="E37" t="inlineStr">
        <is>
          <t>Apartments</t>
        </is>
      </c>
      <c r="F37" t="inlineStr">
        <is>
          <t>Park View</t>
        </is>
      </c>
      <c r="G37" t="inlineStr">
        <is>
          <t>1.7M</t>
        </is>
      </c>
      <c r="H37" t="inlineStr">
        <is>
          <t>1950</t>
        </is>
      </c>
      <c r="I37" t="inlineStr">
        <is>
          <t>22</t>
        </is>
      </c>
      <c r="J37" t="inlineStr">
        <is>
          <t>80/20</t>
        </is>
      </c>
      <c r="K37" t="inlineStr">
        <is>
          <t>2024</t>
        </is>
      </c>
      <c r="L37" t="inlineStr">
        <is>
          <t>5.5-6.0</t>
        </is>
      </c>
      <c r="M37" t="inlineStr">
        <is>
          <t>8-12</t>
        </is>
      </c>
      <c r="N37" t="inlineStr">
        <is>
          <t>13.5-18.0</t>
        </is>
      </c>
      <c r="O37" t="inlineStr">
        <is>
          <t>GEMS Wellington</t>
        </is>
      </c>
      <c r="P37" t="inlineStr">
        <is>
          <t>King's College Hospital</t>
        </is>
      </c>
      <c r="Q37" t="inlineStr">
        <is>
          <t>Dubai Hills Mall</t>
        </is>
      </c>
      <c r="R37" t="inlineStr">
        <is>
          <t>Al Khail E44</t>
        </is>
      </c>
      <c r="S37" t="inlineStr">
        <is>
          <t>15</t>
        </is>
      </c>
      <c r="T37" t="inlineStr">
        <is>
          <t>15</t>
        </is>
      </c>
      <c r="U37" t="inlineStr">
        <is>
          <t>20</t>
        </is>
      </c>
      <c r="V37" t="inlineStr">
        <is>
          <t>30</t>
        </is>
      </c>
      <c r="W37" t="n">
        <v>2</v>
      </c>
      <c r="X37" s="12" t="n">
        <v>1700000</v>
      </c>
      <c r="Y37" s="12" t="n">
        <v>1700000</v>
      </c>
      <c r="Z37" s="9" t="n">
        <v>5.5</v>
      </c>
      <c r="AA37" s="9" t="n">
        <v>6</v>
      </c>
      <c r="AB37" s="9" t="n">
        <v>8</v>
      </c>
      <c r="AC37" s="9" t="n">
        <v>12</v>
      </c>
      <c r="AD37" s="9" t="n">
        <v>13.5</v>
      </c>
      <c r="AE37" s="9" t="n">
        <v>18</v>
      </c>
      <c r="AF37" t="n">
        <v>2024</v>
      </c>
      <c r="AH37" t="inlineStr">
        <is>
          <t>Apartment</t>
        </is>
      </c>
      <c r="AI37" t="inlineStr">
        <is>
          <t>Prime</t>
        </is>
      </c>
      <c r="AJ37" t="inlineStr">
        <is>
          <t>TopTier</t>
        </is>
      </c>
      <c r="AK37" t="inlineStr">
        <is>
          <t>Prime resilient / selective</t>
        </is>
      </c>
      <c r="AL37" t="inlineStr">
        <is>
          <t>Better support from quality, branding, and scarcer prime stock; still entry-price sensitive.</t>
        </is>
      </c>
      <c r="AM37" s="9" t="n">
        <v>10</v>
      </c>
      <c r="AN37" s="9" t="n">
        <v>5.75</v>
      </c>
      <c r="AO37" s="10" t="n">
        <v>0.55</v>
      </c>
      <c r="AP37" s="13" t="n">
        <v>0.02</v>
      </c>
      <c r="AQ37" s="13" t="n">
        <v>0</v>
      </c>
      <c r="AR37" s="13" t="n">
        <v>0</v>
      </c>
      <c r="AS37" s="13" t="n">
        <v>0.03</v>
      </c>
      <c r="AT37" s="13" t="n">
        <v>0.005</v>
      </c>
      <c r="AU37" s="13" t="n">
        <v>0</v>
      </c>
      <c r="AV37" s="13" t="n">
        <v>-0.005</v>
      </c>
      <c r="AW37" s="13" t="n">
        <v>0.07500000000000001</v>
      </c>
      <c r="AX37" s="13" t="n">
        <v>0.03</v>
      </c>
      <c r="AY37" s="12" t="n">
        <v>1772675</v>
      </c>
      <c r="AZ37" s="12" t="n">
        <v>1827500</v>
      </c>
      <c r="BA37" s="12" t="n">
        <v>1882325</v>
      </c>
      <c r="BB37" s="12" t="n">
        <v>1827500</v>
      </c>
      <c r="BC37" s="12" t="n">
        <v>1882325</v>
      </c>
      <c r="BD37" s="12" t="n">
        <v>1937150</v>
      </c>
      <c r="BE37" s="12" t="n">
        <v>1938795</v>
      </c>
      <c r="BF37" t="inlineStr">
        <is>
          <t>Frozen values from same rules-based model as formula sheet.</t>
        </is>
      </c>
      <c r="BG37" t="inlineStr">
        <is>
          <t>2026-03-17</t>
        </is>
      </c>
      <c r="BH37" t="inlineStr">
        <is>
          <t>DLD / Digital Dubai / CBUAE / Savills / Knight Frank-Moody’s / Reuters</t>
        </is>
      </c>
    </row>
    <row r="38">
      <c r="A38" t="n">
        <v>37</v>
      </c>
      <c r="B38" t="inlineStr">
        <is>
          <t>Sidra Villas</t>
        </is>
      </c>
      <c r="C38" t="inlineStr">
        <is>
          <t>Emaar Properties</t>
        </is>
      </c>
      <c r="D38" t="inlineStr">
        <is>
          <t>Dubai Hills Estate</t>
        </is>
      </c>
      <c r="E38" t="inlineStr">
        <is>
          <t>Villas</t>
        </is>
      </c>
      <c r="F38" t="inlineStr">
        <is>
          <t>Gated Community</t>
        </is>
      </c>
      <c r="G38" t="inlineStr">
        <is>
          <t>Resale (5M+)</t>
        </is>
      </c>
      <c r="H38" t="inlineStr">
        <is>
          <t>1600</t>
        </is>
      </c>
      <c r="I38" t="inlineStr">
        <is>
          <t>15</t>
        </is>
      </c>
      <c r="J38" t="inlineStr">
        <is>
          <t>Completed</t>
        </is>
      </c>
      <c r="K38" t="inlineStr">
        <is>
          <t>2016</t>
        </is>
      </c>
      <c r="L38" t="inlineStr">
        <is>
          <t>5.5-6.0</t>
        </is>
      </c>
      <c r="M38" t="inlineStr">
        <is>
          <t>6-8</t>
        </is>
      </c>
      <c r="N38" t="inlineStr">
        <is>
          <t>11.5-14.0</t>
        </is>
      </c>
      <c r="O38" t="inlineStr">
        <is>
          <t>GEMS Wellington</t>
        </is>
      </c>
      <c r="P38" t="inlineStr">
        <is>
          <t>King's College Hospital</t>
        </is>
      </c>
      <c r="Q38" t="inlineStr">
        <is>
          <t>Dubai Hills Mall</t>
        </is>
      </c>
      <c r="R38" t="inlineStr">
        <is>
          <t>Al Khail E44</t>
        </is>
      </c>
      <c r="S38" t="inlineStr">
        <is>
          <t>15</t>
        </is>
      </c>
      <c r="T38" t="inlineStr">
        <is>
          <t>15</t>
        </is>
      </c>
      <c r="U38" t="inlineStr">
        <is>
          <t>20</t>
        </is>
      </c>
      <c r="V38" t="inlineStr">
        <is>
          <t>30</t>
        </is>
      </c>
      <c r="W38" t="n">
        <v>2</v>
      </c>
      <c r="X38" s="12" t="n">
        <v>5000000</v>
      </c>
      <c r="Y38" s="12" t="n">
        <v>5000000</v>
      </c>
      <c r="Z38" s="9" t="n">
        <v>5.5</v>
      </c>
      <c r="AA38" s="9" t="n">
        <v>6</v>
      </c>
      <c r="AB38" s="9" t="n">
        <v>6</v>
      </c>
      <c r="AC38" s="9" t="n">
        <v>8</v>
      </c>
      <c r="AD38" s="9" t="n">
        <v>11.5</v>
      </c>
      <c r="AE38" s="9" t="n">
        <v>14</v>
      </c>
      <c r="AF38" t="n">
        <v>2016</v>
      </c>
      <c r="AH38" t="inlineStr">
        <is>
          <t>Villa</t>
        </is>
      </c>
      <c r="AI38" t="inlineStr">
        <is>
          <t>Prime</t>
        </is>
      </c>
      <c r="AJ38" t="inlineStr">
        <is>
          <t>TopTier</t>
        </is>
      </c>
      <c r="AK38" t="inlineStr">
        <is>
          <t>Prime resilient / selective</t>
        </is>
      </c>
      <c r="AL38" t="inlineStr">
        <is>
          <t>Better support from quality, branding, and scarcer prime stock; still entry-price sensitive.</t>
        </is>
      </c>
      <c r="AM38" s="9" t="n">
        <v>7</v>
      </c>
      <c r="AN38" s="9" t="n">
        <v>5.75</v>
      </c>
      <c r="AO38" s="10" t="n">
        <v>0.55</v>
      </c>
      <c r="AP38" s="13" t="n">
        <v>0.02</v>
      </c>
      <c r="AQ38" s="13" t="n">
        <v>0.015</v>
      </c>
      <c r="AR38" s="13" t="n">
        <v>0</v>
      </c>
      <c r="AS38" s="13" t="n">
        <v>0.03</v>
      </c>
      <c r="AT38" s="13" t="n">
        <v>0.005</v>
      </c>
      <c r="AU38" s="13" t="n">
        <v>0</v>
      </c>
      <c r="AV38" s="13" t="n">
        <v>-0.005</v>
      </c>
      <c r="AW38" s="13" t="n">
        <v>0.07350000000000001</v>
      </c>
      <c r="AX38" s="13" t="n">
        <v>0.03</v>
      </c>
      <c r="AY38" s="12" t="n">
        <v>5206475</v>
      </c>
      <c r="AZ38" s="12" t="n">
        <v>5367500</v>
      </c>
      <c r="BA38" s="12" t="n">
        <v>5528525</v>
      </c>
      <c r="BB38" s="12" t="n">
        <v>5367500</v>
      </c>
      <c r="BC38" s="12" t="n">
        <v>5528525</v>
      </c>
      <c r="BD38" s="12" t="n">
        <v>5689550</v>
      </c>
      <c r="BE38" s="12" t="n">
        <v>5694381</v>
      </c>
      <c r="BF38" t="inlineStr">
        <is>
          <t>Frozen values from same rules-based model as formula sheet.</t>
        </is>
      </c>
      <c r="BG38" t="inlineStr">
        <is>
          <t>2026-03-17</t>
        </is>
      </c>
      <c r="BH38" t="inlineStr">
        <is>
          <t>DLD / Digital Dubai / CBUAE / Savills / Knight Frank-Moody’s / Reuters</t>
        </is>
      </c>
    </row>
    <row r="39">
      <c r="A39" t="n">
        <v>38</v>
      </c>
      <c r="B39" t="inlineStr">
        <is>
          <t>Maple Townhouses</t>
        </is>
      </c>
      <c r="C39" t="inlineStr">
        <is>
          <t>Emaar Properties</t>
        </is>
      </c>
      <c r="D39" t="inlineStr">
        <is>
          <t>Dubai Hills Estate</t>
        </is>
      </c>
      <c r="E39" t="inlineStr">
        <is>
          <t>Townhouses</t>
        </is>
      </c>
      <c r="F39" t="inlineStr">
        <is>
          <t>Gated Community</t>
        </is>
      </c>
      <c r="G39" t="inlineStr">
        <is>
          <t>Resale (3.5M+)</t>
        </is>
      </c>
      <c r="H39" t="inlineStr">
        <is>
          <t>1500</t>
        </is>
      </c>
      <c r="I39" t="inlineStr">
        <is>
          <t>15</t>
        </is>
      </c>
      <c r="J39" t="inlineStr">
        <is>
          <t>Completed</t>
        </is>
      </c>
      <c r="K39" t="inlineStr">
        <is>
          <t>2016</t>
        </is>
      </c>
      <c r="L39" t="inlineStr">
        <is>
          <t>6.0-6.5</t>
        </is>
      </c>
      <c r="M39" t="inlineStr">
        <is>
          <t>6-8</t>
        </is>
      </c>
      <c r="N39" t="inlineStr">
        <is>
          <t>12.0-14.5</t>
        </is>
      </c>
      <c r="O39" t="inlineStr">
        <is>
          <t>GEMS Wellington</t>
        </is>
      </c>
      <c r="P39" t="inlineStr">
        <is>
          <t>King's College Hospital</t>
        </is>
      </c>
      <c r="Q39" t="inlineStr">
        <is>
          <t>Dubai Hills Mall</t>
        </is>
      </c>
      <c r="R39" t="inlineStr">
        <is>
          <t>Al Khail E44</t>
        </is>
      </c>
      <c r="S39" t="inlineStr">
        <is>
          <t>15</t>
        </is>
      </c>
      <c r="T39" t="inlineStr">
        <is>
          <t>15</t>
        </is>
      </c>
      <c r="U39" t="inlineStr">
        <is>
          <t>20</t>
        </is>
      </c>
      <c r="V39" t="inlineStr">
        <is>
          <t>30</t>
        </is>
      </c>
      <c r="W39" t="n">
        <v>2</v>
      </c>
      <c r="X39" s="12" t="n">
        <v>3500000</v>
      </c>
      <c r="Y39" s="12" t="n">
        <v>3500000</v>
      </c>
      <c r="Z39" s="9" t="n">
        <v>6</v>
      </c>
      <c r="AA39" s="9" t="n">
        <v>6.5</v>
      </c>
      <c r="AB39" s="9" t="n">
        <v>6</v>
      </c>
      <c r="AC39" s="9" t="n">
        <v>8</v>
      </c>
      <c r="AD39" s="9" t="n">
        <v>12</v>
      </c>
      <c r="AE39" s="9" t="n">
        <v>14.5</v>
      </c>
      <c r="AF39" t="n">
        <v>2016</v>
      </c>
      <c r="AH39" t="inlineStr">
        <is>
          <t>Townhouse</t>
        </is>
      </c>
      <c r="AI39" t="inlineStr">
        <is>
          <t>Prime</t>
        </is>
      </c>
      <c r="AJ39" t="inlineStr">
        <is>
          <t>TopTier</t>
        </is>
      </c>
      <c r="AK39" t="inlineStr">
        <is>
          <t>Prime resilient / selective</t>
        </is>
      </c>
      <c r="AL39" t="inlineStr">
        <is>
          <t>Better support from quality, branding, and scarcer prime stock; still entry-price sensitive.</t>
        </is>
      </c>
      <c r="AM39" s="9" t="n">
        <v>7</v>
      </c>
      <c r="AN39" s="9" t="n">
        <v>6.25</v>
      </c>
      <c r="AO39" s="10" t="n">
        <v>0.55</v>
      </c>
      <c r="AP39" s="13" t="n">
        <v>0.02</v>
      </c>
      <c r="AQ39" s="13" t="n">
        <v>0.015</v>
      </c>
      <c r="AR39" s="13" t="n">
        <v>0</v>
      </c>
      <c r="AS39" s="13" t="n">
        <v>0.03</v>
      </c>
      <c r="AT39" s="13" t="n">
        <v>0.005</v>
      </c>
      <c r="AU39" s="13" t="n">
        <v>0.0025</v>
      </c>
      <c r="AV39" s="13" t="n">
        <v>-0.005</v>
      </c>
      <c r="AW39" s="13" t="n">
        <v>0.07350000000000001</v>
      </c>
      <c r="AX39" s="13" t="n">
        <v>0.0325</v>
      </c>
      <c r="AY39" s="12" t="n">
        <v>3644532</v>
      </c>
      <c r="AZ39" s="12" t="n">
        <v>3757250</v>
      </c>
      <c r="BA39" s="12" t="n">
        <v>3869968</v>
      </c>
      <c r="BB39" s="12" t="n">
        <v>3766643</v>
      </c>
      <c r="BC39" s="12" t="n">
        <v>3879361</v>
      </c>
      <c r="BD39" s="12" t="n">
        <v>3992078</v>
      </c>
      <c r="BE39" s="12" t="n">
        <v>4005440</v>
      </c>
      <c r="BF39" t="inlineStr">
        <is>
          <t>Frozen values from same rules-based model as formula sheet.</t>
        </is>
      </c>
      <c r="BG39" t="inlineStr">
        <is>
          <t>2026-03-17</t>
        </is>
      </c>
      <c r="BH39" t="inlineStr">
        <is>
          <t>DLD / Digital Dubai / CBUAE / Savills / Knight Frank-Moody’s / Reuters</t>
        </is>
      </c>
    </row>
    <row r="40">
      <c r="A40" t="n">
        <v>39</v>
      </c>
      <c r="B40" t="inlineStr">
        <is>
          <t>Address Villas Hillcrest</t>
        </is>
      </c>
      <c r="C40" t="inlineStr">
        <is>
          <t>Emaar Properties</t>
        </is>
      </c>
      <c r="D40" t="inlineStr">
        <is>
          <t>Dubai Hills Estate</t>
        </is>
      </c>
      <c r="E40" t="inlineStr">
        <is>
          <t>Villas</t>
        </is>
      </c>
      <c r="F40" t="inlineStr">
        <is>
          <t>Luxury / Golf</t>
        </is>
      </c>
      <c r="G40" t="inlineStr">
        <is>
          <t>8.0M</t>
        </is>
      </c>
      <c r="H40" t="inlineStr">
        <is>
          <t>2200</t>
        </is>
      </c>
      <c r="I40" t="inlineStr">
        <is>
          <t>25</t>
        </is>
      </c>
      <c r="J40" t="inlineStr">
        <is>
          <t>80/20</t>
        </is>
      </c>
      <c r="K40" t="inlineStr">
        <is>
          <t>2023</t>
        </is>
      </c>
      <c r="L40" t="inlineStr">
        <is>
          <t>4.5-5.0</t>
        </is>
      </c>
      <c r="M40" t="inlineStr">
        <is>
          <t>8-10</t>
        </is>
      </c>
      <c r="N40" t="inlineStr">
        <is>
          <t>12.5-15.0</t>
        </is>
      </c>
      <c r="O40" t="inlineStr">
        <is>
          <t>GEMS Wellington</t>
        </is>
      </c>
      <c r="P40" t="inlineStr">
        <is>
          <t>King's College Hospital</t>
        </is>
      </c>
      <c r="Q40" t="inlineStr">
        <is>
          <t>Dubai Hills Mall</t>
        </is>
      </c>
      <c r="R40" t="inlineStr">
        <is>
          <t>Al Khail E44</t>
        </is>
      </c>
      <c r="S40" t="inlineStr">
        <is>
          <t>15</t>
        </is>
      </c>
      <c r="T40" t="inlineStr">
        <is>
          <t>15</t>
        </is>
      </c>
      <c r="U40" t="inlineStr">
        <is>
          <t>20</t>
        </is>
      </c>
      <c r="V40" t="inlineStr">
        <is>
          <t>30</t>
        </is>
      </c>
      <c r="W40" t="n">
        <v>2</v>
      </c>
      <c r="X40" s="12" t="n">
        <v>8000000</v>
      </c>
      <c r="Y40" s="12" t="n">
        <v>8000000</v>
      </c>
      <c r="Z40" s="9" t="n">
        <v>4.5</v>
      </c>
      <c r="AA40" s="9" t="n">
        <v>5</v>
      </c>
      <c r="AB40" s="9" t="n">
        <v>8</v>
      </c>
      <c r="AC40" s="9" t="n">
        <v>10</v>
      </c>
      <c r="AD40" s="9" t="n">
        <v>12.5</v>
      </c>
      <c r="AE40" s="9" t="n">
        <v>15</v>
      </c>
      <c r="AF40" t="n">
        <v>2023</v>
      </c>
      <c r="AH40" t="inlineStr">
        <is>
          <t>Villa</t>
        </is>
      </c>
      <c r="AI40" t="inlineStr">
        <is>
          <t>Prime</t>
        </is>
      </c>
      <c r="AJ40" t="inlineStr">
        <is>
          <t>TopTier</t>
        </is>
      </c>
      <c r="AK40" t="inlineStr">
        <is>
          <t>Prime resilient / selective</t>
        </is>
      </c>
      <c r="AL40" t="inlineStr">
        <is>
          <t>Better support from quality, branding, and scarcer prime stock; still entry-price sensitive.</t>
        </is>
      </c>
      <c r="AM40" s="9" t="n">
        <v>9</v>
      </c>
      <c r="AN40" s="9" t="n">
        <v>4.75</v>
      </c>
      <c r="AO40" s="10" t="n">
        <v>0.55</v>
      </c>
      <c r="AP40" s="13" t="n">
        <v>0.02</v>
      </c>
      <c r="AQ40" s="13" t="n">
        <v>0.015</v>
      </c>
      <c r="AR40" s="13" t="n">
        <v>0</v>
      </c>
      <c r="AS40" s="13" t="n">
        <v>0.03</v>
      </c>
      <c r="AT40" s="13" t="n">
        <v>0.005</v>
      </c>
      <c r="AU40" s="13" t="n">
        <v>0</v>
      </c>
      <c r="AV40" s="13" t="n">
        <v>-0.005</v>
      </c>
      <c r="AW40" s="13" t="n">
        <v>0.08450000000000001</v>
      </c>
      <c r="AX40" s="13" t="n">
        <v>0.03</v>
      </c>
      <c r="AY40" s="12" t="n">
        <v>8415720</v>
      </c>
      <c r="AZ40" s="12" t="n">
        <v>8676000</v>
      </c>
      <c r="BA40" s="12" t="n">
        <v>8936280</v>
      </c>
      <c r="BB40" s="12" t="n">
        <v>8676000</v>
      </c>
      <c r="BC40" s="12" t="n">
        <v>8936280</v>
      </c>
      <c r="BD40" s="12" t="n">
        <v>9196560</v>
      </c>
      <c r="BE40" s="12" t="n">
        <v>9204368</v>
      </c>
      <c r="BF40" t="inlineStr">
        <is>
          <t>Frozen values from same rules-based model as formula sheet.</t>
        </is>
      </c>
      <c r="BG40" t="inlineStr">
        <is>
          <t>2026-03-17</t>
        </is>
      </c>
      <c r="BH40" t="inlineStr">
        <is>
          <t>DLD / Digital Dubai / CBUAE / Savills / Knight Frank-Moody’s / Reuters</t>
        </is>
      </c>
    </row>
    <row r="41">
      <c r="A41" t="n">
        <v>40</v>
      </c>
      <c r="B41" t="inlineStr">
        <is>
          <t>The Valley (Master Community)</t>
        </is>
      </c>
      <c r="C41" t="inlineStr">
        <is>
          <t>Emaar Properties</t>
        </is>
      </c>
      <c r="D41" t="inlineStr">
        <is>
          <t>Dubailand (Al Ain Rd)</t>
        </is>
      </c>
      <c r="E41" t="inlineStr">
        <is>
          <t>Mixed</t>
        </is>
      </c>
      <c r="F41" t="inlineStr">
        <is>
          <t>Suburban / Family</t>
        </is>
      </c>
      <c r="I41" t="inlineStr">
        <is>
          <t>12-15</t>
        </is>
      </c>
      <c r="J41" t="inlineStr">
        <is>
          <t>Varies</t>
        </is>
      </c>
      <c r="K41" t="inlineStr">
        <is>
          <t>Ongoing</t>
        </is>
      </c>
      <c r="L41" t="inlineStr">
        <is>
          <t>6.5-7.5</t>
        </is>
      </c>
      <c r="M41" t="inlineStr">
        <is>
          <t>10-15</t>
        </is>
      </c>
      <c r="N41" t="inlineStr">
        <is>
          <t>16.5-22.5</t>
        </is>
      </c>
      <c r="O41" t="inlineStr">
        <is>
          <t>The Aquila School</t>
        </is>
      </c>
      <c r="P41" t="inlineStr">
        <is>
          <t>Fakeeh University Hosp</t>
        </is>
      </c>
      <c r="Q41" t="inlineStr">
        <is>
          <t>Dubai Outlet Mall</t>
        </is>
      </c>
      <c r="R41" t="inlineStr">
        <is>
          <t>Al Ain Rd E66</t>
        </is>
      </c>
      <c r="S41" t="inlineStr">
        <is>
          <t>25</t>
        </is>
      </c>
      <c r="T41" t="inlineStr">
        <is>
          <t>35</t>
        </is>
      </c>
      <c r="U41" t="inlineStr">
        <is>
          <t>25</t>
        </is>
      </c>
      <c r="V41" t="inlineStr">
        <is>
          <t>35</t>
        </is>
      </c>
      <c r="W41" t="n">
        <v>2</v>
      </c>
      <c r="X41" s="12" t="n"/>
      <c r="Y41" s="12" t="n"/>
      <c r="Z41" s="9" t="n">
        <v>6.5</v>
      </c>
      <c r="AA41" s="9" t="n">
        <v>7.5</v>
      </c>
      <c r="AB41" s="9" t="n">
        <v>10</v>
      </c>
      <c r="AC41" s="9" t="n">
        <v>15</v>
      </c>
      <c r="AD41" s="9" t="n">
        <v>16.5</v>
      </c>
      <c r="AE41" s="9" t="n">
        <v>22.5</v>
      </c>
      <c r="AH41" t="inlineStr">
        <is>
          <t>Mixed/Other</t>
        </is>
      </c>
      <c r="AI41" t="inlineStr">
        <is>
          <t>MainstreamSelective</t>
        </is>
      </c>
      <c r="AJ41" t="inlineStr">
        <is>
          <t>TopTier</t>
        </is>
      </c>
      <c r="AK41" t="inlineStr">
        <is>
          <t>Balanced / selective</t>
        </is>
      </c>
      <c r="AL41" t="inlineStr">
        <is>
          <t>Market remains active but increasingly differentiated by developer, micro-location, livability, and pricing discipline.</t>
        </is>
      </c>
      <c r="AM41" s="9" t="n">
        <v>12.5</v>
      </c>
      <c r="AN41" s="9" t="n">
        <v>7</v>
      </c>
      <c r="AO41" s="10" t="n">
        <v>0.25</v>
      </c>
      <c r="AP41" s="13" t="n">
        <v>0</v>
      </c>
      <c r="AQ41" s="13" t="n">
        <v>0</v>
      </c>
      <c r="AR41" s="13" t="n">
        <v>0</v>
      </c>
      <c r="AS41" s="13" t="n">
        <v>0.01</v>
      </c>
      <c r="AT41" s="13" t="n">
        <v>0.005</v>
      </c>
      <c r="AU41" s="13" t="n">
        <v>0.0025</v>
      </c>
      <c r="AV41" s="13" t="n">
        <v>-0.005</v>
      </c>
      <c r="AW41" s="13" t="n">
        <v>0.03125</v>
      </c>
      <c r="AX41" s="13" t="n">
        <v>0.0125</v>
      </c>
      <c r="AY41" s="12" t="n"/>
      <c r="AZ41" s="12" t="n"/>
      <c r="BA41" s="12" t="n"/>
      <c r="BB41" s="12" t="n"/>
      <c r="BC41" s="12" t="n"/>
      <c r="BD41" s="12" t="n"/>
      <c r="BE41" s="12" t="n"/>
      <c r="BF41" t="inlineStr">
        <is>
          <t>Frozen values from same rules-based model as formula sheet.</t>
        </is>
      </c>
      <c r="BG41" t="inlineStr">
        <is>
          <t>2026-03-17</t>
        </is>
      </c>
      <c r="BH41" t="inlineStr">
        <is>
          <t>DLD / Digital Dubai / CBUAE / Savills / Knight Frank-Moody’s / Reuters</t>
        </is>
      </c>
    </row>
    <row r="42">
      <c r="A42" t="n">
        <v>41</v>
      </c>
      <c r="B42" t="inlineStr">
        <is>
          <t>Velora</t>
        </is>
      </c>
      <c r="C42" t="inlineStr">
        <is>
          <t>Emaar Properties</t>
        </is>
      </c>
      <c r="D42" t="inlineStr">
        <is>
          <t>The Valley (Phase 2)</t>
        </is>
      </c>
      <c r="E42" t="inlineStr">
        <is>
          <t>Townhouses</t>
        </is>
      </c>
      <c r="F42" t="inlineStr">
        <is>
          <t>Nature / Hills</t>
        </is>
      </c>
      <c r="G42" t="inlineStr">
        <is>
          <t>2.48M</t>
        </is>
      </c>
      <c r="H42" t="inlineStr">
        <is>
          <t>1100</t>
        </is>
      </c>
      <c r="I42" t="inlineStr">
        <is>
          <t>15</t>
        </is>
      </c>
      <c r="J42" t="inlineStr">
        <is>
          <t>80/20</t>
        </is>
      </c>
      <c r="K42" t="inlineStr">
        <is>
          <t>Aug 2028</t>
        </is>
      </c>
      <c r="L42" t="inlineStr">
        <is>
          <t>6.5-7.0</t>
        </is>
      </c>
      <c r="M42" t="inlineStr">
        <is>
          <t>10-15</t>
        </is>
      </c>
      <c r="N42" t="inlineStr">
        <is>
          <t>16.5-22.0</t>
        </is>
      </c>
      <c r="O42" t="inlineStr">
        <is>
          <t>The Aquila School</t>
        </is>
      </c>
      <c r="P42" t="inlineStr">
        <is>
          <t>Fakeeh University Hosp</t>
        </is>
      </c>
      <c r="Q42" t="inlineStr">
        <is>
          <t>Dubai Outlet Mall</t>
        </is>
      </c>
      <c r="R42" t="inlineStr">
        <is>
          <t>Al Ain Rd E66</t>
        </is>
      </c>
      <c r="S42" t="inlineStr">
        <is>
          <t>25</t>
        </is>
      </c>
      <c r="T42" t="inlineStr">
        <is>
          <t>35</t>
        </is>
      </c>
      <c r="U42" t="inlineStr">
        <is>
          <t>25</t>
        </is>
      </c>
      <c r="V42" t="inlineStr">
        <is>
          <t>35</t>
        </is>
      </c>
      <c r="W42" t="n">
        <v>2</v>
      </c>
      <c r="X42" s="12" t="n">
        <v>2480000</v>
      </c>
      <c r="Y42" s="12" t="n">
        <v>2480000</v>
      </c>
      <c r="Z42" s="9" t="n">
        <v>6.5</v>
      </c>
      <c r="AA42" s="9" t="n">
        <v>7</v>
      </c>
      <c r="AB42" s="9" t="n">
        <v>10</v>
      </c>
      <c r="AC42" s="9" t="n">
        <v>15</v>
      </c>
      <c r="AD42" s="9" t="n">
        <v>16.5</v>
      </c>
      <c r="AE42" s="9" t="n">
        <v>22</v>
      </c>
      <c r="AF42" t="n">
        <v>2028</v>
      </c>
      <c r="AH42" t="inlineStr">
        <is>
          <t>Townhouse</t>
        </is>
      </c>
      <c r="AI42" t="inlineStr">
        <is>
          <t>MainstreamSelective</t>
        </is>
      </c>
      <c r="AJ42" t="inlineStr">
        <is>
          <t>TopTier</t>
        </is>
      </c>
      <c r="AK42" t="inlineStr">
        <is>
          <t>Family-villa resilient</t>
        </is>
      </c>
      <c r="AL42" t="inlineStr">
        <is>
          <t>Villa/townhouse demand remains relatively firmer, though growth should be slower than the post-2020 surge.</t>
        </is>
      </c>
      <c r="AM42" s="9" t="n">
        <v>12.5</v>
      </c>
      <c r="AN42" s="9" t="n">
        <v>6.75</v>
      </c>
      <c r="AO42" s="10" t="n">
        <v>0.25</v>
      </c>
      <c r="AP42" s="13" t="n">
        <v>0</v>
      </c>
      <c r="AQ42" s="13" t="n">
        <v>0.015</v>
      </c>
      <c r="AR42" s="13" t="n">
        <v>0</v>
      </c>
      <c r="AS42" s="13" t="n">
        <v>0.025</v>
      </c>
      <c r="AT42" s="13" t="n">
        <v>0.005</v>
      </c>
      <c r="AU42" s="13" t="n">
        <v>0.0025</v>
      </c>
      <c r="AV42" s="13" t="n">
        <v>-0.005</v>
      </c>
      <c r="AW42" s="13" t="n">
        <v>0.04625</v>
      </c>
      <c r="AX42" s="13" t="n">
        <v>0.0275</v>
      </c>
      <c r="AY42" s="12" t="n">
        <v>2516859</v>
      </c>
      <c r="AZ42" s="12" t="n">
        <v>2594700</v>
      </c>
      <c r="BA42" s="12" t="n">
        <v>2672541</v>
      </c>
      <c r="BB42" s="12" t="n">
        <v>2588213</v>
      </c>
      <c r="BC42" s="12" t="n">
        <v>2666054</v>
      </c>
      <c r="BD42" s="12" t="n">
        <v>2743895</v>
      </c>
      <c r="BE42" s="12" t="n">
        <v>2739371</v>
      </c>
      <c r="BF42" t="inlineStr">
        <is>
          <t>Frozen values from same rules-based model as formula sheet.</t>
        </is>
      </c>
      <c r="BG42" t="inlineStr">
        <is>
          <t>2026-03-17</t>
        </is>
      </c>
      <c r="BH42" t="inlineStr">
        <is>
          <t>DLD / Digital Dubai / CBUAE / Savills / Knight Frank-Moody’s / Reuters</t>
        </is>
      </c>
    </row>
    <row r="43">
      <c r="A43" t="n">
        <v>42</v>
      </c>
      <c r="B43" t="inlineStr">
        <is>
          <t>Venera</t>
        </is>
      </c>
      <c r="C43" t="inlineStr">
        <is>
          <t>Emaar Properties</t>
        </is>
      </c>
      <c r="D43" t="inlineStr">
        <is>
          <t>The Valley (Phase 2)</t>
        </is>
      </c>
      <c r="E43" t="inlineStr">
        <is>
          <t>Townhouses</t>
        </is>
      </c>
      <c r="F43" t="inlineStr">
        <is>
          <t>Nature / Hills</t>
        </is>
      </c>
      <c r="G43" t="inlineStr">
        <is>
          <t>2.5M</t>
        </is>
      </c>
      <c r="H43" t="inlineStr">
        <is>
          <t>1100</t>
        </is>
      </c>
      <c r="I43" t="inlineStr">
        <is>
          <t>15</t>
        </is>
      </c>
      <c r="J43" t="inlineStr">
        <is>
          <t>80/20</t>
        </is>
      </c>
      <c r="K43" t="inlineStr">
        <is>
          <t>2024</t>
        </is>
      </c>
      <c r="L43" t="inlineStr">
        <is>
          <t>6.5-7.0</t>
        </is>
      </c>
      <c r="M43" t="inlineStr">
        <is>
          <t>10-15</t>
        </is>
      </c>
      <c r="N43" t="inlineStr">
        <is>
          <t>16.5-22.0</t>
        </is>
      </c>
      <c r="O43" t="inlineStr">
        <is>
          <t>The Aquila School</t>
        </is>
      </c>
      <c r="P43" t="inlineStr">
        <is>
          <t>Fakeeh University Hosp</t>
        </is>
      </c>
      <c r="Q43" t="inlineStr">
        <is>
          <t>Dubai Outlet Mall</t>
        </is>
      </c>
      <c r="R43" t="inlineStr">
        <is>
          <t>Al Ain Rd E66</t>
        </is>
      </c>
      <c r="S43" t="inlineStr">
        <is>
          <t>25</t>
        </is>
      </c>
      <c r="T43" t="inlineStr">
        <is>
          <t>35</t>
        </is>
      </c>
      <c r="U43" t="inlineStr">
        <is>
          <t>25</t>
        </is>
      </c>
      <c r="V43" t="inlineStr">
        <is>
          <t>35</t>
        </is>
      </c>
      <c r="W43" t="n">
        <v>2</v>
      </c>
      <c r="X43" s="12" t="n">
        <v>2500000</v>
      </c>
      <c r="Y43" s="12" t="n">
        <v>2500000</v>
      </c>
      <c r="Z43" s="9" t="n">
        <v>6.5</v>
      </c>
      <c r="AA43" s="9" t="n">
        <v>7</v>
      </c>
      <c r="AB43" s="9" t="n">
        <v>10</v>
      </c>
      <c r="AC43" s="9" t="n">
        <v>15</v>
      </c>
      <c r="AD43" s="9" t="n">
        <v>16.5</v>
      </c>
      <c r="AE43" s="9" t="n">
        <v>22</v>
      </c>
      <c r="AF43" t="n">
        <v>2024</v>
      </c>
      <c r="AH43" t="inlineStr">
        <is>
          <t>Townhouse</t>
        </is>
      </c>
      <c r="AI43" t="inlineStr">
        <is>
          <t>MainstreamSelective</t>
        </is>
      </c>
      <c r="AJ43" t="inlineStr">
        <is>
          <t>TopTier</t>
        </is>
      </c>
      <c r="AK43" t="inlineStr">
        <is>
          <t>Family-villa resilient</t>
        </is>
      </c>
      <c r="AL43" t="inlineStr">
        <is>
          <t>Villa/townhouse demand remains relatively firmer, though growth should be slower than the post-2020 surge.</t>
        </is>
      </c>
      <c r="AM43" s="9" t="n">
        <v>12.5</v>
      </c>
      <c r="AN43" s="9" t="n">
        <v>6.75</v>
      </c>
      <c r="AO43" s="10" t="n">
        <v>0.55</v>
      </c>
      <c r="AP43" s="13" t="n">
        <v>0</v>
      </c>
      <c r="AQ43" s="13" t="n">
        <v>0.015</v>
      </c>
      <c r="AR43" s="13" t="n">
        <v>0</v>
      </c>
      <c r="AS43" s="13" t="n">
        <v>0.025</v>
      </c>
      <c r="AT43" s="13" t="n">
        <v>0.005</v>
      </c>
      <c r="AU43" s="13" t="n">
        <v>0.0025</v>
      </c>
      <c r="AV43" s="13" t="n">
        <v>-0.005</v>
      </c>
      <c r="AW43" s="13" t="n">
        <v>0.08375</v>
      </c>
      <c r="AX43" s="13" t="n">
        <v>0.0275</v>
      </c>
      <c r="AY43" s="12" t="n">
        <v>2628094</v>
      </c>
      <c r="AZ43" s="12" t="n">
        <v>2709375</v>
      </c>
      <c r="BA43" s="12" t="n">
        <v>2790656</v>
      </c>
      <c r="BB43" s="12" t="n">
        <v>2702602</v>
      </c>
      <c r="BC43" s="12" t="n">
        <v>2783883</v>
      </c>
      <c r="BD43" s="12" t="n">
        <v>2865164</v>
      </c>
      <c r="BE43" s="12" t="n">
        <v>2860440</v>
      </c>
      <c r="BF43" t="inlineStr">
        <is>
          <t>Frozen values from same rules-based model as formula sheet.</t>
        </is>
      </c>
      <c r="BG43" t="inlineStr">
        <is>
          <t>2026-03-17</t>
        </is>
      </c>
      <c r="BH43" t="inlineStr">
        <is>
          <t>DLD / Digital Dubai / CBUAE / Savills / Knight Frank-Moody’s / Reuters</t>
        </is>
      </c>
    </row>
    <row r="44">
      <c r="A44" t="n">
        <v>43</v>
      </c>
      <c r="B44" t="inlineStr">
        <is>
          <t>Rivera</t>
        </is>
      </c>
      <c r="C44" t="inlineStr">
        <is>
          <t>Emaar Properties</t>
        </is>
      </c>
      <c r="D44" t="inlineStr">
        <is>
          <t>The Valley</t>
        </is>
      </c>
      <c r="E44" t="inlineStr">
        <is>
          <t>Townhouses</t>
        </is>
      </c>
      <c r="F44" t="inlineStr">
        <is>
          <t>Water / Lagoon</t>
        </is>
      </c>
      <c r="G44" t="inlineStr">
        <is>
          <t>2.6M</t>
        </is>
      </c>
      <c r="H44" t="inlineStr">
        <is>
          <t>1150</t>
        </is>
      </c>
      <c r="I44" t="inlineStr">
        <is>
          <t>15</t>
        </is>
      </c>
      <c r="J44" t="inlineStr">
        <is>
          <t>80/20</t>
        </is>
      </c>
      <c r="K44" t="inlineStr">
        <is>
          <t>2024</t>
        </is>
      </c>
      <c r="L44" t="inlineStr">
        <is>
          <t>6.5-7.0</t>
        </is>
      </c>
      <c r="M44" t="inlineStr">
        <is>
          <t>10-15</t>
        </is>
      </c>
      <c r="N44" t="inlineStr">
        <is>
          <t>16.5-22.0</t>
        </is>
      </c>
      <c r="O44" t="inlineStr">
        <is>
          <t>The Aquila School</t>
        </is>
      </c>
      <c r="P44" t="inlineStr">
        <is>
          <t>Fakeeh University Hosp</t>
        </is>
      </c>
      <c r="Q44" t="inlineStr">
        <is>
          <t>Dubai Outlet Mall</t>
        </is>
      </c>
      <c r="R44" t="inlineStr">
        <is>
          <t>Al Ain Rd E66</t>
        </is>
      </c>
      <c r="S44" t="inlineStr">
        <is>
          <t>25</t>
        </is>
      </c>
      <c r="T44" t="inlineStr">
        <is>
          <t>35</t>
        </is>
      </c>
      <c r="U44" t="inlineStr">
        <is>
          <t>25</t>
        </is>
      </c>
      <c r="V44" t="inlineStr">
        <is>
          <t>35</t>
        </is>
      </c>
      <c r="W44" t="n">
        <v>2</v>
      </c>
      <c r="X44" s="12" t="n">
        <v>2600000</v>
      </c>
      <c r="Y44" s="12" t="n">
        <v>2600000</v>
      </c>
      <c r="Z44" s="9" t="n">
        <v>6.5</v>
      </c>
      <c r="AA44" s="9" t="n">
        <v>7</v>
      </c>
      <c r="AB44" s="9" t="n">
        <v>10</v>
      </c>
      <c r="AC44" s="9" t="n">
        <v>15</v>
      </c>
      <c r="AD44" s="9" t="n">
        <v>16.5</v>
      </c>
      <c r="AE44" s="9" t="n">
        <v>22</v>
      </c>
      <c r="AF44" t="n">
        <v>2024</v>
      </c>
      <c r="AH44" t="inlineStr">
        <is>
          <t>Townhouse</t>
        </is>
      </c>
      <c r="AI44" t="inlineStr">
        <is>
          <t>FamilyVilla</t>
        </is>
      </c>
      <c r="AJ44" t="inlineStr">
        <is>
          <t>TopTier</t>
        </is>
      </c>
      <c r="AK44" t="inlineStr">
        <is>
          <t>Family-villa resilient</t>
        </is>
      </c>
      <c r="AL44" t="inlineStr">
        <is>
          <t>Villa/townhouse demand remains relatively firmer, though growth should be slower than the post-2020 surge.</t>
        </is>
      </c>
      <c r="AM44" s="9" t="n">
        <v>12.5</v>
      </c>
      <c r="AN44" s="9" t="n">
        <v>6.75</v>
      </c>
      <c r="AO44" s="10" t="n">
        <v>0.55</v>
      </c>
      <c r="AP44" s="13" t="n">
        <v>0</v>
      </c>
      <c r="AQ44" s="13" t="n">
        <v>0.015</v>
      </c>
      <c r="AR44" s="13" t="n">
        <v>0</v>
      </c>
      <c r="AS44" s="13" t="n">
        <v>0.025</v>
      </c>
      <c r="AT44" s="13" t="n">
        <v>0.005</v>
      </c>
      <c r="AU44" s="13" t="n">
        <v>0.0025</v>
      </c>
      <c r="AV44" s="13" t="n">
        <v>-0.005</v>
      </c>
      <c r="AW44" s="13" t="n">
        <v>0.08375</v>
      </c>
      <c r="AX44" s="13" t="n">
        <v>0.0275</v>
      </c>
      <c r="AY44" s="12" t="n">
        <v>2733218</v>
      </c>
      <c r="AZ44" s="12" t="n">
        <v>2817750</v>
      </c>
      <c r="BA44" s="12" t="n">
        <v>2902282</v>
      </c>
      <c r="BB44" s="12" t="n">
        <v>2810706</v>
      </c>
      <c r="BC44" s="12" t="n">
        <v>2895238</v>
      </c>
      <c r="BD44" s="12" t="n">
        <v>2979771</v>
      </c>
      <c r="BE44" s="12" t="n">
        <v>2974857</v>
      </c>
      <c r="BF44" t="inlineStr">
        <is>
          <t>Frozen values from same rules-based model as formula sheet.</t>
        </is>
      </c>
      <c r="BG44" t="inlineStr">
        <is>
          <t>2026-03-17</t>
        </is>
      </c>
      <c r="BH44" t="inlineStr">
        <is>
          <t>DLD / Digital Dubai / CBUAE / Savills / Knight Frank-Moody’s / Reuters</t>
        </is>
      </c>
    </row>
    <row r="45">
      <c r="A45" t="n">
        <v>44</v>
      </c>
      <c r="B45" t="inlineStr">
        <is>
          <t>Avena</t>
        </is>
      </c>
      <c r="C45" t="inlineStr">
        <is>
          <t>Emaar Properties</t>
        </is>
      </c>
      <c r="D45" t="inlineStr">
        <is>
          <t>The Valley</t>
        </is>
      </c>
      <c r="E45" t="inlineStr">
        <is>
          <t>Villas</t>
        </is>
      </c>
      <c r="F45" t="inlineStr">
        <is>
          <t>Nature</t>
        </is>
      </c>
      <c r="G45" t="inlineStr">
        <is>
          <t>3.2M</t>
        </is>
      </c>
      <c r="H45" t="inlineStr">
        <is>
          <t>1200</t>
        </is>
      </c>
      <c r="I45" t="inlineStr">
        <is>
          <t>15</t>
        </is>
      </c>
      <c r="J45" t="inlineStr">
        <is>
          <t>80/20</t>
        </is>
      </c>
      <c r="K45" t="inlineStr">
        <is>
          <t>2024</t>
        </is>
      </c>
      <c r="L45" t="inlineStr">
        <is>
          <t>6.0-6.5</t>
        </is>
      </c>
      <c r="M45" t="inlineStr">
        <is>
          <t>10-15</t>
        </is>
      </c>
      <c r="N45" t="inlineStr">
        <is>
          <t>16.0-21.5</t>
        </is>
      </c>
      <c r="O45" t="inlineStr">
        <is>
          <t>The Aquila School</t>
        </is>
      </c>
      <c r="P45" t="inlineStr">
        <is>
          <t>Fakeeh University Hosp</t>
        </is>
      </c>
      <c r="Q45" t="inlineStr">
        <is>
          <t>Dubai Outlet Mall</t>
        </is>
      </c>
      <c r="R45" t="inlineStr">
        <is>
          <t>Al Ain Rd E66</t>
        </is>
      </c>
      <c r="S45" t="inlineStr">
        <is>
          <t>25</t>
        </is>
      </c>
      <c r="T45" t="inlineStr">
        <is>
          <t>35</t>
        </is>
      </c>
      <c r="U45" t="inlineStr">
        <is>
          <t>25</t>
        </is>
      </c>
      <c r="V45" t="inlineStr">
        <is>
          <t>35</t>
        </is>
      </c>
      <c r="W45" t="n">
        <v>2</v>
      </c>
      <c r="X45" s="12" t="n">
        <v>3200000</v>
      </c>
      <c r="Y45" s="12" t="n">
        <v>3200000</v>
      </c>
      <c r="Z45" s="9" t="n">
        <v>6</v>
      </c>
      <c r="AA45" s="9" t="n">
        <v>6.5</v>
      </c>
      <c r="AB45" s="9" t="n">
        <v>10</v>
      </c>
      <c r="AC45" s="9" t="n">
        <v>15</v>
      </c>
      <c r="AD45" s="9" t="n">
        <v>16</v>
      </c>
      <c r="AE45" s="9" t="n">
        <v>21.5</v>
      </c>
      <c r="AF45" t="n">
        <v>2024</v>
      </c>
      <c r="AH45" t="inlineStr">
        <is>
          <t>Villa</t>
        </is>
      </c>
      <c r="AI45" t="inlineStr">
        <is>
          <t>FamilyVilla</t>
        </is>
      </c>
      <c r="AJ45" t="inlineStr">
        <is>
          <t>TopTier</t>
        </is>
      </c>
      <c r="AK45" t="inlineStr">
        <is>
          <t>Family-villa resilient</t>
        </is>
      </c>
      <c r="AL45" t="inlineStr">
        <is>
          <t>Villa/townhouse demand remains relatively firmer, though growth should be slower than the post-2020 surge.</t>
        </is>
      </c>
      <c r="AM45" s="9" t="n">
        <v>12.5</v>
      </c>
      <c r="AN45" s="9" t="n">
        <v>6.25</v>
      </c>
      <c r="AO45" s="10" t="n">
        <v>0.55</v>
      </c>
      <c r="AP45" s="13" t="n">
        <v>0</v>
      </c>
      <c r="AQ45" s="13" t="n">
        <v>0.015</v>
      </c>
      <c r="AR45" s="13" t="n">
        <v>0</v>
      </c>
      <c r="AS45" s="13" t="n">
        <v>0.025</v>
      </c>
      <c r="AT45" s="13" t="n">
        <v>0.005</v>
      </c>
      <c r="AU45" s="13" t="n">
        <v>0.0025</v>
      </c>
      <c r="AV45" s="13" t="n">
        <v>-0.005</v>
      </c>
      <c r="AW45" s="13" t="n">
        <v>0.08375</v>
      </c>
      <c r="AX45" s="13" t="n">
        <v>0.0275</v>
      </c>
      <c r="AY45" s="12" t="n">
        <v>3363960</v>
      </c>
      <c r="AZ45" s="12" t="n">
        <v>3468000</v>
      </c>
      <c r="BA45" s="12" t="n">
        <v>3572040</v>
      </c>
      <c r="BB45" s="12" t="n">
        <v>3459330</v>
      </c>
      <c r="BC45" s="12" t="n">
        <v>3563370</v>
      </c>
      <c r="BD45" s="12" t="n">
        <v>3667410</v>
      </c>
      <c r="BE45" s="12" t="n">
        <v>3661363</v>
      </c>
      <c r="BF45" t="inlineStr">
        <is>
          <t>Frozen values from same rules-based model as formula sheet.</t>
        </is>
      </c>
      <c r="BG45" t="inlineStr">
        <is>
          <t>2026-03-17</t>
        </is>
      </c>
      <c r="BH45" t="inlineStr">
        <is>
          <t>DLD / Digital Dubai / CBUAE / Savills / Knight Frank-Moody’s / Reuters</t>
        </is>
      </c>
    </row>
    <row r="46">
      <c r="A46" t="n">
        <v>45</v>
      </c>
      <c r="B46" t="inlineStr">
        <is>
          <t>Ovelle</t>
        </is>
      </c>
      <c r="C46" t="inlineStr">
        <is>
          <t>Emaar Properties</t>
        </is>
      </c>
      <c r="D46" t="inlineStr">
        <is>
          <t>The Valley</t>
        </is>
      </c>
      <c r="E46" t="inlineStr">
        <is>
          <t>Townhouses</t>
        </is>
      </c>
      <c r="F46" t="inlineStr">
        <is>
          <t>Family</t>
        </is>
      </c>
      <c r="G46" t="inlineStr">
        <is>
          <t>2.4M</t>
        </is>
      </c>
      <c r="H46" t="inlineStr">
        <is>
          <t>1050</t>
        </is>
      </c>
      <c r="I46" t="inlineStr">
        <is>
          <t>15</t>
        </is>
      </c>
      <c r="J46" t="inlineStr">
        <is>
          <t>80/20</t>
        </is>
      </c>
      <c r="K46" t="inlineStr">
        <is>
          <t>2024</t>
        </is>
      </c>
      <c r="L46" t="inlineStr">
        <is>
          <t>6.5-7.0</t>
        </is>
      </c>
      <c r="M46" t="inlineStr">
        <is>
          <t>10-15</t>
        </is>
      </c>
      <c r="N46" t="inlineStr">
        <is>
          <t>16.5-22.0</t>
        </is>
      </c>
      <c r="O46" t="inlineStr">
        <is>
          <t>The Aquila School</t>
        </is>
      </c>
      <c r="P46" t="inlineStr">
        <is>
          <t>Fakeeh University Hosp</t>
        </is>
      </c>
      <c r="Q46" t="inlineStr">
        <is>
          <t>Dubai Outlet Mall</t>
        </is>
      </c>
      <c r="R46" t="inlineStr">
        <is>
          <t>Al Ain Rd E66</t>
        </is>
      </c>
      <c r="S46" t="inlineStr">
        <is>
          <t>25</t>
        </is>
      </c>
      <c r="T46" t="inlineStr">
        <is>
          <t>35</t>
        </is>
      </c>
      <c r="U46" t="inlineStr">
        <is>
          <t>25</t>
        </is>
      </c>
      <c r="V46" t="inlineStr">
        <is>
          <t>35</t>
        </is>
      </c>
      <c r="W46" t="n">
        <v>2</v>
      </c>
      <c r="X46" s="12" t="n">
        <v>2400000</v>
      </c>
      <c r="Y46" s="12" t="n">
        <v>2400000</v>
      </c>
      <c r="Z46" s="9" t="n">
        <v>6.5</v>
      </c>
      <c r="AA46" s="9" t="n">
        <v>7</v>
      </c>
      <c r="AB46" s="9" t="n">
        <v>10</v>
      </c>
      <c r="AC46" s="9" t="n">
        <v>15</v>
      </c>
      <c r="AD46" s="9" t="n">
        <v>16.5</v>
      </c>
      <c r="AE46" s="9" t="n">
        <v>22</v>
      </c>
      <c r="AF46" t="n">
        <v>2024</v>
      </c>
      <c r="AH46" t="inlineStr">
        <is>
          <t>Townhouse</t>
        </is>
      </c>
      <c r="AI46" t="inlineStr">
        <is>
          <t>FamilyVilla</t>
        </is>
      </c>
      <c r="AJ46" t="inlineStr">
        <is>
          <t>TopTier</t>
        </is>
      </c>
      <c r="AK46" t="inlineStr">
        <is>
          <t>Family-villa resilient</t>
        </is>
      </c>
      <c r="AL46" t="inlineStr">
        <is>
          <t>Villa/townhouse demand remains relatively firmer, though growth should be slower than the post-2020 surge.</t>
        </is>
      </c>
      <c r="AM46" s="9" t="n">
        <v>12.5</v>
      </c>
      <c r="AN46" s="9" t="n">
        <v>6.75</v>
      </c>
      <c r="AO46" s="10" t="n">
        <v>0.55</v>
      </c>
      <c r="AP46" s="13" t="n">
        <v>0</v>
      </c>
      <c r="AQ46" s="13" t="n">
        <v>0.015</v>
      </c>
      <c r="AR46" s="13" t="n">
        <v>0</v>
      </c>
      <c r="AS46" s="13" t="n">
        <v>0.025</v>
      </c>
      <c r="AT46" s="13" t="n">
        <v>0.005</v>
      </c>
      <c r="AU46" s="13" t="n">
        <v>0.0025</v>
      </c>
      <c r="AV46" s="13" t="n">
        <v>-0.005</v>
      </c>
      <c r="AW46" s="13" t="n">
        <v>0.08375</v>
      </c>
      <c r="AX46" s="13" t="n">
        <v>0.0275</v>
      </c>
      <c r="AY46" s="12" t="n">
        <v>2522970</v>
      </c>
      <c r="AZ46" s="12" t="n">
        <v>2601000</v>
      </c>
      <c r="BA46" s="12" t="n">
        <v>2679030</v>
      </c>
      <c r="BB46" s="12" t="n">
        <v>2594498</v>
      </c>
      <c r="BC46" s="12" t="n">
        <v>2672528</v>
      </c>
      <c r="BD46" s="12" t="n">
        <v>2750558</v>
      </c>
      <c r="BE46" s="12" t="n">
        <v>2746022</v>
      </c>
      <c r="BF46" t="inlineStr">
        <is>
          <t>Frozen values from same rules-based model as formula sheet.</t>
        </is>
      </c>
      <c r="BG46" t="inlineStr">
        <is>
          <t>2026-03-17</t>
        </is>
      </c>
      <c r="BH46" t="inlineStr">
        <is>
          <t>DLD / Digital Dubai / CBUAE / Savills / Knight Frank-Moody’s / Reuters</t>
        </is>
      </c>
    </row>
    <row r="47">
      <c r="A47" t="n">
        <v>46</v>
      </c>
      <c r="B47" t="inlineStr">
        <is>
          <t>Avelia</t>
        </is>
      </c>
      <c r="C47" t="inlineStr">
        <is>
          <t>Emaar Properties</t>
        </is>
      </c>
      <c r="D47" t="inlineStr">
        <is>
          <t>The Valley</t>
        </is>
      </c>
      <c r="E47" t="inlineStr">
        <is>
          <t>Townhouses</t>
        </is>
      </c>
      <c r="F47" t="inlineStr">
        <is>
          <t>Family</t>
        </is>
      </c>
      <c r="G47" t="inlineStr">
        <is>
          <t>2.3M</t>
        </is>
      </c>
      <c r="H47" t="inlineStr">
        <is>
          <t>1000</t>
        </is>
      </c>
      <c r="I47" t="inlineStr">
        <is>
          <t>15</t>
        </is>
      </c>
      <c r="J47" t="inlineStr">
        <is>
          <t>80/20</t>
        </is>
      </c>
      <c r="K47" t="inlineStr">
        <is>
          <t>2024</t>
        </is>
      </c>
      <c r="L47" t="inlineStr">
        <is>
          <t>6.5-7.0</t>
        </is>
      </c>
      <c r="M47" t="inlineStr">
        <is>
          <t>10-15</t>
        </is>
      </c>
      <c r="N47" t="inlineStr">
        <is>
          <t>16.5-22.0</t>
        </is>
      </c>
      <c r="O47" t="inlineStr">
        <is>
          <t>The Aquila School</t>
        </is>
      </c>
      <c r="P47" t="inlineStr">
        <is>
          <t>Fakeeh University Hosp</t>
        </is>
      </c>
      <c r="Q47" t="inlineStr">
        <is>
          <t>Dubai Outlet Mall</t>
        </is>
      </c>
      <c r="R47" t="inlineStr">
        <is>
          <t>Al Ain Rd E66</t>
        </is>
      </c>
      <c r="S47" t="inlineStr">
        <is>
          <t>25</t>
        </is>
      </c>
      <c r="T47" t="inlineStr">
        <is>
          <t>35</t>
        </is>
      </c>
      <c r="U47" t="inlineStr">
        <is>
          <t>25</t>
        </is>
      </c>
      <c r="V47" t="inlineStr">
        <is>
          <t>35</t>
        </is>
      </c>
      <c r="W47" t="n">
        <v>2</v>
      </c>
      <c r="X47" s="12" t="n">
        <v>2300000</v>
      </c>
      <c r="Y47" s="12" t="n">
        <v>2300000</v>
      </c>
      <c r="Z47" s="9" t="n">
        <v>6.5</v>
      </c>
      <c r="AA47" s="9" t="n">
        <v>7</v>
      </c>
      <c r="AB47" s="9" t="n">
        <v>10</v>
      </c>
      <c r="AC47" s="9" t="n">
        <v>15</v>
      </c>
      <c r="AD47" s="9" t="n">
        <v>16.5</v>
      </c>
      <c r="AE47" s="9" t="n">
        <v>22</v>
      </c>
      <c r="AF47" t="n">
        <v>2024</v>
      </c>
      <c r="AH47" t="inlineStr">
        <is>
          <t>Townhouse</t>
        </is>
      </c>
      <c r="AI47" t="inlineStr">
        <is>
          <t>FamilyVilla</t>
        </is>
      </c>
      <c r="AJ47" t="inlineStr">
        <is>
          <t>TopTier</t>
        </is>
      </c>
      <c r="AK47" t="inlineStr">
        <is>
          <t>Family-villa resilient</t>
        </is>
      </c>
      <c r="AL47" t="inlineStr">
        <is>
          <t>Villa/townhouse demand remains relatively firmer, though growth should be slower than the post-2020 surge.</t>
        </is>
      </c>
      <c r="AM47" s="9" t="n">
        <v>12.5</v>
      </c>
      <c r="AN47" s="9" t="n">
        <v>6.75</v>
      </c>
      <c r="AO47" s="10" t="n">
        <v>0.55</v>
      </c>
      <c r="AP47" s="13" t="n">
        <v>0</v>
      </c>
      <c r="AQ47" s="13" t="n">
        <v>0.015</v>
      </c>
      <c r="AR47" s="13" t="n">
        <v>0</v>
      </c>
      <c r="AS47" s="13" t="n">
        <v>0.025</v>
      </c>
      <c r="AT47" s="13" t="n">
        <v>0.005</v>
      </c>
      <c r="AU47" s="13" t="n">
        <v>0.0025</v>
      </c>
      <c r="AV47" s="13" t="n">
        <v>-0.005</v>
      </c>
      <c r="AW47" s="13" t="n">
        <v>0.08375</v>
      </c>
      <c r="AX47" s="13" t="n">
        <v>0.0275</v>
      </c>
      <c r="AY47" s="12" t="n">
        <v>2417846</v>
      </c>
      <c r="AZ47" s="12" t="n">
        <v>2492625</v>
      </c>
      <c r="BA47" s="12" t="n">
        <v>2567404</v>
      </c>
      <c r="BB47" s="12" t="n">
        <v>2486393</v>
      </c>
      <c r="BC47" s="12" t="n">
        <v>2561172</v>
      </c>
      <c r="BD47" s="12" t="n">
        <v>2635951</v>
      </c>
      <c r="BE47" s="12" t="n">
        <v>2631604</v>
      </c>
      <c r="BF47" t="inlineStr">
        <is>
          <t>Frozen values from same rules-based model as formula sheet.</t>
        </is>
      </c>
      <c r="BG47" t="inlineStr">
        <is>
          <t>2026-03-17</t>
        </is>
      </c>
      <c r="BH47" t="inlineStr">
        <is>
          <t>DLD / Digital Dubai / CBUAE / Savills / Knight Frank-Moody’s / Reuters</t>
        </is>
      </c>
    </row>
    <row r="48">
      <c r="A48" t="n">
        <v>47</v>
      </c>
      <c r="B48" t="inlineStr">
        <is>
          <t>Elora</t>
        </is>
      </c>
      <c r="C48" t="inlineStr">
        <is>
          <t>Emaar Properties</t>
        </is>
      </c>
      <c r="D48" t="inlineStr">
        <is>
          <t>The Valley</t>
        </is>
      </c>
      <c r="E48" t="inlineStr">
        <is>
          <t>Townhouses</t>
        </is>
      </c>
      <c r="F48" t="inlineStr">
        <is>
          <t>Family</t>
        </is>
      </c>
      <c r="G48" t="inlineStr">
        <is>
          <t>2.1M</t>
        </is>
      </c>
      <c r="H48" t="inlineStr">
        <is>
          <t>1000</t>
        </is>
      </c>
      <c r="I48" t="inlineStr">
        <is>
          <t>15</t>
        </is>
      </c>
      <c r="J48" t="inlineStr">
        <is>
          <t>80/20</t>
        </is>
      </c>
      <c r="K48" t="inlineStr">
        <is>
          <t>2023</t>
        </is>
      </c>
      <c r="L48" t="inlineStr">
        <is>
          <t>7.0-7.5</t>
        </is>
      </c>
      <c r="M48" t="inlineStr">
        <is>
          <t>10-12</t>
        </is>
      </c>
      <c r="N48" t="inlineStr">
        <is>
          <t>17.0-19.5</t>
        </is>
      </c>
      <c r="O48" t="inlineStr">
        <is>
          <t>The Aquila School</t>
        </is>
      </c>
      <c r="P48" t="inlineStr">
        <is>
          <t>Fakeeh University Hosp</t>
        </is>
      </c>
      <c r="Q48" t="inlineStr">
        <is>
          <t>Dubai Outlet Mall</t>
        </is>
      </c>
      <c r="R48" t="inlineStr">
        <is>
          <t>Al Ain Rd E66</t>
        </is>
      </c>
      <c r="S48" t="inlineStr">
        <is>
          <t>25</t>
        </is>
      </c>
      <c r="T48" t="inlineStr">
        <is>
          <t>35</t>
        </is>
      </c>
      <c r="U48" t="inlineStr">
        <is>
          <t>25</t>
        </is>
      </c>
      <c r="V48" t="inlineStr">
        <is>
          <t>35</t>
        </is>
      </c>
      <c r="W48" t="n">
        <v>2</v>
      </c>
      <c r="X48" s="12" t="n">
        <v>2100000</v>
      </c>
      <c r="Y48" s="12" t="n">
        <v>2100000</v>
      </c>
      <c r="Z48" s="9" t="n">
        <v>7</v>
      </c>
      <c r="AA48" s="9" t="n">
        <v>7.5</v>
      </c>
      <c r="AB48" s="9" t="n">
        <v>10</v>
      </c>
      <c r="AC48" s="9" t="n">
        <v>12</v>
      </c>
      <c r="AD48" s="9" t="n">
        <v>17</v>
      </c>
      <c r="AE48" s="9" t="n">
        <v>19.5</v>
      </c>
      <c r="AF48" t="n">
        <v>2023</v>
      </c>
      <c r="AH48" t="inlineStr">
        <is>
          <t>Townhouse</t>
        </is>
      </c>
      <c r="AI48" t="inlineStr">
        <is>
          <t>FamilyVilla</t>
        </is>
      </c>
      <c r="AJ48" t="inlineStr">
        <is>
          <t>TopTier</t>
        </is>
      </c>
      <c r="AK48" t="inlineStr">
        <is>
          <t>Family-villa resilient</t>
        </is>
      </c>
      <c r="AL48" t="inlineStr">
        <is>
          <t>Villa/townhouse demand remains relatively firmer, though growth should be slower than the post-2020 surge.</t>
        </is>
      </c>
      <c r="AM48" s="9" t="n">
        <v>11</v>
      </c>
      <c r="AN48" s="9" t="n">
        <v>7.25</v>
      </c>
      <c r="AO48" s="10" t="n">
        <v>0.55</v>
      </c>
      <c r="AP48" s="13" t="n">
        <v>0</v>
      </c>
      <c r="AQ48" s="13" t="n">
        <v>0.015</v>
      </c>
      <c r="AR48" s="13" t="n">
        <v>0</v>
      </c>
      <c r="AS48" s="13" t="n">
        <v>0.025</v>
      </c>
      <c r="AT48" s="13" t="n">
        <v>0.005</v>
      </c>
      <c r="AU48" s="13" t="n">
        <v>0.0025</v>
      </c>
      <c r="AV48" s="13" t="n">
        <v>-0.005</v>
      </c>
      <c r="AW48" s="13" t="n">
        <v>0.07550000000000001</v>
      </c>
      <c r="AX48" s="13" t="n">
        <v>0.0275</v>
      </c>
      <c r="AY48" s="12" t="n">
        <v>2190794</v>
      </c>
      <c r="AZ48" s="12" t="n">
        <v>2258550</v>
      </c>
      <c r="BA48" s="12" t="n">
        <v>2326306</v>
      </c>
      <c r="BB48" s="12" t="n">
        <v>2252904</v>
      </c>
      <c r="BC48" s="12" t="n">
        <v>2320660</v>
      </c>
      <c r="BD48" s="12" t="n">
        <v>2388417</v>
      </c>
      <c r="BE48" s="12" t="n">
        <v>2384478</v>
      </c>
      <c r="BF48" t="inlineStr">
        <is>
          <t>Frozen values from same rules-based model as formula sheet.</t>
        </is>
      </c>
      <c r="BG48" t="inlineStr">
        <is>
          <t>2026-03-17</t>
        </is>
      </c>
      <c r="BH48" t="inlineStr">
        <is>
          <t>DLD / Digital Dubai / CBUAE / Savills / Knight Frank-Moody’s / Reuters</t>
        </is>
      </c>
    </row>
    <row r="49">
      <c r="A49" t="n">
        <v>48</v>
      </c>
      <c r="B49" t="inlineStr">
        <is>
          <t>Rivana</t>
        </is>
      </c>
      <c r="C49" t="inlineStr">
        <is>
          <t>Emaar Properties</t>
        </is>
      </c>
      <c r="D49" t="inlineStr">
        <is>
          <t>The Valley</t>
        </is>
      </c>
      <c r="E49" t="inlineStr">
        <is>
          <t>Villas</t>
        </is>
      </c>
      <c r="F49" t="inlineStr">
        <is>
          <t>Twin Villas</t>
        </is>
      </c>
      <c r="G49" t="inlineStr">
        <is>
          <t>2.8M</t>
        </is>
      </c>
      <c r="H49" t="inlineStr">
        <is>
          <t>1100</t>
        </is>
      </c>
      <c r="I49" t="inlineStr">
        <is>
          <t>15</t>
        </is>
      </c>
      <c r="J49" t="inlineStr">
        <is>
          <t>80/20</t>
        </is>
      </c>
      <c r="K49" t="inlineStr">
        <is>
          <t>2023</t>
        </is>
      </c>
      <c r="L49" t="inlineStr">
        <is>
          <t>6.5-7.0</t>
        </is>
      </c>
      <c r="M49" t="inlineStr">
        <is>
          <t>10-12</t>
        </is>
      </c>
      <c r="N49" t="inlineStr">
        <is>
          <t>16.5-19.0</t>
        </is>
      </c>
      <c r="O49" t="inlineStr">
        <is>
          <t>The Aquila School</t>
        </is>
      </c>
      <c r="P49" t="inlineStr">
        <is>
          <t>Fakeeh University Hosp</t>
        </is>
      </c>
      <c r="Q49" t="inlineStr">
        <is>
          <t>Dubai Outlet Mall</t>
        </is>
      </c>
      <c r="R49" t="inlineStr">
        <is>
          <t>Al Ain Rd E66</t>
        </is>
      </c>
      <c r="S49" t="inlineStr">
        <is>
          <t>25</t>
        </is>
      </c>
      <c r="T49" t="inlineStr">
        <is>
          <t>35</t>
        </is>
      </c>
      <c r="U49" t="inlineStr">
        <is>
          <t>25</t>
        </is>
      </c>
      <c r="V49" t="inlineStr">
        <is>
          <t>35</t>
        </is>
      </c>
      <c r="W49" t="n">
        <v>2</v>
      </c>
      <c r="X49" s="12" t="n">
        <v>2800000</v>
      </c>
      <c r="Y49" s="12" t="n">
        <v>2800000</v>
      </c>
      <c r="Z49" s="9" t="n">
        <v>6.5</v>
      </c>
      <c r="AA49" s="9" t="n">
        <v>7</v>
      </c>
      <c r="AB49" s="9" t="n">
        <v>10</v>
      </c>
      <c r="AC49" s="9" t="n">
        <v>12</v>
      </c>
      <c r="AD49" s="9" t="n">
        <v>16.5</v>
      </c>
      <c r="AE49" s="9" t="n">
        <v>19</v>
      </c>
      <c r="AF49" t="n">
        <v>2023</v>
      </c>
      <c r="AH49" t="inlineStr">
        <is>
          <t>Villa</t>
        </is>
      </c>
      <c r="AI49" t="inlineStr">
        <is>
          <t>FamilyVilla</t>
        </is>
      </c>
      <c r="AJ49" t="inlineStr">
        <is>
          <t>TopTier</t>
        </is>
      </c>
      <c r="AK49" t="inlineStr">
        <is>
          <t>Family-villa resilient</t>
        </is>
      </c>
      <c r="AL49" t="inlineStr">
        <is>
          <t>Villa/townhouse demand remains relatively firmer, though growth should be slower than the post-2020 surge.</t>
        </is>
      </c>
      <c r="AM49" s="9" t="n">
        <v>11</v>
      </c>
      <c r="AN49" s="9" t="n">
        <v>6.75</v>
      </c>
      <c r="AO49" s="10" t="n">
        <v>0.55</v>
      </c>
      <c r="AP49" s="13" t="n">
        <v>0</v>
      </c>
      <c r="AQ49" s="13" t="n">
        <v>0.015</v>
      </c>
      <c r="AR49" s="13" t="n">
        <v>0</v>
      </c>
      <c r="AS49" s="13" t="n">
        <v>0.025</v>
      </c>
      <c r="AT49" s="13" t="n">
        <v>0.005</v>
      </c>
      <c r="AU49" s="13" t="n">
        <v>0.0025</v>
      </c>
      <c r="AV49" s="13" t="n">
        <v>-0.005</v>
      </c>
      <c r="AW49" s="13" t="n">
        <v>0.07550000000000001</v>
      </c>
      <c r="AX49" s="13" t="n">
        <v>0.0275</v>
      </c>
      <c r="AY49" s="12" t="n">
        <v>2921058</v>
      </c>
      <c r="AZ49" s="12" t="n">
        <v>3011400</v>
      </c>
      <c r="BA49" s="12" t="n">
        <v>3101742</v>
      </c>
      <c r="BB49" s="12" t="n">
        <v>3003872</v>
      </c>
      <c r="BC49" s="12" t="n">
        <v>3094214</v>
      </c>
      <c r="BD49" s="12" t="n">
        <v>3184556</v>
      </c>
      <c r="BE49" s="12" t="n">
        <v>3179304</v>
      </c>
      <c r="BF49" t="inlineStr">
        <is>
          <t>Frozen values from same rules-based model as formula sheet.</t>
        </is>
      </c>
      <c r="BG49" t="inlineStr">
        <is>
          <t>2026-03-17</t>
        </is>
      </c>
      <c r="BH49" t="inlineStr">
        <is>
          <t>DLD / Digital Dubai / CBUAE / Savills / Knight Frank-Moody’s / Reuters</t>
        </is>
      </c>
    </row>
    <row r="50">
      <c r="A50" t="n">
        <v>49</v>
      </c>
      <c r="B50" t="inlineStr">
        <is>
          <t>Farm Gardens</t>
        </is>
      </c>
      <c r="C50" t="inlineStr">
        <is>
          <t>Emaar Properties</t>
        </is>
      </c>
      <c r="D50" t="inlineStr">
        <is>
          <t>The Valley</t>
        </is>
      </c>
      <c r="E50" t="inlineStr">
        <is>
          <t>Villas (Estate)</t>
        </is>
      </c>
      <c r="F50" t="inlineStr">
        <is>
          <t>Farm / Luxury</t>
        </is>
      </c>
      <c r="G50" t="inlineStr">
        <is>
          <t>5.5M</t>
        </is>
      </c>
      <c r="H50" t="inlineStr">
        <is>
          <t>1300</t>
        </is>
      </c>
      <c r="I50" t="inlineStr">
        <is>
          <t>15</t>
        </is>
      </c>
      <c r="J50" t="inlineStr">
        <is>
          <t>80/20</t>
        </is>
      </c>
      <c r="K50" t="inlineStr">
        <is>
          <t>2023</t>
        </is>
      </c>
      <c r="L50" t="inlineStr">
        <is>
          <t>5.5-6.0</t>
        </is>
      </c>
      <c r="M50" t="inlineStr">
        <is>
          <t>10-12</t>
        </is>
      </c>
      <c r="N50" t="inlineStr">
        <is>
          <t>15.5-18.0</t>
        </is>
      </c>
      <c r="O50" t="inlineStr">
        <is>
          <t>The Aquila School</t>
        </is>
      </c>
      <c r="P50" t="inlineStr">
        <is>
          <t>Fakeeh University Hosp</t>
        </is>
      </c>
      <c r="Q50" t="inlineStr">
        <is>
          <t>Dubai Outlet Mall</t>
        </is>
      </c>
      <c r="R50" t="inlineStr">
        <is>
          <t>Al Ain Rd E66</t>
        </is>
      </c>
      <c r="S50" t="inlineStr">
        <is>
          <t>25</t>
        </is>
      </c>
      <c r="T50" t="inlineStr">
        <is>
          <t>35</t>
        </is>
      </c>
      <c r="U50" t="inlineStr">
        <is>
          <t>25</t>
        </is>
      </c>
      <c r="V50" t="inlineStr">
        <is>
          <t>35</t>
        </is>
      </c>
      <c r="W50" t="n">
        <v>2</v>
      </c>
      <c r="X50" s="12" t="n">
        <v>5500000</v>
      </c>
      <c r="Y50" s="12" t="n">
        <v>5500000</v>
      </c>
      <c r="Z50" s="9" t="n">
        <v>5.5</v>
      </c>
      <c r="AA50" s="9" t="n">
        <v>6</v>
      </c>
      <c r="AB50" s="9" t="n">
        <v>10</v>
      </c>
      <c r="AC50" s="9" t="n">
        <v>12</v>
      </c>
      <c r="AD50" s="9" t="n">
        <v>15.5</v>
      </c>
      <c r="AE50" s="9" t="n">
        <v>18</v>
      </c>
      <c r="AF50" t="n">
        <v>2023</v>
      </c>
      <c r="AH50" t="inlineStr">
        <is>
          <t>Villa</t>
        </is>
      </c>
      <c r="AI50" t="inlineStr">
        <is>
          <t>FamilyVilla</t>
        </is>
      </c>
      <c r="AJ50" t="inlineStr">
        <is>
          <t>TopTier</t>
        </is>
      </c>
      <c r="AK50" t="inlineStr">
        <is>
          <t>Family-villa resilient</t>
        </is>
      </c>
      <c r="AL50" t="inlineStr">
        <is>
          <t>Villa/townhouse demand remains relatively firmer, though growth should be slower than the post-2020 surge.</t>
        </is>
      </c>
      <c r="AM50" s="9" t="n">
        <v>11</v>
      </c>
      <c r="AN50" s="9" t="n">
        <v>5.75</v>
      </c>
      <c r="AO50" s="10" t="n">
        <v>0.55</v>
      </c>
      <c r="AP50" s="13" t="n">
        <v>0</v>
      </c>
      <c r="AQ50" s="13" t="n">
        <v>0.015</v>
      </c>
      <c r="AR50" s="13" t="n">
        <v>0</v>
      </c>
      <c r="AS50" s="13" t="n">
        <v>0.025</v>
      </c>
      <c r="AT50" s="13" t="n">
        <v>0.005</v>
      </c>
      <c r="AU50" s="13" t="n">
        <v>0</v>
      </c>
      <c r="AV50" s="13" t="n">
        <v>-0.005</v>
      </c>
      <c r="AW50" s="13" t="n">
        <v>0.07550000000000001</v>
      </c>
      <c r="AX50" s="13" t="n">
        <v>0.025</v>
      </c>
      <c r="AY50" s="12" t="n">
        <v>5737792</v>
      </c>
      <c r="AZ50" s="12" t="n">
        <v>5915250</v>
      </c>
      <c r="BA50" s="12" t="n">
        <v>6092708</v>
      </c>
      <c r="BB50" s="12" t="n">
        <v>5885674</v>
      </c>
      <c r="BC50" s="12" t="n">
        <v>6063131</v>
      </c>
      <c r="BD50" s="12" t="n">
        <v>6240589</v>
      </c>
      <c r="BE50" s="12" t="n">
        <v>6214710</v>
      </c>
      <c r="BF50" t="inlineStr">
        <is>
          <t>Frozen values from same rules-based model as formula sheet.</t>
        </is>
      </c>
      <c r="BG50" t="inlineStr">
        <is>
          <t>2026-03-17</t>
        </is>
      </c>
      <c r="BH50" t="inlineStr">
        <is>
          <t>DLD / Digital Dubai / CBUAE / Savills / Knight Frank-Moody’s / Reuters</t>
        </is>
      </c>
    </row>
    <row r="51">
      <c r="A51" t="n">
        <v>50</v>
      </c>
      <c r="B51" t="inlineStr">
        <is>
          <t>The Oasis (Master Community)</t>
        </is>
      </c>
      <c r="C51" t="inlineStr">
        <is>
          <t>Emaar Properties</t>
        </is>
      </c>
      <c r="D51" t="inlineStr">
        <is>
          <t>Near DIP</t>
        </is>
      </c>
      <c r="E51" t="inlineStr">
        <is>
          <t>Villas &amp; Mansions</t>
        </is>
      </c>
      <c r="F51" t="inlineStr">
        <is>
          <t>Blue Lagoons / Luxury</t>
        </is>
      </c>
      <c r="I51" t="inlineStr">
        <is>
          <t>TBA</t>
        </is>
      </c>
      <c r="J51" t="inlineStr">
        <is>
          <t>Varies</t>
        </is>
      </c>
      <c r="K51" t="inlineStr">
        <is>
          <t>2024</t>
        </is>
      </c>
      <c r="L51" t="inlineStr">
        <is>
          <t>4.5-5.5</t>
        </is>
      </c>
      <c r="M51" t="inlineStr">
        <is>
          <t>12-18</t>
        </is>
      </c>
      <c r="N51" t="inlineStr">
        <is>
          <t>16.5-23.5</t>
        </is>
      </c>
      <c r="O51" t="inlineStr">
        <is>
          <t>Victory Heights</t>
        </is>
      </c>
      <c r="P51" t="inlineStr">
        <is>
          <t>NMC Royal DIP</t>
        </is>
      </c>
      <c r="Q51" t="inlineStr">
        <is>
          <t>First Avenue Mall</t>
        </is>
      </c>
      <c r="R51" t="inlineStr">
        <is>
          <t>Yalayis St / E611</t>
        </is>
      </c>
      <c r="S51" t="inlineStr">
        <is>
          <t>25</t>
        </is>
      </c>
      <c r="T51" t="inlineStr">
        <is>
          <t>20</t>
        </is>
      </c>
      <c r="U51" t="inlineStr">
        <is>
          <t>30</t>
        </is>
      </c>
      <c r="V51" t="inlineStr">
        <is>
          <t>18</t>
        </is>
      </c>
      <c r="W51" t="n">
        <v>2</v>
      </c>
      <c r="X51" s="12" t="n"/>
      <c r="Y51" s="12" t="n"/>
      <c r="Z51" s="9" t="n">
        <v>4.5</v>
      </c>
      <c r="AA51" s="9" t="n">
        <v>5.5</v>
      </c>
      <c r="AB51" s="9" t="n">
        <v>12</v>
      </c>
      <c r="AC51" s="9" t="n">
        <v>18</v>
      </c>
      <c r="AD51" s="9" t="n">
        <v>16.5</v>
      </c>
      <c r="AE51" s="9" t="n">
        <v>23.5</v>
      </c>
      <c r="AF51" t="n">
        <v>2024</v>
      </c>
      <c r="AH51" t="inlineStr">
        <is>
          <t>Villa</t>
        </is>
      </c>
      <c r="AI51" t="inlineStr">
        <is>
          <t>MainstreamSelective</t>
        </is>
      </c>
      <c r="AJ51" t="inlineStr">
        <is>
          <t>TopTier</t>
        </is>
      </c>
      <c r="AK51" t="inlineStr">
        <is>
          <t>Family-villa resilient</t>
        </is>
      </c>
      <c r="AL51" t="inlineStr">
        <is>
          <t>Villa/townhouse demand remains relatively firmer, though growth should be slower than the post-2020 surge.</t>
        </is>
      </c>
      <c r="AM51" s="9" t="n">
        <v>15</v>
      </c>
      <c r="AN51" s="9" t="n">
        <v>5</v>
      </c>
      <c r="AO51" s="10" t="n">
        <v>0.55</v>
      </c>
      <c r="AP51" s="13" t="n">
        <v>0</v>
      </c>
      <c r="AQ51" s="13" t="n">
        <v>0.015</v>
      </c>
      <c r="AR51" s="13" t="n">
        <v>0</v>
      </c>
      <c r="AS51" s="13" t="n">
        <v>0.025</v>
      </c>
      <c r="AT51" s="13" t="n">
        <v>0.005</v>
      </c>
      <c r="AU51" s="13" t="n">
        <v>0</v>
      </c>
      <c r="AV51" s="13" t="n">
        <v>-0.005</v>
      </c>
      <c r="AW51" s="13" t="n">
        <v>0.0975</v>
      </c>
      <c r="AX51" s="13" t="n">
        <v>0.025</v>
      </c>
      <c r="AY51" s="12" t="n"/>
      <c r="AZ51" s="12" t="n"/>
      <c r="BA51" s="12" t="n"/>
      <c r="BB51" s="12" t="n"/>
      <c r="BC51" s="12" t="n"/>
      <c r="BD51" s="12" t="n"/>
      <c r="BE51" s="12" t="n"/>
      <c r="BF51" t="inlineStr">
        <is>
          <t>Frozen values from same rules-based model as formula sheet.</t>
        </is>
      </c>
      <c r="BG51" t="inlineStr">
        <is>
          <t>2026-03-17</t>
        </is>
      </c>
      <c r="BH51" t="inlineStr">
        <is>
          <t>DLD / Digital Dubai / CBUAE / Savills / Knight Frank-Moody’s / Reuters</t>
        </is>
      </c>
    </row>
    <row r="52">
      <c r="A52" t="n">
        <v>51</v>
      </c>
      <c r="B52" t="inlineStr">
        <is>
          <t>Palmiera</t>
        </is>
      </c>
      <c r="C52" t="inlineStr">
        <is>
          <t>Emaar Properties</t>
        </is>
      </c>
      <c r="D52" t="inlineStr">
        <is>
          <t>The Oasis</t>
        </is>
      </c>
      <c r="E52" t="inlineStr">
        <is>
          <t>Villas</t>
        </is>
      </c>
      <c r="F52" t="inlineStr">
        <is>
          <t>Luxury / Water</t>
        </is>
      </c>
      <c r="G52" t="inlineStr">
        <is>
          <t>8.5M</t>
        </is>
      </c>
      <c r="H52" t="inlineStr">
        <is>
          <t>1800</t>
        </is>
      </c>
      <c r="I52" t="inlineStr">
        <is>
          <t>20</t>
        </is>
      </c>
      <c r="J52" t="inlineStr">
        <is>
          <t>80/20</t>
        </is>
      </c>
      <c r="K52" t="inlineStr">
        <is>
          <t>2024</t>
        </is>
      </c>
      <c r="L52" t="inlineStr">
        <is>
          <t>4.5-5.0</t>
        </is>
      </c>
      <c r="M52" t="inlineStr">
        <is>
          <t>12-18</t>
        </is>
      </c>
      <c r="N52" t="inlineStr">
        <is>
          <t>16.5-23.0</t>
        </is>
      </c>
      <c r="O52" t="inlineStr">
        <is>
          <t>Victory Heights</t>
        </is>
      </c>
      <c r="P52" t="inlineStr">
        <is>
          <t>NMC Royal DIP</t>
        </is>
      </c>
      <c r="Q52" t="inlineStr">
        <is>
          <t>First Avenue Mall</t>
        </is>
      </c>
      <c r="R52" t="inlineStr">
        <is>
          <t>Yalayis St / E611</t>
        </is>
      </c>
      <c r="S52" t="inlineStr">
        <is>
          <t>25</t>
        </is>
      </c>
      <c r="T52" t="inlineStr">
        <is>
          <t>20</t>
        </is>
      </c>
      <c r="U52" t="inlineStr">
        <is>
          <t>30</t>
        </is>
      </c>
      <c r="V52" t="inlineStr">
        <is>
          <t>18</t>
        </is>
      </c>
      <c r="W52" t="n">
        <v>2</v>
      </c>
      <c r="X52" s="12" t="n">
        <v>8500000</v>
      </c>
      <c r="Y52" s="12" t="n">
        <v>8500000</v>
      </c>
      <c r="Z52" s="9" t="n">
        <v>4.5</v>
      </c>
      <c r="AA52" s="9" t="n">
        <v>5</v>
      </c>
      <c r="AB52" s="9" t="n">
        <v>12</v>
      </c>
      <c r="AC52" s="9" t="n">
        <v>18</v>
      </c>
      <c r="AD52" s="9" t="n">
        <v>16.5</v>
      </c>
      <c r="AE52" s="9" t="n">
        <v>23</v>
      </c>
      <c r="AF52" t="n">
        <v>2024</v>
      </c>
      <c r="AH52" t="inlineStr">
        <is>
          <t>Villa</t>
        </is>
      </c>
      <c r="AI52" t="inlineStr">
        <is>
          <t>FamilyVilla</t>
        </is>
      </c>
      <c r="AJ52" t="inlineStr">
        <is>
          <t>TopTier</t>
        </is>
      </c>
      <c r="AK52" t="inlineStr">
        <is>
          <t>Family-villa resilient</t>
        </is>
      </c>
      <c r="AL52" t="inlineStr">
        <is>
          <t>Villa/townhouse demand remains relatively firmer, though growth should be slower than the post-2020 surge.</t>
        </is>
      </c>
      <c r="AM52" s="9" t="n">
        <v>15</v>
      </c>
      <c r="AN52" s="9" t="n">
        <v>4.75</v>
      </c>
      <c r="AO52" s="10" t="n">
        <v>0.55</v>
      </c>
      <c r="AP52" s="13" t="n">
        <v>0</v>
      </c>
      <c r="AQ52" s="13" t="n">
        <v>0.015</v>
      </c>
      <c r="AR52" s="13" t="n">
        <v>0</v>
      </c>
      <c r="AS52" s="13" t="n">
        <v>0.025</v>
      </c>
      <c r="AT52" s="13" t="n">
        <v>0.005</v>
      </c>
      <c r="AU52" s="13" t="n">
        <v>0</v>
      </c>
      <c r="AV52" s="13" t="n">
        <v>-0.005</v>
      </c>
      <c r="AW52" s="13" t="n">
        <v>0.0975</v>
      </c>
      <c r="AX52" s="13" t="n">
        <v>0.025</v>
      </c>
      <c r="AY52" s="12" t="n">
        <v>9048888</v>
      </c>
      <c r="AZ52" s="12" t="n">
        <v>9328750</v>
      </c>
      <c r="BA52" s="12" t="n">
        <v>9608612</v>
      </c>
      <c r="BB52" s="12" t="n">
        <v>9282106</v>
      </c>
      <c r="BC52" s="12" t="n">
        <v>9561969</v>
      </c>
      <c r="BD52" s="12" t="n">
        <v>9841831</v>
      </c>
      <c r="BE52" s="12" t="n">
        <v>9801018</v>
      </c>
      <c r="BF52" t="inlineStr">
        <is>
          <t>Frozen values from same rules-based model as formula sheet.</t>
        </is>
      </c>
      <c r="BG52" t="inlineStr">
        <is>
          <t>2026-03-17</t>
        </is>
      </c>
      <c r="BH52" t="inlineStr">
        <is>
          <t>DLD / Digital Dubai / CBUAE / Savills / Knight Frank-Moody’s / Reuters</t>
        </is>
      </c>
    </row>
    <row r="53">
      <c r="A53" t="n">
        <v>52</v>
      </c>
      <c r="B53" t="inlineStr">
        <is>
          <t>Marèva 1</t>
        </is>
      </c>
      <c r="C53" t="inlineStr">
        <is>
          <t>Emaar Properties</t>
        </is>
      </c>
      <c r="D53" t="inlineStr">
        <is>
          <t>The Oasis</t>
        </is>
      </c>
      <c r="E53" t="inlineStr">
        <is>
          <t>Villas</t>
        </is>
      </c>
      <c r="F53" t="inlineStr">
        <is>
          <t>Luxury / Water</t>
        </is>
      </c>
      <c r="G53" t="inlineStr">
        <is>
          <t>9.0M</t>
        </is>
      </c>
      <c r="H53" t="inlineStr">
        <is>
          <t>1900</t>
        </is>
      </c>
      <c r="I53" t="inlineStr">
        <is>
          <t>20</t>
        </is>
      </c>
      <c r="J53" t="inlineStr">
        <is>
          <t>80/20</t>
        </is>
      </c>
      <c r="K53" t="inlineStr">
        <is>
          <t>2024</t>
        </is>
      </c>
      <c r="L53" t="inlineStr">
        <is>
          <t>4.5-5.0</t>
        </is>
      </c>
      <c r="M53" t="inlineStr">
        <is>
          <t>12-18</t>
        </is>
      </c>
      <c r="N53" t="inlineStr">
        <is>
          <t>16.5-23.0</t>
        </is>
      </c>
      <c r="O53" t="inlineStr">
        <is>
          <t>Victory Heights</t>
        </is>
      </c>
      <c r="P53" t="inlineStr">
        <is>
          <t>NMC Royal DIP</t>
        </is>
      </c>
      <c r="Q53" t="inlineStr">
        <is>
          <t>First Avenue Mall</t>
        </is>
      </c>
      <c r="R53" t="inlineStr">
        <is>
          <t>Yalayis St / E611</t>
        </is>
      </c>
      <c r="S53" t="inlineStr">
        <is>
          <t>25</t>
        </is>
      </c>
      <c r="T53" t="inlineStr">
        <is>
          <t>20</t>
        </is>
      </c>
      <c r="U53" t="inlineStr">
        <is>
          <t>30</t>
        </is>
      </c>
      <c r="V53" t="inlineStr">
        <is>
          <t>18</t>
        </is>
      </c>
      <c r="W53" t="n">
        <v>2</v>
      </c>
      <c r="X53" s="12" t="n">
        <v>9000000</v>
      </c>
      <c r="Y53" s="12" t="n">
        <v>9000000</v>
      </c>
      <c r="Z53" s="9" t="n">
        <v>4.5</v>
      </c>
      <c r="AA53" s="9" t="n">
        <v>5</v>
      </c>
      <c r="AB53" s="9" t="n">
        <v>12</v>
      </c>
      <c r="AC53" s="9" t="n">
        <v>18</v>
      </c>
      <c r="AD53" s="9" t="n">
        <v>16.5</v>
      </c>
      <c r="AE53" s="9" t="n">
        <v>23</v>
      </c>
      <c r="AF53" t="n">
        <v>2024</v>
      </c>
      <c r="AH53" t="inlineStr">
        <is>
          <t>Villa</t>
        </is>
      </c>
      <c r="AI53" t="inlineStr">
        <is>
          <t>FamilyVilla</t>
        </is>
      </c>
      <c r="AJ53" t="inlineStr">
        <is>
          <t>TopTier</t>
        </is>
      </c>
      <c r="AK53" t="inlineStr">
        <is>
          <t>Family-villa resilient</t>
        </is>
      </c>
      <c r="AL53" t="inlineStr">
        <is>
          <t>Villa/townhouse demand remains relatively firmer, though growth should be slower than the post-2020 surge.</t>
        </is>
      </c>
      <c r="AM53" s="9" t="n">
        <v>15</v>
      </c>
      <c r="AN53" s="9" t="n">
        <v>4.75</v>
      </c>
      <c r="AO53" s="10" t="n">
        <v>0.55</v>
      </c>
      <c r="AP53" s="13" t="n">
        <v>0</v>
      </c>
      <c r="AQ53" s="13" t="n">
        <v>0.015</v>
      </c>
      <c r="AR53" s="13" t="n">
        <v>0</v>
      </c>
      <c r="AS53" s="13" t="n">
        <v>0.025</v>
      </c>
      <c r="AT53" s="13" t="n">
        <v>0.005</v>
      </c>
      <c r="AU53" s="13" t="n">
        <v>0</v>
      </c>
      <c r="AV53" s="13" t="n">
        <v>-0.005</v>
      </c>
      <c r="AW53" s="13" t="n">
        <v>0.0975</v>
      </c>
      <c r="AX53" s="13" t="n">
        <v>0.025</v>
      </c>
      <c r="AY53" s="12" t="n">
        <v>9581175</v>
      </c>
      <c r="AZ53" s="12" t="n">
        <v>9877500</v>
      </c>
      <c r="BA53" s="12" t="n">
        <v>10173825</v>
      </c>
      <c r="BB53" s="12" t="n">
        <v>9828112</v>
      </c>
      <c r="BC53" s="12" t="n">
        <v>10124438</v>
      </c>
      <c r="BD53" s="12" t="n">
        <v>10420762</v>
      </c>
      <c r="BE53" s="12" t="n">
        <v>10377548</v>
      </c>
      <c r="BF53" t="inlineStr">
        <is>
          <t>Frozen values from same rules-based model as formula sheet.</t>
        </is>
      </c>
      <c r="BG53" t="inlineStr">
        <is>
          <t>2026-03-17</t>
        </is>
      </c>
      <c r="BH53" t="inlineStr">
        <is>
          <t>DLD / Digital Dubai / CBUAE / Savills / Knight Frank-Moody’s / Reuters</t>
        </is>
      </c>
    </row>
    <row r="54">
      <c r="A54" t="n">
        <v>53</v>
      </c>
      <c r="B54" t="inlineStr">
        <is>
          <t>Marèva 2</t>
        </is>
      </c>
      <c r="C54" t="inlineStr">
        <is>
          <t>Emaar Properties</t>
        </is>
      </c>
      <c r="D54" t="inlineStr">
        <is>
          <t>The Oasis</t>
        </is>
      </c>
      <c r="E54" t="inlineStr">
        <is>
          <t>Villas</t>
        </is>
      </c>
      <c r="F54" t="inlineStr">
        <is>
          <t>Luxury / Water</t>
        </is>
      </c>
      <c r="G54" t="inlineStr">
        <is>
          <t>13.47M</t>
        </is>
      </c>
      <c r="H54" t="inlineStr">
        <is>
          <t>2000</t>
        </is>
      </c>
      <c r="I54" t="inlineStr">
        <is>
          <t>20</t>
        </is>
      </c>
      <c r="J54" t="inlineStr">
        <is>
          <t>80/20</t>
        </is>
      </c>
      <c r="K54" t="inlineStr">
        <is>
          <t>2024</t>
        </is>
      </c>
      <c r="L54" t="inlineStr">
        <is>
          <t>4.0-4.5</t>
        </is>
      </c>
      <c r="M54" t="inlineStr">
        <is>
          <t>12-18</t>
        </is>
      </c>
      <c r="N54" t="inlineStr">
        <is>
          <t>16.0-22.5</t>
        </is>
      </c>
      <c r="O54" t="inlineStr">
        <is>
          <t>Victory Heights</t>
        </is>
      </c>
      <c r="P54" t="inlineStr">
        <is>
          <t>NMC Royal DIP</t>
        </is>
      </c>
      <c r="Q54" t="inlineStr">
        <is>
          <t>First Avenue Mall</t>
        </is>
      </c>
      <c r="R54" t="inlineStr">
        <is>
          <t>Yalayis St / E611</t>
        </is>
      </c>
      <c r="S54" t="inlineStr">
        <is>
          <t>25</t>
        </is>
      </c>
      <c r="T54" t="inlineStr">
        <is>
          <t>20</t>
        </is>
      </c>
      <c r="U54" t="inlineStr">
        <is>
          <t>30</t>
        </is>
      </c>
      <c r="V54" t="inlineStr">
        <is>
          <t>18</t>
        </is>
      </c>
      <c r="W54" t="n">
        <v>2</v>
      </c>
      <c r="X54" s="12" t="n">
        <v>13470000</v>
      </c>
      <c r="Y54" s="12" t="n">
        <v>13470000</v>
      </c>
      <c r="Z54" s="9" t="n">
        <v>4</v>
      </c>
      <c r="AA54" s="9" t="n">
        <v>4.5</v>
      </c>
      <c r="AB54" s="9" t="n">
        <v>12</v>
      </c>
      <c r="AC54" s="9" t="n">
        <v>18</v>
      </c>
      <c r="AD54" s="9" t="n">
        <v>16</v>
      </c>
      <c r="AE54" s="9" t="n">
        <v>22.5</v>
      </c>
      <c r="AF54" t="n">
        <v>2024</v>
      </c>
      <c r="AH54" t="inlineStr">
        <is>
          <t>Villa</t>
        </is>
      </c>
      <c r="AI54" t="inlineStr">
        <is>
          <t>FamilyVilla</t>
        </is>
      </c>
      <c r="AJ54" t="inlineStr">
        <is>
          <t>TopTier</t>
        </is>
      </c>
      <c r="AK54" t="inlineStr">
        <is>
          <t>Family-villa resilient</t>
        </is>
      </c>
      <c r="AL54" t="inlineStr">
        <is>
          <t>Villa/townhouse demand remains relatively firmer, though growth should be slower than the post-2020 surge.</t>
        </is>
      </c>
      <c r="AM54" s="9" t="n">
        <v>15</v>
      </c>
      <c r="AN54" s="9" t="n">
        <v>4.25</v>
      </c>
      <c r="AO54" s="10" t="n">
        <v>0.55</v>
      </c>
      <c r="AP54" s="13" t="n">
        <v>0</v>
      </c>
      <c r="AQ54" s="13" t="n">
        <v>0.015</v>
      </c>
      <c r="AR54" s="13" t="n">
        <v>0</v>
      </c>
      <c r="AS54" s="13" t="n">
        <v>0.025</v>
      </c>
      <c r="AT54" s="13" t="n">
        <v>0.005</v>
      </c>
      <c r="AU54" s="13" t="n">
        <v>0</v>
      </c>
      <c r="AV54" s="13" t="n">
        <v>-0.005</v>
      </c>
      <c r="AW54" s="13" t="n">
        <v>0.0975</v>
      </c>
      <c r="AX54" s="13" t="n">
        <v>0.025</v>
      </c>
      <c r="AY54" s="12" t="n">
        <v>14339825</v>
      </c>
      <c r="AZ54" s="12" t="n">
        <v>14783325</v>
      </c>
      <c r="BA54" s="12" t="n">
        <v>15226825</v>
      </c>
      <c r="BB54" s="12" t="n">
        <v>14709408</v>
      </c>
      <c r="BC54" s="12" t="n">
        <v>15152908</v>
      </c>
      <c r="BD54" s="12" t="n">
        <v>15596408</v>
      </c>
      <c r="BE54" s="12" t="n">
        <v>15531731</v>
      </c>
      <c r="BF54" t="inlineStr">
        <is>
          <t>Frozen values from same rules-based model as formula sheet.</t>
        </is>
      </c>
      <c r="BG54" t="inlineStr">
        <is>
          <t>2026-03-17</t>
        </is>
      </c>
      <c r="BH54" t="inlineStr">
        <is>
          <t>DLD / Digital Dubai / CBUAE / Savills / Knight Frank-Moody’s / Reuters</t>
        </is>
      </c>
    </row>
    <row r="55">
      <c r="A55" t="n">
        <v>54</v>
      </c>
      <c r="B55" t="inlineStr">
        <is>
          <t>Emaar South (Master Community)</t>
        </is>
      </c>
      <c r="C55" t="inlineStr">
        <is>
          <t>Emaar Properties</t>
        </is>
      </c>
      <c r="D55" t="inlineStr">
        <is>
          <t>Dubai South (Airport)</t>
        </is>
      </c>
      <c r="E55" t="inlineStr">
        <is>
          <t>Mixed</t>
        </is>
      </c>
      <c r="F55" t="inlineStr">
        <is>
          <t>Golf / Airport</t>
        </is>
      </c>
      <c r="I55" t="inlineStr">
        <is>
          <t>10-12</t>
        </is>
      </c>
      <c r="J55" t="inlineStr">
        <is>
          <t>Varies</t>
        </is>
      </c>
      <c r="K55" t="inlineStr">
        <is>
          <t>Ongoing</t>
        </is>
      </c>
      <c r="L55" t="inlineStr">
        <is>
          <t>7.0-8.5</t>
        </is>
      </c>
      <c r="M55" t="inlineStr">
        <is>
          <t>8-12</t>
        </is>
      </c>
      <c r="N55" t="inlineStr">
        <is>
          <t>15.0-20.5</t>
        </is>
      </c>
      <c r="O55" t="inlineStr">
        <is>
          <t>Greenfield Intl</t>
        </is>
      </c>
      <c r="P55" t="inlineStr">
        <is>
          <t>NMC Royal DIP</t>
        </is>
      </c>
      <c r="Q55" t="inlineStr">
        <is>
          <t>Urban Centre (Local)</t>
        </is>
      </c>
      <c r="R55" t="inlineStr">
        <is>
          <t>Expo Rd / E611</t>
        </is>
      </c>
      <c r="S55" t="inlineStr">
        <is>
          <t>40</t>
        </is>
      </c>
      <c r="T55" t="inlineStr">
        <is>
          <t>25</t>
        </is>
      </c>
      <c r="U55" t="inlineStr">
        <is>
          <t>45</t>
        </is>
      </c>
      <c r="V55" t="inlineStr">
        <is>
          <t>7</t>
        </is>
      </c>
      <c r="W55" t="n">
        <v>2</v>
      </c>
      <c r="X55" s="12" t="n"/>
      <c r="Y55" s="12" t="n"/>
      <c r="Z55" s="9" t="n">
        <v>7</v>
      </c>
      <c r="AA55" s="9" t="n">
        <v>8.5</v>
      </c>
      <c r="AB55" s="9" t="n">
        <v>8</v>
      </c>
      <c r="AC55" s="9" t="n">
        <v>12</v>
      </c>
      <c r="AD55" s="9" t="n">
        <v>15</v>
      </c>
      <c r="AE55" s="9" t="n">
        <v>20.5</v>
      </c>
      <c r="AH55" t="inlineStr">
        <is>
          <t>Mixed/Other</t>
        </is>
      </c>
      <c r="AI55" t="inlineStr">
        <is>
          <t>MainstreamSelective</t>
        </is>
      </c>
      <c r="AJ55" t="inlineStr">
        <is>
          <t>TopTier</t>
        </is>
      </c>
      <c r="AK55" t="inlineStr">
        <is>
          <t>Balanced / selective</t>
        </is>
      </c>
      <c r="AL55" t="inlineStr">
        <is>
          <t>Market remains active but increasingly differentiated by developer, micro-location, livability, and pricing discipline.</t>
        </is>
      </c>
      <c r="AM55" s="9" t="n">
        <v>10</v>
      </c>
      <c r="AN55" s="9" t="n">
        <v>7.75</v>
      </c>
      <c r="AO55" s="10" t="n">
        <v>0.25</v>
      </c>
      <c r="AP55" s="13" t="n">
        <v>0</v>
      </c>
      <c r="AQ55" s="13" t="n">
        <v>0</v>
      </c>
      <c r="AR55" s="13" t="n">
        <v>0</v>
      </c>
      <c r="AS55" s="13" t="n">
        <v>0.01</v>
      </c>
      <c r="AT55" s="13" t="n">
        <v>0.005</v>
      </c>
      <c r="AU55" s="13" t="n">
        <v>0.0025</v>
      </c>
      <c r="AV55" s="13" t="n">
        <v>-0.005</v>
      </c>
      <c r="AW55" s="13" t="n">
        <v>0.025</v>
      </c>
      <c r="AX55" s="13" t="n">
        <v>0.0125</v>
      </c>
      <c r="AY55" s="12" t="n"/>
      <c r="AZ55" s="12" t="n"/>
      <c r="BA55" s="12" t="n"/>
      <c r="BB55" s="12" t="n"/>
      <c r="BC55" s="12" t="n"/>
      <c r="BD55" s="12" t="n"/>
      <c r="BE55" s="12" t="n"/>
      <c r="BF55" t="inlineStr">
        <is>
          <t>Frozen values from same rules-based model as formula sheet.</t>
        </is>
      </c>
      <c r="BG55" t="inlineStr">
        <is>
          <t>2026-03-17</t>
        </is>
      </c>
      <c r="BH55" t="inlineStr">
        <is>
          <t>DLD / Digital Dubai / CBUAE / Savills / Knight Frank-Moody’s / Reuters</t>
        </is>
      </c>
    </row>
    <row r="56">
      <c r="A56" t="n">
        <v>55</v>
      </c>
      <c r="B56" t="inlineStr">
        <is>
          <t>Golf Hills 2</t>
        </is>
      </c>
      <c r="C56" t="inlineStr">
        <is>
          <t>Emaar Properties</t>
        </is>
      </c>
      <c r="D56" t="inlineStr">
        <is>
          <t>Emaar South</t>
        </is>
      </c>
      <c r="E56" t="inlineStr">
        <is>
          <t>Apartments</t>
        </is>
      </c>
      <c r="F56" t="inlineStr">
        <is>
          <t>Golf View</t>
        </is>
      </c>
      <c r="G56" t="inlineStr">
        <is>
          <t>1.1M</t>
        </is>
      </c>
      <c r="H56" t="inlineStr">
        <is>
          <t>1200</t>
        </is>
      </c>
      <c r="I56" t="inlineStr">
        <is>
          <t>15</t>
        </is>
      </c>
      <c r="J56" t="inlineStr">
        <is>
          <t>80/20</t>
        </is>
      </c>
      <c r="K56" t="inlineStr">
        <is>
          <t>2024</t>
        </is>
      </c>
      <c r="L56" t="inlineStr">
        <is>
          <t>7.0-7.5</t>
        </is>
      </c>
      <c r="M56" t="inlineStr">
        <is>
          <t>8-12</t>
        </is>
      </c>
      <c r="N56" t="inlineStr">
        <is>
          <t>15.0-19.5</t>
        </is>
      </c>
      <c r="O56" t="inlineStr">
        <is>
          <t>Greenfield Intl</t>
        </is>
      </c>
      <c r="P56" t="inlineStr">
        <is>
          <t>NMC Royal DIP</t>
        </is>
      </c>
      <c r="Q56" t="inlineStr">
        <is>
          <t>Urban Centre (Local)</t>
        </is>
      </c>
      <c r="R56" t="inlineStr">
        <is>
          <t>Expo Rd / E611</t>
        </is>
      </c>
      <c r="S56" t="inlineStr">
        <is>
          <t>40</t>
        </is>
      </c>
      <c r="T56" t="inlineStr">
        <is>
          <t>25</t>
        </is>
      </c>
      <c r="U56" t="inlineStr">
        <is>
          <t>45</t>
        </is>
      </c>
      <c r="V56" t="inlineStr">
        <is>
          <t>7</t>
        </is>
      </c>
      <c r="W56" t="n">
        <v>2</v>
      </c>
      <c r="X56" s="12" t="n">
        <v>1100000</v>
      </c>
      <c r="Y56" s="12" t="n">
        <v>1100000</v>
      </c>
      <c r="Z56" s="9" t="n">
        <v>7</v>
      </c>
      <c r="AA56" s="9" t="n">
        <v>7.5</v>
      </c>
      <c r="AB56" s="9" t="n">
        <v>8</v>
      </c>
      <c r="AC56" s="9" t="n">
        <v>12</v>
      </c>
      <c r="AD56" s="9" t="n">
        <v>15</v>
      </c>
      <c r="AE56" s="9" t="n">
        <v>19.5</v>
      </c>
      <c r="AF56" t="n">
        <v>2024</v>
      </c>
      <c r="AH56" t="inlineStr">
        <is>
          <t>Apartment</t>
        </is>
      </c>
      <c r="AI56" t="inlineStr">
        <is>
          <t>MainstreamSelective</t>
        </is>
      </c>
      <c r="AJ56" t="inlineStr">
        <is>
          <t>TopTier</t>
        </is>
      </c>
      <c r="AK56" t="inlineStr">
        <is>
          <t>Balanced / selective</t>
        </is>
      </c>
      <c r="AL56" t="inlineStr">
        <is>
          <t>Market remains active but increasingly differentiated by developer, micro-location, livability, and pricing discipline.</t>
        </is>
      </c>
      <c r="AM56" s="9" t="n">
        <v>10</v>
      </c>
      <c r="AN56" s="9" t="n">
        <v>7.25</v>
      </c>
      <c r="AO56" s="10" t="n">
        <v>0.55</v>
      </c>
      <c r="AP56" s="13" t="n">
        <v>0</v>
      </c>
      <c r="AQ56" s="13" t="n">
        <v>0</v>
      </c>
      <c r="AR56" s="13" t="n">
        <v>0</v>
      </c>
      <c r="AS56" s="13" t="n">
        <v>0.01</v>
      </c>
      <c r="AT56" s="13" t="n">
        <v>0.005</v>
      </c>
      <c r="AU56" s="13" t="n">
        <v>0.0025</v>
      </c>
      <c r="AV56" s="13" t="n">
        <v>-0.005</v>
      </c>
      <c r="AW56" s="13" t="n">
        <v>0.05500000000000001</v>
      </c>
      <c r="AX56" s="13" t="n">
        <v>0.0125</v>
      </c>
      <c r="AY56" s="12" t="n">
        <v>1125685</v>
      </c>
      <c r="AZ56" s="12" t="n">
        <v>1160500</v>
      </c>
      <c r="BA56" s="12" t="n">
        <v>1195315</v>
      </c>
      <c r="BB56" s="12" t="n">
        <v>1140191</v>
      </c>
      <c r="BC56" s="12" t="n">
        <v>1175006</v>
      </c>
      <c r="BD56" s="12" t="n">
        <v>1209821</v>
      </c>
      <c r="BE56" s="12" t="n">
        <v>1189694</v>
      </c>
      <c r="BF56" t="inlineStr">
        <is>
          <t>Frozen values from same rules-based model as formula sheet.</t>
        </is>
      </c>
      <c r="BG56" t="inlineStr">
        <is>
          <t>2026-03-17</t>
        </is>
      </c>
      <c r="BH56" t="inlineStr">
        <is>
          <t>DLD / Digital Dubai / CBUAE / Savills / Knight Frank-Moody’s / Reuters</t>
        </is>
      </c>
    </row>
    <row r="57">
      <c r="A57" t="n">
        <v>56</v>
      </c>
      <c r="B57" t="inlineStr">
        <is>
          <t>Vista Ridge</t>
        </is>
      </c>
      <c r="C57" t="inlineStr">
        <is>
          <t>Emaar Properties</t>
        </is>
      </c>
      <c r="D57" t="inlineStr">
        <is>
          <t>Emaar South</t>
        </is>
      </c>
      <c r="E57" t="inlineStr">
        <is>
          <t>Townhouses</t>
        </is>
      </c>
      <c r="F57" t="inlineStr">
        <is>
          <t>Golf View</t>
        </is>
      </c>
      <c r="G57" t="inlineStr">
        <is>
          <t>1.8M</t>
        </is>
      </c>
      <c r="H57" t="inlineStr">
        <is>
          <t>1100</t>
        </is>
      </c>
      <c r="I57" t="inlineStr">
        <is>
          <t>15</t>
        </is>
      </c>
      <c r="J57" t="inlineStr">
        <is>
          <t>80/20</t>
        </is>
      </c>
      <c r="K57" t="inlineStr">
        <is>
          <t>2024</t>
        </is>
      </c>
      <c r="L57" t="inlineStr">
        <is>
          <t>6.5-7.0</t>
        </is>
      </c>
      <c r="M57" t="inlineStr">
        <is>
          <t>8-12</t>
        </is>
      </c>
      <c r="N57" t="inlineStr">
        <is>
          <t>14.5-19.0</t>
        </is>
      </c>
      <c r="O57" t="inlineStr">
        <is>
          <t>Greenfield Intl</t>
        </is>
      </c>
      <c r="P57" t="inlineStr">
        <is>
          <t>NMC Royal DIP</t>
        </is>
      </c>
      <c r="Q57" t="inlineStr">
        <is>
          <t>Urban Centre (Local)</t>
        </is>
      </c>
      <c r="R57" t="inlineStr">
        <is>
          <t>Expo Rd / E611</t>
        </is>
      </c>
      <c r="S57" t="inlineStr">
        <is>
          <t>40</t>
        </is>
      </c>
      <c r="T57" t="inlineStr">
        <is>
          <t>25</t>
        </is>
      </c>
      <c r="U57" t="inlineStr">
        <is>
          <t>45</t>
        </is>
      </c>
      <c r="V57" t="inlineStr">
        <is>
          <t>7</t>
        </is>
      </c>
      <c r="W57" t="n">
        <v>2</v>
      </c>
      <c r="X57" s="12" t="n">
        <v>1800000</v>
      </c>
      <c r="Y57" s="12" t="n">
        <v>1800000</v>
      </c>
      <c r="Z57" s="9" t="n">
        <v>6.5</v>
      </c>
      <c r="AA57" s="9" t="n">
        <v>7</v>
      </c>
      <c r="AB57" s="9" t="n">
        <v>8</v>
      </c>
      <c r="AC57" s="9" t="n">
        <v>12</v>
      </c>
      <c r="AD57" s="9" t="n">
        <v>14.5</v>
      </c>
      <c r="AE57" s="9" t="n">
        <v>19</v>
      </c>
      <c r="AF57" t="n">
        <v>2024</v>
      </c>
      <c r="AH57" t="inlineStr">
        <is>
          <t>Townhouse</t>
        </is>
      </c>
      <c r="AI57" t="inlineStr">
        <is>
          <t>MainstreamSelective</t>
        </is>
      </c>
      <c r="AJ57" t="inlineStr">
        <is>
          <t>TopTier</t>
        </is>
      </c>
      <c r="AK57" t="inlineStr">
        <is>
          <t>Family-villa resilient</t>
        </is>
      </c>
      <c r="AL57" t="inlineStr">
        <is>
          <t>Villa/townhouse demand remains relatively firmer, though growth should be slower than the post-2020 surge.</t>
        </is>
      </c>
      <c r="AM57" s="9" t="n">
        <v>10</v>
      </c>
      <c r="AN57" s="9" t="n">
        <v>6.75</v>
      </c>
      <c r="AO57" s="10" t="n">
        <v>0.55</v>
      </c>
      <c r="AP57" s="13" t="n">
        <v>0</v>
      </c>
      <c r="AQ57" s="13" t="n">
        <v>0.015</v>
      </c>
      <c r="AR57" s="13" t="n">
        <v>0</v>
      </c>
      <c r="AS57" s="13" t="n">
        <v>0.025</v>
      </c>
      <c r="AT57" s="13" t="n">
        <v>0.005</v>
      </c>
      <c r="AU57" s="13" t="n">
        <v>0.0025</v>
      </c>
      <c r="AV57" s="13" t="n">
        <v>-0.005</v>
      </c>
      <c r="AW57" s="13" t="n">
        <v>0.07000000000000001</v>
      </c>
      <c r="AX57" s="13" t="n">
        <v>0.0275</v>
      </c>
      <c r="AY57" s="12" t="n">
        <v>1868220</v>
      </c>
      <c r="AZ57" s="12" t="n">
        <v>1926000</v>
      </c>
      <c r="BA57" s="12" t="n">
        <v>1983780</v>
      </c>
      <c r="BB57" s="12" t="n">
        <v>1921185</v>
      </c>
      <c r="BC57" s="12" t="n">
        <v>1978965</v>
      </c>
      <c r="BD57" s="12" t="n">
        <v>2036745</v>
      </c>
      <c r="BE57" s="12" t="n">
        <v>2033387</v>
      </c>
      <c r="BF57" t="inlineStr">
        <is>
          <t>Frozen values from same rules-based model as formula sheet.</t>
        </is>
      </c>
      <c r="BG57" t="inlineStr">
        <is>
          <t>2026-03-17</t>
        </is>
      </c>
      <c r="BH57" t="inlineStr">
        <is>
          <t>DLD / Digital Dubai / CBUAE / Savills / Knight Frank-Moody’s / Reuters</t>
        </is>
      </c>
    </row>
    <row r="58">
      <c r="A58" t="n">
        <v>57</v>
      </c>
      <c r="B58" t="inlineStr">
        <is>
          <t>Grove Ridge</t>
        </is>
      </c>
      <c r="C58" t="inlineStr">
        <is>
          <t>Emaar Properties</t>
        </is>
      </c>
      <c r="D58" t="inlineStr">
        <is>
          <t>Emaar South</t>
        </is>
      </c>
      <c r="E58" t="inlineStr">
        <is>
          <t>Townhouses</t>
        </is>
      </c>
      <c r="F58" t="inlineStr">
        <is>
          <t>Family</t>
        </is>
      </c>
      <c r="G58" t="inlineStr">
        <is>
          <t>1.7M</t>
        </is>
      </c>
      <c r="H58" t="inlineStr">
        <is>
          <t>1050</t>
        </is>
      </c>
      <c r="I58" t="inlineStr">
        <is>
          <t>15</t>
        </is>
      </c>
      <c r="J58" t="inlineStr">
        <is>
          <t>80/20</t>
        </is>
      </c>
      <c r="K58" t="inlineStr">
        <is>
          <t>2024</t>
        </is>
      </c>
      <c r="L58" t="inlineStr">
        <is>
          <t>6.5-7.0</t>
        </is>
      </c>
      <c r="M58" t="inlineStr">
        <is>
          <t>8-12</t>
        </is>
      </c>
      <c r="N58" t="inlineStr">
        <is>
          <t>14.5-19.0</t>
        </is>
      </c>
      <c r="O58" t="inlineStr">
        <is>
          <t>Greenfield Intl</t>
        </is>
      </c>
      <c r="P58" t="inlineStr">
        <is>
          <t>NMC Royal DIP</t>
        </is>
      </c>
      <c r="Q58" t="inlineStr">
        <is>
          <t>Urban Centre (Local)</t>
        </is>
      </c>
      <c r="R58" t="inlineStr">
        <is>
          <t>Expo Rd / E611</t>
        </is>
      </c>
      <c r="S58" t="inlineStr">
        <is>
          <t>40</t>
        </is>
      </c>
      <c r="T58" t="inlineStr">
        <is>
          <t>25</t>
        </is>
      </c>
      <c r="U58" t="inlineStr">
        <is>
          <t>45</t>
        </is>
      </c>
      <c r="V58" t="inlineStr">
        <is>
          <t>7</t>
        </is>
      </c>
      <c r="W58" t="n">
        <v>2</v>
      </c>
      <c r="X58" s="12" t="n">
        <v>1700000</v>
      </c>
      <c r="Y58" s="12" t="n">
        <v>1700000</v>
      </c>
      <c r="Z58" s="9" t="n">
        <v>6.5</v>
      </c>
      <c r="AA58" s="9" t="n">
        <v>7</v>
      </c>
      <c r="AB58" s="9" t="n">
        <v>8</v>
      </c>
      <c r="AC58" s="9" t="n">
        <v>12</v>
      </c>
      <c r="AD58" s="9" t="n">
        <v>14.5</v>
      </c>
      <c r="AE58" s="9" t="n">
        <v>19</v>
      </c>
      <c r="AF58" t="n">
        <v>2024</v>
      </c>
      <c r="AH58" t="inlineStr">
        <is>
          <t>Townhouse</t>
        </is>
      </c>
      <c r="AI58" t="inlineStr">
        <is>
          <t>MainstreamSelective</t>
        </is>
      </c>
      <c r="AJ58" t="inlineStr">
        <is>
          <t>TopTier</t>
        </is>
      </c>
      <c r="AK58" t="inlineStr">
        <is>
          <t>Family-villa resilient</t>
        </is>
      </c>
      <c r="AL58" t="inlineStr">
        <is>
          <t>Villa/townhouse demand remains relatively firmer, though growth should be slower than the post-2020 surge.</t>
        </is>
      </c>
      <c r="AM58" s="9" t="n">
        <v>10</v>
      </c>
      <c r="AN58" s="9" t="n">
        <v>6.75</v>
      </c>
      <c r="AO58" s="10" t="n">
        <v>0.55</v>
      </c>
      <c r="AP58" s="13" t="n">
        <v>0</v>
      </c>
      <c r="AQ58" s="13" t="n">
        <v>0.015</v>
      </c>
      <c r="AR58" s="13" t="n">
        <v>0</v>
      </c>
      <c r="AS58" s="13" t="n">
        <v>0.025</v>
      </c>
      <c r="AT58" s="13" t="n">
        <v>0.005</v>
      </c>
      <c r="AU58" s="13" t="n">
        <v>0.0025</v>
      </c>
      <c r="AV58" s="13" t="n">
        <v>-0.005</v>
      </c>
      <c r="AW58" s="13" t="n">
        <v>0.07000000000000001</v>
      </c>
      <c r="AX58" s="13" t="n">
        <v>0.0275</v>
      </c>
      <c r="AY58" s="12" t="n">
        <v>1764430</v>
      </c>
      <c r="AZ58" s="12" t="n">
        <v>1819000</v>
      </c>
      <c r="BA58" s="12" t="n">
        <v>1873570</v>
      </c>
      <c r="BB58" s="12" t="n">
        <v>1814452</v>
      </c>
      <c r="BC58" s="12" t="n">
        <v>1869023</v>
      </c>
      <c r="BD58" s="12" t="n">
        <v>1923593</v>
      </c>
      <c r="BE58" s="12" t="n">
        <v>1920421</v>
      </c>
      <c r="BF58" t="inlineStr">
        <is>
          <t>Frozen values from same rules-based model as formula sheet.</t>
        </is>
      </c>
      <c r="BG58" t="inlineStr">
        <is>
          <t>2026-03-17</t>
        </is>
      </c>
      <c r="BH58" t="inlineStr">
        <is>
          <t>DLD / Digital Dubai / CBUAE / Savills / Knight Frank-Moody’s / Reuters</t>
        </is>
      </c>
    </row>
    <row r="59">
      <c r="A59" t="n">
        <v>58</v>
      </c>
      <c r="B59" t="inlineStr">
        <is>
          <t>Expo Golf Villas</t>
        </is>
      </c>
      <c r="C59" t="inlineStr">
        <is>
          <t>Emaar Properties</t>
        </is>
      </c>
      <c r="D59" t="inlineStr">
        <is>
          <t>Emaar South</t>
        </is>
      </c>
      <c r="E59" t="inlineStr">
        <is>
          <t>Villas</t>
        </is>
      </c>
      <c r="F59" t="inlineStr">
        <is>
          <t>Golf</t>
        </is>
      </c>
      <c r="G59" t="inlineStr">
        <is>
          <t>Resale (1.5M+)</t>
        </is>
      </c>
      <c r="H59" t="inlineStr">
        <is>
          <t>1000</t>
        </is>
      </c>
      <c r="I59" t="inlineStr">
        <is>
          <t>15</t>
        </is>
      </c>
      <c r="J59" t="inlineStr">
        <is>
          <t>Completed</t>
        </is>
      </c>
      <c r="K59" t="inlineStr">
        <is>
          <t>2019</t>
        </is>
      </c>
      <c r="L59" t="inlineStr">
        <is>
          <t>7.0-7.5</t>
        </is>
      </c>
      <c r="M59" t="inlineStr">
        <is>
          <t>6-8</t>
        </is>
      </c>
      <c r="N59" t="inlineStr">
        <is>
          <t>13.0-15.5</t>
        </is>
      </c>
      <c r="O59" t="inlineStr">
        <is>
          <t>Greenfield Intl</t>
        </is>
      </c>
      <c r="P59" t="inlineStr">
        <is>
          <t>NMC Royal DIP</t>
        </is>
      </c>
      <c r="Q59" t="inlineStr">
        <is>
          <t>Urban Centre (Local)</t>
        </is>
      </c>
      <c r="R59" t="inlineStr">
        <is>
          <t>Expo Rd / E611</t>
        </is>
      </c>
      <c r="S59" t="inlineStr">
        <is>
          <t>40</t>
        </is>
      </c>
      <c r="T59" t="inlineStr">
        <is>
          <t>25</t>
        </is>
      </c>
      <c r="U59" t="inlineStr">
        <is>
          <t>45</t>
        </is>
      </c>
      <c r="V59" t="inlineStr">
        <is>
          <t>7</t>
        </is>
      </c>
      <c r="W59" t="n">
        <v>2</v>
      </c>
      <c r="X59" s="12" t="n">
        <v>1500000</v>
      </c>
      <c r="Y59" s="12" t="n">
        <v>1500000</v>
      </c>
      <c r="Z59" s="9" t="n">
        <v>7</v>
      </c>
      <c r="AA59" s="9" t="n">
        <v>7.5</v>
      </c>
      <c r="AB59" s="9" t="n">
        <v>6</v>
      </c>
      <c r="AC59" s="9" t="n">
        <v>8</v>
      </c>
      <c r="AD59" s="9" t="n">
        <v>13</v>
      </c>
      <c r="AE59" s="9" t="n">
        <v>15.5</v>
      </c>
      <c r="AF59" t="n">
        <v>2019</v>
      </c>
      <c r="AH59" t="inlineStr">
        <is>
          <t>Villa</t>
        </is>
      </c>
      <c r="AI59" t="inlineStr">
        <is>
          <t>MainstreamSelective</t>
        </is>
      </c>
      <c r="AJ59" t="inlineStr">
        <is>
          <t>TopTier</t>
        </is>
      </c>
      <c r="AK59" t="inlineStr">
        <is>
          <t>Family-villa resilient</t>
        </is>
      </c>
      <c r="AL59" t="inlineStr">
        <is>
          <t>Villa/townhouse demand remains relatively firmer, though growth should be slower than the post-2020 surge.</t>
        </is>
      </c>
      <c r="AM59" s="9" t="n">
        <v>7</v>
      </c>
      <c r="AN59" s="9" t="n">
        <v>7.25</v>
      </c>
      <c r="AO59" s="10" t="n">
        <v>0.55</v>
      </c>
      <c r="AP59" s="13" t="n">
        <v>0</v>
      </c>
      <c r="AQ59" s="13" t="n">
        <v>0.015</v>
      </c>
      <c r="AR59" s="13" t="n">
        <v>0</v>
      </c>
      <c r="AS59" s="13" t="n">
        <v>0.025</v>
      </c>
      <c r="AT59" s="13" t="n">
        <v>0.005</v>
      </c>
      <c r="AU59" s="13" t="n">
        <v>0.0025</v>
      </c>
      <c r="AV59" s="13" t="n">
        <v>-0.005</v>
      </c>
      <c r="AW59" s="13" t="n">
        <v>0.05350000000000001</v>
      </c>
      <c r="AX59" s="13" t="n">
        <v>0.0275</v>
      </c>
      <c r="AY59" s="12" t="n">
        <v>1532842</v>
      </c>
      <c r="AZ59" s="12" t="n">
        <v>1580250</v>
      </c>
      <c r="BA59" s="12" t="n">
        <v>1627658</v>
      </c>
      <c r="BB59" s="12" t="n">
        <v>1576299</v>
      </c>
      <c r="BC59" s="12" t="n">
        <v>1623707</v>
      </c>
      <c r="BD59" s="12" t="n">
        <v>1671114</v>
      </c>
      <c r="BE59" s="12" t="n">
        <v>1668359</v>
      </c>
      <c r="BF59" t="inlineStr">
        <is>
          <t>Frozen values from same rules-based model as formula sheet.</t>
        </is>
      </c>
      <c r="BG59" t="inlineStr">
        <is>
          <t>2026-03-17</t>
        </is>
      </c>
      <c r="BH59" t="inlineStr">
        <is>
          <t>DLD / Digital Dubai / CBUAE / Savills / Knight Frank-Moody’s / Reuters</t>
        </is>
      </c>
    </row>
    <row r="60">
      <c r="A60" t="n">
        <v>59</v>
      </c>
      <c r="B60" t="inlineStr">
        <is>
          <t>Urbana</t>
        </is>
      </c>
      <c r="C60" t="inlineStr">
        <is>
          <t>Emaar Properties</t>
        </is>
      </c>
      <c r="D60" t="inlineStr">
        <is>
          <t>Emaar South</t>
        </is>
      </c>
      <c r="E60" t="inlineStr">
        <is>
          <t>Townhouses</t>
        </is>
      </c>
      <c r="F60" t="inlineStr">
        <is>
          <t>Gated</t>
        </is>
      </c>
      <c r="G60" t="inlineStr">
        <is>
          <t>Resale (1.2M+)</t>
        </is>
      </c>
      <c r="H60" t="inlineStr">
        <is>
          <t>950</t>
        </is>
      </c>
      <c r="I60" t="inlineStr">
        <is>
          <t>15</t>
        </is>
      </c>
      <c r="J60" t="inlineStr">
        <is>
          <t>Completed</t>
        </is>
      </c>
      <c r="K60" t="inlineStr">
        <is>
          <t>2018</t>
        </is>
      </c>
      <c r="L60" t="inlineStr">
        <is>
          <t>7.5-8.0</t>
        </is>
      </c>
      <c r="M60" t="inlineStr">
        <is>
          <t>6-8</t>
        </is>
      </c>
      <c r="N60" t="inlineStr">
        <is>
          <t>13.5-16.0</t>
        </is>
      </c>
      <c r="O60" t="inlineStr">
        <is>
          <t>Greenfield Intl</t>
        </is>
      </c>
      <c r="P60" t="inlineStr">
        <is>
          <t>NMC Royal DIP</t>
        </is>
      </c>
      <c r="Q60" t="inlineStr">
        <is>
          <t>Urban Centre (Local)</t>
        </is>
      </c>
      <c r="R60" t="inlineStr">
        <is>
          <t>Expo Rd / E611</t>
        </is>
      </c>
      <c r="S60" t="inlineStr">
        <is>
          <t>40</t>
        </is>
      </c>
      <c r="T60" t="inlineStr">
        <is>
          <t>25</t>
        </is>
      </c>
      <c r="U60" t="inlineStr">
        <is>
          <t>45</t>
        </is>
      </c>
      <c r="V60" t="inlineStr">
        <is>
          <t>7</t>
        </is>
      </c>
      <c r="W60" t="n">
        <v>2</v>
      </c>
      <c r="X60" s="12" t="n">
        <v>1200000</v>
      </c>
      <c r="Y60" s="12" t="n">
        <v>1200000</v>
      </c>
      <c r="Z60" s="9" t="n">
        <v>7.5</v>
      </c>
      <c r="AA60" s="9" t="n">
        <v>8</v>
      </c>
      <c r="AB60" s="9" t="n">
        <v>6</v>
      </c>
      <c r="AC60" s="9" t="n">
        <v>8</v>
      </c>
      <c r="AD60" s="9" t="n">
        <v>13.5</v>
      </c>
      <c r="AE60" s="9" t="n">
        <v>16</v>
      </c>
      <c r="AF60" t="n">
        <v>2018</v>
      </c>
      <c r="AH60" t="inlineStr">
        <is>
          <t>Townhouse</t>
        </is>
      </c>
      <c r="AI60" t="inlineStr">
        <is>
          <t>MainstreamSelective</t>
        </is>
      </c>
      <c r="AJ60" t="inlineStr">
        <is>
          <t>TopTier</t>
        </is>
      </c>
      <c r="AK60" t="inlineStr">
        <is>
          <t>Family-villa resilient</t>
        </is>
      </c>
      <c r="AL60" t="inlineStr">
        <is>
          <t>Villa/townhouse demand remains relatively firmer, though growth should be slower than the post-2020 surge.</t>
        </is>
      </c>
      <c r="AM60" s="9" t="n">
        <v>7</v>
      </c>
      <c r="AN60" s="9" t="n">
        <v>7.75</v>
      </c>
      <c r="AO60" s="10" t="n">
        <v>0.55</v>
      </c>
      <c r="AP60" s="13" t="n">
        <v>0</v>
      </c>
      <c r="AQ60" s="13" t="n">
        <v>0.015</v>
      </c>
      <c r="AR60" s="13" t="n">
        <v>0</v>
      </c>
      <c r="AS60" s="13" t="n">
        <v>0.025</v>
      </c>
      <c r="AT60" s="13" t="n">
        <v>0.005</v>
      </c>
      <c r="AU60" s="13" t="n">
        <v>0.0025</v>
      </c>
      <c r="AV60" s="13" t="n">
        <v>-0.005</v>
      </c>
      <c r="AW60" s="13" t="n">
        <v>0.05350000000000001</v>
      </c>
      <c r="AX60" s="13" t="n">
        <v>0.0275</v>
      </c>
      <c r="AY60" s="12" t="n">
        <v>1226274</v>
      </c>
      <c r="AZ60" s="12" t="n">
        <v>1264200</v>
      </c>
      <c r="BA60" s="12" t="n">
        <v>1302126</v>
      </c>
      <c r="BB60" s="12" t="n">
        <v>1261040</v>
      </c>
      <c r="BC60" s="12" t="n">
        <v>1298966</v>
      </c>
      <c r="BD60" s="12" t="n">
        <v>1336892</v>
      </c>
      <c r="BE60" s="12" t="n">
        <v>1334687</v>
      </c>
      <c r="BF60" t="inlineStr">
        <is>
          <t>Frozen values from same rules-based model as formula sheet.</t>
        </is>
      </c>
      <c r="BG60" t="inlineStr">
        <is>
          <t>2026-03-17</t>
        </is>
      </c>
      <c r="BH60" t="inlineStr">
        <is>
          <t>DLD / Digital Dubai / CBUAE / Savills / Knight Frank-Moody’s / Reuters</t>
        </is>
      </c>
    </row>
    <row r="61">
      <c r="A61" t="n">
        <v>60</v>
      </c>
      <c r="B61" t="inlineStr">
        <is>
          <t>Expo Living (Master Community)</t>
        </is>
      </c>
      <c r="C61" t="inlineStr">
        <is>
          <t>Emaar Properties</t>
        </is>
      </c>
      <c r="D61" t="inlineStr">
        <is>
          <t>Dubai South</t>
        </is>
      </c>
      <c r="E61" t="inlineStr">
        <is>
          <t>Apartments</t>
        </is>
      </c>
      <c r="F61" t="inlineStr">
        <is>
          <t>Expo City Proximity</t>
        </is>
      </c>
      <c r="I61" t="inlineStr">
        <is>
          <t>15</t>
        </is>
      </c>
      <c r="J61" t="inlineStr">
        <is>
          <t>Varies</t>
        </is>
      </c>
      <c r="K61" t="inlineStr">
        <is>
          <t>2024</t>
        </is>
      </c>
      <c r="L61" t="inlineStr">
        <is>
          <t>7.0-8.0</t>
        </is>
      </c>
      <c r="M61" t="inlineStr">
        <is>
          <t>10-12</t>
        </is>
      </c>
      <c r="N61" t="inlineStr">
        <is>
          <t>17.0-20.0</t>
        </is>
      </c>
      <c r="O61" t="inlineStr">
        <is>
          <t>Dove Green</t>
        </is>
      </c>
      <c r="P61" t="inlineStr">
        <is>
          <t>NMC Royal DIP</t>
        </is>
      </c>
      <c r="Q61" t="inlineStr">
        <is>
          <t>Expo City Mall</t>
        </is>
      </c>
      <c r="R61" t="inlineStr">
        <is>
          <t>Expo Rd</t>
        </is>
      </c>
      <c r="S61" t="inlineStr">
        <is>
          <t>35</t>
        </is>
      </c>
      <c r="T61" t="inlineStr">
        <is>
          <t>20</t>
        </is>
      </c>
      <c r="U61" t="inlineStr">
        <is>
          <t>40</t>
        </is>
      </c>
      <c r="V61" t="inlineStr">
        <is>
          <t>10</t>
        </is>
      </c>
      <c r="W61" t="n">
        <v>2</v>
      </c>
      <c r="X61" s="12" t="n"/>
      <c r="Y61" s="12" t="n"/>
      <c r="Z61" s="9" t="n">
        <v>7</v>
      </c>
      <c r="AA61" s="9" t="n">
        <v>8</v>
      </c>
      <c r="AB61" s="9" t="n">
        <v>10</v>
      </c>
      <c r="AC61" s="9" t="n">
        <v>12</v>
      </c>
      <c r="AD61" s="9" t="n">
        <v>17</v>
      </c>
      <c r="AE61" s="9" t="n">
        <v>20</v>
      </c>
      <c r="AF61" t="n">
        <v>2024</v>
      </c>
      <c r="AH61" t="inlineStr">
        <is>
          <t>Apartment</t>
        </is>
      </c>
      <c r="AI61" t="inlineStr">
        <is>
          <t>SupplySensitiveApartment</t>
        </is>
      </c>
      <c r="AJ61" t="inlineStr">
        <is>
          <t>TopTier</t>
        </is>
      </c>
      <c r="AK61" t="inlineStr">
        <is>
          <t>Supply-sensitive / selective</t>
        </is>
      </c>
      <c r="AL61" t="inlineStr">
        <is>
          <t>Higher delivery risk in more price-sensitive apartment clusters; building selection and exit liquidity matter.</t>
        </is>
      </c>
      <c r="AM61" s="9" t="n">
        <v>11</v>
      </c>
      <c r="AN61" s="9" t="n">
        <v>7.5</v>
      </c>
      <c r="AO61" s="10" t="n">
        <v>0.55</v>
      </c>
      <c r="AP61" s="13" t="n">
        <v>0</v>
      </c>
      <c r="AQ61" s="13" t="n">
        <v>0</v>
      </c>
      <c r="AR61" s="13" t="n">
        <v>-0.01</v>
      </c>
      <c r="AS61" s="13" t="n">
        <v>-0.01</v>
      </c>
      <c r="AT61" s="13" t="n">
        <v>0.005</v>
      </c>
      <c r="AU61" s="13" t="n">
        <v>0.0025</v>
      </c>
      <c r="AV61" s="13" t="n">
        <v>-0.005</v>
      </c>
      <c r="AW61" s="13" t="n">
        <v>0.0505</v>
      </c>
      <c r="AX61" s="13" t="n">
        <v>-0.0075</v>
      </c>
      <c r="AY61" s="12" t="n"/>
      <c r="AZ61" s="12" t="n"/>
      <c r="BA61" s="12" t="n"/>
      <c r="BB61" s="12" t="n"/>
      <c r="BC61" s="12" t="n"/>
      <c r="BD61" s="12" t="n"/>
      <c r="BE61" s="12" t="n"/>
      <c r="BF61" t="inlineStr">
        <is>
          <t>Frozen values from same rules-based model as formula sheet.</t>
        </is>
      </c>
      <c r="BG61" t="inlineStr">
        <is>
          <t>2026-03-17</t>
        </is>
      </c>
      <c r="BH61" t="inlineStr">
        <is>
          <t>DLD / Digital Dubai / CBUAE / Savills / Knight Frank-Moody’s / Reuters</t>
        </is>
      </c>
    </row>
    <row r="62">
      <c r="A62" t="n">
        <v>61</v>
      </c>
      <c r="B62" t="inlineStr">
        <is>
          <t>Terra Gardens</t>
        </is>
      </c>
      <c r="C62" t="inlineStr">
        <is>
          <t>Emaar Properties</t>
        </is>
      </c>
      <c r="D62" t="inlineStr">
        <is>
          <t>Expo Living</t>
        </is>
      </c>
      <c r="E62" t="inlineStr">
        <is>
          <t>Apartments</t>
        </is>
      </c>
      <c r="F62" t="inlineStr">
        <is>
          <t>Green / Modern</t>
        </is>
      </c>
      <c r="G62" t="inlineStr">
        <is>
          <t>1.3M</t>
        </is>
      </c>
      <c r="H62" t="inlineStr">
        <is>
          <t>1400</t>
        </is>
      </c>
      <c r="I62" t="inlineStr">
        <is>
          <t>15</t>
        </is>
      </c>
      <c r="J62" t="inlineStr">
        <is>
          <t>80/20</t>
        </is>
      </c>
      <c r="K62" t="inlineStr">
        <is>
          <t>2024</t>
        </is>
      </c>
      <c r="L62" t="inlineStr">
        <is>
          <t>7.0-7.5</t>
        </is>
      </c>
      <c r="M62" t="inlineStr">
        <is>
          <t>10-12</t>
        </is>
      </c>
      <c r="N62" t="inlineStr">
        <is>
          <t>17.0-19.5</t>
        </is>
      </c>
      <c r="O62" t="inlineStr">
        <is>
          <t>Dove Green</t>
        </is>
      </c>
      <c r="P62" t="inlineStr">
        <is>
          <t>NMC Royal DIP</t>
        </is>
      </c>
      <c r="Q62" t="inlineStr">
        <is>
          <t>Expo City Mall</t>
        </is>
      </c>
      <c r="R62" t="inlineStr">
        <is>
          <t>Expo Rd</t>
        </is>
      </c>
      <c r="S62" t="inlineStr">
        <is>
          <t>35</t>
        </is>
      </c>
      <c r="T62" t="inlineStr">
        <is>
          <t>20</t>
        </is>
      </c>
      <c r="U62" t="inlineStr">
        <is>
          <t>40</t>
        </is>
      </c>
      <c r="V62" t="inlineStr">
        <is>
          <t>10</t>
        </is>
      </c>
      <c r="W62" t="n">
        <v>2</v>
      </c>
      <c r="X62" s="12" t="n">
        <v>1300000</v>
      </c>
      <c r="Y62" s="12" t="n">
        <v>1300000</v>
      </c>
      <c r="Z62" s="9" t="n">
        <v>7</v>
      </c>
      <c r="AA62" s="9" t="n">
        <v>7.5</v>
      </c>
      <c r="AB62" s="9" t="n">
        <v>10</v>
      </c>
      <c r="AC62" s="9" t="n">
        <v>12</v>
      </c>
      <c r="AD62" s="9" t="n">
        <v>17</v>
      </c>
      <c r="AE62" s="9" t="n">
        <v>19.5</v>
      </c>
      <c r="AF62" t="n">
        <v>2024</v>
      </c>
      <c r="AH62" t="inlineStr">
        <is>
          <t>Apartment</t>
        </is>
      </c>
      <c r="AI62" t="inlineStr">
        <is>
          <t>MainstreamSelective</t>
        </is>
      </c>
      <c r="AJ62" t="inlineStr">
        <is>
          <t>TopTier</t>
        </is>
      </c>
      <c r="AK62" t="inlineStr">
        <is>
          <t>Balanced / selective</t>
        </is>
      </c>
      <c r="AL62" t="inlineStr">
        <is>
          <t>Market remains active but increasingly differentiated by developer, micro-location, livability, and pricing discipline.</t>
        </is>
      </c>
      <c r="AM62" s="9" t="n">
        <v>11</v>
      </c>
      <c r="AN62" s="9" t="n">
        <v>7.25</v>
      </c>
      <c r="AO62" s="10" t="n">
        <v>0.55</v>
      </c>
      <c r="AP62" s="13" t="n">
        <v>0</v>
      </c>
      <c r="AQ62" s="13" t="n">
        <v>0</v>
      </c>
      <c r="AR62" s="13" t="n">
        <v>0</v>
      </c>
      <c r="AS62" s="13" t="n">
        <v>0.01</v>
      </c>
      <c r="AT62" s="13" t="n">
        <v>0.005</v>
      </c>
      <c r="AU62" s="13" t="n">
        <v>0.0025</v>
      </c>
      <c r="AV62" s="13" t="n">
        <v>-0.005</v>
      </c>
      <c r="AW62" s="13" t="n">
        <v>0.06050000000000001</v>
      </c>
      <c r="AX62" s="13" t="n">
        <v>0.0125</v>
      </c>
      <c r="AY62" s="12" t="n">
        <v>1337290</v>
      </c>
      <c r="AZ62" s="12" t="n">
        <v>1378650</v>
      </c>
      <c r="BA62" s="12" t="n">
        <v>1420010</v>
      </c>
      <c r="BB62" s="12" t="n">
        <v>1354524</v>
      </c>
      <c r="BC62" s="12" t="n">
        <v>1395883</v>
      </c>
      <c r="BD62" s="12" t="n">
        <v>1437243</v>
      </c>
      <c r="BE62" s="12" t="n">
        <v>1413332</v>
      </c>
      <c r="BF62" t="inlineStr">
        <is>
          <t>Frozen values from same rules-based model as formula sheet.</t>
        </is>
      </c>
      <c r="BG62" t="inlineStr">
        <is>
          <t>2026-03-17</t>
        </is>
      </c>
      <c r="BH62" t="inlineStr">
        <is>
          <t>DLD / Digital Dubai / CBUAE / Savills / Knight Frank-Moody’s / Reuters</t>
        </is>
      </c>
    </row>
    <row r="63">
      <c r="A63" t="n">
        <v>62</v>
      </c>
      <c r="B63" t="inlineStr">
        <is>
          <t>St. Regis Residences</t>
        </is>
      </c>
      <c r="C63" t="inlineStr">
        <is>
          <t>Emaar Properties</t>
        </is>
      </c>
      <c r="D63" t="inlineStr">
        <is>
          <t>Downtown Dubai</t>
        </is>
      </c>
      <c r="E63" t="inlineStr">
        <is>
          <t>Branded Apartments</t>
        </is>
      </c>
      <c r="F63" t="inlineStr">
        <is>
          <t>Luxury / Burj View</t>
        </is>
      </c>
      <c r="G63" t="inlineStr">
        <is>
          <t>3.8M</t>
        </is>
      </c>
      <c r="H63" t="inlineStr">
        <is>
          <t>3500</t>
        </is>
      </c>
      <c r="I63" t="inlineStr">
        <is>
          <t>45+</t>
        </is>
      </c>
      <c r="J63" t="inlineStr">
        <is>
          <t>70/30</t>
        </is>
      </c>
      <c r="K63" t="inlineStr">
        <is>
          <t>2022</t>
        </is>
      </c>
      <c r="L63" t="inlineStr">
        <is>
          <t>4.0-4.5</t>
        </is>
      </c>
      <c r="M63" t="inlineStr">
        <is>
          <t>10-15</t>
        </is>
      </c>
      <c r="N63" t="inlineStr">
        <is>
          <t>14.0-19.5</t>
        </is>
      </c>
      <c r="O63" t="inlineStr">
        <is>
          <t>Hartland Intl</t>
        </is>
      </c>
      <c r="P63" t="inlineStr">
        <is>
          <t>Mediclinic Dubai Mall</t>
        </is>
      </c>
      <c r="Q63" t="inlineStr">
        <is>
          <t>Dubai Mall</t>
        </is>
      </c>
      <c r="R63" t="inlineStr">
        <is>
          <t>Financial Ctr Rd</t>
        </is>
      </c>
      <c r="S63" t="inlineStr">
        <is>
          <t>5</t>
        </is>
      </c>
      <c r="T63" t="inlineStr">
        <is>
          <t>20</t>
        </is>
      </c>
      <c r="U63" t="inlineStr">
        <is>
          <t>15</t>
        </is>
      </c>
      <c r="V63" t="inlineStr">
        <is>
          <t>35</t>
        </is>
      </c>
      <c r="W63" t="n">
        <v>2</v>
      </c>
      <c r="X63" s="12" t="n">
        <v>3800000</v>
      </c>
      <c r="Y63" s="12" t="n">
        <v>3800000</v>
      </c>
      <c r="Z63" s="9" t="n">
        <v>4</v>
      </c>
      <c r="AA63" s="9" t="n">
        <v>4.5</v>
      </c>
      <c r="AB63" s="9" t="n">
        <v>10</v>
      </c>
      <c r="AC63" s="9" t="n">
        <v>15</v>
      </c>
      <c r="AD63" s="9" t="n">
        <v>14</v>
      </c>
      <c r="AE63" s="9" t="n">
        <v>19.5</v>
      </c>
      <c r="AF63" t="n">
        <v>2022</v>
      </c>
      <c r="AH63" t="inlineStr">
        <is>
          <t>Apartment</t>
        </is>
      </c>
      <c r="AI63" t="inlineStr">
        <is>
          <t>Prime</t>
        </is>
      </c>
      <c r="AJ63" t="inlineStr">
        <is>
          <t>TopTier</t>
        </is>
      </c>
      <c r="AK63" t="inlineStr">
        <is>
          <t>Prime resilient / selective</t>
        </is>
      </c>
      <c r="AL63" t="inlineStr">
        <is>
          <t>Better support from quality, branding, and scarcer prime stock; still entry-price sensitive.</t>
        </is>
      </c>
      <c r="AM63" s="9" t="n">
        <v>12.5</v>
      </c>
      <c r="AN63" s="9" t="n">
        <v>4.25</v>
      </c>
      <c r="AO63" s="10" t="n">
        <v>0.55</v>
      </c>
      <c r="AP63" s="13" t="n">
        <v>0.02</v>
      </c>
      <c r="AQ63" s="13" t="n">
        <v>0</v>
      </c>
      <c r="AR63" s="13" t="n">
        <v>0</v>
      </c>
      <c r="AS63" s="13" t="n">
        <v>0.03</v>
      </c>
      <c r="AT63" s="13" t="n">
        <v>0.005</v>
      </c>
      <c r="AU63" s="13" t="n">
        <v>0</v>
      </c>
      <c r="AV63" s="13" t="n">
        <v>-0.005</v>
      </c>
      <c r="AW63" s="13" t="n">
        <v>0.08875000000000001</v>
      </c>
      <c r="AX63" s="13" t="n">
        <v>0.03</v>
      </c>
      <c r="AY63" s="12" t="n">
        <v>4013132</v>
      </c>
      <c r="AZ63" s="12" t="n">
        <v>4137250</v>
      </c>
      <c r="BA63" s="12" t="n">
        <v>4261368</v>
      </c>
      <c r="BB63" s="12" t="n">
        <v>4137250</v>
      </c>
      <c r="BC63" s="12" t="n">
        <v>4261368</v>
      </c>
      <c r="BD63" s="12" t="n">
        <v>4385485</v>
      </c>
      <c r="BE63" s="12" t="n">
        <v>4389209</v>
      </c>
      <c r="BF63" t="inlineStr">
        <is>
          <t>Frozen values from same rules-based model as formula sheet.</t>
        </is>
      </c>
      <c r="BG63" t="inlineStr">
        <is>
          <t>2026-03-17</t>
        </is>
      </c>
      <c r="BH63" t="inlineStr">
        <is>
          <t>DLD / Digital Dubai / CBUAE / Savills / Knight Frank-Moody’s / Reuters</t>
        </is>
      </c>
    </row>
    <row r="64">
      <c r="A64" t="n">
        <v>63</v>
      </c>
      <c r="B64" t="inlineStr">
        <is>
          <t>Burj Crown</t>
        </is>
      </c>
      <c r="C64" t="inlineStr">
        <is>
          <t>Emaar Properties</t>
        </is>
      </c>
      <c r="D64" t="inlineStr">
        <is>
          <t>Downtown Dubai</t>
        </is>
      </c>
      <c r="E64" t="inlineStr">
        <is>
          <t>Apartments</t>
        </is>
      </c>
      <c r="F64" t="inlineStr">
        <is>
          <t>City Centre</t>
        </is>
      </c>
      <c r="G64" t="inlineStr">
        <is>
          <t>2.2M</t>
        </is>
      </c>
      <c r="H64" t="inlineStr">
        <is>
          <t>2800</t>
        </is>
      </c>
      <c r="I64" t="inlineStr">
        <is>
          <t>30</t>
        </is>
      </c>
      <c r="J64" t="inlineStr">
        <is>
          <t>Completed</t>
        </is>
      </c>
      <c r="K64" t="inlineStr">
        <is>
          <t>2020</t>
        </is>
      </c>
      <c r="L64" t="inlineStr">
        <is>
          <t>5.0-5.5</t>
        </is>
      </c>
      <c r="M64" t="inlineStr">
        <is>
          <t>8-10</t>
        </is>
      </c>
      <c r="N64" t="inlineStr">
        <is>
          <t>13.0-15.5</t>
        </is>
      </c>
      <c r="O64" t="inlineStr">
        <is>
          <t>Hartland Intl</t>
        </is>
      </c>
      <c r="P64" t="inlineStr">
        <is>
          <t>Mediclinic Dubai Mall</t>
        </is>
      </c>
      <c r="Q64" t="inlineStr">
        <is>
          <t>Dubai Mall</t>
        </is>
      </c>
      <c r="R64" t="inlineStr">
        <is>
          <t>Financial Ctr Rd</t>
        </is>
      </c>
      <c r="S64" t="inlineStr">
        <is>
          <t>5</t>
        </is>
      </c>
      <c r="T64" t="inlineStr">
        <is>
          <t>20</t>
        </is>
      </c>
      <c r="U64" t="inlineStr">
        <is>
          <t>15</t>
        </is>
      </c>
      <c r="V64" t="inlineStr">
        <is>
          <t>35</t>
        </is>
      </c>
      <c r="W64" t="n">
        <v>2</v>
      </c>
      <c r="X64" s="12" t="n">
        <v>2200000</v>
      </c>
      <c r="Y64" s="12" t="n">
        <v>2200000</v>
      </c>
      <c r="Z64" s="9" t="n">
        <v>5</v>
      </c>
      <c r="AA64" s="9" t="n">
        <v>5.5</v>
      </c>
      <c r="AB64" s="9" t="n">
        <v>8</v>
      </c>
      <c r="AC64" s="9" t="n">
        <v>10</v>
      </c>
      <c r="AD64" s="9" t="n">
        <v>13</v>
      </c>
      <c r="AE64" s="9" t="n">
        <v>15.5</v>
      </c>
      <c r="AF64" t="n">
        <v>2020</v>
      </c>
      <c r="AH64" t="inlineStr">
        <is>
          <t>Apartment</t>
        </is>
      </c>
      <c r="AI64" t="inlineStr">
        <is>
          <t>Prime</t>
        </is>
      </c>
      <c r="AJ64" t="inlineStr">
        <is>
          <t>TopTier</t>
        </is>
      </c>
      <c r="AK64" t="inlineStr">
        <is>
          <t>Prime resilient / selective</t>
        </is>
      </c>
      <c r="AL64" t="inlineStr">
        <is>
          <t>Better support from quality, branding, and scarcer prime stock; still entry-price sensitive.</t>
        </is>
      </c>
      <c r="AM64" s="9" t="n">
        <v>9</v>
      </c>
      <c r="AN64" s="9" t="n">
        <v>5.25</v>
      </c>
      <c r="AO64" s="10" t="n">
        <v>0.55</v>
      </c>
      <c r="AP64" s="13" t="n">
        <v>0.02</v>
      </c>
      <c r="AQ64" s="13" t="n">
        <v>0</v>
      </c>
      <c r="AR64" s="13" t="n">
        <v>0</v>
      </c>
      <c r="AS64" s="13" t="n">
        <v>0.03</v>
      </c>
      <c r="AT64" s="13" t="n">
        <v>0.005</v>
      </c>
      <c r="AU64" s="13" t="n">
        <v>0</v>
      </c>
      <c r="AV64" s="13" t="n">
        <v>-0.005</v>
      </c>
      <c r="AW64" s="13" t="n">
        <v>0.06950000000000001</v>
      </c>
      <c r="AX64" s="13" t="n">
        <v>0.03</v>
      </c>
      <c r="AY64" s="12" t="n">
        <v>2282313</v>
      </c>
      <c r="AZ64" s="12" t="n">
        <v>2352900</v>
      </c>
      <c r="BA64" s="12" t="n">
        <v>2423487</v>
      </c>
      <c r="BB64" s="12" t="n">
        <v>2352900</v>
      </c>
      <c r="BC64" s="12" t="n">
        <v>2423487</v>
      </c>
      <c r="BD64" s="12" t="n">
        <v>2494074</v>
      </c>
      <c r="BE64" s="12" t="n">
        <v>2496192</v>
      </c>
      <c r="BF64" t="inlineStr">
        <is>
          <t>Frozen values from same rules-based model as formula sheet.</t>
        </is>
      </c>
      <c r="BG64" t="inlineStr">
        <is>
          <t>2026-03-17</t>
        </is>
      </c>
      <c r="BH64" t="inlineStr">
        <is>
          <t>DLD / Digital Dubai / CBUAE / Savills / Knight Frank-Moody’s / Reuters</t>
        </is>
      </c>
    </row>
    <row r="65">
      <c r="A65" t="n">
        <v>64</v>
      </c>
      <c r="B65" t="inlineStr">
        <is>
          <t>Grande</t>
        </is>
      </c>
      <c r="C65" t="inlineStr">
        <is>
          <t>Emaar Properties</t>
        </is>
      </c>
      <c r="D65" t="inlineStr">
        <is>
          <t>Downtown Dubai</t>
        </is>
      </c>
      <c r="E65" t="inlineStr">
        <is>
          <t>Apartments</t>
        </is>
      </c>
      <c r="F65" t="inlineStr">
        <is>
          <t>Opera District</t>
        </is>
      </c>
      <c r="G65" t="inlineStr">
        <is>
          <t>2.5M</t>
        </is>
      </c>
      <c r="H65" t="inlineStr">
        <is>
          <t>3000</t>
        </is>
      </c>
      <c r="I65" t="inlineStr">
        <is>
          <t>30</t>
        </is>
      </c>
      <c r="J65" t="inlineStr">
        <is>
          <t>Completed</t>
        </is>
      </c>
      <c r="K65" t="inlineStr">
        <is>
          <t>2019</t>
        </is>
      </c>
      <c r="L65" t="inlineStr">
        <is>
          <t>5.0-5.5</t>
        </is>
      </c>
      <c r="M65" t="inlineStr">
        <is>
          <t>8-10</t>
        </is>
      </c>
      <c r="N65" t="inlineStr">
        <is>
          <t>13.0-15.5</t>
        </is>
      </c>
      <c r="O65" t="inlineStr">
        <is>
          <t>Hartland Intl</t>
        </is>
      </c>
      <c r="P65" t="inlineStr">
        <is>
          <t>Mediclinic Dubai Mall</t>
        </is>
      </c>
      <c r="Q65" t="inlineStr">
        <is>
          <t>Dubai Mall</t>
        </is>
      </c>
      <c r="R65" t="inlineStr">
        <is>
          <t>Financial Ctr Rd</t>
        </is>
      </c>
      <c r="S65" t="inlineStr">
        <is>
          <t>5</t>
        </is>
      </c>
      <c r="T65" t="inlineStr">
        <is>
          <t>20</t>
        </is>
      </c>
      <c r="U65" t="inlineStr">
        <is>
          <t>15</t>
        </is>
      </c>
      <c r="V65" t="inlineStr">
        <is>
          <t>35</t>
        </is>
      </c>
      <c r="W65" t="n">
        <v>2</v>
      </c>
      <c r="X65" s="12" t="n">
        <v>2500000</v>
      </c>
      <c r="Y65" s="12" t="n">
        <v>2500000</v>
      </c>
      <c r="Z65" s="9" t="n">
        <v>5</v>
      </c>
      <c r="AA65" s="9" t="n">
        <v>5.5</v>
      </c>
      <c r="AB65" s="9" t="n">
        <v>8</v>
      </c>
      <c r="AC65" s="9" t="n">
        <v>10</v>
      </c>
      <c r="AD65" s="9" t="n">
        <v>13</v>
      </c>
      <c r="AE65" s="9" t="n">
        <v>15.5</v>
      </c>
      <c r="AF65" t="n">
        <v>2019</v>
      </c>
      <c r="AH65" t="inlineStr">
        <is>
          <t>Apartment</t>
        </is>
      </c>
      <c r="AI65" t="inlineStr">
        <is>
          <t>Prime</t>
        </is>
      </c>
      <c r="AJ65" t="inlineStr">
        <is>
          <t>TopTier</t>
        </is>
      </c>
      <c r="AK65" t="inlineStr">
        <is>
          <t>Prime resilient / selective</t>
        </is>
      </c>
      <c r="AL65" t="inlineStr">
        <is>
          <t>Better support from quality, branding, and scarcer prime stock; still entry-price sensitive.</t>
        </is>
      </c>
      <c r="AM65" s="9" t="n">
        <v>9</v>
      </c>
      <c r="AN65" s="9" t="n">
        <v>5.25</v>
      </c>
      <c r="AO65" s="10" t="n">
        <v>0.55</v>
      </c>
      <c r="AP65" s="13" t="n">
        <v>0.02</v>
      </c>
      <c r="AQ65" s="13" t="n">
        <v>0</v>
      </c>
      <c r="AR65" s="13" t="n">
        <v>0</v>
      </c>
      <c r="AS65" s="13" t="n">
        <v>0.03</v>
      </c>
      <c r="AT65" s="13" t="n">
        <v>0.005</v>
      </c>
      <c r="AU65" s="13" t="n">
        <v>0</v>
      </c>
      <c r="AV65" s="13" t="n">
        <v>-0.005</v>
      </c>
      <c r="AW65" s="13" t="n">
        <v>0.06950000000000001</v>
      </c>
      <c r="AX65" s="13" t="n">
        <v>0.03</v>
      </c>
      <c r="AY65" s="12" t="n">
        <v>2593538</v>
      </c>
      <c r="AZ65" s="12" t="n">
        <v>2673750</v>
      </c>
      <c r="BA65" s="12" t="n">
        <v>2753962</v>
      </c>
      <c r="BB65" s="12" t="n">
        <v>2673750</v>
      </c>
      <c r="BC65" s="12" t="n">
        <v>2753962</v>
      </c>
      <c r="BD65" s="12" t="n">
        <v>2834175</v>
      </c>
      <c r="BE65" s="12" t="n">
        <v>2836581</v>
      </c>
      <c r="BF65" t="inlineStr">
        <is>
          <t>Frozen values from same rules-based model as formula sheet.</t>
        </is>
      </c>
      <c r="BG65" t="inlineStr">
        <is>
          <t>2026-03-17</t>
        </is>
      </c>
      <c r="BH65" t="inlineStr">
        <is>
          <t>DLD / Digital Dubai / CBUAE / Savills / Knight Frank-Moody’s / Reuters</t>
        </is>
      </c>
    </row>
    <row r="66">
      <c r="A66" t="n">
        <v>65</v>
      </c>
      <c r="B66" t="inlineStr">
        <is>
          <t>Act One | Act Two</t>
        </is>
      </c>
      <c r="C66" t="inlineStr">
        <is>
          <t>Emaar Properties</t>
        </is>
      </c>
      <c r="D66" t="inlineStr">
        <is>
          <t>Downtown Dubai</t>
        </is>
      </c>
      <c r="E66" t="inlineStr">
        <is>
          <t>Apartments</t>
        </is>
      </c>
      <c r="F66" t="inlineStr">
        <is>
          <t>Opera District</t>
        </is>
      </c>
      <c r="G66" t="inlineStr">
        <is>
          <t>2.1M</t>
        </is>
      </c>
      <c r="H66" t="inlineStr">
        <is>
          <t>2600</t>
        </is>
      </c>
      <c r="I66" t="inlineStr">
        <is>
          <t>30</t>
        </is>
      </c>
      <c r="J66" t="inlineStr">
        <is>
          <t>Completed</t>
        </is>
      </c>
      <c r="K66" t="inlineStr">
        <is>
          <t>2018</t>
        </is>
      </c>
      <c r="L66" t="inlineStr">
        <is>
          <t>5.5-6.0</t>
        </is>
      </c>
      <c r="M66" t="inlineStr">
        <is>
          <t>7-9</t>
        </is>
      </c>
      <c r="N66" t="inlineStr">
        <is>
          <t>12.5-15.0</t>
        </is>
      </c>
      <c r="O66" t="inlineStr">
        <is>
          <t>Hartland Intl</t>
        </is>
      </c>
      <c r="P66" t="inlineStr">
        <is>
          <t>Mediclinic Dubai Mall</t>
        </is>
      </c>
      <c r="Q66" t="inlineStr">
        <is>
          <t>Dubai Mall</t>
        </is>
      </c>
      <c r="R66" t="inlineStr">
        <is>
          <t>Financial Ctr Rd</t>
        </is>
      </c>
      <c r="S66" t="inlineStr">
        <is>
          <t>5</t>
        </is>
      </c>
      <c r="T66" t="inlineStr">
        <is>
          <t>20</t>
        </is>
      </c>
      <c r="U66" t="inlineStr">
        <is>
          <t>15</t>
        </is>
      </c>
      <c r="V66" t="inlineStr">
        <is>
          <t>35</t>
        </is>
      </c>
      <c r="W66" t="n">
        <v>2</v>
      </c>
      <c r="X66" s="12" t="n">
        <v>2100000</v>
      </c>
      <c r="Y66" s="12" t="n">
        <v>2100000</v>
      </c>
      <c r="Z66" s="9" t="n">
        <v>5.5</v>
      </c>
      <c r="AA66" s="9" t="n">
        <v>6</v>
      </c>
      <c r="AB66" s="9" t="n">
        <v>7</v>
      </c>
      <c r="AC66" s="9" t="n">
        <v>9</v>
      </c>
      <c r="AD66" s="9" t="n">
        <v>12.5</v>
      </c>
      <c r="AE66" s="9" t="n">
        <v>15</v>
      </c>
      <c r="AF66" t="n">
        <v>2018</v>
      </c>
      <c r="AH66" t="inlineStr">
        <is>
          <t>Apartment</t>
        </is>
      </c>
      <c r="AI66" t="inlineStr">
        <is>
          <t>Prime</t>
        </is>
      </c>
      <c r="AJ66" t="inlineStr">
        <is>
          <t>TopTier</t>
        </is>
      </c>
      <c r="AK66" t="inlineStr">
        <is>
          <t>Prime resilient / selective</t>
        </is>
      </c>
      <c r="AL66" t="inlineStr">
        <is>
          <t>Better support from quality, branding, and scarcer prime stock; still entry-price sensitive.</t>
        </is>
      </c>
      <c r="AM66" s="9" t="n">
        <v>8</v>
      </c>
      <c r="AN66" s="9" t="n">
        <v>5.75</v>
      </c>
      <c r="AO66" s="10" t="n">
        <v>0.55</v>
      </c>
      <c r="AP66" s="13" t="n">
        <v>0.02</v>
      </c>
      <c r="AQ66" s="13" t="n">
        <v>0</v>
      </c>
      <c r="AR66" s="13" t="n">
        <v>0</v>
      </c>
      <c r="AS66" s="13" t="n">
        <v>0.03</v>
      </c>
      <c r="AT66" s="13" t="n">
        <v>0.005</v>
      </c>
      <c r="AU66" s="13" t="n">
        <v>0</v>
      </c>
      <c r="AV66" s="13" t="n">
        <v>-0.005</v>
      </c>
      <c r="AW66" s="13" t="n">
        <v>0.064</v>
      </c>
      <c r="AX66" s="13" t="n">
        <v>0.03</v>
      </c>
      <c r="AY66" s="12" t="n">
        <v>2167368</v>
      </c>
      <c r="AZ66" s="12" t="n">
        <v>2234400</v>
      </c>
      <c r="BA66" s="12" t="n">
        <v>2301432</v>
      </c>
      <c r="BB66" s="12" t="n">
        <v>2234400</v>
      </c>
      <c r="BC66" s="12" t="n">
        <v>2301432</v>
      </c>
      <c r="BD66" s="12" t="n">
        <v>2368464</v>
      </c>
      <c r="BE66" s="12" t="n">
        <v>2370475</v>
      </c>
      <c r="BF66" t="inlineStr">
        <is>
          <t>Frozen values from same rules-based model as formula sheet.</t>
        </is>
      </c>
      <c r="BG66" t="inlineStr">
        <is>
          <t>2026-03-17</t>
        </is>
      </c>
      <c r="BH66" t="inlineStr">
        <is>
          <t>DLD / Digital Dubai / CBUAE / Savills / Knight Frank-Moody’s / Reuters</t>
        </is>
      </c>
    </row>
    <row r="67">
      <c r="A67" t="n">
        <v>66</v>
      </c>
      <c r="B67" t="inlineStr">
        <is>
          <t>Il Primo</t>
        </is>
      </c>
      <c r="C67" t="inlineStr">
        <is>
          <t>Emaar Properties</t>
        </is>
      </c>
      <c r="D67" t="inlineStr">
        <is>
          <t>Downtown Dubai</t>
        </is>
      </c>
      <c r="E67" t="inlineStr">
        <is>
          <t>Penthouse/Luxury</t>
        </is>
      </c>
      <c r="F67" t="inlineStr">
        <is>
          <t>Opera District</t>
        </is>
      </c>
      <c r="G67" t="inlineStr">
        <is>
          <t>18M+</t>
        </is>
      </c>
      <c r="H67" t="inlineStr">
        <is>
          <t>4500</t>
        </is>
      </c>
      <c r="I67" t="inlineStr">
        <is>
          <t>45+</t>
        </is>
      </c>
      <c r="J67" t="inlineStr">
        <is>
          <t>Completed</t>
        </is>
      </c>
      <c r="K67" t="inlineStr">
        <is>
          <t>2018</t>
        </is>
      </c>
      <c r="L67" t="inlineStr">
        <is>
          <t>3.5-4.0</t>
        </is>
      </c>
      <c r="M67" t="inlineStr">
        <is>
          <t>8-10</t>
        </is>
      </c>
      <c r="N67" t="inlineStr">
        <is>
          <t>11.5-14.0</t>
        </is>
      </c>
      <c r="O67" t="inlineStr">
        <is>
          <t>Hartland Intl</t>
        </is>
      </c>
      <c r="P67" t="inlineStr">
        <is>
          <t>Mediclinic Dubai Mall</t>
        </is>
      </c>
      <c r="Q67" t="inlineStr">
        <is>
          <t>Dubai Mall</t>
        </is>
      </c>
      <c r="R67" t="inlineStr">
        <is>
          <t>Financial Ctr Rd</t>
        </is>
      </c>
      <c r="S67" t="inlineStr">
        <is>
          <t>5</t>
        </is>
      </c>
      <c r="T67" t="inlineStr">
        <is>
          <t>20</t>
        </is>
      </c>
      <c r="U67" t="inlineStr">
        <is>
          <t>15</t>
        </is>
      </c>
      <c r="V67" t="inlineStr">
        <is>
          <t>35</t>
        </is>
      </c>
      <c r="W67" t="n">
        <v>2</v>
      </c>
      <c r="X67" s="12" t="n">
        <v>18000000</v>
      </c>
      <c r="Y67" s="12" t="n">
        <v>18000000</v>
      </c>
      <c r="Z67" s="9" t="n">
        <v>3.5</v>
      </c>
      <c r="AA67" s="9" t="n">
        <v>4</v>
      </c>
      <c r="AB67" s="9" t="n">
        <v>8</v>
      </c>
      <c r="AC67" s="9" t="n">
        <v>10</v>
      </c>
      <c r="AD67" s="9" t="n">
        <v>11.5</v>
      </c>
      <c r="AE67" s="9" t="n">
        <v>14</v>
      </c>
      <c r="AF67" t="n">
        <v>2018</v>
      </c>
      <c r="AH67" t="inlineStr">
        <is>
          <t>Mixed/Other</t>
        </is>
      </c>
      <c r="AI67" t="inlineStr">
        <is>
          <t>Prime</t>
        </is>
      </c>
      <c r="AJ67" t="inlineStr">
        <is>
          <t>TopTier</t>
        </is>
      </c>
      <c r="AK67" t="inlineStr">
        <is>
          <t>Prime resilient / selective</t>
        </is>
      </c>
      <c r="AL67" t="inlineStr">
        <is>
          <t>Better support from quality, branding, and scarcer prime stock; still entry-price sensitive.</t>
        </is>
      </c>
      <c r="AM67" s="9" t="n">
        <v>9</v>
      </c>
      <c r="AN67" s="9" t="n">
        <v>3.75</v>
      </c>
      <c r="AO67" s="10" t="n">
        <v>0.55</v>
      </c>
      <c r="AP67" s="13" t="n">
        <v>0.02</v>
      </c>
      <c r="AQ67" s="13" t="n">
        <v>0</v>
      </c>
      <c r="AR67" s="13" t="n">
        <v>0</v>
      </c>
      <c r="AS67" s="13" t="n">
        <v>0.03</v>
      </c>
      <c r="AT67" s="13" t="n">
        <v>0.005</v>
      </c>
      <c r="AU67" s="13" t="n">
        <v>0</v>
      </c>
      <c r="AV67" s="13" t="n">
        <v>-0.005</v>
      </c>
      <c r="AW67" s="13" t="n">
        <v>0.06950000000000001</v>
      </c>
      <c r="AX67" s="13" t="n">
        <v>0.03</v>
      </c>
      <c r="AY67" s="12" t="n">
        <v>18673470</v>
      </c>
      <c r="AZ67" s="12" t="n">
        <v>19251000</v>
      </c>
      <c r="BA67" s="12" t="n">
        <v>19828530</v>
      </c>
      <c r="BB67" s="12" t="n">
        <v>19251000</v>
      </c>
      <c r="BC67" s="12" t="n">
        <v>19828530</v>
      </c>
      <c r="BD67" s="12" t="n">
        <v>20406060</v>
      </c>
      <c r="BE67" s="12" t="n">
        <v>20423386</v>
      </c>
      <c r="BF67" t="inlineStr">
        <is>
          <t>Frozen values from same rules-based model as formula sheet.</t>
        </is>
      </c>
      <c r="BG67" t="inlineStr">
        <is>
          <t>2026-03-17</t>
        </is>
      </c>
      <c r="BH67" t="inlineStr">
        <is>
          <t>DLD / Digital Dubai / CBUAE / Savills / Knight Frank-Moody’s / Reuters</t>
        </is>
      </c>
    </row>
    <row r="68">
      <c r="A68" t="n">
        <v>67</v>
      </c>
      <c r="B68" t="inlineStr">
        <is>
          <t>Palm Jebel Ali</t>
        </is>
      </c>
      <c r="C68" t="inlineStr">
        <is>
          <t>Nakheel</t>
        </is>
      </c>
      <c r="D68" t="inlineStr">
        <is>
          <t>Jebel Ali Waterfront</t>
        </is>
      </c>
      <c r="E68" t="inlineStr">
        <is>
          <t>Villas &amp; Plots</t>
        </is>
      </c>
      <c r="F68" t="inlineStr">
        <is>
          <t>Mega Island / Beach</t>
        </is>
      </c>
      <c r="G68" t="inlineStr">
        <is>
          <t>18.5M</t>
        </is>
      </c>
      <c r="H68" t="inlineStr">
        <is>
          <t>2500+</t>
        </is>
      </c>
      <c r="I68" t="inlineStr">
        <is>
          <t>TBA</t>
        </is>
      </c>
      <c r="J68" t="inlineStr">
        <is>
          <t>80/20</t>
        </is>
      </c>
      <c r="K68" t="inlineStr">
        <is>
          <t>2023</t>
        </is>
      </c>
      <c r="L68" t="inlineStr">
        <is>
          <t>3.5-4.5</t>
        </is>
      </c>
      <c r="M68" t="inlineStr">
        <is>
          <t>15-20</t>
        </is>
      </c>
      <c r="N68" t="inlineStr">
        <is>
          <t>18.5-24.5</t>
        </is>
      </c>
      <c r="O68" t="inlineStr">
        <is>
          <t>Dove Green (DIP)</t>
        </is>
      </c>
      <c r="P68" t="inlineStr">
        <is>
          <t>Aster Cedars Jebel Ali</t>
        </is>
      </c>
      <c r="Q68" t="inlineStr">
        <is>
          <t>Ibn Battuta Mall</t>
        </is>
      </c>
      <c r="R68" t="inlineStr">
        <is>
          <t>Sheikh Zayed E11</t>
        </is>
      </c>
      <c r="S68" t="inlineStr">
        <is>
          <t>40</t>
        </is>
      </c>
      <c r="T68" t="inlineStr">
        <is>
          <t>20</t>
        </is>
      </c>
      <c r="U68" t="inlineStr">
        <is>
          <t>45</t>
        </is>
      </c>
      <c r="V68" t="inlineStr">
        <is>
          <t>20</t>
        </is>
      </c>
      <c r="W68" t="n">
        <v>2</v>
      </c>
      <c r="X68" s="12" t="n">
        <v>18500000</v>
      </c>
      <c r="Y68" s="12" t="n">
        <v>18500000</v>
      </c>
      <c r="Z68" s="9" t="n">
        <v>3.5</v>
      </c>
      <c r="AA68" s="9" t="n">
        <v>4.5</v>
      </c>
      <c r="AB68" s="9" t="n">
        <v>15</v>
      </c>
      <c r="AC68" s="9" t="n">
        <v>20</v>
      </c>
      <c r="AD68" s="9" t="n">
        <v>18.5</v>
      </c>
      <c r="AE68" s="9" t="n">
        <v>24.5</v>
      </c>
      <c r="AF68" t="n">
        <v>2023</v>
      </c>
      <c r="AH68" t="inlineStr">
        <is>
          <t>Villa</t>
        </is>
      </c>
      <c r="AI68" t="inlineStr">
        <is>
          <t>MainstreamSelective</t>
        </is>
      </c>
      <c r="AJ68" t="inlineStr">
        <is>
          <t>TopTier</t>
        </is>
      </c>
      <c r="AK68" t="inlineStr">
        <is>
          <t>Family-villa resilient</t>
        </is>
      </c>
      <c r="AL68" t="inlineStr">
        <is>
          <t>Villa/townhouse demand remains relatively firmer, though growth should be slower than the post-2020 surge.</t>
        </is>
      </c>
      <c r="AM68" s="9" t="n">
        <v>17.5</v>
      </c>
      <c r="AN68" s="9" t="n">
        <v>4</v>
      </c>
      <c r="AO68" s="10" t="n">
        <v>0.55</v>
      </c>
      <c r="AP68" s="13" t="n">
        <v>0</v>
      </c>
      <c r="AQ68" s="13" t="n">
        <v>0.015</v>
      </c>
      <c r="AR68" s="13" t="n">
        <v>0</v>
      </c>
      <c r="AS68" s="13" t="n">
        <v>0.025</v>
      </c>
      <c r="AT68" s="13" t="n">
        <v>0.005</v>
      </c>
      <c r="AU68" s="13" t="n">
        <v>0</v>
      </c>
      <c r="AV68" s="13" t="n">
        <v>-0.005</v>
      </c>
      <c r="AW68" s="13" t="n">
        <v>0.11125</v>
      </c>
      <c r="AX68" s="13" t="n">
        <v>0.025</v>
      </c>
      <c r="AY68" s="12" t="n">
        <v>19941381</v>
      </c>
      <c r="AZ68" s="12" t="n">
        <v>20558125</v>
      </c>
      <c r="BA68" s="12" t="n">
        <v>21174869</v>
      </c>
      <c r="BB68" s="12" t="n">
        <v>20455334</v>
      </c>
      <c r="BC68" s="12" t="n">
        <v>21072078</v>
      </c>
      <c r="BD68" s="12" t="n">
        <v>21688822</v>
      </c>
      <c r="BE68" s="12" t="n">
        <v>21598880</v>
      </c>
      <c r="BF68" t="inlineStr">
        <is>
          <t>Frozen values from same rules-based model as formula sheet.</t>
        </is>
      </c>
      <c r="BG68" t="inlineStr">
        <is>
          <t>2026-03-17</t>
        </is>
      </c>
      <c r="BH68" t="inlineStr">
        <is>
          <t>DLD / Digital Dubai / CBUAE / Savills / Knight Frank-Moody’s / Reuters</t>
        </is>
      </c>
    </row>
    <row r="69">
      <c r="A69" t="n">
        <v>68</v>
      </c>
      <c r="B69" t="inlineStr">
        <is>
          <t>The Fronds: Coral Collection</t>
        </is>
      </c>
      <c r="C69" t="inlineStr">
        <is>
          <t>Nakheel</t>
        </is>
      </c>
      <c r="D69" t="inlineStr">
        <is>
          <t>Palm Jebel Ali</t>
        </is>
      </c>
      <c r="E69" t="inlineStr">
        <is>
          <t>Villas (7 Beds)</t>
        </is>
      </c>
      <c r="F69" t="inlineStr">
        <is>
          <t>Luxury Beachfront</t>
        </is>
      </c>
      <c r="G69" t="inlineStr">
        <is>
          <t>22M+</t>
        </is>
      </c>
      <c r="H69" t="inlineStr">
        <is>
          <t>2800</t>
        </is>
      </c>
      <c r="I69" t="inlineStr">
        <is>
          <t>TBA</t>
        </is>
      </c>
      <c r="J69" t="inlineStr">
        <is>
          <t>80/20</t>
        </is>
      </c>
      <c r="K69" t="inlineStr">
        <is>
          <t>2023</t>
        </is>
      </c>
      <c r="L69" t="inlineStr">
        <is>
          <t>3.5-4.0</t>
        </is>
      </c>
      <c r="M69" t="inlineStr">
        <is>
          <t>15-20</t>
        </is>
      </c>
      <c r="N69" t="inlineStr">
        <is>
          <t>18.5-24.0</t>
        </is>
      </c>
      <c r="O69" t="inlineStr">
        <is>
          <t>Dove Green (DIP)</t>
        </is>
      </c>
      <c r="P69" t="inlineStr">
        <is>
          <t>Aster Cedars Jebel Ali</t>
        </is>
      </c>
      <c r="Q69" t="inlineStr">
        <is>
          <t>Ibn Battuta Mall</t>
        </is>
      </c>
      <c r="R69" t="inlineStr">
        <is>
          <t>Sheikh Zayed E11</t>
        </is>
      </c>
      <c r="S69" t="inlineStr">
        <is>
          <t>40</t>
        </is>
      </c>
      <c r="T69" t="inlineStr">
        <is>
          <t>20</t>
        </is>
      </c>
      <c r="U69" t="inlineStr">
        <is>
          <t>45</t>
        </is>
      </c>
      <c r="V69" t="inlineStr">
        <is>
          <t>20</t>
        </is>
      </c>
      <c r="W69" t="n">
        <v>2</v>
      </c>
      <c r="X69" s="12" t="n">
        <v>22000000</v>
      </c>
      <c r="Y69" s="12" t="n">
        <v>22000000</v>
      </c>
      <c r="Z69" s="9" t="n">
        <v>3.5</v>
      </c>
      <c r="AA69" s="9" t="n">
        <v>4</v>
      </c>
      <c r="AB69" s="9" t="n">
        <v>15</v>
      </c>
      <c r="AC69" s="9" t="n">
        <v>20</v>
      </c>
      <c r="AD69" s="9" t="n">
        <v>18.5</v>
      </c>
      <c r="AE69" s="9" t="n">
        <v>24</v>
      </c>
      <c r="AF69" t="n">
        <v>2023</v>
      </c>
      <c r="AH69" t="inlineStr">
        <is>
          <t>Villa</t>
        </is>
      </c>
      <c r="AI69" t="inlineStr">
        <is>
          <t>MainstreamSelective</t>
        </is>
      </c>
      <c r="AJ69" t="inlineStr">
        <is>
          <t>TopTier</t>
        </is>
      </c>
      <c r="AK69" t="inlineStr">
        <is>
          <t>Family-villa resilient</t>
        </is>
      </c>
      <c r="AL69" t="inlineStr">
        <is>
          <t>Villa/townhouse demand remains relatively firmer, though growth should be slower than the post-2020 surge.</t>
        </is>
      </c>
      <c r="AM69" s="9" t="n">
        <v>17.5</v>
      </c>
      <c r="AN69" s="9" t="n">
        <v>3.75</v>
      </c>
      <c r="AO69" s="10" t="n">
        <v>0.55</v>
      </c>
      <c r="AP69" s="13" t="n">
        <v>0</v>
      </c>
      <c r="AQ69" s="13" t="n">
        <v>0.015</v>
      </c>
      <c r="AR69" s="13" t="n">
        <v>0</v>
      </c>
      <c r="AS69" s="13" t="n">
        <v>0.025</v>
      </c>
      <c r="AT69" s="13" t="n">
        <v>0.005</v>
      </c>
      <c r="AU69" s="13" t="n">
        <v>0</v>
      </c>
      <c r="AV69" s="13" t="n">
        <v>-0.005</v>
      </c>
      <c r="AW69" s="13" t="n">
        <v>0.11125</v>
      </c>
      <c r="AX69" s="13" t="n">
        <v>0.025</v>
      </c>
      <c r="AY69" s="12" t="n">
        <v>23714075</v>
      </c>
      <c r="AZ69" s="12" t="n">
        <v>24447500</v>
      </c>
      <c r="BA69" s="12" t="n">
        <v>25180925</v>
      </c>
      <c r="BB69" s="12" t="n">
        <v>24325262</v>
      </c>
      <c r="BC69" s="12" t="n">
        <v>25058687</v>
      </c>
      <c r="BD69" s="12" t="n">
        <v>25792112</v>
      </c>
      <c r="BE69" s="12" t="n">
        <v>25685155</v>
      </c>
      <c r="BF69" t="inlineStr">
        <is>
          <t>Frozen values from same rules-based model as formula sheet.</t>
        </is>
      </c>
      <c r="BG69" t="inlineStr">
        <is>
          <t>2026-03-17</t>
        </is>
      </c>
      <c r="BH69" t="inlineStr">
        <is>
          <t>DLD / Digital Dubai / CBUAE / Savills / Knight Frank-Moody’s / Reuters</t>
        </is>
      </c>
    </row>
    <row r="70">
      <c r="A70" t="n">
        <v>69</v>
      </c>
      <c r="B70" t="inlineStr">
        <is>
          <t>The Fronds: Beach Collection</t>
        </is>
      </c>
      <c r="C70" t="inlineStr">
        <is>
          <t>Nakheel</t>
        </is>
      </c>
      <c r="D70" t="inlineStr">
        <is>
          <t>Palm Jebel Ali</t>
        </is>
      </c>
      <c r="E70" t="inlineStr">
        <is>
          <t>Villas (5-6 Beds)</t>
        </is>
      </c>
      <c r="F70" t="inlineStr">
        <is>
          <t>Luxury Beachfront</t>
        </is>
      </c>
      <c r="G70" t="inlineStr">
        <is>
          <t>18.5M</t>
        </is>
      </c>
      <c r="H70" t="inlineStr">
        <is>
          <t>2600</t>
        </is>
      </c>
      <c r="I70" t="inlineStr">
        <is>
          <t>TBA</t>
        </is>
      </c>
      <c r="J70" t="inlineStr">
        <is>
          <t>80/20</t>
        </is>
      </c>
      <c r="K70" t="inlineStr">
        <is>
          <t>2023</t>
        </is>
      </c>
      <c r="L70" t="inlineStr">
        <is>
          <t>3.5-4.5</t>
        </is>
      </c>
      <c r="M70" t="inlineStr">
        <is>
          <t>15-20</t>
        </is>
      </c>
      <c r="N70" t="inlineStr">
        <is>
          <t>18.5-24.5</t>
        </is>
      </c>
      <c r="O70" t="inlineStr">
        <is>
          <t>Dove Green (DIP)</t>
        </is>
      </c>
      <c r="P70" t="inlineStr">
        <is>
          <t>Aster Cedars Jebel Ali</t>
        </is>
      </c>
      <c r="Q70" t="inlineStr">
        <is>
          <t>Ibn Battuta Mall</t>
        </is>
      </c>
      <c r="R70" t="inlineStr">
        <is>
          <t>Sheikh Zayed E11</t>
        </is>
      </c>
      <c r="S70" t="inlineStr">
        <is>
          <t>40</t>
        </is>
      </c>
      <c r="T70" t="inlineStr">
        <is>
          <t>20</t>
        </is>
      </c>
      <c r="U70" t="inlineStr">
        <is>
          <t>45</t>
        </is>
      </c>
      <c r="V70" t="inlineStr">
        <is>
          <t>20</t>
        </is>
      </c>
      <c r="W70" t="n">
        <v>2</v>
      </c>
      <c r="X70" s="12" t="n">
        <v>18500000</v>
      </c>
      <c r="Y70" s="12" t="n">
        <v>18500000</v>
      </c>
      <c r="Z70" s="9" t="n">
        <v>3.5</v>
      </c>
      <c r="AA70" s="9" t="n">
        <v>4.5</v>
      </c>
      <c r="AB70" s="9" t="n">
        <v>15</v>
      </c>
      <c r="AC70" s="9" t="n">
        <v>20</v>
      </c>
      <c r="AD70" s="9" t="n">
        <v>18.5</v>
      </c>
      <c r="AE70" s="9" t="n">
        <v>24.5</v>
      </c>
      <c r="AF70" t="n">
        <v>2023</v>
      </c>
      <c r="AH70" t="inlineStr">
        <is>
          <t>Villa</t>
        </is>
      </c>
      <c r="AI70" t="inlineStr">
        <is>
          <t>MainstreamSelective</t>
        </is>
      </c>
      <c r="AJ70" t="inlineStr">
        <is>
          <t>TopTier</t>
        </is>
      </c>
      <c r="AK70" t="inlineStr">
        <is>
          <t>Family-villa resilient</t>
        </is>
      </c>
      <c r="AL70" t="inlineStr">
        <is>
          <t>Villa/townhouse demand remains relatively firmer, though growth should be slower than the post-2020 surge.</t>
        </is>
      </c>
      <c r="AM70" s="9" t="n">
        <v>17.5</v>
      </c>
      <c r="AN70" s="9" t="n">
        <v>4</v>
      </c>
      <c r="AO70" s="10" t="n">
        <v>0.55</v>
      </c>
      <c r="AP70" s="13" t="n">
        <v>0</v>
      </c>
      <c r="AQ70" s="13" t="n">
        <v>0.015</v>
      </c>
      <c r="AR70" s="13" t="n">
        <v>0</v>
      </c>
      <c r="AS70" s="13" t="n">
        <v>0.025</v>
      </c>
      <c r="AT70" s="13" t="n">
        <v>0.005</v>
      </c>
      <c r="AU70" s="13" t="n">
        <v>0</v>
      </c>
      <c r="AV70" s="13" t="n">
        <v>-0.005</v>
      </c>
      <c r="AW70" s="13" t="n">
        <v>0.11125</v>
      </c>
      <c r="AX70" s="13" t="n">
        <v>0.025</v>
      </c>
      <c r="AY70" s="12" t="n">
        <v>19941381</v>
      </c>
      <c r="AZ70" s="12" t="n">
        <v>20558125</v>
      </c>
      <c r="BA70" s="12" t="n">
        <v>21174869</v>
      </c>
      <c r="BB70" s="12" t="n">
        <v>20455334</v>
      </c>
      <c r="BC70" s="12" t="n">
        <v>21072078</v>
      </c>
      <c r="BD70" s="12" t="n">
        <v>21688822</v>
      </c>
      <c r="BE70" s="12" t="n">
        <v>21598880</v>
      </c>
      <c r="BF70" t="inlineStr">
        <is>
          <t>Frozen values from same rules-based model as formula sheet.</t>
        </is>
      </c>
      <c r="BG70" t="inlineStr">
        <is>
          <t>2026-03-17</t>
        </is>
      </c>
      <c r="BH70" t="inlineStr">
        <is>
          <t>DLD / Digital Dubai / CBUAE / Savills / Knight Frank-Moody’s / Reuters</t>
        </is>
      </c>
    </row>
    <row r="71">
      <c r="A71" t="n">
        <v>70</v>
      </c>
      <c r="B71" t="inlineStr">
        <is>
          <t>Dubai Islands</t>
        </is>
      </c>
      <c r="C71" t="inlineStr">
        <is>
          <t>Nakheel</t>
        </is>
      </c>
      <c r="D71" t="inlineStr">
        <is>
          <t>Deira Waterfront</t>
        </is>
      </c>
      <c r="E71" t="inlineStr">
        <is>
          <t>Mixed</t>
        </is>
      </c>
      <c r="F71" t="inlineStr">
        <is>
          <t>Islands / Resort</t>
        </is>
      </c>
      <c r="I71" t="inlineStr">
        <is>
          <t>20</t>
        </is>
      </c>
      <c r="J71" t="inlineStr">
        <is>
          <t>Varies</t>
        </is>
      </c>
      <c r="K71" t="inlineStr">
        <is>
          <t>Ongoing</t>
        </is>
      </c>
      <c r="L71" t="inlineStr">
        <is>
          <t>6.0-7.0</t>
        </is>
      </c>
      <c r="M71" t="inlineStr">
        <is>
          <t>12-15</t>
        </is>
      </c>
      <c r="N71" t="inlineStr">
        <is>
          <t>18.0-22.0</t>
        </is>
      </c>
      <c r="O71" t="inlineStr">
        <is>
          <t>The Elite English</t>
        </is>
      </c>
      <c r="P71" t="inlineStr">
        <is>
          <t>Dubai Hospital</t>
        </is>
      </c>
      <c r="Q71" t="inlineStr">
        <is>
          <t>City Centre Deira</t>
        </is>
      </c>
      <c r="R71" t="inlineStr">
        <is>
          <t>Infinity Bridge</t>
        </is>
      </c>
      <c r="S71" t="inlineStr">
        <is>
          <t>20</t>
        </is>
      </c>
      <c r="T71" t="inlineStr">
        <is>
          <t>35</t>
        </is>
      </c>
      <c r="U71" t="inlineStr">
        <is>
          <t>15</t>
        </is>
      </c>
      <c r="V71" t="inlineStr">
        <is>
          <t>45</t>
        </is>
      </c>
      <c r="W71" t="n">
        <v>2</v>
      </c>
      <c r="X71" s="12" t="n"/>
      <c r="Y71" s="12" t="n"/>
      <c r="Z71" s="9" t="n">
        <v>6</v>
      </c>
      <c r="AA71" s="9" t="n">
        <v>7</v>
      </c>
      <c r="AB71" s="9" t="n">
        <v>12</v>
      </c>
      <c r="AC71" s="9" t="n">
        <v>15</v>
      </c>
      <c r="AD71" s="9" t="n">
        <v>18</v>
      </c>
      <c r="AE71" s="9" t="n">
        <v>22</v>
      </c>
      <c r="AH71" t="inlineStr">
        <is>
          <t>Land</t>
        </is>
      </c>
      <c r="AI71" t="inlineStr">
        <is>
          <t>MainstreamSelective</t>
        </is>
      </c>
      <c r="AJ71" t="inlineStr">
        <is>
          <t>TopTier</t>
        </is>
      </c>
      <c r="AK71" t="inlineStr">
        <is>
          <t>Balanced / selective</t>
        </is>
      </c>
      <c r="AL71" t="inlineStr">
        <is>
          <t>Market remains active but increasingly differentiated by developer, micro-location, livability, and pricing discipline.</t>
        </is>
      </c>
      <c r="AM71" s="9" t="n">
        <v>13.5</v>
      </c>
      <c r="AN71" s="9" t="n">
        <v>6.5</v>
      </c>
      <c r="AO71" s="10" t="n">
        <v>0.25</v>
      </c>
      <c r="AP71" s="13" t="n">
        <v>0</v>
      </c>
      <c r="AQ71" s="13" t="n">
        <v>0</v>
      </c>
      <c r="AR71" s="13" t="n">
        <v>0</v>
      </c>
      <c r="AS71" s="13" t="n">
        <v>0.01</v>
      </c>
      <c r="AT71" s="13" t="n">
        <v>0.005</v>
      </c>
      <c r="AU71" s="13" t="n">
        <v>0.0025</v>
      </c>
      <c r="AV71" s="13" t="n">
        <v>-0.005</v>
      </c>
      <c r="AW71" s="13" t="n">
        <v>0.03375</v>
      </c>
      <c r="AX71" s="13" t="n">
        <v>0.0125</v>
      </c>
      <c r="AY71" s="12" t="n"/>
      <c r="AZ71" s="12" t="n"/>
      <c r="BA71" s="12" t="n"/>
      <c r="BB71" s="12" t="n"/>
      <c r="BC71" s="12" t="n"/>
      <c r="BD71" s="12" t="n"/>
      <c r="BE71" s="12" t="n"/>
      <c r="BF71" t="inlineStr">
        <is>
          <t>Frozen values from same rules-based model as formula sheet.</t>
        </is>
      </c>
      <c r="BG71" t="inlineStr">
        <is>
          <t>2026-03-17</t>
        </is>
      </c>
      <c r="BH71" t="inlineStr">
        <is>
          <t>DLD / Digital Dubai / CBUAE / Savills / Knight Frank-Moody’s / Reuters</t>
        </is>
      </c>
    </row>
    <row r="72">
      <c r="A72" t="n">
        <v>71</v>
      </c>
      <c r="B72" t="inlineStr">
        <is>
          <t>Rixos Dubai Islands</t>
        </is>
      </c>
      <c r="C72" t="inlineStr">
        <is>
          <t>Nakheel</t>
        </is>
      </c>
      <c r="D72" t="inlineStr">
        <is>
          <t>Dubai Islands</t>
        </is>
      </c>
      <c r="E72" t="inlineStr">
        <is>
          <t>Branded Residences</t>
        </is>
      </c>
      <c r="F72" t="inlineStr">
        <is>
          <t>Resort / Beach</t>
        </is>
      </c>
      <c r="G72" t="inlineStr">
        <is>
          <t>2.6M</t>
        </is>
      </c>
      <c r="H72" t="inlineStr">
        <is>
          <t>2400</t>
        </is>
      </c>
      <c r="I72" t="inlineStr">
        <is>
          <t>40</t>
        </is>
      </c>
      <c r="J72" t="inlineStr">
        <is>
          <t>80/20</t>
        </is>
      </c>
      <c r="K72" t="inlineStr">
        <is>
          <t>2023</t>
        </is>
      </c>
      <c r="L72" t="inlineStr">
        <is>
          <t>5.0-5.5</t>
        </is>
      </c>
      <c r="M72" t="inlineStr">
        <is>
          <t>12-15</t>
        </is>
      </c>
      <c r="N72" t="inlineStr">
        <is>
          <t>17.0-20.5</t>
        </is>
      </c>
      <c r="O72" t="inlineStr">
        <is>
          <t>The Elite English</t>
        </is>
      </c>
      <c r="P72" t="inlineStr">
        <is>
          <t>Dubai Hospital</t>
        </is>
      </c>
      <c r="Q72" t="inlineStr">
        <is>
          <t>City Centre Deira</t>
        </is>
      </c>
      <c r="R72" t="inlineStr">
        <is>
          <t>Infinity Bridge</t>
        </is>
      </c>
      <c r="S72" t="inlineStr">
        <is>
          <t>20</t>
        </is>
      </c>
      <c r="T72" t="inlineStr">
        <is>
          <t>35</t>
        </is>
      </c>
      <c r="U72" t="inlineStr">
        <is>
          <t>15</t>
        </is>
      </c>
      <c r="V72" t="inlineStr">
        <is>
          <t>45</t>
        </is>
      </c>
      <c r="W72" t="n">
        <v>2</v>
      </c>
      <c r="X72" s="12" t="n">
        <v>2600000</v>
      </c>
      <c r="Y72" s="12" t="n">
        <v>2600000</v>
      </c>
      <c r="Z72" s="9" t="n">
        <v>5</v>
      </c>
      <c r="AA72" s="9" t="n">
        <v>5.5</v>
      </c>
      <c r="AB72" s="9" t="n">
        <v>12</v>
      </c>
      <c r="AC72" s="9" t="n">
        <v>15</v>
      </c>
      <c r="AD72" s="9" t="n">
        <v>17</v>
      </c>
      <c r="AE72" s="9" t="n">
        <v>20.5</v>
      </c>
      <c r="AF72" t="n">
        <v>2023</v>
      </c>
      <c r="AH72" t="inlineStr">
        <is>
          <t>Apartment</t>
        </is>
      </c>
      <c r="AI72" t="inlineStr">
        <is>
          <t>MainstreamSelective</t>
        </is>
      </c>
      <c r="AJ72" t="inlineStr">
        <is>
          <t>TopTier</t>
        </is>
      </c>
      <c r="AK72" t="inlineStr">
        <is>
          <t>Balanced / selective</t>
        </is>
      </c>
      <c r="AL72" t="inlineStr">
        <is>
          <t>Market remains active but increasingly differentiated by developer, micro-location, livability, and pricing discipline.</t>
        </is>
      </c>
      <c r="AM72" s="9" t="n">
        <v>13.5</v>
      </c>
      <c r="AN72" s="9" t="n">
        <v>5.25</v>
      </c>
      <c r="AO72" s="10" t="n">
        <v>0.55</v>
      </c>
      <c r="AP72" s="13" t="n">
        <v>0</v>
      </c>
      <c r="AQ72" s="13" t="n">
        <v>0</v>
      </c>
      <c r="AR72" s="13" t="n">
        <v>0</v>
      </c>
      <c r="AS72" s="13" t="n">
        <v>0.01</v>
      </c>
      <c r="AT72" s="13" t="n">
        <v>0.005</v>
      </c>
      <c r="AU72" s="13" t="n">
        <v>0</v>
      </c>
      <c r="AV72" s="13" t="n">
        <v>-0.005</v>
      </c>
      <c r="AW72" s="13" t="n">
        <v>0.07425000000000001</v>
      </c>
      <c r="AX72" s="13" t="n">
        <v>0.009999999999999998</v>
      </c>
      <c r="AY72" s="12" t="n">
        <v>2709258</v>
      </c>
      <c r="AZ72" s="12" t="n">
        <v>2793050</v>
      </c>
      <c r="BA72" s="12" t="n">
        <v>2876842</v>
      </c>
      <c r="BB72" s="12" t="n">
        <v>2737189</v>
      </c>
      <c r="BC72" s="12" t="n">
        <v>2820980</v>
      </c>
      <c r="BD72" s="12" t="n">
        <v>2904772</v>
      </c>
      <c r="BE72" s="12" t="n">
        <v>2849190</v>
      </c>
      <c r="BF72" t="inlineStr">
        <is>
          <t>Frozen values from same rules-based model as formula sheet.</t>
        </is>
      </c>
      <c r="BG72" t="inlineStr">
        <is>
          <t>2026-03-17</t>
        </is>
      </c>
      <c r="BH72" t="inlineStr">
        <is>
          <t>DLD / Digital Dubai / CBUAE / Savills / Knight Frank-Moody’s / Reuters</t>
        </is>
      </c>
    </row>
    <row r="73">
      <c r="A73" t="n">
        <v>72</v>
      </c>
      <c r="B73" t="inlineStr">
        <is>
          <t>Bay Villas</t>
        </is>
      </c>
      <c r="C73" t="inlineStr">
        <is>
          <t>Nakheel</t>
        </is>
      </c>
      <c r="D73" t="inlineStr">
        <is>
          <t>Dubai Islands</t>
        </is>
      </c>
      <c r="E73" t="inlineStr">
        <is>
          <t>Villas</t>
        </is>
      </c>
      <c r="F73" t="inlineStr">
        <is>
          <t>Waterfront</t>
        </is>
      </c>
      <c r="G73" t="inlineStr">
        <is>
          <t>4.5M</t>
        </is>
      </c>
      <c r="H73" t="inlineStr">
        <is>
          <t>1600</t>
        </is>
      </c>
      <c r="I73" t="inlineStr">
        <is>
          <t>20</t>
        </is>
      </c>
      <c r="J73" t="inlineStr">
        <is>
          <t>80/20</t>
        </is>
      </c>
      <c r="K73" t="inlineStr">
        <is>
          <t>2024</t>
        </is>
      </c>
      <c r="L73" t="inlineStr">
        <is>
          <t>5.0-5.5</t>
        </is>
      </c>
      <c r="M73" t="inlineStr">
        <is>
          <t>12-15</t>
        </is>
      </c>
      <c r="N73" t="inlineStr">
        <is>
          <t>17.0-20.5</t>
        </is>
      </c>
      <c r="O73" t="inlineStr">
        <is>
          <t>The Elite English</t>
        </is>
      </c>
      <c r="P73" t="inlineStr">
        <is>
          <t>Dubai Hospital</t>
        </is>
      </c>
      <c r="Q73" t="inlineStr">
        <is>
          <t>City Centre Deira</t>
        </is>
      </c>
      <c r="R73" t="inlineStr">
        <is>
          <t>Infinity Bridge</t>
        </is>
      </c>
      <c r="S73" t="inlineStr">
        <is>
          <t>20</t>
        </is>
      </c>
      <c r="T73" t="inlineStr">
        <is>
          <t>35</t>
        </is>
      </c>
      <c r="U73" t="inlineStr">
        <is>
          <t>15</t>
        </is>
      </c>
      <c r="V73" t="inlineStr">
        <is>
          <t>45</t>
        </is>
      </c>
      <c r="W73" t="n">
        <v>2</v>
      </c>
      <c r="X73" s="12" t="n">
        <v>4500000</v>
      </c>
      <c r="Y73" s="12" t="n">
        <v>4500000</v>
      </c>
      <c r="Z73" s="9" t="n">
        <v>5</v>
      </c>
      <c r="AA73" s="9" t="n">
        <v>5.5</v>
      </c>
      <c r="AB73" s="9" t="n">
        <v>12</v>
      </c>
      <c r="AC73" s="9" t="n">
        <v>15</v>
      </c>
      <c r="AD73" s="9" t="n">
        <v>17</v>
      </c>
      <c r="AE73" s="9" t="n">
        <v>20.5</v>
      </c>
      <c r="AF73" t="n">
        <v>2024</v>
      </c>
      <c r="AH73" t="inlineStr">
        <is>
          <t>Villa</t>
        </is>
      </c>
      <c r="AI73" t="inlineStr">
        <is>
          <t>MainstreamSelective</t>
        </is>
      </c>
      <c r="AJ73" t="inlineStr">
        <is>
          <t>TopTier</t>
        </is>
      </c>
      <c r="AK73" t="inlineStr">
        <is>
          <t>Family-villa resilient</t>
        </is>
      </c>
      <c r="AL73" t="inlineStr">
        <is>
          <t>Villa/townhouse demand remains relatively firmer, though growth should be slower than the post-2020 surge.</t>
        </is>
      </c>
      <c r="AM73" s="9" t="n">
        <v>13.5</v>
      </c>
      <c r="AN73" s="9" t="n">
        <v>5.25</v>
      </c>
      <c r="AO73" s="10" t="n">
        <v>0.55</v>
      </c>
      <c r="AP73" s="13" t="n">
        <v>0</v>
      </c>
      <c r="AQ73" s="13" t="n">
        <v>0.015</v>
      </c>
      <c r="AR73" s="13" t="n">
        <v>0</v>
      </c>
      <c r="AS73" s="13" t="n">
        <v>0.025</v>
      </c>
      <c r="AT73" s="13" t="n">
        <v>0.005</v>
      </c>
      <c r="AU73" s="13" t="n">
        <v>0</v>
      </c>
      <c r="AV73" s="13" t="n">
        <v>-0.005</v>
      </c>
      <c r="AW73" s="13" t="n">
        <v>0.08925000000000001</v>
      </c>
      <c r="AX73" s="13" t="n">
        <v>0.025</v>
      </c>
      <c r="AY73" s="12" t="n">
        <v>4754576</v>
      </c>
      <c r="AZ73" s="12" t="n">
        <v>4901625</v>
      </c>
      <c r="BA73" s="12" t="n">
        <v>5048674</v>
      </c>
      <c r="BB73" s="12" t="n">
        <v>4877117</v>
      </c>
      <c r="BC73" s="12" t="n">
        <v>5024166</v>
      </c>
      <c r="BD73" s="12" t="n">
        <v>5171214</v>
      </c>
      <c r="BE73" s="12" t="n">
        <v>5149770</v>
      </c>
      <c r="BF73" t="inlineStr">
        <is>
          <t>Frozen values from same rules-based model as formula sheet.</t>
        </is>
      </c>
      <c r="BG73" t="inlineStr">
        <is>
          <t>2026-03-17</t>
        </is>
      </c>
      <c r="BH73" t="inlineStr">
        <is>
          <t>DLD / Digital Dubai / CBUAE / Savills / Knight Frank-Moody’s / Reuters</t>
        </is>
      </c>
    </row>
    <row r="74">
      <c r="A74" t="n">
        <v>73</v>
      </c>
      <c r="B74" t="inlineStr">
        <is>
          <t>Beach Walk Residences</t>
        </is>
      </c>
      <c r="C74" t="inlineStr">
        <is>
          <t>Nakheel</t>
        </is>
      </c>
      <c r="D74" t="inlineStr">
        <is>
          <t>Dubai Islands</t>
        </is>
      </c>
      <c r="E74" t="inlineStr">
        <is>
          <t>Apartments</t>
        </is>
      </c>
      <c r="F74" t="inlineStr">
        <is>
          <t>Beachfront</t>
        </is>
      </c>
      <c r="G74" t="inlineStr">
        <is>
          <t>1.9M</t>
        </is>
      </c>
      <c r="H74" t="inlineStr">
        <is>
          <t>1800</t>
        </is>
      </c>
      <c r="I74" t="inlineStr">
        <is>
          <t>20</t>
        </is>
      </c>
      <c r="J74" t="inlineStr">
        <is>
          <t>80/20</t>
        </is>
      </c>
      <c r="K74" t="inlineStr">
        <is>
          <t>2024</t>
        </is>
      </c>
      <c r="L74" t="inlineStr">
        <is>
          <t>6.0-6.5</t>
        </is>
      </c>
      <c r="M74" t="inlineStr">
        <is>
          <t>12-15</t>
        </is>
      </c>
      <c r="N74" t="inlineStr">
        <is>
          <t>18.0-21.5</t>
        </is>
      </c>
      <c r="O74" t="inlineStr">
        <is>
          <t>The Elite English</t>
        </is>
      </c>
      <c r="P74" t="inlineStr">
        <is>
          <t>Dubai Hospital</t>
        </is>
      </c>
      <c r="Q74" t="inlineStr">
        <is>
          <t>City Centre Deira</t>
        </is>
      </c>
      <c r="R74" t="inlineStr">
        <is>
          <t>Infinity Bridge</t>
        </is>
      </c>
      <c r="S74" t="inlineStr">
        <is>
          <t>20</t>
        </is>
      </c>
      <c r="T74" t="inlineStr">
        <is>
          <t>35</t>
        </is>
      </c>
      <c r="U74" t="inlineStr">
        <is>
          <t>15</t>
        </is>
      </c>
      <c r="V74" t="inlineStr">
        <is>
          <t>45</t>
        </is>
      </c>
      <c r="W74" t="n">
        <v>2</v>
      </c>
      <c r="X74" s="12" t="n">
        <v>1900000</v>
      </c>
      <c r="Y74" s="12" t="n">
        <v>1900000</v>
      </c>
      <c r="Z74" s="9" t="n">
        <v>6</v>
      </c>
      <c r="AA74" s="9" t="n">
        <v>6.5</v>
      </c>
      <c r="AB74" s="9" t="n">
        <v>12</v>
      </c>
      <c r="AC74" s="9" t="n">
        <v>15</v>
      </c>
      <c r="AD74" s="9" t="n">
        <v>18</v>
      </c>
      <c r="AE74" s="9" t="n">
        <v>21.5</v>
      </c>
      <c r="AF74" t="n">
        <v>2024</v>
      </c>
      <c r="AH74" t="inlineStr">
        <is>
          <t>Apartment</t>
        </is>
      </c>
      <c r="AI74" t="inlineStr">
        <is>
          <t>MainstreamSelective</t>
        </is>
      </c>
      <c r="AJ74" t="inlineStr">
        <is>
          <t>TopTier</t>
        </is>
      </c>
      <c r="AK74" t="inlineStr">
        <is>
          <t>Balanced / selective</t>
        </is>
      </c>
      <c r="AL74" t="inlineStr">
        <is>
          <t>Market remains active but increasingly differentiated by developer, micro-location, livability, and pricing discipline.</t>
        </is>
      </c>
      <c r="AM74" s="9" t="n">
        <v>13.5</v>
      </c>
      <c r="AN74" s="9" t="n">
        <v>6.25</v>
      </c>
      <c r="AO74" s="10" t="n">
        <v>0.55</v>
      </c>
      <c r="AP74" s="13" t="n">
        <v>0</v>
      </c>
      <c r="AQ74" s="13" t="n">
        <v>0</v>
      </c>
      <c r="AR74" s="13" t="n">
        <v>0</v>
      </c>
      <c r="AS74" s="13" t="n">
        <v>0.01</v>
      </c>
      <c r="AT74" s="13" t="n">
        <v>0.005</v>
      </c>
      <c r="AU74" s="13" t="n">
        <v>0.0025</v>
      </c>
      <c r="AV74" s="13" t="n">
        <v>-0.005</v>
      </c>
      <c r="AW74" s="13" t="n">
        <v>0.07425000000000001</v>
      </c>
      <c r="AX74" s="13" t="n">
        <v>0.0125</v>
      </c>
      <c r="AY74" s="12" t="n">
        <v>1979843</v>
      </c>
      <c r="AZ74" s="12" t="n">
        <v>2041075</v>
      </c>
      <c r="BA74" s="12" t="n">
        <v>2102307</v>
      </c>
      <c r="BB74" s="12" t="n">
        <v>2005356</v>
      </c>
      <c r="BC74" s="12" t="n">
        <v>2066588</v>
      </c>
      <c r="BD74" s="12" t="n">
        <v>2127821</v>
      </c>
      <c r="BE74" s="12" t="n">
        <v>2092421</v>
      </c>
      <c r="BF74" t="inlineStr">
        <is>
          <t>Frozen values from same rules-based model as formula sheet.</t>
        </is>
      </c>
      <c r="BG74" t="inlineStr">
        <is>
          <t>2026-03-17</t>
        </is>
      </c>
      <c r="BH74" t="inlineStr">
        <is>
          <t>DLD / Digital Dubai / CBUAE / Savills / Knight Frank-Moody’s / Reuters</t>
        </is>
      </c>
    </row>
    <row r="75">
      <c r="A75" t="n">
        <v>74</v>
      </c>
      <c r="B75" t="inlineStr">
        <is>
          <t>Palm Jumeirah (Master Community)</t>
        </is>
      </c>
      <c r="C75" t="inlineStr">
        <is>
          <t>Nakheel</t>
        </is>
      </c>
      <c r="D75" t="inlineStr">
        <is>
          <t>Palm Jumeirah</t>
        </is>
      </c>
      <c r="E75" t="inlineStr">
        <is>
          <t>Mixed</t>
        </is>
      </c>
      <c r="F75" t="inlineStr">
        <is>
          <t>Iconic Island</t>
        </is>
      </c>
      <c r="I75" t="inlineStr">
        <is>
          <t>30+</t>
        </is>
      </c>
      <c r="K75" t="inlineStr">
        <is>
          <t>Completed</t>
        </is>
      </c>
      <c r="L75" t="inlineStr">
        <is>
          <t>4.5-5.5</t>
        </is>
      </c>
      <c r="M75" t="inlineStr">
        <is>
          <t>8-12</t>
        </is>
      </c>
      <c r="N75" t="inlineStr">
        <is>
          <t>12.5-17.5</t>
        </is>
      </c>
      <c r="O75" t="inlineStr">
        <is>
          <t>Chevalier College</t>
        </is>
      </c>
      <c r="P75" t="inlineStr">
        <is>
          <t>Emirates Hospital</t>
        </is>
      </c>
      <c r="Q75" t="inlineStr">
        <is>
          <t>Nakheel Mall</t>
        </is>
      </c>
      <c r="R75" t="inlineStr">
        <is>
          <t>Sheikh Zayed E11</t>
        </is>
      </c>
      <c r="S75" t="inlineStr">
        <is>
          <t>20</t>
        </is>
      </c>
      <c r="T75" t="inlineStr">
        <is>
          <t>10</t>
        </is>
      </c>
      <c r="U75" t="inlineStr">
        <is>
          <t>25</t>
        </is>
      </c>
      <c r="V75" t="inlineStr">
        <is>
          <t>35</t>
        </is>
      </c>
      <c r="W75" t="n">
        <v>2</v>
      </c>
      <c r="X75" s="12" t="n"/>
      <c r="Y75" s="12" t="n"/>
      <c r="Z75" s="9" t="n">
        <v>4.5</v>
      </c>
      <c r="AA75" s="9" t="n">
        <v>5.5</v>
      </c>
      <c r="AB75" s="9" t="n">
        <v>8</v>
      </c>
      <c r="AC75" s="9" t="n">
        <v>12</v>
      </c>
      <c r="AD75" s="9" t="n">
        <v>12.5</v>
      </c>
      <c r="AE75" s="9" t="n">
        <v>17.5</v>
      </c>
      <c r="AH75" t="inlineStr">
        <is>
          <t>Land</t>
        </is>
      </c>
      <c r="AI75" t="inlineStr">
        <is>
          <t>Prime</t>
        </is>
      </c>
      <c r="AJ75" t="inlineStr">
        <is>
          <t>TopTier</t>
        </is>
      </c>
      <c r="AK75" t="inlineStr">
        <is>
          <t>Prime resilient / selective</t>
        </is>
      </c>
      <c r="AL75" t="inlineStr">
        <is>
          <t>Better support from quality, branding, and scarcer prime stock; still entry-price sensitive.</t>
        </is>
      </c>
      <c r="AM75" s="9" t="n">
        <v>10</v>
      </c>
      <c r="AN75" s="9" t="n">
        <v>5</v>
      </c>
      <c r="AO75" s="10" t="n">
        <v>0.25</v>
      </c>
      <c r="AP75" s="13" t="n">
        <v>0.02</v>
      </c>
      <c r="AQ75" s="13" t="n">
        <v>0</v>
      </c>
      <c r="AR75" s="13" t="n">
        <v>0</v>
      </c>
      <c r="AS75" s="13" t="n">
        <v>0.03</v>
      </c>
      <c r="AT75" s="13" t="n">
        <v>0.005</v>
      </c>
      <c r="AU75" s="13" t="n">
        <v>0</v>
      </c>
      <c r="AV75" s="13" t="n">
        <v>-0.005</v>
      </c>
      <c r="AW75" s="13" t="n">
        <v>0.045</v>
      </c>
      <c r="AX75" s="13" t="n">
        <v>0.03</v>
      </c>
      <c r="AY75" s="12" t="n"/>
      <c r="AZ75" s="12" t="n"/>
      <c r="BA75" s="12" t="n"/>
      <c r="BB75" s="12" t="n"/>
      <c r="BC75" s="12" t="n"/>
      <c r="BD75" s="12" t="n"/>
      <c r="BE75" s="12" t="n"/>
      <c r="BF75" t="inlineStr">
        <is>
          <t>Frozen values from same rules-based model as formula sheet.</t>
        </is>
      </c>
      <c r="BG75" t="inlineStr">
        <is>
          <t>2026-03-17</t>
        </is>
      </c>
      <c r="BH75" t="inlineStr">
        <is>
          <t>DLD / Digital Dubai / CBUAE / Savills / Knight Frank-Moody’s / Reuters</t>
        </is>
      </c>
    </row>
    <row r="76">
      <c r="A76" t="n">
        <v>75</v>
      </c>
      <c r="B76" t="inlineStr">
        <is>
          <t>Como Residences</t>
        </is>
      </c>
      <c r="C76" t="inlineStr">
        <is>
          <t>Nakheel</t>
        </is>
      </c>
      <c r="D76" t="inlineStr">
        <is>
          <t>Palm Jumeirah</t>
        </is>
      </c>
      <c r="E76" t="inlineStr">
        <is>
          <t>Ultra-Luxury Apts</t>
        </is>
      </c>
      <c r="F76" t="inlineStr">
        <is>
          <t>High-Rise/Beach</t>
        </is>
      </c>
      <c r="G76" t="inlineStr">
        <is>
          <t>21M+</t>
        </is>
      </c>
      <c r="H76" t="inlineStr">
        <is>
          <t>6000+</t>
        </is>
      </c>
      <c r="I76" t="inlineStr">
        <is>
          <t>40+</t>
        </is>
      </c>
      <c r="J76" t="inlineStr">
        <is>
          <t>80/20</t>
        </is>
      </c>
      <c r="K76" t="inlineStr">
        <is>
          <t>2023</t>
        </is>
      </c>
      <c r="L76" t="inlineStr">
        <is>
          <t>3.0-3.5</t>
        </is>
      </c>
      <c r="M76" t="inlineStr">
        <is>
          <t>10-15</t>
        </is>
      </c>
      <c r="N76" t="inlineStr">
        <is>
          <t>13.0-18.5</t>
        </is>
      </c>
      <c r="O76" t="inlineStr">
        <is>
          <t>Chevalier College</t>
        </is>
      </c>
      <c r="P76" t="inlineStr">
        <is>
          <t>Emirates Hospital</t>
        </is>
      </c>
      <c r="Q76" t="inlineStr">
        <is>
          <t>Nakheel Mall</t>
        </is>
      </c>
      <c r="R76" t="inlineStr">
        <is>
          <t>Sheikh Zayed E11</t>
        </is>
      </c>
      <c r="S76" t="inlineStr">
        <is>
          <t>20</t>
        </is>
      </c>
      <c r="T76" t="inlineStr">
        <is>
          <t>10</t>
        </is>
      </c>
      <c r="U76" t="inlineStr">
        <is>
          <t>25</t>
        </is>
      </c>
      <c r="V76" t="inlineStr">
        <is>
          <t>35</t>
        </is>
      </c>
      <c r="W76" t="n">
        <v>2</v>
      </c>
      <c r="X76" s="12" t="n">
        <v>21000000</v>
      </c>
      <c r="Y76" s="12" t="n">
        <v>21000000</v>
      </c>
      <c r="Z76" s="9" t="n">
        <v>3</v>
      </c>
      <c r="AA76" s="9" t="n">
        <v>3.5</v>
      </c>
      <c r="AB76" s="9" t="n">
        <v>10</v>
      </c>
      <c r="AC76" s="9" t="n">
        <v>15</v>
      </c>
      <c r="AD76" s="9" t="n">
        <v>13</v>
      </c>
      <c r="AE76" s="9" t="n">
        <v>18.5</v>
      </c>
      <c r="AF76" t="n">
        <v>2023</v>
      </c>
      <c r="AH76" t="inlineStr">
        <is>
          <t>Apartment</t>
        </is>
      </c>
      <c r="AI76" t="inlineStr">
        <is>
          <t>Prime</t>
        </is>
      </c>
      <c r="AJ76" t="inlineStr">
        <is>
          <t>TopTier</t>
        </is>
      </c>
      <c r="AK76" t="inlineStr">
        <is>
          <t>Prime resilient / selective</t>
        </is>
      </c>
      <c r="AL76" t="inlineStr">
        <is>
          <t>Better support from quality, branding, and scarcer prime stock; still entry-price sensitive.</t>
        </is>
      </c>
      <c r="AM76" s="9" t="n">
        <v>12.5</v>
      </c>
      <c r="AN76" s="9" t="n">
        <v>3.25</v>
      </c>
      <c r="AO76" s="10" t="n">
        <v>0.55</v>
      </c>
      <c r="AP76" s="13" t="n">
        <v>0.02</v>
      </c>
      <c r="AQ76" s="13" t="n">
        <v>0</v>
      </c>
      <c r="AR76" s="13" t="n">
        <v>0</v>
      </c>
      <c r="AS76" s="13" t="n">
        <v>0.03</v>
      </c>
      <c r="AT76" s="13" t="n">
        <v>0.005</v>
      </c>
      <c r="AU76" s="13" t="n">
        <v>0</v>
      </c>
      <c r="AV76" s="13" t="n">
        <v>-0.005</v>
      </c>
      <c r="AW76" s="13" t="n">
        <v>0.08875000000000001</v>
      </c>
      <c r="AX76" s="13" t="n">
        <v>0.03</v>
      </c>
      <c r="AY76" s="12" t="n">
        <v>22177838</v>
      </c>
      <c r="AZ76" s="12" t="n">
        <v>22863750</v>
      </c>
      <c r="BA76" s="12" t="n">
        <v>23549662</v>
      </c>
      <c r="BB76" s="12" t="n">
        <v>22863750</v>
      </c>
      <c r="BC76" s="12" t="n">
        <v>23549662</v>
      </c>
      <c r="BD76" s="12" t="n">
        <v>24235575</v>
      </c>
      <c r="BE76" s="12" t="n">
        <v>24256152</v>
      </c>
      <c r="BF76" t="inlineStr">
        <is>
          <t>Frozen values from same rules-based model as formula sheet.</t>
        </is>
      </c>
      <c r="BG76" t="inlineStr">
        <is>
          <t>2026-03-17</t>
        </is>
      </c>
      <c r="BH76" t="inlineStr">
        <is>
          <t>DLD / Digital Dubai / CBUAE / Savills / Knight Frank-Moody’s / Reuters</t>
        </is>
      </c>
    </row>
    <row r="77">
      <c r="A77" t="n">
        <v>76</v>
      </c>
      <c r="B77" t="inlineStr">
        <is>
          <t>Palm Beach Towers 1</t>
        </is>
      </c>
      <c r="C77" t="inlineStr">
        <is>
          <t>Nakheel</t>
        </is>
      </c>
      <c r="D77" t="inlineStr">
        <is>
          <t>Palm Jumeirah</t>
        </is>
      </c>
      <c r="E77" t="inlineStr">
        <is>
          <t>Apartments</t>
        </is>
      </c>
      <c r="F77" t="inlineStr">
        <is>
          <t>Luxury / View</t>
        </is>
      </c>
      <c r="G77" t="inlineStr">
        <is>
          <t>3.5M</t>
        </is>
      </c>
      <c r="H77" t="inlineStr">
        <is>
          <t>3000</t>
        </is>
      </c>
      <c r="I77" t="inlineStr">
        <is>
          <t>30</t>
        </is>
      </c>
      <c r="J77" t="inlineStr">
        <is>
          <t>60/40</t>
        </is>
      </c>
      <c r="K77" t="inlineStr">
        <is>
          <t>2022</t>
        </is>
      </c>
      <c r="L77" t="inlineStr">
        <is>
          <t>4.5-5.0</t>
        </is>
      </c>
      <c r="M77" t="inlineStr">
        <is>
          <t>8-12</t>
        </is>
      </c>
      <c r="N77" t="inlineStr">
        <is>
          <t>12.5-17.0</t>
        </is>
      </c>
      <c r="O77" t="inlineStr">
        <is>
          <t>Chevalier College</t>
        </is>
      </c>
      <c r="P77" t="inlineStr">
        <is>
          <t>Emirates Hospital</t>
        </is>
      </c>
      <c r="Q77" t="inlineStr">
        <is>
          <t>Nakheel Mall</t>
        </is>
      </c>
      <c r="R77" t="inlineStr">
        <is>
          <t>Sheikh Zayed E11</t>
        </is>
      </c>
      <c r="S77" t="inlineStr">
        <is>
          <t>20</t>
        </is>
      </c>
      <c r="T77" t="inlineStr">
        <is>
          <t>10</t>
        </is>
      </c>
      <c r="U77" t="inlineStr">
        <is>
          <t>25</t>
        </is>
      </c>
      <c r="V77" t="inlineStr">
        <is>
          <t>35</t>
        </is>
      </c>
      <c r="W77" t="n">
        <v>2</v>
      </c>
      <c r="X77" s="12" t="n">
        <v>3500000</v>
      </c>
      <c r="Y77" s="12" t="n">
        <v>3500000</v>
      </c>
      <c r="Z77" s="9" t="n">
        <v>4.5</v>
      </c>
      <c r="AA77" s="9" t="n">
        <v>5</v>
      </c>
      <c r="AB77" s="9" t="n">
        <v>8</v>
      </c>
      <c r="AC77" s="9" t="n">
        <v>12</v>
      </c>
      <c r="AD77" s="9" t="n">
        <v>12.5</v>
      </c>
      <c r="AE77" s="9" t="n">
        <v>17</v>
      </c>
      <c r="AF77" t="n">
        <v>2022</v>
      </c>
      <c r="AH77" t="inlineStr">
        <is>
          <t>Apartment</t>
        </is>
      </c>
      <c r="AI77" t="inlineStr">
        <is>
          <t>Prime</t>
        </is>
      </c>
      <c r="AJ77" t="inlineStr">
        <is>
          <t>TopTier</t>
        </is>
      </c>
      <c r="AK77" t="inlineStr">
        <is>
          <t>Prime resilient / selective</t>
        </is>
      </c>
      <c r="AL77" t="inlineStr">
        <is>
          <t>Better support from quality, branding, and scarcer prime stock; still entry-price sensitive.</t>
        </is>
      </c>
      <c r="AM77" s="9" t="n">
        <v>10</v>
      </c>
      <c r="AN77" s="9" t="n">
        <v>4.75</v>
      </c>
      <c r="AO77" s="10" t="n">
        <v>0.55</v>
      </c>
      <c r="AP77" s="13" t="n">
        <v>0.02</v>
      </c>
      <c r="AQ77" s="13" t="n">
        <v>0</v>
      </c>
      <c r="AR77" s="13" t="n">
        <v>0</v>
      </c>
      <c r="AS77" s="13" t="n">
        <v>0.03</v>
      </c>
      <c r="AT77" s="13" t="n">
        <v>0.005</v>
      </c>
      <c r="AU77" s="13" t="n">
        <v>0</v>
      </c>
      <c r="AV77" s="13" t="n">
        <v>-0.005</v>
      </c>
      <c r="AW77" s="13" t="n">
        <v>0.07500000000000001</v>
      </c>
      <c r="AX77" s="13" t="n">
        <v>0.03</v>
      </c>
      <c r="AY77" s="12" t="n">
        <v>3649625</v>
      </c>
      <c r="AZ77" s="12" t="n">
        <v>3762500</v>
      </c>
      <c r="BA77" s="12" t="n">
        <v>3875375</v>
      </c>
      <c r="BB77" s="12" t="n">
        <v>3762500</v>
      </c>
      <c r="BC77" s="12" t="n">
        <v>3875375</v>
      </c>
      <c r="BD77" s="12" t="n">
        <v>3988250</v>
      </c>
      <c r="BE77" s="12" t="n">
        <v>3991636</v>
      </c>
      <c r="BF77" t="inlineStr">
        <is>
          <t>Frozen values from same rules-based model as formula sheet.</t>
        </is>
      </c>
      <c r="BG77" t="inlineStr">
        <is>
          <t>2026-03-17</t>
        </is>
      </c>
      <c r="BH77" t="inlineStr">
        <is>
          <t>DLD / Digital Dubai / CBUAE / Savills / Knight Frank-Moody’s / Reuters</t>
        </is>
      </c>
    </row>
    <row r="78">
      <c r="A78" t="n">
        <v>77</v>
      </c>
      <c r="B78" t="inlineStr">
        <is>
          <t>Palm Beach Towers 2</t>
        </is>
      </c>
      <c r="C78" t="inlineStr">
        <is>
          <t>Nakheel</t>
        </is>
      </c>
      <c r="D78" t="inlineStr">
        <is>
          <t>Palm Jumeirah</t>
        </is>
      </c>
      <c r="E78" t="inlineStr">
        <is>
          <t>Apartments</t>
        </is>
      </c>
      <c r="F78" t="inlineStr">
        <is>
          <t>Luxury / View</t>
        </is>
      </c>
      <c r="G78" t="inlineStr">
        <is>
          <t>3.5M</t>
        </is>
      </c>
      <c r="H78" t="inlineStr">
        <is>
          <t>3000</t>
        </is>
      </c>
      <c r="I78" t="inlineStr">
        <is>
          <t>30</t>
        </is>
      </c>
      <c r="J78" t="inlineStr">
        <is>
          <t>60/40</t>
        </is>
      </c>
      <c r="K78" t="inlineStr">
        <is>
          <t>2022</t>
        </is>
      </c>
      <c r="L78" t="inlineStr">
        <is>
          <t>4.5-5.0</t>
        </is>
      </c>
      <c r="M78" t="inlineStr">
        <is>
          <t>8-12</t>
        </is>
      </c>
      <c r="N78" t="inlineStr">
        <is>
          <t>12.5-17.0</t>
        </is>
      </c>
      <c r="O78" t="inlineStr">
        <is>
          <t>Chevalier College</t>
        </is>
      </c>
      <c r="P78" t="inlineStr">
        <is>
          <t>Emirates Hospital</t>
        </is>
      </c>
      <c r="Q78" t="inlineStr">
        <is>
          <t>Nakheel Mall</t>
        </is>
      </c>
      <c r="R78" t="inlineStr">
        <is>
          <t>Sheikh Zayed E11</t>
        </is>
      </c>
      <c r="S78" t="inlineStr">
        <is>
          <t>20</t>
        </is>
      </c>
      <c r="T78" t="inlineStr">
        <is>
          <t>10</t>
        </is>
      </c>
      <c r="U78" t="inlineStr">
        <is>
          <t>25</t>
        </is>
      </c>
      <c r="V78" t="inlineStr">
        <is>
          <t>35</t>
        </is>
      </c>
      <c r="W78" t="n">
        <v>2</v>
      </c>
      <c r="X78" s="12" t="n">
        <v>3500000</v>
      </c>
      <c r="Y78" s="12" t="n">
        <v>3500000</v>
      </c>
      <c r="Z78" s="9" t="n">
        <v>4.5</v>
      </c>
      <c r="AA78" s="9" t="n">
        <v>5</v>
      </c>
      <c r="AB78" s="9" t="n">
        <v>8</v>
      </c>
      <c r="AC78" s="9" t="n">
        <v>12</v>
      </c>
      <c r="AD78" s="9" t="n">
        <v>12.5</v>
      </c>
      <c r="AE78" s="9" t="n">
        <v>17</v>
      </c>
      <c r="AF78" t="n">
        <v>2022</v>
      </c>
      <c r="AH78" t="inlineStr">
        <is>
          <t>Apartment</t>
        </is>
      </c>
      <c r="AI78" t="inlineStr">
        <is>
          <t>Prime</t>
        </is>
      </c>
      <c r="AJ78" t="inlineStr">
        <is>
          <t>TopTier</t>
        </is>
      </c>
      <c r="AK78" t="inlineStr">
        <is>
          <t>Prime resilient / selective</t>
        </is>
      </c>
      <c r="AL78" t="inlineStr">
        <is>
          <t>Better support from quality, branding, and scarcer prime stock; still entry-price sensitive.</t>
        </is>
      </c>
      <c r="AM78" s="9" t="n">
        <v>10</v>
      </c>
      <c r="AN78" s="9" t="n">
        <v>4.75</v>
      </c>
      <c r="AO78" s="10" t="n">
        <v>0.55</v>
      </c>
      <c r="AP78" s="13" t="n">
        <v>0.02</v>
      </c>
      <c r="AQ78" s="13" t="n">
        <v>0</v>
      </c>
      <c r="AR78" s="13" t="n">
        <v>0</v>
      </c>
      <c r="AS78" s="13" t="n">
        <v>0.03</v>
      </c>
      <c r="AT78" s="13" t="n">
        <v>0.005</v>
      </c>
      <c r="AU78" s="13" t="n">
        <v>0</v>
      </c>
      <c r="AV78" s="13" t="n">
        <v>-0.005</v>
      </c>
      <c r="AW78" s="13" t="n">
        <v>0.07500000000000001</v>
      </c>
      <c r="AX78" s="13" t="n">
        <v>0.03</v>
      </c>
      <c r="AY78" s="12" t="n">
        <v>3649625</v>
      </c>
      <c r="AZ78" s="12" t="n">
        <v>3762500</v>
      </c>
      <c r="BA78" s="12" t="n">
        <v>3875375</v>
      </c>
      <c r="BB78" s="12" t="n">
        <v>3762500</v>
      </c>
      <c r="BC78" s="12" t="n">
        <v>3875375</v>
      </c>
      <c r="BD78" s="12" t="n">
        <v>3988250</v>
      </c>
      <c r="BE78" s="12" t="n">
        <v>3991636</v>
      </c>
      <c r="BF78" t="inlineStr">
        <is>
          <t>Frozen values from same rules-based model as formula sheet.</t>
        </is>
      </c>
      <c r="BG78" t="inlineStr">
        <is>
          <t>2026-03-17</t>
        </is>
      </c>
      <c r="BH78" t="inlineStr">
        <is>
          <t>DLD / Digital Dubai / CBUAE / Savills / Knight Frank-Moody’s / Reuters</t>
        </is>
      </c>
    </row>
    <row r="79">
      <c r="A79" t="n">
        <v>78</v>
      </c>
      <c r="B79" t="inlineStr">
        <is>
          <t>Palm Beach Towers 3</t>
        </is>
      </c>
      <c r="C79" t="inlineStr">
        <is>
          <t>Nakheel</t>
        </is>
      </c>
      <c r="D79" t="inlineStr">
        <is>
          <t>Palm Jumeirah</t>
        </is>
      </c>
      <c r="E79" t="inlineStr">
        <is>
          <t>Apartments</t>
        </is>
      </c>
      <c r="F79" t="inlineStr">
        <is>
          <t>Luxury / View</t>
        </is>
      </c>
      <c r="G79" t="inlineStr">
        <is>
          <t>3.6M</t>
        </is>
      </c>
      <c r="H79" t="inlineStr">
        <is>
          <t>3000</t>
        </is>
      </c>
      <c r="I79" t="inlineStr">
        <is>
          <t>30</t>
        </is>
      </c>
      <c r="J79" t="inlineStr">
        <is>
          <t>60/40</t>
        </is>
      </c>
      <c r="K79" t="inlineStr">
        <is>
          <t>2022</t>
        </is>
      </c>
      <c r="L79" t="inlineStr">
        <is>
          <t>4.5-5.0</t>
        </is>
      </c>
      <c r="M79" t="inlineStr">
        <is>
          <t>8-12</t>
        </is>
      </c>
      <c r="N79" t="inlineStr">
        <is>
          <t>12.5-17.0</t>
        </is>
      </c>
      <c r="O79" t="inlineStr">
        <is>
          <t>Chevalier College</t>
        </is>
      </c>
      <c r="P79" t="inlineStr">
        <is>
          <t>Emirates Hospital</t>
        </is>
      </c>
      <c r="Q79" t="inlineStr">
        <is>
          <t>Nakheel Mall</t>
        </is>
      </c>
      <c r="R79" t="inlineStr">
        <is>
          <t>Sheikh Zayed E11</t>
        </is>
      </c>
      <c r="S79" t="inlineStr">
        <is>
          <t>20</t>
        </is>
      </c>
      <c r="T79" t="inlineStr">
        <is>
          <t>10</t>
        </is>
      </c>
      <c r="U79" t="inlineStr">
        <is>
          <t>25</t>
        </is>
      </c>
      <c r="V79" t="inlineStr">
        <is>
          <t>35</t>
        </is>
      </c>
      <c r="W79" t="n">
        <v>2</v>
      </c>
      <c r="X79" s="12" t="n">
        <v>3600000</v>
      </c>
      <c r="Y79" s="12" t="n">
        <v>3600000</v>
      </c>
      <c r="Z79" s="9" t="n">
        <v>4.5</v>
      </c>
      <c r="AA79" s="9" t="n">
        <v>5</v>
      </c>
      <c r="AB79" s="9" t="n">
        <v>8</v>
      </c>
      <c r="AC79" s="9" t="n">
        <v>12</v>
      </c>
      <c r="AD79" s="9" t="n">
        <v>12.5</v>
      </c>
      <c r="AE79" s="9" t="n">
        <v>17</v>
      </c>
      <c r="AF79" t="n">
        <v>2022</v>
      </c>
      <c r="AH79" t="inlineStr">
        <is>
          <t>Apartment</t>
        </is>
      </c>
      <c r="AI79" t="inlineStr">
        <is>
          <t>Prime</t>
        </is>
      </c>
      <c r="AJ79" t="inlineStr">
        <is>
          <t>TopTier</t>
        </is>
      </c>
      <c r="AK79" t="inlineStr">
        <is>
          <t>Prime resilient / selective</t>
        </is>
      </c>
      <c r="AL79" t="inlineStr">
        <is>
          <t>Better support from quality, branding, and scarcer prime stock; still entry-price sensitive.</t>
        </is>
      </c>
      <c r="AM79" s="9" t="n">
        <v>10</v>
      </c>
      <c r="AN79" s="9" t="n">
        <v>4.75</v>
      </c>
      <c r="AO79" s="10" t="n">
        <v>0.55</v>
      </c>
      <c r="AP79" s="13" t="n">
        <v>0.02</v>
      </c>
      <c r="AQ79" s="13" t="n">
        <v>0</v>
      </c>
      <c r="AR79" s="13" t="n">
        <v>0</v>
      </c>
      <c r="AS79" s="13" t="n">
        <v>0.03</v>
      </c>
      <c r="AT79" s="13" t="n">
        <v>0.005</v>
      </c>
      <c r="AU79" s="13" t="n">
        <v>0</v>
      </c>
      <c r="AV79" s="13" t="n">
        <v>-0.005</v>
      </c>
      <c r="AW79" s="13" t="n">
        <v>0.07500000000000001</v>
      </c>
      <c r="AX79" s="13" t="n">
        <v>0.03</v>
      </c>
      <c r="AY79" s="12" t="n">
        <v>3753900</v>
      </c>
      <c r="AZ79" s="12" t="n">
        <v>3870000</v>
      </c>
      <c r="BA79" s="12" t="n">
        <v>3986100</v>
      </c>
      <c r="BB79" s="12" t="n">
        <v>3870000</v>
      </c>
      <c r="BC79" s="12" t="n">
        <v>3986100</v>
      </c>
      <c r="BD79" s="12" t="n">
        <v>4102200</v>
      </c>
      <c r="BE79" s="12" t="n">
        <v>4105683</v>
      </c>
      <c r="BF79" t="inlineStr">
        <is>
          <t>Frozen values from same rules-based model as formula sheet.</t>
        </is>
      </c>
      <c r="BG79" t="inlineStr">
        <is>
          <t>2026-03-17</t>
        </is>
      </c>
      <c r="BH79" t="inlineStr">
        <is>
          <t>DLD / Digital Dubai / CBUAE / Savills / Knight Frank-Moody’s / Reuters</t>
        </is>
      </c>
    </row>
    <row r="80">
      <c r="A80" t="n">
        <v>79</v>
      </c>
      <c r="B80" t="inlineStr">
        <is>
          <t>The Palm Tower</t>
        </is>
      </c>
      <c r="C80" t="inlineStr">
        <is>
          <t>Nakheel</t>
        </is>
      </c>
      <c r="D80" t="inlineStr">
        <is>
          <t>Palm Jumeirah</t>
        </is>
      </c>
      <c r="E80" t="inlineStr">
        <is>
          <t>Hotel/Residences</t>
        </is>
      </c>
      <c r="F80" t="inlineStr">
        <is>
          <t>Luxury / View</t>
        </is>
      </c>
      <c r="G80" t="inlineStr">
        <is>
          <t>Resale (2.5M+)</t>
        </is>
      </c>
      <c r="H80" t="inlineStr">
        <is>
          <t>3500</t>
        </is>
      </c>
      <c r="I80" t="inlineStr">
        <is>
          <t>35</t>
        </is>
      </c>
      <c r="J80" t="inlineStr">
        <is>
          <t>Completed</t>
        </is>
      </c>
      <c r="K80" t="inlineStr">
        <is>
          <t>2017</t>
        </is>
      </c>
      <c r="L80" t="inlineStr">
        <is>
          <t>5.0-5.5</t>
        </is>
      </c>
      <c r="M80" t="inlineStr">
        <is>
          <t>6-8</t>
        </is>
      </c>
      <c r="N80" t="inlineStr">
        <is>
          <t>11.0-13.5</t>
        </is>
      </c>
      <c r="O80" t="inlineStr">
        <is>
          <t>Chevalier College</t>
        </is>
      </c>
      <c r="P80" t="inlineStr">
        <is>
          <t>Emirates Hospital</t>
        </is>
      </c>
      <c r="Q80" t="inlineStr">
        <is>
          <t>Nakheel Mall</t>
        </is>
      </c>
      <c r="R80" t="inlineStr">
        <is>
          <t>Sheikh Zayed E11</t>
        </is>
      </c>
      <c r="S80" t="inlineStr">
        <is>
          <t>20</t>
        </is>
      </c>
      <c r="T80" t="inlineStr">
        <is>
          <t>10</t>
        </is>
      </c>
      <c r="U80" t="inlineStr">
        <is>
          <t>25</t>
        </is>
      </c>
      <c r="V80" t="inlineStr">
        <is>
          <t>35</t>
        </is>
      </c>
      <c r="W80" t="n">
        <v>2</v>
      </c>
      <c r="X80" s="12" t="n">
        <v>2500000</v>
      </c>
      <c r="Y80" s="12" t="n">
        <v>2500000</v>
      </c>
      <c r="Z80" s="9" t="n">
        <v>5</v>
      </c>
      <c r="AA80" s="9" t="n">
        <v>5.5</v>
      </c>
      <c r="AB80" s="9" t="n">
        <v>6</v>
      </c>
      <c r="AC80" s="9" t="n">
        <v>8</v>
      </c>
      <c r="AD80" s="9" t="n">
        <v>11</v>
      </c>
      <c r="AE80" s="9" t="n">
        <v>13.5</v>
      </c>
      <c r="AF80" t="n">
        <v>2017</v>
      </c>
      <c r="AH80" t="inlineStr">
        <is>
          <t>Apartment</t>
        </is>
      </c>
      <c r="AI80" t="inlineStr">
        <is>
          <t>Prime</t>
        </is>
      </c>
      <c r="AJ80" t="inlineStr">
        <is>
          <t>TopTier</t>
        </is>
      </c>
      <c r="AK80" t="inlineStr">
        <is>
          <t>Prime resilient / selective</t>
        </is>
      </c>
      <c r="AL80" t="inlineStr">
        <is>
          <t>Better support from quality, branding, and scarcer prime stock; still entry-price sensitive.</t>
        </is>
      </c>
      <c r="AM80" s="9" t="n">
        <v>7</v>
      </c>
      <c r="AN80" s="9" t="n">
        <v>5.25</v>
      </c>
      <c r="AO80" s="10" t="n">
        <v>0.55</v>
      </c>
      <c r="AP80" s="13" t="n">
        <v>0.02</v>
      </c>
      <c r="AQ80" s="13" t="n">
        <v>0</v>
      </c>
      <c r="AR80" s="13" t="n">
        <v>0</v>
      </c>
      <c r="AS80" s="13" t="n">
        <v>0.03</v>
      </c>
      <c r="AT80" s="13" t="n">
        <v>0.005</v>
      </c>
      <c r="AU80" s="13" t="n">
        <v>0</v>
      </c>
      <c r="AV80" s="13" t="n">
        <v>-0.005</v>
      </c>
      <c r="AW80" s="13" t="n">
        <v>0.05850000000000001</v>
      </c>
      <c r="AX80" s="13" t="n">
        <v>0.03</v>
      </c>
      <c r="AY80" s="12" t="n">
        <v>2566862</v>
      </c>
      <c r="AZ80" s="12" t="n">
        <v>2646250</v>
      </c>
      <c r="BA80" s="12" t="n">
        <v>2725638</v>
      </c>
      <c r="BB80" s="12" t="n">
        <v>2646250</v>
      </c>
      <c r="BC80" s="12" t="n">
        <v>2725638</v>
      </c>
      <c r="BD80" s="12" t="n">
        <v>2805025</v>
      </c>
      <c r="BE80" s="12" t="n">
        <v>2807407</v>
      </c>
      <c r="BF80" t="inlineStr">
        <is>
          <t>Frozen values from same rules-based model as formula sheet.</t>
        </is>
      </c>
      <c r="BG80" t="inlineStr">
        <is>
          <t>2026-03-17</t>
        </is>
      </c>
      <c r="BH80" t="inlineStr">
        <is>
          <t>DLD / Digital Dubai / CBUAE / Savills / Knight Frank-Moody’s / Reuters</t>
        </is>
      </c>
    </row>
    <row r="81">
      <c r="A81" t="n">
        <v>80</v>
      </c>
      <c r="B81" t="inlineStr">
        <is>
          <t>Azure Residences</t>
        </is>
      </c>
      <c r="C81" t="inlineStr">
        <is>
          <t>Nakheel</t>
        </is>
      </c>
      <c r="D81" t="inlineStr">
        <is>
          <t>Palm Jumeirah</t>
        </is>
      </c>
      <c r="E81" t="inlineStr">
        <is>
          <t>Apartments</t>
        </is>
      </c>
      <c r="F81" t="inlineStr">
        <is>
          <t>Beachfront</t>
        </is>
      </c>
      <c r="G81" t="inlineStr">
        <is>
          <t>Resale (1.8M+)</t>
        </is>
      </c>
      <c r="H81" t="inlineStr">
        <is>
          <t>2000</t>
        </is>
      </c>
      <c r="I81" t="inlineStr">
        <is>
          <t>25</t>
        </is>
      </c>
      <c r="J81" t="inlineStr">
        <is>
          <t>Completed</t>
        </is>
      </c>
      <c r="K81" t="inlineStr">
        <is>
          <t>2016</t>
        </is>
      </c>
      <c r="L81" t="inlineStr">
        <is>
          <t>5.5-6.0</t>
        </is>
      </c>
      <c r="M81" t="inlineStr">
        <is>
          <t>6-8</t>
        </is>
      </c>
      <c r="N81" t="inlineStr">
        <is>
          <t>11.5-14.0</t>
        </is>
      </c>
      <c r="O81" t="inlineStr">
        <is>
          <t>Chevalier College</t>
        </is>
      </c>
      <c r="P81" t="inlineStr">
        <is>
          <t>Emirates Hospital</t>
        </is>
      </c>
      <c r="Q81" t="inlineStr">
        <is>
          <t>Nakheel Mall</t>
        </is>
      </c>
      <c r="R81" t="inlineStr">
        <is>
          <t>Sheikh Zayed E11</t>
        </is>
      </c>
      <c r="S81" t="inlineStr">
        <is>
          <t>20</t>
        </is>
      </c>
      <c r="T81" t="inlineStr">
        <is>
          <t>10</t>
        </is>
      </c>
      <c r="U81" t="inlineStr">
        <is>
          <t>25</t>
        </is>
      </c>
      <c r="V81" t="inlineStr">
        <is>
          <t>35</t>
        </is>
      </c>
      <c r="W81" t="n">
        <v>2</v>
      </c>
      <c r="X81" s="12" t="n">
        <v>1800000</v>
      </c>
      <c r="Y81" s="12" t="n">
        <v>1800000</v>
      </c>
      <c r="Z81" s="9" t="n">
        <v>5.5</v>
      </c>
      <c r="AA81" s="9" t="n">
        <v>6</v>
      </c>
      <c r="AB81" s="9" t="n">
        <v>6</v>
      </c>
      <c r="AC81" s="9" t="n">
        <v>8</v>
      </c>
      <c r="AD81" s="9" t="n">
        <v>11.5</v>
      </c>
      <c r="AE81" s="9" t="n">
        <v>14</v>
      </c>
      <c r="AF81" t="n">
        <v>2016</v>
      </c>
      <c r="AH81" t="inlineStr">
        <is>
          <t>Apartment</t>
        </is>
      </c>
      <c r="AI81" t="inlineStr">
        <is>
          <t>Prime</t>
        </is>
      </c>
      <c r="AJ81" t="inlineStr">
        <is>
          <t>TopTier</t>
        </is>
      </c>
      <c r="AK81" t="inlineStr">
        <is>
          <t>Prime resilient / selective</t>
        </is>
      </c>
      <c r="AL81" t="inlineStr">
        <is>
          <t>Better support from quality, branding, and scarcer prime stock; still entry-price sensitive.</t>
        </is>
      </c>
      <c r="AM81" s="9" t="n">
        <v>7</v>
      </c>
      <c r="AN81" s="9" t="n">
        <v>5.75</v>
      </c>
      <c r="AO81" s="10" t="n">
        <v>0.55</v>
      </c>
      <c r="AP81" s="13" t="n">
        <v>0.02</v>
      </c>
      <c r="AQ81" s="13" t="n">
        <v>0</v>
      </c>
      <c r="AR81" s="13" t="n">
        <v>0</v>
      </c>
      <c r="AS81" s="13" t="n">
        <v>0.03</v>
      </c>
      <c r="AT81" s="13" t="n">
        <v>0.005</v>
      </c>
      <c r="AU81" s="13" t="n">
        <v>0</v>
      </c>
      <c r="AV81" s="13" t="n">
        <v>-0.005</v>
      </c>
      <c r="AW81" s="13" t="n">
        <v>0.05850000000000001</v>
      </c>
      <c r="AX81" s="13" t="n">
        <v>0.03</v>
      </c>
      <c r="AY81" s="12" t="n">
        <v>1848141</v>
      </c>
      <c r="AZ81" s="12" t="n">
        <v>1905300</v>
      </c>
      <c r="BA81" s="12" t="n">
        <v>1962459</v>
      </c>
      <c r="BB81" s="12" t="n">
        <v>1905300</v>
      </c>
      <c r="BC81" s="12" t="n">
        <v>1962459</v>
      </c>
      <c r="BD81" s="12" t="n">
        <v>2019618</v>
      </c>
      <c r="BE81" s="12" t="n">
        <v>2021333</v>
      </c>
      <c r="BF81" t="inlineStr">
        <is>
          <t>Frozen values from same rules-based model as formula sheet.</t>
        </is>
      </c>
      <c r="BG81" t="inlineStr">
        <is>
          <t>2026-03-17</t>
        </is>
      </c>
      <c r="BH81" t="inlineStr">
        <is>
          <t>DLD / Digital Dubai / CBUAE / Savills / Knight Frank-Moody’s / Reuters</t>
        </is>
      </c>
    </row>
    <row r="82">
      <c r="A82" t="n">
        <v>81</v>
      </c>
      <c r="B82" t="inlineStr">
        <is>
          <t>Club Vista Mare</t>
        </is>
      </c>
      <c r="C82" t="inlineStr">
        <is>
          <t>Nakheel</t>
        </is>
      </c>
      <c r="D82" t="inlineStr">
        <is>
          <t>Palm Jumeirah</t>
        </is>
      </c>
      <c r="E82" t="inlineStr">
        <is>
          <t>Apartments</t>
        </is>
      </c>
      <c r="F82" t="inlineStr">
        <is>
          <t>Dining / Beach</t>
        </is>
      </c>
      <c r="G82" t="inlineStr">
        <is>
          <t>Resale</t>
        </is>
      </c>
      <c r="H82" t="inlineStr">
        <is>
          <t>2200</t>
        </is>
      </c>
      <c r="I82" t="inlineStr">
        <is>
          <t>25</t>
        </is>
      </c>
      <c r="J82" t="inlineStr">
        <is>
          <t>Completed</t>
        </is>
      </c>
      <c r="K82" t="inlineStr">
        <is>
          <t>2016</t>
        </is>
      </c>
      <c r="L82" t="inlineStr">
        <is>
          <t>5.0-5.5</t>
        </is>
      </c>
      <c r="M82" t="inlineStr">
        <is>
          <t>6-8</t>
        </is>
      </c>
      <c r="N82" t="inlineStr">
        <is>
          <t>11.0-13.5</t>
        </is>
      </c>
      <c r="O82" t="inlineStr">
        <is>
          <t>Chevalier College</t>
        </is>
      </c>
      <c r="P82" t="inlineStr">
        <is>
          <t>Emirates Hospital</t>
        </is>
      </c>
      <c r="Q82" t="inlineStr">
        <is>
          <t>Nakheel Mall</t>
        </is>
      </c>
      <c r="R82" t="inlineStr">
        <is>
          <t>Sheikh Zayed E11</t>
        </is>
      </c>
      <c r="S82" t="inlineStr">
        <is>
          <t>20</t>
        </is>
      </c>
      <c r="T82" t="inlineStr">
        <is>
          <t>10</t>
        </is>
      </c>
      <c r="U82" t="inlineStr">
        <is>
          <t>25</t>
        </is>
      </c>
      <c r="V82" t="inlineStr">
        <is>
          <t>35</t>
        </is>
      </c>
      <c r="W82" t="n">
        <v>2</v>
      </c>
      <c r="X82" s="12" t="n"/>
      <c r="Y82" s="12" t="n"/>
      <c r="Z82" s="9" t="n">
        <v>5</v>
      </c>
      <c r="AA82" s="9" t="n">
        <v>5.5</v>
      </c>
      <c r="AB82" s="9" t="n">
        <v>6</v>
      </c>
      <c r="AC82" s="9" t="n">
        <v>8</v>
      </c>
      <c r="AD82" s="9" t="n">
        <v>11</v>
      </c>
      <c r="AE82" s="9" t="n">
        <v>13.5</v>
      </c>
      <c r="AF82" t="n">
        <v>2016</v>
      </c>
      <c r="AH82" t="inlineStr">
        <is>
          <t>Apartment</t>
        </is>
      </c>
      <c r="AI82" t="inlineStr">
        <is>
          <t>Prime</t>
        </is>
      </c>
      <c r="AJ82" t="inlineStr">
        <is>
          <t>TopTier</t>
        </is>
      </c>
      <c r="AK82" t="inlineStr">
        <is>
          <t>Prime resilient / selective</t>
        </is>
      </c>
      <c r="AL82" t="inlineStr">
        <is>
          <t>Better support from quality, branding, and scarcer prime stock; still entry-price sensitive.</t>
        </is>
      </c>
      <c r="AM82" s="9" t="n">
        <v>7</v>
      </c>
      <c r="AN82" s="9" t="n">
        <v>5.25</v>
      </c>
      <c r="AO82" s="10" t="n">
        <v>0.55</v>
      </c>
      <c r="AP82" s="13" t="n">
        <v>0.02</v>
      </c>
      <c r="AQ82" s="13" t="n">
        <v>0</v>
      </c>
      <c r="AR82" s="13" t="n">
        <v>0</v>
      </c>
      <c r="AS82" s="13" t="n">
        <v>0.03</v>
      </c>
      <c r="AT82" s="13" t="n">
        <v>0.005</v>
      </c>
      <c r="AU82" s="13" t="n">
        <v>0</v>
      </c>
      <c r="AV82" s="13" t="n">
        <v>-0.005</v>
      </c>
      <c r="AW82" s="13" t="n">
        <v>0.05850000000000001</v>
      </c>
      <c r="AX82" s="13" t="n">
        <v>0.03</v>
      </c>
      <c r="AY82" s="12" t="n"/>
      <c r="AZ82" s="12" t="n"/>
      <c r="BA82" s="12" t="n"/>
      <c r="BB82" s="12" t="n"/>
      <c r="BC82" s="12" t="n"/>
      <c r="BD82" s="12" t="n"/>
      <c r="BE82" s="12" t="n"/>
      <c r="BF82" t="inlineStr">
        <is>
          <t>Frozen values from same rules-based model as formula sheet.</t>
        </is>
      </c>
      <c r="BG82" t="inlineStr">
        <is>
          <t>2026-03-17</t>
        </is>
      </c>
      <c r="BH82" t="inlineStr">
        <is>
          <t>DLD / Digital Dubai / CBUAE / Savills / Knight Frank-Moody’s / Reuters</t>
        </is>
      </c>
    </row>
    <row r="83">
      <c r="A83" t="n">
        <v>82</v>
      </c>
      <c r="B83" t="inlineStr">
        <is>
          <t>Jumeirah Islands</t>
        </is>
      </c>
      <c r="C83" t="inlineStr">
        <is>
          <t>Nakheel</t>
        </is>
      </c>
      <c r="D83" t="inlineStr">
        <is>
          <t>Jumeirah Islands</t>
        </is>
      </c>
      <c r="E83" t="inlineStr">
        <is>
          <t>Villas</t>
        </is>
      </c>
      <c r="F83" t="inlineStr">
        <is>
          <t>Luxury / Lake</t>
        </is>
      </c>
      <c r="G83" t="inlineStr">
        <is>
          <t>Resale (12M+)</t>
        </is>
      </c>
      <c r="H83" t="inlineStr">
        <is>
          <t>1800</t>
        </is>
      </c>
      <c r="I83" t="inlineStr">
        <is>
          <t>18</t>
        </is>
      </c>
      <c r="J83" t="inlineStr">
        <is>
          <t>Completed</t>
        </is>
      </c>
      <c r="K83" t="inlineStr">
        <is>
          <t>2004</t>
        </is>
      </c>
      <c r="L83" t="inlineStr">
        <is>
          <t>4.5-5.0</t>
        </is>
      </c>
      <c r="M83" t="inlineStr">
        <is>
          <t>5-7</t>
        </is>
      </c>
      <c r="N83" t="inlineStr">
        <is>
          <t>9.5-12.0</t>
        </is>
      </c>
      <c r="O83" t="inlineStr">
        <is>
          <t>Dubai British School</t>
        </is>
      </c>
      <c r="P83" t="inlineStr">
        <is>
          <t>Mediclinic Meadows</t>
        </is>
      </c>
      <c r="Q83" t="inlineStr">
        <is>
          <t>Pavilion JI</t>
        </is>
      </c>
      <c r="R83" t="inlineStr">
        <is>
          <t>Sheikh Zayed E11</t>
        </is>
      </c>
      <c r="S83" t="inlineStr">
        <is>
          <t>20</t>
        </is>
      </c>
      <c r="T83" t="inlineStr">
        <is>
          <t>10</t>
        </is>
      </c>
      <c r="U83" t="inlineStr">
        <is>
          <t>25</t>
        </is>
      </c>
      <c r="V83" t="inlineStr">
        <is>
          <t>30</t>
        </is>
      </c>
      <c r="W83" t="n">
        <v>2</v>
      </c>
      <c r="X83" s="12" t="n">
        <v>12000000</v>
      </c>
      <c r="Y83" s="12" t="n">
        <v>12000000</v>
      </c>
      <c r="Z83" s="9" t="n">
        <v>4.5</v>
      </c>
      <c r="AA83" s="9" t="n">
        <v>5</v>
      </c>
      <c r="AB83" s="9" t="n">
        <v>5</v>
      </c>
      <c r="AC83" s="9" t="n">
        <v>7</v>
      </c>
      <c r="AD83" s="9" t="n">
        <v>9.5</v>
      </c>
      <c r="AE83" s="9" t="n">
        <v>12</v>
      </c>
      <c r="AF83" t="n">
        <v>2004</v>
      </c>
      <c r="AH83" t="inlineStr">
        <is>
          <t>Villa</t>
        </is>
      </c>
      <c r="AI83" t="inlineStr">
        <is>
          <t>MainstreamSelective</t>
        </is>
      </c>
      <c r="AJ83" t="inlineStr">
        <is>
          <t>TopTier</t>
        </is>
      </c>
      <c r="AK83" t="inlineStr">
        <is>
          <t>Family-villa resilient</t>
        </is>
      </c>
      <c r="AL83" t="inlineStr">
        <is>
          <t>Villa/townhouse demand remains relatively firmer, though growth should be slower than the post-2020 surge.</t>
        </is>
      </c>
      <c r="AM83" s="9" t="n">
        <v>6</v>
      </c>
      <c r="AN83" s="9" t="n">
        <v>4.75</v>
      </c>
      <c r="AO83" s="10" t="n">
        <v>0.55</v>
      </c>
      <c r="AP83" s="13" t="n">
        <v>0</v>
      </c>
      <c r="AQ83" s="13" t="n">
        <v>0.015</v>
      </c>
      <c r="AR83" s="13" t="n">
        <v>0</v>
      </c>
      <c r="AS83" s="13" t="n">
        <v>0.025</v>
      </c>
      <c r="AT83" s="13" t="n">
        <v>0.005</v>
      </c>
      <c r="AU83" s="13" t="n">
        <v>0</v>
      </c>
      <c r="AV83" s="13" t="n">
        <v>-0.005</v>
      </c>
      <c r="AW83" s="13" t="n">
        <v>0.048</v>
      </c>
      <c r="AX83" s="13" t="n">
        <v>0.025</v>
      </c>
      <c r="AY83" s="12" t="n">
        <v>12198720</v>
      </c>
      <c r="AZ83" s="12" t="n">
        <v>12576000</v>
      </c>
      <c r="BA83" s="12" t="n">
        <v>12953280</v>
      </c>
      <c r="BB83" s="12" t="n">
        <v>12513120</v>
      </c>
      <c r="BC83" s="12" t="n">
        <v>12890400</v>
      </c>
      <c r="BD83" s="12" t="n">
        <v>13267680</v>
      </c>
      <c r="BE83" s="12" t="n">
        <v>13212660</v>
      </c>
      <c r="BF83" t="inlineStr">
        <is>
          <t>Frozen values from same rules-based model as formula sheet.</t>
        </is>
      </c>
      <c r="BG83" t="inlineStr">
        <is>
          <t>2026-03-17</t>
        </is>
      </c>
      <c r="BH83" t="inlineStr">
        <is>
          <t>DLD / Digital Dubai / CBUAE / Savills / Knight Frank-Moody’s / Reuters</t>
        </is>
      </c>
    </row>
    <row r="84">
      <c r="A84" t="n">
        <v>83</v>
      </c>
      <c r="B84" t="inlineStr">
        <is>
          <t>Jumeirah Park</t>
        </is>
      </c>
      <c r="C84" t="inlineStr">
        <is>
          <t>Nakheel</t>
        </is>
      </c>
      <c r="D84" t="inlineStr">
        <is>
          <t>Jumeirah Park</t>
        </is>
      </c>
      <c r="E84" t="inlineStr">
        <is>
          <t>Villas</t>
        </is>
      </c>
      <c r="F84" t="inlineStr">
        <is>
          <t>Family / Gated</t>
        </is>
      </c>
      <c r="G84" t="inlineStr">
        <is>
          <t>Resale (6M+)</t>
        </is>
      </c>
      <c r="H84" t="inlineStr">
        <is>
          <t>1400</t>
        </is>
      </c>
      <c r="I84" t="inlineStr">
        <is>
          <t>12</t>
        </is>
      </c>
      <c r="J84" t="inlineStr">
        <is>
          <t>Completed</t>
        </is>
      </c>
      <c r="K84" t="inlineStr">
        <is>
          <t>2013</t>
        </is>
      </c>
      <c r="L84" t="inlineStr">
        <is>
          <t>5.0-5.5</t>
        </is>
      </c>
      <c r="M84" t="inlineStr">
        <is>
          <t>5-7</t>
        </is>
      </c>
      <c r="N84" t="inlineStr">
        <is>
          <t>10.0-12.5</t>
        </is>
      </c>
      <c r="O84" t="inlineStr">
        <is>
          <t>Dubai British School</t>
        </is>
      </c>
      <c r="P84" t="inlineStr">
        <is>
          <t>Mediclinic Meadows</t>
        </is>
      </c>
      <c r="Q84" t="inlineStr">
        <is>
          <t>Pavilion JP</t>
        </is>
      </c>
      <c r="R84" t="inlineStr">
        <is>
          <t>Sheikh Zayed E11</t>
        </is>
      </c>
      <c r="S84" t="inlineStr">
        <is>
          <t>20</t>
        </is>
      </c>
      <c r="T84" t="inlineStr">
        <is>
          <t>10</t>
        </is>
      </c>
      <c r="U84" t="inlineStr">
        <is>
          <t>25</t>
        </is>
      </c>
      <c r="V84" t="inlineStr">
        <is>
          <t>30</t>
        </is>
      </c>
      <c r="W84" t="n">
        <v>2</v>
      </c>
      <c r="X84" s="12" t="n">
        <v>6000000</v>
      </c>
      <c r="Y84" s="12" t="n">
        <v>6000000</v>
      </c>
      <c r="Z84" s="9" t="n">
        <v>5</v>
      </c>
      <c r="AA84" s="9" t="n">
        <v>5.5</v>
      </c>
      <c r="AB84" s="9" t="n">
        <v>5</v>
      </c>
      <c r="AC84" s="9" t="n">
        <v>7</v>
      </c>
      <c r="AD84" s="9" t="n">
        <v>10</v>
      </c>
      <c r="AE84" s="9" t="n">
        <v>12.5</v>
      </c>
      <c r="AF84" t="n">
        <v>2013</v>
      </c>
      <c r="AH84" t="inlineStr">
        <is>
          <t>Villa</t>
        </is>
      </c>
      <c r="AI84" t="inlineStr">
        <is>
          <t>MainstreamSelective</t>
        </is>
      </c>
      <c r="AJ84" t="inlineStr">
        <is>
          <t>TopTier</t>
        </is>
      </c>
      <c r="AK84" t="inlineStr">
        <is>
          <t>Family-villa resilient</t>
        </is>
      </c>
      <c r="AL84" t="inlineStr">
        <is>
          <t>Villa/townhouse demand remains relatively firmer, though growth should be slower than the post-2020 surge.</t>
        </is>
      </c>
      <c r="AM84" s="9" t="n">
        <v>6</v>
      </c>
      <c r="AN84" s="9" t="n">
        <v>5.25</v>
      </c>
      <c r="AO84" s="10" t="n">
        <v>0.55</v>
      </c>
      <c r="AP84" s="13" t="n">
        <v>0</v>
      </c>
      <c r="AQ84" s="13" t="n">
        <v>0.015</v>
      </c>
      <c r="AR84" s="13" t="n">
        <v>0</v>
      </c>
      <c r="AS84" s="13" t="n">
        <v>0.025</v>
      </c>
      <c r="AT84" s="13" t="n">
        <v>0.005</v>
      </c>
      <c r="AU84" s="13" t="n">
        <v>0</v>
      </c>
      <c r="AV84" s="13" t="n">
        <v>-0.005</v>
      </c>
      <c r="AW84" s="13" t="n">
        <v>0.048</v>
      </c>
      <c r="AX84" s="13" t="n">
        <v>0.025</v>
      </c>
      <c r="AY84" s="12" t="n">
        <v>6099360</v>
      </c>
      <c r="AZ84" s="12" t="n">
        <v>6288000</v>
      </c>
      <c r="BA84" s="12" t="n">
        <v>6476640</v>
      </c>
      <c r="BB84" s="12" t="n">
        <v>6256560</v>
      </c>
      <c r="BC84" s="12" t="n">
        <v>6445200</v>
      </c>
      <c r="BD84" s="12" t="n">
        <v>6633840</v>
      </c>
      <c r="BE84" s="12" t="n">
        <v>6606330</v>
      </c>
      <c r="BF84" t="inlineStr">
        <is>
          <t>Frozen values from same rules-based model as formula sheet.</t>
        </is>
      </c>
      <c r="BG84" t="inlineStr">
        <is>
          <t>2026-03-17</t>
        </is>
      </c>
      <c r="BH84" t="inlineStr">
        <is>
          <t>DLD / Digital Dubai / CBUAE / Savills / Knight Frank-Moody’s / Reuters</t>
        </is>
      </c>
    </row>
    <row r="85">
      <c r="A85" t="n">
        <v>84</v>
      </c>
      <c r="B85" t="inlineStr">
        <is>
          <t>Al Furjan (West &amp; East)</t>
        </is>
      </c>
      <c r="C85" t="inlineStr">
        <is>
          <t>Nakheel</t>
        </is>
      </c>
      <c r="D85" t="inlineStr">
        <is>
          <t>Jebel Ali Area</t>
        </is>
      </c>
      <c r="E85" t="inlineStr">
        <is>
          <t>Villas &amp; TH</t>
        </is>
      </c>
      <c r="F85" t="inlineStr">
        <is>
          <t>Family</t>
        </is>
      </c>
      <c r="G85" t="inlineStr">
        <is>
          <t>Resale (2.5M+)</t>
        </is>
      </c>
      <c r="H85" t="inlineStr">
        <is>
          <t>1100</t>
        </is>
      </c>
      <c r="I85" t="inlineStr">
        <is>
          <t>10</t>
        </is>
      </c>
      <c r="J85" t="inlineStr">
        <is>
          <t>Completed</t>
        </is>
      </c>
      <c r="K85" t="inlineStr">
        <is>
          <t>2014</t>
        </is>
      </c>
      <c r="L85" t="inlineStr">
        <is>
          <t>6.5-7.0</t>
        </is>
      </c>
      <c r="M85" t="inlineStr">
        <is>
          <t>5-7</t>
        </is>
      </c>
      <c r="N85" t="inlineStr">
        <is>
          <t>11.5-14.0</t>
        </is>
      </c>
      <c r="O85" t="inlineStr">
        <is>
          <t>The Arbor School</t>
        </is>
      </c>
      <c r="P85" t="inlineStr">
        <is>
          <t>NMC Royal DIP</t>
        </is>
      </c>
      <c r="Q85" t="inlineStr">
        <is>
          <t>Ibn Battuta Mall</t>
        </is>
      </c>
      <c r="R85" t="inlineStr">
        <is>
          <t>Yalayis / E311</t>
        </is>
      </c>
      <c r="S85" t="inlineStr">
        <is>
          <t>25</t>
        </is>
      </c>
      <c r="T85" t="inlineStr">
        <is>
          <t>15</t>
        </is>
      </c>
      <c r="U85" t="inlineStr">
        <is>
          <t>30</t>
        </is>
      </c>
      <c r="V85" t="inlineStr">
        <is>
          <t>20</t>
        </is>
      </c>
      <c r="W85" t="n">
        <v>2</v>
      </c>
      <c r="X85" s="12" t="n">
        <v>2500000</v>
      </c>
      <c r="Y85" s="12" t="n">
        <v>2500000</v>
      </c>
      <c r="Z85" s="9" t="n">
        <v>6.5</v>
      </c>
      <c r="AA85" s="9" t="n">
        <v>7</v>
      </c>
      <c r="AB85" s="9" t="n">
        <v>5</v>
      </c>
      <c r="AC85" s="9" t="n">
        <v>7</v>
      </c>
      <c r="AD85" s="9" t="n">
        <v>11.5</v>
      </c>
      <c r="AE85" s="9" t="n">
        <v>14</v>
      </c>
      <c r="AF85" t="n">
        <v>2014</v>
      </c>
      <c r="AH85" t="inlineStr">
        <is>
          <t>Villa</t>
        </is>
      </c>
      <c r="AI85" t="inlineStr">
        <is>
          <t>MainstreamSelective</t>
        </is>
      </c>
      <c r="AJ85" t="inlineStr">
        <is>
          <t>TopTier</t>
        </is>
      </c>
      <c r="AK85" t="inlineStr">
        <is>
          <t>Family-villa resilient</t>
        </is>
      </c>
      <c r="AL85" t="inlineStr">
        <is>
          <t>Villa/townhouse demand remains relatively firmer, though growth should be slower than the post-2020 surge.</t>
        </is>
      </c>
      <c r="AM85" s="9" t="n">
        <v>6</v>
      </c>
      <c r="AN85" s="9" t="n">
        <v>6.75</v>
      </c>
      <c r="AO85" s="10" t="n">
        <v>0.55</v>
      </c>
      <c r="AP85" s="13" t="n">
        <v>0</v>
      </c>
      <c r="AQ85" s="13" t="n">
        <v>0.015</v>
      </c>
      <c r="AR85" s="13" t="n">
        <v>0</v>
      </c>
      <c r="AS85" s="13" t="n">
        <v>0.025</v>
      </c>
      <c r="AT85" s="13" t="n">
        <v>0.005</v>
      </c>
      <c r="AU85" s="13" t="n">
        <v>0.0025</v>
      </c>
      <c r="AV85" s="13" t="n">
        <v>-0.005</v>
      </c>
      <c r="AW85" s="13" t="n">
        <v>0.048</v>
      </c>
      <c r="AX85" s="13" t="n">
        <v>0.0275</v>
      </c>
      <c r="AY85" s="12" t="n">
        <v>2541400</v>
      </c>
      <c r="AZ85" s="12" t="n">
        <v>2620000</v>
      </c>
      <c r="BA85" s="12" t="n">
        <v>2698600</v>
      </c>
      <c r="BB85" s="12" t="n">
        <v>2613450</v>
      </c>
      <c r="BC85" s="12" t="n">
        <v>2692050</v>
      </c>
      <c r="BD85" s="12" t="n">
        <v>2770650</v>
      </c>
      <c r="BE85" s="12" t="n">
        <v>2766081</v>
      </c>
      <c r="BF85" t="inlineStr">
        <is>
          <t>Frozen values from same rules-based model as formula sheet.</t>
        </is>
      </c>
      <c r="BG85" t="inlineStr">
        <is>
          <t>2026-03-17</t>
        </is>
      </c>
      <c r="BH85" t="inlineStr">
        <is>
          <t>DLD / Digital Dubai / CBUAE / Savills / Knight Frank-Moody’s / Reuters</t>
        </is>
      </c>
    </row>
    <row r="86">
      <c r="A86" t="n">
        <v>85</v>
      </c>
      <c r="B86" t="inlineStr">
        <is>
          <t>Tilal Al Furjan</t>
        </is>
      </c>
      <c r="C86" t="inlineStr">
        <is>
          <t>Nakheel</t>
        </is>
      </c>
      <c r="D86" t="inlineStr">
        <is>
          <t>Al Furjan</t>
        </is>
      </c>
      <c r="E86" t="inlineStr">
        <is>
          <t>Villas</t>
        </is>
      </c>
      <c r="F86" t="inlineStr">
        <is>
          <t>Gated Community</t>
        </is>
      </c>
      <c r="G86" t="inlineStr">
        <is>
          <t>3.2M</t>
        </is>
      </c>
      <c r="H86" t="inlineStr">
        <is>
          <t>1200</t>
        </is>
      </c>
      <c r="I86" t="inlineStr">
        <is>
          <t>12</t>
        </is>
      </c>
      <c r="J86" t="inlineStr">
        <is>
          <t>Completed</t>
        </is>
      </c>
      <c r="K86" t="inlineStr">
        <is>
          <t>2022</t>
        </is>
      </c>
      <c r="L86" t="inlineStr">
        <is>
          <t>6.0-6.5</t>
        </is>
      </c>
      <c r="M86" t="inlineStr">
        <is>
          <t>6-8</t>
        </is>
      </c>
      <c r="N86" t="inlineStr">
        <is>
          <t>12.0-14.5</t>
        </is>
      </c>
      <c r="O86" t="inlineStr">
        <is>
          <t>The Arbor School</t>
        </is>
      </c>
      <c r="P86" t="inlineStr">
        <is>
          <t>NMC Royal DIP</t>
        </is>
      </c>
      <c r="Q86" t="inlineStr">
        <is>
          <t>Ibn Battuta Mall</t>
        </is>
      </c>
      <c r="R86" t="inlineStr">
        <is>
          <t>Yalayis / E311</t>
        </is>
      </c>
      <c r="S86" t="inlineStr">
        <is>
          <t>25</t>
        </is>
      </c>
      <c r="T86" t="inlineStr">
        <is>
          <t>15</t>
        </is>
      </c>
      <c r="U86" t="inlineStr">
        <is>
          <t>30</t>
        </is>
      </c>
      <c r="V86" t="inlineStr">
        <is>
          <t>20</t>
        </is>
      </c>
      <c r="W86" t="n">
        <v>2</v>
      </c>
      <c r="X86" s="12" t="n">
        <v>3200000</v>
      </c>
      <c r="Y86" s="12" t="n">
        <v>3200000</v>
      </c>
      <c r="Z86" s="9" t="n">
        <v>6</v>
      </c>
      <c r="AA86" s="9" t="n">
        <v>6.5</v>
      </c>
      <c r="AB86" s="9" t="n">
        <v>6</v>
      </c>
      <c r="AC86" s="9" t="n">
        <v>8</v>
      </c>
      <c r="AD86" s="9" t="n">
        <v>12</v>
      </c>
      <c r="AE86" s="9" t="n">
        <v>14.5</v>
      </c>
      <c r="AF86" t="n">
        <v>2022</v>
      </c>
      <c r="AH86" t="inlineStr">
        <is>
          <t>Villa</t>
        </is>
      </c>
      <c r="AI86" t="inlineStr">
        <is>
          <t>MainstreamSelective</t>
        </is>
      </c>
      <c r="AJ86" t="inlineStr">
        <is>
          <t>TopTier</t>
        </is>
      </c>
      <c r="AK86" t="inlineStr">
        <is>
          <t>Family-villa resilient</t>
        </is>
      </c>
      <c r="AL86" t="inlineStr">
        <is>
          <t>Villa/townhouse demand remains relatively firmer, though growth should be slower than the post-2020 surge.</t>
        </is>
      </c>
      <c r="AM86" s="9" t="n">
        <v>7</v>
      </c>
      <c r="AN86" s="9" t="n">
        <v>6.25</v>
      </c>
      <c r="AO86" s="10" t="n">
        <v>0.55</v>
      </c>
      <c r="AP86" s="13" t="n">
        <v>0</v>
      </c>
      <c r="AQ86" s="13" t="n">
        <v>0.015</v>
      </c>
      <c r="AR86" s="13" t="n">
        <v>0</v>
      </c>
      <c r="AS86" s="13" t="n">
        <v>0.025</v>
      </c>
      <c r="AT86" s="13" t="n">
        <v>0.005</v>
      </c>
      <c r="AU86" s="13" t="n">
        <v>0.0025</v>
      </c>
      <c r="AV86" s="13" t="n">
        <v>-0.005</v>
      </c>
      <c r="AW86" s="13" t="n">
        <v>0.05350000000000001</v>
      </c>
      <c r="AX86" s="13" t="n">
        <v>0.0275</v>
      </c>
      <c r="AY86" s="12" t="n">
        <v>3270064</v>
      </c>
      <c r="AZ86" s="12" t="n">
        <v>3371200</v>
      </c>
      <c r="BA86" s="12" t="n">
        <v>3472336</v>
      </c>
      <c r="BB86" s="12" t="n">
        <v>3362772</v>
      </c>
      <c r="BC86" s="12" t="n">
        <v>3463908</v>
      </c>
      <c r="BD86" s="12" t="n">
        <v>3565044</v>
      </c>
      <c r="BE86" s="12" t="n">
        <v>3559165</v>
      </c>
      <c r="BF86" t="inlineStr">
        <is>
          <t>Frozen values from same rules-based model as formula sheet.</t>
        </is>
      </c>
      <c r="BG86" t="inlineStr">
        <is>
          <t>2026-03-17</t>
        </is>
      </c>
      <c r="BH86" t="inlineStr">
        <is>
          <t>DLD / Digital Dubai / CBUAE / Savills / Knight Frank-Moody’s / Reuters</t>
        </is>
      </c>
    </row>
    <row r="87">
      <c r="A87" t="n">
        <v>86</v>
      </c>
      <c r="B87" t="inlineStr">
        <is>
          <t>Murooj Al Furjan</t>
        </is>
      </c>
      <c r="C87" t="inlineStr">
        <is>
          <t>Nakheel</t>
        </is>
      </c>
      <c r="D87" t="inlineStr">
        <is>
          <t>Al Furjan</t>
        </is>
      </c>
      <c r="E87" t="inlineStr">
        <is>
          <t>Townhouses</t>
        </is>
      </c>
      <c r="F87" t="inlineStr">
        <is>
          <t>Gated Community</t>
        </is>
      </c>
      <c r="G87" t="inlineStr">
        <is>
          <t>2.8M</t>
        </is>
      </c>
      <c r="H87" t="inlineStr">
        <is>
          <t>1150</t>
        </is>
      </c>
      <c r="I87" t="inlineStr">
        <is>
          <t>12</t>
        </is>
      </c>
      <c r="J87" t="inlineStr">
        <is>
          <t>Completed</t>
        </is>
      </c>
      <c r="K87" t="inlineStr">
        <is>
          <t>2021</t>
        </is>
      </c>
      <c r="L87" t="inlineStr">
        <is>
          <t>6.5-7.0</t>
        </is>
      </c>
      <c r="M87" t="inlineStr">
        <is>
          <t>6-8</t>
        </is>
      </c>
      <c r="N87" t="inlineStr">
        <is>
          <t>12.5-15.0</t>
        </is>
      </c>
      <c r="O87" t="inlineStr">
        <is>
          <t>The Arbor School</t>
        </is>
      </c>
      <c r="P87" t="inlineStr">
        <is>
          <t>NMC Royal DIP</t>
        </is>
      </c>
      <c r="Q87" t="inlineStr">
        <is>
          <t>Ibn Battuta Mall</t>
        </is>
      </c>
      <c r="R87" t="inlineStr">
        <is>
          <t>Yalayis / E311</t>
        </is>
      </c>
      <c r="S87" t="inlineStr">
        <is>
          <t>25</t>
        </is>
      </c>
      <c r="T87" t="inlineStr">
        <is>
          <t>15</t>
        </is>
      </c>
      <c r="U87" t="inlineStr">
        <is>
          <t>30</t>
        </is>
      </c>
      <c r="V87" t="inlineStr">
        <is>
          <t>20</t>
        </is>
      </c>
      <c r="W87" t="n">
        <v>2</v>
      </c>
      <c r="X87" s="12" t="n">
        <v>2800000</v>
      </c>
      <c r="Y87" s="12" t="n">
        <v>2800000</v>
      </c>
      <c r="Z87" s="9" t="n">
        <v>6.5</v>
      </c>
      <c r="AA87" s="9" t="n">
        <v>7</v>
      </c>
      <c r="AB87" s="9" t="n">
        <v>6</v>
      </c>
      <c r="AC87" s="9" t="n">
        <v>8</v>
      </c>
      <c r="AD87" s="9" t="n">
        <v>12.5</v>
      </c>
      <c r="AE87" s="9" t="n">
        <v>15</v>
      </c>
      <c r="AF87" t="n">
        <v>2021</v>
      </c>
      <c r="AH87" t="inlineStr">
        <is>
          <t>Townhouse</t>
        </is>
      </c>
      <c r="AI87" t="inlineStr">
        <is>
          <t>MainstreamSelective</t>
        </is>
      </c>
      <c r="AJ87" t="inlineStr">
        <is>
          <t>TopTier</t>
        </is>
      </c>
      <c r="AK87" t="inlineStr">
        <is>
          <t>Family-villa resilient</t>
        </is>
      </c>
      <c r="AL87" t="inlineStr">
        <is>
          <t>Villa/townhouse demand remains relatively firmer, though growth should be slower than the post-2020 surge.</t>
        </is>
      </c>
      <c r="AM87" s="9" t="n">
        <v>7</v>
      </c>
      <c r="AN87" s="9" t="n">
        <v>6.75</v>
      </c>
      <c r="AO87" s="10" t="n">
        <v>0.55</v>
      </c>
      <c r="AP87" s="13" t="n">
        <v>0</v>
      </c>
      <c r="AQ87" s="13" t="n">
        <v>0.015</v>
      </c>
      <c r="AR87" s="13" t="n">
        <v>0</v>
      </c>
      <c r="AS87" s="13" t="n">
        <v>0.025</v>
      </c>
      <c r="AT87" s="13" t="n">
        <v>0.005</v>
      </c>
      <c r="AU87" s="13" t="n">
        <v>0.0025</v>
      </c>
      <c r="AV87" s="13" t="n">
        <v>-0.005</v>
      </c>
      <c r="AW87" s="13" t="n">
        <v>0.05350000000000001</v>
      </c>
      <c r="AX87" s="13" t="n">
        <v>0.0275</v>
      </c>
      <c r="AY87" s="12" t="n">
        <v>2861306</v>
      </c>
      <c r="AZ87" s="12" t="n">
        <v>2949800</v>
      </c>
      <c r="BA87" s="12" t="n">
        <v>3038294</v>
      </c>
      <c r="BB87" s="12" t="n">
        <v>2942426</v>
      </c>
      <c r="BC87" s="12" t="n">
        <v>3030920</v>
      </c>
      <c r="BD87" s="12" t="n">
        <v>3119414</v>
      </c>
      <c r="BE87" s="12" t="n">
        <v>3114270</v>
      </c>
      <c r="BF87" t="inlineStr">
        <is>
          <t>Frozen values from same rules-based model as formula sheet.</t>
        </is>
      </c>
      <c r="BG87" t="inlineStr">
        <is>
          <t>2026-03-17</t>
        </is>
      </c>
      <c r="BH87" t="inlineStr">
        <is>
          <t>DLD / Digital Dubai / CBUAE / Savills / Knight Frank-Moody’s / Reuters</t>
        </is>
      </c>
    </row>
    <row r="88">
      <c r="A88" t="n">
        <v>87</v>
      </c>
      <c r="B88" t="inlineStr">
        <is>
          <t>Discovery Gardens</t>
        </is>
      </c>
      <c r="C88" t="inlineStr">
        <is>
          <t>Nakheel</t>
        </is>
      </c>
      <c r="D88" t="inlineStr">
        <is>
          <t>Jebel Ali Area</t>
        </is>
      </c>
      <c r="E88" t="inlineStr">
        <is>
          <t>Apartments</t>
        </is>
      </c>
      <c r="F88" t="inlineStr">
        <is>
          <t>Budget / Garden</t>
        </is>
      </c>
      <c r="G88" t="inlineStr">
        <is>
          <t>Resale (500k+)</t>
        </is>
      </c>
      <c r="H88" t="inlineStr">
        <is>
          <t>700</t>
        </is>
      </c>
      <c r="I88" t="inlineStr">
        <is>
          <t>12</t>
        </is>
      </c>
      <c r="J88" t="inlineStr">
        <is>
          <t>Completed</t>
        </is>
      </c>
      <c r="K88" t="inlineStr">
        <is>
          <t>2008</t>
        </is>
      </c>
      <c r="L88" t="inlineStr">
        <is>
          <t>8.0-8.5</t>
        </is>
      </c>
      <c r="M88" t="inlineStr">
        <is>
          <t>4-6</t>
        </is>
      </c>
      <c r="N88" t="inlineStr">
        <is>
          <t>12.0-14.5</t>
        </is>
      </c>
      <c r="O88" t="inlineStr">
        <is>
          <t>Winchester School</t>
        </is>
      </c>
      <c r="P88" t="inlineStr">
        <is>
          <t>Aster Cedars</t>
        </is>
      </c>
      <c r="Q88" t="inlineStr">
        <is>
          <t>Ibn Battuta Mall</t>
        </is>
      </c>
      <c r="R88" t="inlineStr">
        <is>
          <t>Sheikh Zayed E11</t>
        </is>
      </c>
      <c r="S88" t="inlineStr">
        <is>
          <t>25</t>
        </is>
      </c>
      <c r="T88" t="inlineStr">
        <is>
          <t>10</t>
        </is>
      </c>
      <c r="U88" t="inlineStr">
        <is>
          <t>30</t>
        </is>
      </c>
      <c r="V88" t="inlineStr">
        <is>
          <t>25</t>
        </is>
      </c>
      <c r="W88" t="n">
        <v>2</v>
      </c>
      <c r="X88" s="12" t="n">
        <v>500000</v>
      </c>
      <c r="Y88" s="12" t="n">
        <v>500000</v>
      </c>
      <c r="Z88" s="9" t="n">
        <v>8</v>
      </c>
      <c r="AA88" s="9" t="n">
        <v>8.5</v>
      </c>
      <c r="AB88" s="9" t="n">
        <v>4</v>
      </c>
      <c r="AC88" s="9" t="n">
        <v>6</v>
      </c>
      <c r="AD88" s="9" t="n">
        <v>12</v>
      </c>
      <c r="AE88" s="9" t="n">
        <v>14.5</v>
      </c>
      <c r="AF88" t="n">
        <v>2008</v>
      </c>
      <c r="AH88" t="inlineStr">
        <is>
          <t>Apartment</t>
        </is>
      </c>
      <c r="AI88" t="inlineStr">
        <is>
          <t>MainstreamSelective</t>
        </is>
      </c>
      <c r="AJ88" t="inlineStr">
        <is>
          <t>TopTier</t>
        </is>
      </c>
      <c r="AK88" t="inlineStr">
        <is>
          <t>Balanced / selective</t>
        </is>
      </c>
      <c r="AL88" t="inlineStr">
        <is>
          <t>Market remains active but increasingly differentiated by developer, micro-location, livability, and pricing discipline.</t>
        </is>
      </c>
      <c r="AM88" s="9" t="n">
        <v>5</v>
      </c>
      <c r="AN88" s="9" t="n">
        <v>8.25</v>
      </c>
      <c r="AO88" s="10" t="n">
        <v>0.55</v>
      </c>
      <c r="AP88" s="13" t="n">
        <v>0</v>
      </c>
      <c r="AQ88" s="13" t="n">
        <v>0</v>
      </c>
      <c r="AR88" s="13" t="n">
        <v>0</v>
      </c>
      <c r="AS88" s="13" t="n">
        <v>0.01</v>
      </c>
      <c r="AT88" s="13" t="n">
        <v>0.005</v>
      </c>
      <c r="AU88" s="13" t="n">
        <v>0.0025</v>
      </c>
      <c r="AV88" s="13" t="n">
        <v>-0.005</v>
      </c>
      <c r="AW88" s="13" t="n">
        <v>0.0275</v>
      </c>
      <c r="AX88" s="13" t="n">
        <v>0.0125</v>
      </c>
      <c r="AY88" s="12" t="n">
        <v>498338</v>
      </c>
      <c r="AZ88" s="12" t="n">
        <v>513750</v>
      </c>
      <c r="BA88" s="12" t="n">
        <v>529162</v>
      </c>
      <c r="BB88" s="12" t="n">
        <v>504759</v>
      </c>
      <c r="BC88" s="12" t="n">
        <v>520172</v>
      </c>
      <c r="BD88" s="12" t="n">
        <v>535584</v>
      </c>
      <c r="BE88" s="12" t="n">
        <v>526674</v>
      </c>
      <c r="BF88" t="inlineStr">
        <is>
          <t>Frozen values from same rules-based model as formula sheet.</t>
        </is>
      </c>
      <c r="BG88" t="inlineStr">
        <is>
          <t>2026-03-17</t>
        </is>
      </c>
      <c r="BH88" t="inlineStr">
        <is>
          <t>DLD / Digital Dubai / CBUAE / Savills / Knight Frank-Moody’s / Reuters</t>
        </is>
      </c>
    </row>
    <row r="89">
      <c r="A89" t="n">
        <v>88</v>
      </c>
      <c r="B89" t="inlineStr">
        <is>
          <t>The Gardens</t>
        </is>
      </c>
      <c r="C89" t="inlineStr">
        <is>
          <t>Nakheel</t>
        </is>
      </c>
      <c r="D89" t="inlineStr">
        <is>
          <t>Jebel Ali Area</t>
        </is>
      </c>
      <c r="E89" t="inlineStr">
        <is>
          <t>Apartments</t>
        </is>
      </c>
      <c r="F89" t="inlineStr">
        <is>
          <t>Garden / Low Rise</t>
        </is>
      </c>
      <c r="G89" t="inlineStr">
        <is>
          <t>Resale</t>
        </is>
      </c>
      <c r="H89" t="inlineStr">
        <is>
          <t>700</t>
        </is>
      </c>
      <c r="I89" t="inlineStr">
        <is>
          <t>12</t>
        </is>
      </c>
      <c r="J89" t="inlineStr">
        <is>
          <t>Completed</t>
        </is>
      </c>
      <c r="K89" t="inlineStr">
        <is>
          <t>2003</t>
        </is>
      </c>
      <c r="L89" t="inlineStr">
        <is>
          <t>8.0-8.5</t>
        </is>
      </c>
      <c r="M89" t="inlineStr">
        <is>
          <t>4-6</t>
        </is>
      </c>
      <c r="N89" t="inlineStr">
        <is>
          <t>12.0-14.5</t>
        </is>
      </c>
      <c r="O89" t="inlineStr">
        <is>
          <t>Winchester School</t>
        </is>
      </c>
      <c r="P89" t="inlineStr">
        <is>
          <t>Aster Cedars</t>
        </is>
      </c>
      <c r="Q89" t="inlineStr">
        <is>
          <t>Ibn Battuta Mall</t>
        </is>
      </c>
      <c r="R89" t="inlineStr">
        <is>
          <t>Sheikh Zayed E11</t>
        </is>
      </c>
      <c r="S89" t="inlineStr">
        <is>
          <t>25</t>
        </is>
      </c>
      <c r="T89" t="inlineStr">
        <is>
          <t>10</t>
        </is>
      </c>
      <c r="U89" t="inlineStr">
        <is>
          <t>30</t>
        </is>
      </c>
      <c r="V89" t="inlineStr">
        <is>
          <t>25</t>
        </is>
      </c>
      <c r="W89" t="n">
        <v>2</v>
      </c>
      <c r="X89" s="12" t="n"/>
      <c r="Y89" s="12" t="n"/>
      <c r="Z89" s="9" t="n">
        <v>8</v>
      </c>
      <c r="AA89" s="9" t="n">
        <v>8.5</v>
      </c>
      <c r="AB89" s="9" t="n">
        <v>4</v>
      </c>
      <c r="AC89" s="9" t="n">
        <v>6</v>
      </c>
      <c r="AD89" s="9" t="n">
        <v>12</v>
      </c>
      <c r="AE89" s="9" t="n">
        <v>14.5</v>
      </c>
      <c r="AF89" t="n">
        <v>2003</v>
      </c>
      <c r="AH89" t="inlineStr">
        <is>
          <t>Apartment</t>
        </is>
      </c>
      <c r="AI89" t="inlineStr">
        <is>
          <t>MainstreamSelective</t>
        </is>
      </c>
      <c r="AJ89" t="inlineStr">
        <is>
          <t>TopTier</t>
        </is>
      </c>
      <c r="AK89" t="inlineStr">
        <is>
          <t>Balanced / selective</t>
        </is>
      </c>
      <c r="AL89" t="inlineStr">
        <is>
          <t>Market remains active but increasingly differentiated by developer, micro-location, livability, and pricing discipline.</t>
        </is>
      </c>
      <c r="AM89" s="9" t="n">
        <v>5</v>
      </c>
      <c r="AN89" s="9" t="n">
        <v>8.25</v>
      </c>
      <c r="AO89" s="10" t="n">
        <v>0.55</v>
      </c>
      <c r="AP89" s="13" t="n">
        <v>0</v>
      </c>
      <c r="AQ89" s="13" t="n">
        <v>0</v>
      </c>
      <c r="AR89" s="13" t="n">
        <v>0</v>
      </c>
      <c r="AS89" s="13" t="n">
        <v>0.01</v>
      </c>
      <c r="AT89" s="13" t="n">
        <v>0.005</v>
      </c>
      <c r="AU89" s="13" t="n">
        <v>0.0025</v>
      </c>
      <c r="AV89" s="13" t="n">
        <v>-0.005</v>
      </c>
      <c r="AW89" s="13" t="n">
        <v>0.0275</v>
      </c>
      <c r="AX89" s="13" t="n">
        <v>0.0125</v>
      </c>
      <c r="AY89" s="12" t="n"/>
      <c r="AZ89" s="12" t="n"/>
      <c r="BA89" s="12" t="n"/>
      <c r="BB89" s="12" t="n"/>
      <c r="BC89" s="12" t="n"/>
      <c r="BD89" s="12" t="n"/>
      <c r="BE89" s="12" t="n"/>
      <c r="BF89" t="inlineStr">
        <is>
          <t>Frozen values from same rules-based model as formula sheet.</t>
        </is>
      </c>
      <c r="BG89" t="inlineStr">
        <is>
          <t>2026-03-17</t>
        </is>
      </c>
      <c r="BH89" t="inlineStr">
        <is>
          <t>DLD / Digital Dubai / CBUAE / Savills / Knight Frank-Moody’s / Reuters</t>
        </is>
      </c>
    </row>
    <row r="90">
      <c r="A90" t="n">
        <v>89</v>
      </c>
      <c r="B90" t="inlineStr">
        <is>
          <t>Rixos Financial Center Road</t>
        </is>
      </c>
      <c r="C90" t="inlineStr">
        <is>
          <t>Nakheel</t>
        </is>
      </c>
      <c r="D90" t="inlineStr">
        <is>
          <t>Downtown Dubai</t>
        </is>
      </c>
      <c r="E90" t="inlineStr">
        <is>
          <t>Branded Residences</t>
        </is>
      </c>
      <c r="F90" t="inlineStr">
        <is>
          <t>Luxury / City</t>
        </is>
      </c>
      <c r="G90" t="inlineStr">
        <is>
          <t>4.0M</t>
        </is>
      </c>
      <c r="H90" t="inlineStr">
        <is>
          <t>3800</t>
        </is>
      </c>
      <c r="I90" t="inlineStr">
        <is>
          <t>45+</t>
        </is>
      </c>
      <c r="J90" t="inlineStr">
        <is>
          <t>60/40</t>
        </is>
      </c>
      <c r="K90" t="inlineStr">
        <is>
          <t>2024</t>
        </is>
      </c>
      <c r="L90" t="inlineStr">
        <is>
          <t>4.0-4.5</t>
        </is>
      </c>
      <c r="M90" t="inlineStr">
        <is>
          <t>10-15</t>
        </is>
      </c>
      <c r="N90" t="inlineStr">
        <is>
          <t>14.0-19.5</t>
        </is>
      </c>
      <c r="O90" t="inlineStr">
        <is>
          <t>Hartland Intl</t>
        </is>
      </c>
      <c r="P90" t="inlineStr">
        <is>
          <t>Mediclinic Dubai Mall</t>
        </is>
      </c>
      <c r="Q90" t="inlineStr">
        <is>
          <t>Dubai Mall</t>
        </is>
      </c>
      <c r="R90" t="inlineStr">
        <is>
          <t>Financial Ctr Rd</t>
        </is>
      </c>
      <c r="S90" t="inlineStr">
        <is>
          <t>5</t>
        </is>
      </c>
      <c r="T90" t="inlineStr">
        <is>
          <t>20</t>
        </is>
      </c>
      <c r="U90" t="inlineStr">
        <is>
          <t>15</t>
        </is>
      </c>
      <c r="V90" t="inlineStr">
        <is>
          <t>35</t>
        </is>
      </c>
      <c r="W90" t="n">
        <v>2</v>
      </c>
      <c r="X90" s="12" t="n">
        <v>4000000</v>
      </c>
      <c r="Y90" s="12" t="n">
        <v>4000000</v>
      </c>
      <c r="Z90" s="9" t="n">
        <v>4</v>
      </c>
      <c r="AA90" s="9" t="n">
        <v>4.5</v>
      </c>
      <c r="AB90" s="9" t="n">
        <v>10</v>
      </c>
      <c r="AC90" s="9" t="n">
        <v>15</v>
      </c>
      <c r="AD90" s="9" t="n">
        <v>14</v>
      </c>
      <c r="AE90" s="9" t="n">
        <v>19.5</v>
      </c>
      <c r="AF90" t="n">
        <v>2024</v>
      </c>
      <c r="AH90" t="inlineStr">
        <is>
          <t>Apartment</t>
        </is>
      </c>
      <c r="AI90" t="inlineStr">
        <is>
          <t>Prime</t>
        </is>
      </c>
      <c r="AJ90" t="inlineStr">
        <is>
          <t>TopTier</t>
        </is>
      </c>
      <c r="AK90" t="inlineStr">
        <is>
          <t>Prime resilient / selective</t>
        </is>
      </c>
      <c r="AL90" t="inlineStr">
        <is>
          <t>Better support from quality, branding, and scarcer prime stock; still entry-price sensitive.</t>
        </is>
      </c>
      <c r="AM90" s="9" t="n">
        <v>12.5</v>
      </c>
      <c r="AN90" s="9" t="n">
        <v>4.25</v>
      </c>
      <c r="AO90" s="10" t="n">
        <v>0.55</v>
      </c>
      <c r="AP90" s="13" t="n">
        <v>0.02</v>
      </c>
      <c r="AQ90" s="13" t="n">
        <v>0</v>
      </c>
      <c r="AR90" s="13" t="n">
        <v>0</v>
      </c>
      <c r="AS90" s="13" t="n">
        <v>0.03</v>
      </c>
      <c r="AT90" s="13" t="n">
        <v>0.005</v>
      </c>
      <c r="AU90" s="13" t="n">
        <v>0</v>
      </c>
      <c r="AV90" s="13" t="n">
        <v>-0.005</v>
      </c>
      <c r="AW90" s="13" t="n">
        <v>0.08875000000000001</v>
      </c>
      <c r="AX90" s="13" t="n">
        <v>0.03</v>
      </c>
      <c r="AY90" s="12" t="n">
        <v>4224350</v>
      </c>
      <c r="AZ90" s="12" t="n">
        <v>4355000</v>
      </c>
      <c r="BA90" s="12" t="n">
        <v>4485650</v>
      </c>
      <c r="BB90" s="12" t="n">
        <v>4355000</v>
      </c>
      <c r="BC90" s="12" t="n">
        <v>4485650</v>
      </c>
      <c r="BD90" s="12" t="n">
        <v>4616300</v>
      </c>
      <c r="BE90" s="12" t="n">
        <v>4620220</v>
      </c>
      <c r="BF90" t="inlineStr">
        <is>
          <t>Frozen values from same rules-based model as formula sheet.</t>
        </is>
      </c>
      <c r="BG90" t="inlineStr">
        <is>
          <t>2026-03-17</t>
        </is>
      </c>
      <c r="BH90" t="inlineStr">
        <is>
          <t>DLD / Digital Dubai / CBUAE / Savills / Knight Frank-Moody’s / Reuters</t>
        </is>
      </c>
    </row>
    <row r="91">
      <c r="A91" t="n">
        <v>90</v>
      </c>
      <c r="B91" t="inlineStr">
        <is>
          <t>Nad Al Sheba Villas</t>
        </is>
      </c>
      <c r="C91" t="inlineStr">
        <is>
          <t>Nakheel</t>
        </is>
      </c>
      <c r="D91" t="inlineStr">
        <is>
          <t>Nad Al Sheba</t>
        </is>
      </c>
      <c r="E91" t="inlineStr">
        <is>
          <t>Villas</t>
        </is>
      </c>
      <c r="F91" t="inlineStr">
        <is>
          <t>Gated</t>
        </is>
      </c>
      <c r="G91" t="inlineStr">
        <is>
          <t>Resale (3.5M+)</t>
        </is>
      </c>
      <c r="H91" t="inlineStr">
        <is>
          <t>1000</t>
        </is>
      </c>
      <c r="I91" t="inlineStr">
        <is>
          <t>10</t>
        </is>
      </c>
      <c r="J91" t="inlineStr">
        <is>
          <t>Completed</t>
        </is>
      </c>
      <c r="K91" t="inlineStr">
        <is>
          <t>2019</t>
        </is>
      </c>
      <c r="L91" t="inlineStr">
        <is>
          <t>6.0-6.5</t>
        </is>
      </c>
      <c r="M91" t="inlineStr">
        <is>
          <t>6-8</t>
        </is>
      </c>
      <c r="N91" t="inlineStr">
        <is>
          <t>12.0-14.5</t>
        </is>
      </c>
      <c r="O91" t="inlineStr">
        <is>
          <t>Repton School</t>
        </is>
      </c>
      <c r="P91" t="inlineStr">
        <is>
          <t>Nad Al Sheba Health</t>
        </is>
      </c>
      <c r="Q91" t="inlineStr">
        <is>
          <t>Avenue Mall</t>
        </is>
      </c>
      <c r="R91" t="inlineStr">
        <is>
          <t>E311 / E66</t>
        </is>
      </c>
      <c r="S91" t="inlineStr">
        <is>
          <t>15</t>
        </is>
      </c>
      <c r="T91" t="inlineStr">
        <is>
          <t>25</t>
        </is>
      </c>
      <c r="U91" t="inlineStr">
        <is>
          <t>15</t>
        </is>
      </c>
      <c r="V91" t="inlineStr">
        <is>
          <t>30</t>
        </is>
      </c>
      <c r="W91" t="n">
        <v>2</v>
      </c>
      <c r="X91" s="12" t="n">
        <v>3500000</v>
      </c>
      <c r="Y91" s="12" t="n">
        <v>3500000</v>
      </c>
      <c r="Z91" s="9" t="n">
        <v>6</v>
      </c>
      <c r="AA91" s="9" t="n">
        <v>6.5</v>
      </c>
      <c r="AB91" s="9" t="n">
        <v>6</v>
      </c>
      <c r="AC91" s="9" t="n">
        <v>8</v>
      </c>
      <c r="AD91" s="9" t="n">
        <v>12</v>
      </c>
      <c r="AE91" s="9" t="n">
        <v>14.5</v>
      </c>
      <c r="AF91" t="n">
        <v>2019</v>
      </c>
      <c r="AH91" t="inlineStr">
        <is>
          <t>Villa</t>
        </is>
      </c>
      <c r="AI91" t="inlineStr">
        <is>
          <t>MainstreamSelective</t>
        </is>
      </c>
      <c r="AJ91" t="inlineStr">
        <is>
          <t>TopTier</t>
        </is>
      </c>
      <c r="AK91" t="inlineStr">
        <is>
          <t>Family-villa resilient</t>
        </is>
      </c>
      <c r="AL91" t="inlineStr">
        <is>
          <t>Villa/townhouse demand remains relatively firmer, though growth should be slower than the post-2020 surge.</t>
        </is>
      </c>
      <c r="AM91" s="9" t="n">
        <v>7</v>
      </c>
      <c r="AN91" s="9" t="n">
        <v>6.25</v>
      </c>
      <c r="AO91" s="10" t="n">
        <v>0.55</v>
      </c>
      <c r="AP91" s="13" t="n">
        <v>0</v>
      </c>
      <c r="AQ91" s="13" t="n">
        <v>0.015</v>
      </c>
      <c r="AR91" s="13" t="n">
        <v>0</v>
      </c>
      <c r="AS91" s="13" t="n">
        <v>0.025</v>
      </c>
      <c r="AT91" s="13" t="n">
        <v>0.005</v>
      </c>
      <c r="AU91" s="13" t="n">
        <v>0.0025</v>
      </c>
      <c r="AV91" s="13" t="n">
        <v>-0.005</v>
      </c>
      <c r="AW91" s="13" t="n">
        <v>0.05350000000000001</v>
      </c>
      <c r="AX91" s="13" t="n">
        <v>0.0275</v>
      </c>
      <c r="AY91" s="12" t="n">
        <v>3576632</v>
      </c>
      <c r="AZ91" s="12" t="n">
        <v>3687250</v>
      </c>
      <c r="BA91" s="12" t="n">
        <v>3797868</v>
      </c>
      <c r="BB91" s="12" t="n">
        <v>3678032</v>
      </c>
      <c r="BC91" s="12" t="n">
        <v>3788649</v>
      </c>
      <c r="BD91" s="12" t="n">
        <v>3899267</v>
      </c>
      <c r="BE91" s="12" t="n">
        <v>3892837</v>
      </c>
      <c r="BF91" t="inlineStr">
        <is>
          <t>Frozen values from same rules-based model as formula sheet.</t>
        </is>
      </c>
      <c r="BG91" t="inlineStr">
        <is>
          <t>2026-03-17</t>
        </is>
      </c>
      <c r="BH91" t="inlineStr">
        <is>
          <t>DLD / Digital Dubai / CBUAE / Savills / Knight Frank-Moody’s / Reuters</t>
        </is>
      </c>
    </row>
    <row r="92">
      <c r="A92" t="n">
        <v>91</v>
      </c>
      <c r="B92" t="inlineStr">
        <is>
          <t>Warsan Village</t>
        </is>
      </c>
      <c r="C92" t="inlineStr">
        <is>
          <t>Nakheel</t>
        </is>
      </c>
      <c r="D92" t="inlineStr">
        <is>
          <t>International City</t>
        </is>
      </c>
      <c r="E92" t="inlineStr">
        <is>
          <t>Townhouses</t>
        </is>
      </c>
      <c r="F92" t="inlineStr">
        <is>
          <t>Budget</t>
        </is>
      </c>
      <c r="G92" t="inlineStr">
        <is>
          <t>Resale (1.5M+)</t>
        </is>
      </c>
      <c r="H92" t="inlineStr">
        <is>
          <t>800</t>
        </is>
      </c>
      <c r="I92" t="inlineStr">
        <is>
          <t>8</t>
        </is>
      </c>
      <c r="J92" t="inlineStr">
        <is>
          <t>Completed</t>
        </is>
      </c>
      <c r="K92" t="inlineStr">
        <is>
          <t>2016</t>
        </is>
      </c>
      <c r="L92" t="inlineStr">
        <is>
          <t>7.5-8.0</t>
        </is>
      </c>
      <c r="M92" t="inlineStr">
        <is>
          <t>5-7</t>
        </is>
      </c>
      <c r="N92" t="inlineStr">
        <is>
          <t>12.5-15.0</t>
        </is>
      </c>
      <c r="O92" t="inlineStr">
        <is>
          <t>Intl School of Arts</t>
        </is>
      </c>
      <c r="P92" t="inlineStr">
        <is>
          <t>Aster Hospital</t>
        </is>
      </c>
      <c r="Q92" t="inlineStr">
        <is>
          <t>Dragon Mart</t>
        </is>
      </c>
      <c r="R92" t="inlineStr">
        <is>
          <t>E44 / E311</t>
        </is>
      </c>
      <c r="S92" t="inlineStr">
        <is>
          <t>20</t>
        </is>
      </c>
      <c r="T92" t="inlineStr">
        <is>
          <t>30</t>
        </is>
      </c>
      <c r="U92" t="inlineStr">
        <is>
          <t>15</t>
        </is>
      </c>
      <c r="V92" t="inlineStr">
        <is>
          <t>35</t>
        </is>
      </c>
      <c r="W92" t="n">
        <v>2</v>
      </c>
      <c r="X92" s="12" t="n">
        <v>1500000</v>
      </c>
      <c r="Y92" s="12" t="n">
        <v>1500000</v>
      </c>
      <c r="Z92" s="9" t="n">
        <v>7.5</v>
      </c>
      <c r="AA92" s="9" t="n">
        <v>8</v>
      </c>
      <c r="AB92" s="9" t="n">
        <v>5</v>
      </c>
      <c r="AC92" s="9" t="n">
        <v>7</v>
      </c>
      <c r="AD92" s="9" t="n">
        <v>12.5</v>
      </c>
      <c r="AE92" s="9" t="n">
        <v>15</v>
      </c>
      <c r="AF92" t="n">
        <v>2016</v>
      </c>
      <c r="AH92" t="inlineStr">
        <is>
          <t>Townhouse</t>
        </is>
      </c>
      <c r="AI92" t="inlineStr">
        <is>
          <t>MainstreamSelective</t>
        </is>
      </c>
      <c r="AJ92" t="inlineStr">
        <is>
          <t>TopTier</t>
        </is>
      </c>
      <c r="AK92" t="inlineStr">
        <is>
          <t>Family-villa resilient</t>
        </is>
      </c>
      <c r="AL92" t="inlineStr">
        <is>
          <t>Villa/townhouse demand remains relatively firmer, though growth should be slower than the post-2020 surge.</t>
        </is>
      </c>
      <c r="AM92" s="9" t="n">
        <v>6</v>
      </c>
      <c r="AN92" s="9" t="n">
        <v>7.75</v>
      </c>
      <c r="AO92" s="10" t="n">
        <v>0.55</v>
      </c>
      <c r="AP92" s="13" t="n">
        <v>0</v>
      </c>
      <c r="AQ92" s="13" t="n">
        <v>0.015</v>
      </c>
      <c r="AR92" s="13" t="n">
        <v>0</v>
      </c>
      <c r="AS92" s="13" t="n">
        <v>0.025</v>
      </c>
      <c r="AT92" s="13" t="n">
        <v>0.005</v>
      </c>
      <c r="AU92" s="13" t="n">
        <v>0.0025</v>
      </c>
      <c r="AV92" s="13" t="n">
        <v>-0.005</v>
      </c>
      <c r="AW92" s="13" t="n">
        <v>0.048</v>
      </c>
      <c r="AX92" s="13" t="n">
        <v>0.0275</v>
      </c>
      <c r="AY92" s="12" t="n">
        <v>1524840</v>
      </c>
      <c r="AZ92" s="12" t="n">
        <v>1572000</v>
      </c>
      <c r="BA92" s="12" t="n">
        <v>1619160</v>
      </c>
      <c r="BB92" s="12" t="n">
        <v>1568070</v>
      </c>
      <c r="BC92" s="12" t="n">
        <v>1615230</v>
      </c>
      <c r="BD92" s="12" t="n">
        <v>1662390</v>
      </c>
      <c r="BE92" s="12" t="n">
        <v>1659649</v>
      </c>
      <c r="BF92" t="inlineStr">
        <is>
          <t>Frozen values from same rules-based model as formula sheet.</t>
        </is>
      </c>
      <c r="BG92" t="inlineStr">
        <is>
          <t>2026-03-17</t>
        </is>
      </c>
      <c r="BH92" t="inlineStr">
        <is>
          <t>DLD / Digital Dubai / CBUAE / Savills / Knight Frank-Moody’s / Reuters</t>
        </is>
      </c>
    </row>
    <row r="93">
      <c r="A93" t="n">
        <v>92</v>
      </c>
      <c r="B93" t="inlineStr">
        <is>
          <t>International City</t>
        </is>
      </c>
      <c r="C93" t="inlineStr">
        <is>
          <t>Nakheel</t>
        </is>
      </c>
      <c r="D93" t="inlineStr">
        <is>
          <t>International City</t>
        </is>
      </c>
      <c r="E93" t="inlineStr">
        <is>
          <t>Apartments</t>
        </is>
      </c>
      <c r="F93" t="inlineStr">
        <is>
          <t>Budget</t>
        </is>
      </c>
      <c r="G93" t="inlineStr">
        <is>
          <t>Resale (350k+)</t>
        </is>
      </c>
      <c r="H93" t="inlineStr">
        <is>
          <t>600</t>
        </is>
      </c>
      <c r="I93" t="inlineStr">
        <is>
          <t>10</t>
        </is>
      </c>
      <c r="J93" t="inlineStr">
        <is>
          <t>Completed</t>
        </is>
      </c>
      <c r="K93" t="inlineStr">
        <is>
          <t>2004</t>
        </is>
      </c>
      <c r="L93" t="inlineStr">
        <is>
          <t>9.0-15.0</t>
        </is>
      </c>
      <c r="M93" t="inlineStr">
        <is>
          <t>5-7</t>
        </is>
      </c>
      <c r="N93" t="inlineStr">
        <is>
          <t>14.0-22.0</t>
        </is>
      </c>
      <c r="O93" t="inlineStr">
        <is>
          <t>Intl School of Arts</t>
        </is>
      </c>
      <c r="P93" t="inlineStr">
        <is>
          <t>Aster Hospital</t>
        </is>
      </c>
      <c r="Q93" t="inlineStr">
        <is>
          <t>Dragon Mart</t>
        </is>
      </c>
      <c r="R93" t="inlineStr">
        <is>
          <t>E44 / E311</t>
        </is>
      </c>
      <c r="S93" t="inlineStr">
        <is>
          <t>20</t>
        </is>
      </c>
      <c r="T93" t="inlineStr">
        <is>
          <t>30</t>
        </is>
      </c>
      <c r="U93" t="inlineStr">
        <is>
          <t>15</t>
        </is>
      </c>
      <c r="V93" t="inlineStr">
        <is>
          <t>35</t>
        </is>
      </c>
      <c r="W93" t="n">
        <v>2</v>
      </c>
      <c r="X93" s="12" t="n">
        <v>350000</v>
      </c>
      <c r="Y93" s="12" t="n">
        <v>350000</v>
      </c>
      <c r="Z93" s="9" t="n">
        <v>9</v>
      </c>
      <c r="AA93" s="9" t="n">
        <v>15</v>
      </c>
      <c r="AB93" s="9" t="n">
        <v>5</v>
      </c>
      <c r="AC93" s="9" t="n">
        <v>7</v>
      </c>
      <c r="AD93" s="9" t="n">
        <v>14</v>
      </c>
      <c r="AE93" s="9" t="n">
        <v>22</v>
      </c>
      <c r="AF93" t="n">
        <v>2004</v>
      </c>
      <c r="AH93" t="inlineStr">
        <is>
          <t>Apartment</t>
        </is>
      </c>
      <c r="AI93" t="inlineStr">
        <is>
          <t>SupplySensitiveApartment</t>
        </is>
      </c>
      <c r="AJ93" t="inlineStr">
        <is>
          <t>TopTier</t>
        </is>
      </c>
      <c r="AK93" t="inlineStr">
        <is>
          <t>Supply-sensitive / selective</t>
        </is>
      </c>
      <c r="AL93" t="inlineStr">
        <is>
          <t>Higher delivery risk in more price-sensitive apartment clusters; building selection and exit liquidity matter.</t>
        </is>
      </c>
      <c r="AM93" s="9" t="n">
        <v>6</v>
      </c>
      <c r="AN93" s="9" t="n">
        <v>12</v>
      </c>
      <c r="AO93" s="10" t="n">
        <v>0.55</v>
      </c>
      <c r="AP93" s="13" t="n">
        <v>0</v>
      </c>
      <c r="AQ93" s="13" t="n">
        <v>0</v>
      </c>
      <c r="AR93" s="13" t="n">
        <v>-0.01</v>
      </c>
      <c r="AS93" s="13" t="n">
        <v>-0.01</v>
      </c>
      <c r="AT93" s="13" t="n">
        <v>0.005</v>
      </c>
      <c r="AU93" s="13" t="n">
        <v>0.0025</v>
      </c>
      <c r="AV93" s="13" t="n">
        <v>-0.005</v>
      </c>
      <c r="AW93" s="13" t="n">
        <v>0.023</v>
      </c>
      <c r="AX93" s="13" t="n">
        <v>-0.0075</v>
      </c>
      <c r="AY93" s="12" t="n">
        <v>347308</v>
      </c>
      <c r="AZ93" s="12" t="n">
        <v>358050</v>
      </c>
      <c r="BA93" s="12" t="n">
        <v>368792</v>
      </c>
      <c r="BB93" s="12" t="n">
        <v>344623</v>
      </c>
      <c r="BC93" s="12" t="n">
        <v>355365</v>
      </c>
      <c r="BD93" s="12" t="n">
        <v>366106</v>
      </c>
      <c r="BE93" s="12" t="n">
        <v>352699</v>
      </c>
      <c r="BF93" t="inlineStr">
        <is>
          <t>Frozen values from same rules-based model as formula sheet.</t>
        </is>
      </c>
      <c r="BG93" t="inlineStr">
        <is>
          <t>2026-03-17</t>
        </is>
      </c>
      <c r="BH93" t="inlineStr">
        <is>
          <t>DLD / Digital Dubai / CBUAE / Savills / Knight Frank-Moody’s / Reuters</t>
        </is>
      </c>
    </row>
    <row r="94">
      <c r="A94" t="n">
        <v>93</v>
      </c>
      <c r="B94" t="inlineStr">
        <is>
          <t>City Walk (Master Community)</t>
        </is>
      </c>
      <c r="C94" t="inlineStr">
        <is>
          <t>Meraas</t>
        </is>
      </c>
      <c r="D94" t="inlineStr">
        <is>
          <t>Jumeirah</t>
        </is>
      </c>
      <c r="E94" t="inlineStr">
        <is>
          <t>Mixed</t>
        </is>
      </c>
      <c r="F94" t="inlineStr">
        <is>
          <t>Urban / Retail</t>
        </is>
      </c>
      <c r="I94" t="inlineStr">
        <is>
          <t>25-30</t>
        </is>
      </c>
      <c r="J94" t="inlineStr">
        <is>
          <t>Varies</t>
        </is>
      </c>
      <c r="K94" t="inlineStr">
        <is>
          <t>Ongoing</t>
        </is>
      </c>
      <c r="L94" t="inlineStr">
        <is>
          <t>5.5-6.5</t>
        </is>
      </c>
      <c r="M94" t="inlineStr">
        <is>
          <t>8-12</t>
        </is>
      </c>
      <c r="N94" t="inlineStr">
        <is>
          <t>13.5-18.5</t>
        </is>
      </c>
      <c r="O94" t="inlineStr">
        <is>
          <t>Jumeirah Baccalaureate</t>
        </is>
      </c>
      <c r="P94" t="inlineStr">
        <is>
          <t>Valiant Clinic</t>
        </is>
      </c>
      <c r="Q94" t="inlineStr">
        <is>
          <t>City Walk</t>
        </is>
      </c>
      <c r="R94" t="inlineStr">
        <is>
          <t>Al Wasl / SZR</t>
        </is>
      </c>
      <c r="S94" t="inlineStr">
        <is>
          <t>5</t>
        </is>
      </c>
      <c r="T94" t="inlineStr">
        <is>
          <t>15</t>
        </is>
      </c>
      <c r="U94" t="inlineStr">
        <is>
          <t>15</t>
        </is>
      </c>
      <c r="V94" t="inlineStr">
        <is>
          <t>35</t>
        </is>
      </c>
      <c r="W94" t="n">
        <v>2</v>
      </c>
      <c r="X94" s="12" t="n"/>
      <c r="Y94" s="12" t="n"/>
      <c r="Z94" s="9" t="n">
        <v>5.5</v>
      </c>
      <c r="AA94" s="9" t="n">
        <v>6.5</v>
      </c>
      <c r="AB94" s="9" t="n">
        <v>8</v>
      </c>
      <c r="AC94" s="9" t="n">
        <v>12</v>
      </c>
      <c r="AD94" s="9" t="n">
        <v>13.5</v>
      </c>
      <c r="AE94" s="9" t="n">
        <v>18.5</v>
      </c>
      <c r="AH94" t="inlineStr">
        <is>
          <t>Mixed/Other</t>
        </is>
      </c>
      <c r="AI94" t="inlineStr">
        <is>
          <t>Prime</t>
        </is>
      </c>
      <c r="AJ94" t="inlineStr">
        <is>
          <t>TopTier</t>
        </is>
      </c>
      <c r="AK94" t="inlineStr">
        <is>
          <t>Prime resilient / selective</t>
        </is>
      </c>
      <c r="AL94" t="inlineStr">
        <is>
          <t>Better support from quality, branding, and scarcer prime stock; still entry-price sensitive.</t>
        </is>
      </c>
      <c r="AM94" s="9" t="n">
        <v>10</v>
      </c>
      <c r="AN94" s="9" t="n">
        <v>6</v>
      </c>
      <c r="AO94" s="10" t="n">
        <v>0.25</v>
      </c>
      <c r="AP94" s="13" t="n">
        <v>0.02</v>
      </c>
      <c r="AQ94" s="13" t="n">
        <v>0</v>
      </c>
      <c r="AR94" s="13" t="n">
        <v>0</v>
      </c>
      <c r="AS94" s="13" t="n">
        <v>0.03</v>
      </c>
      <c r="AT94" s="13" t="n">
        <v>0.005</v>
      </c>
      <c r="AU94" s="13" t="n">
        <v>0</v>
      </c>
      <c r="AV94" s="13" t="n">
        <v>-0.005</v>
      </c>
      <c r="AW94" s="13" t="n">
        <v>0.045</v>
      </c>
      <c r="AX94" s="13" t="n">
        <v>0.03</v>
      </c>
      <c r="AY94" s="12" t="n"/>
      <c r="AZ94" s="12" t="n"/>
      <c r="BA94" s="12" t="n"/>
      <c r="BB94" s="12" t="n"/>
      <c r="BC94" s="12" t="n"/>
      <c r="BD94" s="12" t="n"/>
      <c r="BE94" s="12" t="n"/>
      <c r="BF94" t="inlineStr">
        <is>
          <t>Frozen values from same rules-based model as formula sheet.</t>
        </is>
      </c>
      <c r="BG94" t="inlineStr">
        <is>
          <t>2026-03-17</t>
        </is>
      </c>
      <c r="BH94" t="inlineStr">
        <is>
          <t>DLD / Digital Dubai / CBUAE / Savills / Knight Frank-Moody’s / Reuters</t>
        </is>
      </c>
    </row>
    <row r="95">
      <c r="A95" t="n">
        <v>94</v>
      </c>
      <c r="B95" t="inlineStr">
        <is>
          <t>Design Quarter at d3 (Phase 1)</t>
        </is>
      </c>
      <c r="C95" t="inlineStr">
        <is>
          <t>Meraas</t>
        </is>
      </c>
      <c r="D95" t="inlineStr">
        <is>
          <t>Dubai Design District</t>
        </is>
      </c>
      <c r="E95" t="inlineStr">
        <is>
          <t>Apartments</t>
        </is>
      </c>
      <c r="F95" t="inlineStr">
        <is>
          <t>Creative / Modern</t>
        </is>
      </c>
      <c r="G95" t="inlineStr">
        <is>
          <t>2.1M</t>
        </is>
      </c>
      <c r="H95" t="inlineStr">
        <is>
          <t>2000</t>
        </is>
      </c>
      <c r="I95" t="inlineStr">
        <is>
          <t>25</t>
        </is>
      </c>
      <c r="J95" t="inlineStr">
        <is>
          <t>60/40</t>
        </is>
      </c>
      <c r="K95" t="inlineStr">
        <is>
          <t>2023</t>
        </is>
      </c>
      <c r="L95" t="inlineStr">
        <is>
          <t>5.5-6.0</t>
        </is>
      </c>
      <c r="M95" t="inlineStr">
        <is>
          <t>8-12</t>
        </is>
      </c>
      <c r="N95" t="inlineStr">
        <is>
          <t>13.5-18.0</t>
        </is>
      </c>
      <c r="O95" t="inlineStr">
        <is>
          <t>Hartland Intl</t>
        </is>
      </c>
      <c r="P95" t="inlineStr">
        <is>
          <t>Mediclinic Dubai Mall</t>
        </is>
      </c>
      <c r="Q95" t="inlineStr">
        <is>
          <t>Dubai Mall</t>
        </is>
      </c>
      <c r="R95" t="inlineStr">
        <is>
          <t>Ras Al Khor / E44</t>
        </is>
      </c>
      <c r="S95" t="inlineStr">
        <is>
          <t>8</t>
        </is>
      </c>
      <c r="T95" t="inlineStr">
        <is>
          <t>20</t>
        </is>
      </c>
      <c r="U95" t="inlineStr">
        <is>
          <t>12</t>
        </is>
      </c>
      <c r="V95" t="inlineStr">
        <is>
          <t>35</t>
        </is>
      </c>
      <c r="W95" t="n">
        <v>2</v>
      </c>
      <c r="X95" s="12" t="n">
        <v>2100000</v>
      </c>
      <c r="Y95" s="12" t="n">
        <v>2100000</v>
      </c>
      <c r="Z95" s="9" t="n">
        <v>5.5</v>
      </c>
      <c r="AA95" s="9" t="n">
        <v>6</v>
      </c>
      <c r="AB95" s="9" t="n">
        <v>8</v>
      </c>
      <c r="AC95" s="9" t="n">
        <v>12</v>
      </c>
      <c r="AD95" s="9" t="n">
        <v>13.5</v>
      </c>
      <c r="AE95" s="9" t="n">
        <v>18</v>
      </c>
      <c r="AF95" t="n">
        <v>2023</v>
      </c>
      <c r="AH95" t="inlineStr">
        <is>
          <t>Apartment</t>
        </is>
      </c>
      <c r="AI95" t="inlineStr">
        <is>
          <t>MainstreamSelective</t>
        </is>
      </c>
      <c r="AJ95" t="inlineStr">
        <is>
          <t>TopTier</t>
        </is>
      </c>
      <c r="AK95" t="inlineStr">
        <is>
          <t>Balanced / selective</t>
        </is>
      </c>
      <c r="AL95" t="inlineStr">
        <is>
          <t>Market remains active but increasingly differentiated by developer, micro-location, livability, and pricing discipline.</t>
        </is>
      </c>
      <c r="AM95" s="9" t="n">
        <v>10</v>
      </c>
      <c r="AN95" s="9" t="n">
        <v>5.75</v>
      </c>
      <c r="AO95" s="10" t="n">
        <v>0.55</v>
      </c>
      <c r="AP95" s="13" t="n">
        <v>0</v>
      </c>
      <c r="AQ95" s="13" t="n">
        <v>0</v>
      </c>
      <c r="AR95" s="13" t="n">
        <v>0</v>
      </c>
      <c r="AS95" s="13" t="n">
        <v>0.01</v>
      </c>
      <c r="AT95" s="13" t="n">
        <v>0.005</v>
      </c>
      <c r="AU95" s="13" t="n">
        <v>0</v>
      </c>
      <c r="AV95" s="13" t="n">
        <v>-0.005</v>
      </c>
      <c r="AW95" s="13" t="n">
        <v>0.05500000000000001</v>
      </c>
      <c r="AX95" s="13" t="n">
        <v>0.009999999999999998</v>
      </c>
      <c r="AY95" s="12" t="n">
        <v>2149035</v>
      </c>
      <c r="AZ95" s="12" t="n">
        <v>2215500</v>
      </c>
      <c r="BA95" s="12" t="n">
        <v>2281965</v>
      </c>
      <c r="BB95" s="12" t="n">
        <v>2171190</v>
      </c>
      <c r="BC95" s="12" t="n">
        <v>2237655</v>
      </c>
      <c r="BD95" s="12" t="n">
        <v>2304120</v>
      </c>
      <c r="BE95" s="12" t="n">
        <v>2260032</v>
      </c>
      <c r="BF95" t="inlineStr">
        <is>
          <t>Frozen values from same rules-based model as formula sheet.</t>
        </is>
      </c>
      <c r="BG95" t="inlineStr">
        <is>
          <t>2026-03-17</t>
        </is>
      </c>
      <c r="BH95" t="inlineStr">
        <is>
          <t>DLD / Digital Dubai / CBUAE / Savills / Knight Frank-Moody’s / Reuters</t>
        </is>
      </c>
    </row>
    <row r="96">
      <c r="A96" t="n">
        <v>95</v>
      </c>
      <c r="B96" t="inlineStr">
        <is>
          <t>Design Quarter at d3 (Phase 2)</t>
        </is>
      </c>
      <c r="C96" t="inlineStr">
        <is>
          <t>Meraas</t>
        </is>
      </c>
      <c r="D96" t="inlineStr">
        <is>
          <t>Dubai Design District</t>
        </is>
      </c>
      <c r="E96" t="inlineStr">
        <is>
          <t>Apartments</t>
        </is>
      </c>
      <c r="F96" t="inlineStr">
        <is>
          <t>Creative / Modern</t>
        </is>
      </c>
      <c r="G96" t="inlineStr">
        <is>
          <t>2.2M</t>
        </is>
      </c>
      <c r="H96" t="inlineStr">
        <is>
          <t>2100</t>
        </is>
      </c>
      <c r="I96" t="inlineStr">
        <is>
          <t>25</t>
        </is>
      </c>
      <c r="J96" t="inlineStr">
        <is>
          <t>60/40</t>
        </is>
      </c>
      <c r="K96" t="inlineStr">
        <is>
          <t>2023</t>
        </is>
      </c>
      <c r="L96" t="inlineStr">
        <is>
          <t>5.5-6.0</t>
        </is>
      </c>
      <c r="M96" t="inlineStr">
        <is>
          <t>8-12</t>
        </is>
      </c>
      <c r="N96" t="inlineStr">
        <is>
          <t>13.5-18.0</t>
        </is>
      </c>
      <c r="O96" t="inlineStr">
        <is>
          <t>Hartland Intl</t>
        </is>
      </c>
      <c r="P96" t="inlineStr">
        <is>
          <t>Mediclinic Dubai Mall</t>
        </is>
      </c>
      <c r="Q96" t="inlineStr">
        <is>
          <t>Dubai Mall</t>
        </is>
      </c>
      <c r="R96" t="inlineStr">
        <is>
          <t>Ras Al Khor / E44</t>
        </is>
      </c>
      <c r="S96" t="inlineStr">
        <is>
          <t>8</t>
        </is>
      </c>
      <c r="T96" t="inlineStr">
        <is>
          <t>20</t>
        </is>
      </c>
      <c r="U96" t="inlineStr">
        <is>
          <t>12</t>
        </is>
      </c>
      <c r="V96" t="inlineStr">
        <is>
          <t>35</t>
        </is>
      </c>
      <c r="W96" t="n">
        <v>2</v>
      </c>
      <c r="X96" s="12" t="n">
        <v>2200000</v>
      </c>
      <c r="Y96" s="12" t="n">
        <v>2200000</v>
      </c>
      <c r="Z96" s="9" t="n">
        <v>5.5</v>
      </c>
      <c r="AA96" s="9" t="n">
        <v>6</v>
      </c>
      <c r="AB96" s="9" t="n">
        <v>8</v>
      </c>
      <c r="AC96" s="9" t="n">
        <v>12</v>
      </c>
      <c r="AD96" s="9" t="n">
        <v>13.5</v>
      </c>
      <c r="AE96" s="9" t="n">
        <v>18</v>
      </c>
      <c r="AF96" t="n">
        <v>2023</v>
      </c>
      <c r="AH96" t="inlineStr">
        <is>
          <t>Apartment</t>
        </is>
      </c>
      <c r="AI96" t="inlineStr">
        <is>
          <t>MainstreamSelective</t>
        </is>
      </c>
      <c r="AJ96" t="inlineStr">
        <is>
          <t>TopTier</t>
        </is>
      </c>
      <c r="AK96" t="inlineStr">
        <is>
          <t>Balanced / selective</t>
        </is>
      </c>
      <c r="AL96" t="inlineStr">
        <is>
          <t>Market remains active but increasingly differentiated by developer, micro-location, livability, and pricing discipline.</t>
        </is>
      </c>
      <c r="AM96" s="9" t="n">
        <v>10</v>
      </c>
      <c r="AN96" s="9" t="n">
        <v>5.75</v>
      </c>
      <c r="AO96" s="10" t="n">
        <v>0.55</v>
      </c>
      <c r="AP96" s="13" t="n">
        <v>0</v>
      </c>
      <c r="AQ96" s="13" t="n">
        <v>0</v>
      </c>
      <c r="AR96" s="13" t="n">
        <v>0</v>
      </c>
      <c r="AS96" s="13" t="n">
        <v>0.01</v>
      </c>
      <c r="AT96" s="13" t="n">
        <v>0.005</v>
      </c>
      <c r="AU96" s="13" t="n">
        <v>0</v>
      </c>
      <c r="AV96" s="13" t="n">
        <v>-0.005</v>
      </c>
      <c r="AW96" s="13" t="n">
        <v>0.05500000000000001</v>
      </c>
      <c r="AX96" s="13" t="n">
        <v>0.009999999999999998</v>
      </c>
      <c r="AY96" s="12" t="n">
        <v>2251370</v>
      </c>
      <c r="AZ96" s="12" t="n">
        <v>2321000</v>
      </c>
      <c r="BA96" s="12" t="n">
        <v>2390630</v>
      </c>
      <c r="BB96" s="12" t="n">
        <v>2274580</v>
      </c>
      <c r="BC96" s="12" t="n">
        <v>2344210</v>
      </c>
      <c r="BD96" s="12" t="n">
        <v>2413840</v>
      </c>
      <c r="BE96" s="12" t="n">
        <v>2367652</v>
      </c>
      <c r="BF96" t="inlineStr">
        <is>
          <t>Frozen values from same rules-based model as formula sheet.</t>
        </is>
      </c>
      <c r="BG96" t="inlineStr">
        <is>
          <t>2026-03-17</t>
        </is>
      </c>
      <c r="BH96" t="inlineStr">
        <is>
          <t>DLD / Digital Dubai / CBUAE / Savills / Knight Frank-Moody’s / Reuters</t>
        </is>
      </c>
    </row>
    <row r="97">
      <c r="A97" t="n">
        <v>96</v>
      </c>
      <c r="B97" t="inlineStr">
        <is>
          <t>Central Park: Fern</t>
        </is>
      </c>
      <c r="C97" t="inlineStr">
        <is>
          <t>Meraas</t>
        </is>
      </c>
      <c r="D97" t="inlineStr">
        <is>
          <t>City Walk</t>
        </is>
      </c>
      <c r="E97" t="inlineStr">
        <is>
          <t>Apartments</t>
        </is>
      </c>
      <c r="F97" t="inlineStr">
        <is>
          <t>Park / Green</t>
        </is>
      </c>
      <c r="G97" t="inlineStr">
        <is>
          <t>1.8M</t>
        </is>
      </c>
      <c r="H97" t="inlineStr">
        <is>
          <t>2300</t>
        </is>
      </c>
      <c r="I97" t="inlineStr">
        <is>
          <t>25</t>
        </is>
      </c>
      <c r="J97" t="inlineStr">
        <is>
          <t>50/50</t>
        </is>
      </c>
      <c r="K97" t="inlineStr">
        <is>
          <t>2023</t>
        </is>
      </c>
      <c r="L97" t="inlineStr">
        <is>
          <t>5.5-6.0</t>
        </is>
      </c>
      <c r="M97" t="inlineStr">
        <is>
          <t>8-10</t>
        </is>
      </c>
      <c r="N97" t="inlineStr">
        <is>
          <t>13.5-16.0</t>
        </is>
      </c>
      <c r="O97" t="inlineStr">
        <is>
          <t>Jumeirah Baccalaureate</t>
        </is>
      </c>
      <c r="P97" t="inlineStr">
        <is>
          <t>Valiant Clinic</t>
        </is>
      </c>
      <c r="Q97" t="inlineStr">
        <is>
          <t>City Walk</t>
        </is>
      </c>
      <c r="R97" t="inlineStr">
        <is>
          <t>Al Wasl / SZR</t>
        </is>
      </c>
      <c r="S97" t="inlineStr">
        <is>
          <t>5</t>
        </is>
      </c>
      <c r="T97" t="inlineStr">
        <is>
          <t>15</t>
        </is>
      </c>
      <c r="U97" t="inlineStr">
        <is>
          <t>15</t>
        </is>
      </c>
      <c r="V97" t="inlineStr">
        <is>
          <t>35</t>
        </is>
      </c>
      <c r="W97" t="n">
        <v>2</v>
      </c>
      <c r="X97" s="12" t="n">
        <v>1800000</v>
      </c>
      <c r="Y97" s="12" t="n">
        <v>1800000</v>
      </c>
      <c r="Z97" s="9" t="n">
        <v>5.5</v>
      </c>
      <c r="AA97" s="9" t="n">
        <v>6</v>
      </c>
      <c r="AB97" s="9" t="n">
        <v>8</v>
      </c>
      <c r="AC97" s="9" t="n">
        <v>10</v>
      </c>
      <c r="AD97" s="9" t="n">
        <v>13.5</v>
      </c>
      <c r="AE97" s="9" t="n">
        <v>16</v>
      </c>
      <c r="AF97" t="n">
        <v>2023</v>
      </c>
      <c r="AH97" t="inlineStr">
        <is>
          <t>Apartment</t>
        </is>
      </c>
      <c r="AI97" t="inlineStr">
        <is>
          <t>Prime</t>
        </is>
      </c>
      <c r="AJ97" t="inlineStr">
        <is>
          <t>TopTier</t>
        </is>
      </c>
      <c r="AK97" t="inlineStr">
        <is>
          <t>Prime resilient / selective</t>
        </is>
      </c>
      <c r="AL97" t="inlineStr">
        <is>
          <t>Better support from quality, branding, and scarcer prime stock; still entry-price sensitive.</t>
        </is>
      </c>
      <c r="AM97" s="9" t="n">
        <v>9</v>
      </c>
      <c r="AN97" s="9" t="n">
        <v>5.75</v>
      </c>
      <c r="AO97" s="10" t="n">
        <v>0.55</v>
      </c>
      <c r="AP97" s="13" t="n">
        <v>0.02</v>
      </c>
      <c r="AQ97" s="13" t="n">
        <v>0</v>
      </c>
      <c r="AR97" s="13" t="n">
        <v>0</v>
      </c>
      <c r="AS97" s="13" t="n">
        <v>0.03</v>
      </c>
      <c r="AT97" s="13" t="n">
        <v>0.005</v>
      </c>
      <c r="AU97" s="13" t="n">
        <v>0</v>
      </c>
      <c r="AV97" s="13" t="n">
        <v>-0.005</v>
      </c>
      <c r="AW97" s="13" t="n">
        <v>0.06950000000000001</v>
      </c>
      <c r="AX97" s="13" t="n">
        <v>0.03</v>
      </c>
      <c r="AY97" s="12" t="n">
        <v>1867347</v>
      </c>
      <c r="AZ97" s="12" t="n">
        <v>1925100</v>
      </c>
      <c r="BA97" s="12" t="n">
        <v>1982853</v>
      </c>
      <c r="BB97" s="12" t="n">
        <v>1925100</v>
      </c>
      <c r="BC97" s="12" t="n">
        <v>1982853</v>
      </c>
      <c r="BD97" s="12" t="n">
        <v>2040606</v>
      </c>
      <c r="BE97" s="12" t="n">
        <v>2042339</v>
      </c>
      <c r="BF97" t="inlineStr">
        <is>
          <t>Frozen values from same rules-based model as formula sheet.</t>
        </is>
      </c>
      <c r="BG97" t="inlineStr">
        <is>
          <t>2026-03-17</t>
        </is>
      </c>
      <c r="BH97" t="inlineStr">
        <is>
          <t>DLD / Digital Dubai / CBUAE / Savills / Knight Frank-Moody’s / Reuters</t>
        </is>
      </c>
    </row>
    <row r="98">
      <c r="A98" t="n">
        <v>97</v>
      </c>
      <c r="B98" t="inlineStr">
        <is>
          <t>Central Park: Laurel</t>
        </is>
      </c>
      <c r="C98" t="inlineStr">
        <is>
          <t>Meraas</t>
        </is>
      </c>
      <c r="D98" t="inlineStr">
        <is>
          <t>City Walk</t>
        </is>
      </c>
      <c r="E98" t="inlineStr">
        <is>
          <t>Apartments</t>
        </is>
      </c>
      <c r="F98" t="inlineStr">
        <is>
          <t>Park / Green</t>
        </is>
      </c>
      <c r="G98" t="inlineStr">
        <is>
          <t>1.9M</t>
        </is>
      </c>
      <c r="H98" t="inlineStr">
        <is>
          <t>2350</t>
        </is>
      </c>
      <c r="I98" t="inlineStr">
        <is>
          <t>25</t>
        </is>
      </c>
      <c r="J98" t="inlineStr">
        <is>
          <t>50/50</t>
        </is>
      </c>
      <c r="K98" t="inlineStr">
        <is>
          <t>2023</t>
        </is>
      </c>
      <c r="L98" t="inlineStr">
        <is>
          <t>5.5-6.0</t>
        </is>
      </c>
      <c r="M98" t="inlineStr">
        <is>
          <t>8-10</t>
        </is>
      </c>
      <c r="N98" t="inlineStr">
        <is>
          <t>13.5-16.0</t>
        </is>
      </c>
      <c r="O98" t="inlineStr">
        <is>
          <t>Jumeirah Baccalaureate</t>
        </is>
      </c>
      <c r="P98" t="inlineStr">
        <is>
          <t>Valiant Clinic</t>
        </is>
      </c>
      <c r="Q98" t="inlineStr">
        <is>
          <t>City Walk</t>
        </is>
      </c>
      <c r="R98" t="inlineStr">
        <is>
          <t>Al Wasl / SZR</t>
        </is>
      </c>
      <c r="S98" t="inlineStr">
        <is>
          <t>5</t>
        </is>
      </c>
      <c r="T98" t="inlineStr">
        <is>
          <t>15</t>
        </is>
      </c>
      <c r="U98" t="inlineStr">
        <is>
          <t>15</t>
        </is>
      </c>
      <c r="V98" t="inlineStr">
        <is>
          <t>35</t>
        </is>
      </c>
      <c r="W98" t="n">
        <v>2</v>
      </c>
      <c r="X98" s="12" t="n">
        <v>1900000</v>
      </c>
      <c r="Y98" s="12" t="n">
        <v>1900000</v>
      </c>
      <c r="Z98" s="9" t="n">
        <v>5.5</v>
      </c>
      <c r="AA98" s="9" t="n">
        <v>6</v>
      </c>
      <c r="AB98" s="9" t="n">
        <v>8</v>
      </c>
      <c r="AC98" s="9" t="n">
        <v>10</v>
      </c>
      <c r="AD98" s="9" t="n">
        <v>13.5</v>
      </c>
      <c r="AE98" s="9" t="n">
        <v>16</v>
      </c>
      <c r="AF98" t="n">
        <v>2023</v>
      </c>
      <c r="AH98" t="inlineStr">
        <is>
          <t>Apartment</t>
        </is>
      </c>
      <c r="AI98" t="inlineStr">
        <is>
          <t>Prime</t>
        </is>
      </c>
      <c r="AJ98" t="inlineStr">
        <is>
          <t>TopTier</t>
        </is>
      </c>
      <c r="AK98" t="inlineStr">
        <is>
          <t>Prime resilient / selective</t>
        </is>
      </c>
      <c r="AL98" t="inlineStr">
        <is>
          <t>Better support from quality, branding, and scarcer prime stock; still entry-price sensitive.</t>
        </is>
      </c>
      <c r="AM98" s="9" t="n">
        <v>9</v>
      </c>
      <c r="AN98" s="9" t="n">
        <v>5.75</v>
      </c>
      <c r="AO98" s="10" t="n">
        <v>0.55</v>
      </c>
      <c r="AP98" s="13" t="n">
        <v>0.02</v>
      </c>
      <c r="AQ98" s="13" t="n">
        <v>0</v>
      </c>
      <c r="AR98" s="13" t="n">
        <v>0</v>
      </c>
      <c r="AS98" s="13" t="n">
        <v>0.03</v>
      </c>
      <c r="AT98" s="13" t="n">
        <v>0.005</v>
      </c>
      <c r="AU98" s="13" t="n">
        <v>0</v>
      </c>
      <c r="AV98" s="13" t="n">
        <v>-0.005</v>
      </c>
      <c r="AW98" s="13" t="n">
        <v>0.06950000000000001</v>
      </c>
      <c r="AX98" s="13" t="n">
        <v>0.03</v>
      </c>
      <c r="AY98" s="12" t="n">
        <v>1971088</v>
      </c>
      <c r="AZ98" s="12" t="n">
        <v>2032050</v>
      </c>
      <c r="BA98" s="12" t="n">
        <v>2093012</v>
      </c>
      <c r="BB98" s="12" t="n">
        <v>2032050</v>
      </c>
      <c r="BC98" s="12" t="n">
        <v>2093012</v>
      </c>
      <c r="BD98" s="12" t="n">
        <v>2153973</v>
      </c>
      <c r="BE98" s="12" t="n">
        <v>2155802</v>
      </c>
      <c r="BF98" t="inlineStr">
        <is>
          <t>Frozen values from same rules-based model as formula sheet.</t>
        </is>
      </c>
      <c r="BG98" t="inlineStr">
        <is>
          <t>2026-03-17</t>
        </is>
      </c>
      <c r="BH98" t="inlineStr">
        <is>
          <t>DLD / Digital Dubai / CBUAE / Savills / Knight Frank-Moody’s / Reuters</t>
        </is>
      </c>
    </row>
    <row r="99">
      <c r="A99" t="n">
        <v>98</v>
      </c>
      <c r="B99" t="inlineStr">
        <is>
          <t>Central Park: Myrtle</t>
        </is>
      </c>
      <c r="C99" t="inlineStr">
        <is>
          <t>Meraas</t>
        </is>
      </c>
      <c r="D99" t="inlineStr">
        <is>
          <t>City Walk</t>
        </is>
      </c>
      <c r="E99" t="inlineStr">
        <is>
          <t>Apartments</t>
        </is>
      </c>
      <c r="F99" t="inlineStr">
        <is>
          <t>Park / Green</t>
        </is>
      </c>
      <c r="G99" t="inlineStr">
        <is>
          <t>1.7M</t>
        </is>
      </c>
      <c r="H99" t="inlineStr">
        <is>
          <t>2200</t>
        </is>
      </c>
      <c r="I99" t="inlineStr">
        <is>
          <t>25</t>
        </is>
      </c>
      <c r="J99" t="inlineStr">
        <is>
          <t>50/50</t>
        </is>
      </c>
      <c r="K99" t="inlineStr">
        <is>
          <t>2022</t>
        </is>
      </c>
      <c r="L99" t="inlineStr">
        <is>
          <t>5.5-6.0</t>
        </is>
      </c>
      <c r="M99" t="inlineStr">
        <is>
          <t>7-9</t>
        </is>
      </c>
      <c r="N99" t="inlineStr">
        <is>
          <t>12.5-15.0</t>
        </is>
      </c>
      <c r="O99" t="inlineStr">
        <is>
          <t>Jumeirah Baccalaureate</t>
        </is>
      </c>
      <c r="P99" t="inlineStr">
        <is>
          <t>Valiant Clinic</t>
        </is>
      </c>
      <c r="Q99" t="inlineStr">
        <is>
          <t>City Walk</t>
        </is>
      </c>
      <c r="R99" t="inlineStr">
        <is>
          <t>Al Wasl / SZR</t>
        </is>
      </c>
      <c r="S99" t="inlineStr">
        <is>
          <t>5</t>
        </is>
      </c>
      <c r="T99" t="inlineStr">
        <is>
          <t>15</t>
        </is>
      </c>
      <c r="U99" t="inlineStr">
        <is>
          <t>15</t>
        </is>
      </c>
      <c r="V99" t="inlineStr">
        <is>
          <t>35</t>
        </is>
      </c>
      <c r="W99" t="n">
        <v>2</v>
      </c>
      <c r="X99" s="12" t="n">
        <v>1700000</v>
      </c>
      <c r="Y99" s="12" t="n">
        <v>1700000</v>
      </c>
      <c r="Z99" s="9" t="n">
        <v>5.5</v>
      </c>
      <c r="AA99" s="9" t="n">
        <v>6</v>
      </c>
      <c r="AB99" s="9" t="n">
        <v>7</v>
      </c>
      <c r="AC99" s="9" t="n">
        <v>9</v>
      </c>
      <c r="AD99" s="9" t="n">
        <v>12.5</v>
      </c>
      <c r="AE99" s="9" t="n">
        <v>15</v>
      </c>
      <c r="AF99" t="n">
        <v>2022</v>
      </c>
      <c r="AH99" t="inlineStr">
        <is>
          <t>Apartment</t>
        </is>
      </c>
      <c r="AI99" t="inlineStr">
        <is>
          <t>Prime</t>
        </is>
      </c>
      <c r="AJ99" t="inlineStr">
        <is>
          <t>TopTier</t>
        </is>
      </c>
      <c r="AK99" t="inlineStr">
        <is>
          <t>Prime resilient / selective</t>
        </is>
      </c>
      <c r="AL99" t="inlineStr">
        <is>
          <t>Better support from quality, branding, and scarcer prime stock; still entry-price sensitive.</t>
        </is>
      </c>
      <c r="AM99" s="9" t="n">
        <v>8</v>
      </c>
      <c r="AN99" s="9" t="n">
        <v>5.75</v>
      </c>
      <c r="AO99" s="10" t="n">
        <v>0.55</v>
      </c>
      <c r="AP99" s="13" t="n">
        <v>0.02</v>
      </c>
      <c r="AQ99" s="13" t="n">
        <v>0</v>
      </c>
      <c r="AR99" s="13" t="n">
        <v>0</v>
      </c>
      <c r="AS99" s="13" t="n">
        <v>0.03</v>
      </c>
      <c r="AT99" s="13" t="n">
        <v>0.005</v>
      </c>
      <c r="AU99" s="13" t="n">
        <v>0</v>
      </c>
      <c r="AV99" s="13" t="n">
        <v>-0.005</v>
      </c>
      <c r="AW99" s="13" t="n">
        <v>0.064</v>
      </c>
      <c r="AX99" s="13" t="n">
        <v>0.03</v>
      </c>
      <c r="AY99" s="12" t="n">
        <v>1754536</v>
      </c>
      <c r="AZ99" s="12" t="n">
        <v>1808800</v>
      </c>
      <c r="BA99" s="12" t="n">
        <v>1863064</v>
      </c>
      <c r="BB99" s="12" t="n">
        <v>1808800</v>
      </c>
      <c r="BC99" s="12" t="n">
        <v>1863064</v>
      </c>
      <c r="BD99" s="12" t="n">
        <v>1917328</v>
      </c>
      <c r="BE99" s="12" t="n">
        <v>1918956</v>
      </c>
      <c r="BF99" t="inlineStr">
        <is>
          <t>Frozen values from same rules-based model as formula sheet.</t>
        </is>
      </c>
      <c r="BG99" t="inlineStr">
        <is>
          <t>2026-03-17</t>
        </is>
      </c>
      <c r="BH99" t="inlineStr">
        <is>
          <t>DLD / Digital Dubai / CBUAE / Savills / Knight Frank-Moody’s / Reuters</t>
        </is>
      </c>
    </row>
    <row r="100">
      <c r="A100" t="n">
        <v>99</v>
      </c>
      <c r="B100" t="inlineStr">
        <is>
          <t>Central Park: Thyme</t>
        </is>
      </c>
      <c r="C100" t="inlineStr">
        <is>
          <t>Meraas</t>
        </is>
      </c>
      <c r="D100" t="inlineStr">
        <is>
          <t>City Walk</t>
        </is>
      </c>
      <c r="E100" t="inlineStr">
        <is>
          <t>Apartments</t>
        </is>
      </c>
      <c r="F100" t="inlineStr">
        <is>
          <t>Park / Green</t>
        </is>
      </c>
      <c r="G100" t="inlineStr">
        <is>
          <t>1.75M</t>
        </is>
      </c>
      <c r="H100" t="inlineStr">
        <is>
          <t>2250</t>
        </is>
      </c>
      <c r="I100" t="inlineStr">
        <is>
          <t>25</t>
        </is>
      </c>
      <c r="J100" t="inlineStr">
        <is>
          <t>50/50</t>
        </is>
      </c>
      <c r="K100" t="inlineStr">
        <is>
          <t>2023</t>
        </is>
      </c>
      <c r="L100" t="inlineStr">
        <is>
          <t>5.5-6.0</t>
        </is>
      </c>
      <c r="M100" t="inlineStr">
        <is>
          <t>8-10</t>
        </is>
      </c>
      <c r="N100" t="inlineStr">
        <is>
          <t>13.5-16.0</t>
        </is>
      </c>
      <c r="O100" t="inlineStr">
        <is>
          <t>Jumeirah Baccalaureate</t>
        </is>
      </c>
      <c r="P100" t="inlineStr">
        <is>
          <t>Valiant Clinic</t>
        </is>
      </c>
      <c r="Q100" t="inlineStr">
        <is>
          <t>City Walk</t>
        </is>
      </c>
      <c r="R100" t="inlineStr">
        <is>
          <t>Al Wasl / SZR</t>
        </is>
      </c>
      <c r="S100" t="inlineStr">
        <is>
          <t>5</t>
        </is>
      </c>
      <c r="T100" t="inlineStr">
        <is>
          <t>15</t>
        </is>
      </c>
      <c r="U100" t="inlineStr">
        <is>
          <t>15</t>
        </is>
      </c>
      <c r="V100" t="inlineStr">
        <is>
          <t>35</t>
        </is>
      </c>
      <c r="W100" t="n">
        <v>2</v>
      </c>
      <c r="X100" s="12" t="n">
        <v>1750000</v>
      </c>
      <c r="Y100" s="12" t="n">
        <v>1750000</v>
      </c>
      <c r="Z100" s="9" t="n">
        <v>5.5</v>
      </c>
      <c r="AA100" s="9" t="n">
        <v>6</v>
      </c>
      <c r="AB100" s="9" t="n">
        <v>8</v>
      </c>
      <c r="AC100" s="9" t="n">
        <v>10</v>
      </c>
      <c r="AD100" s="9" t="n">
        <v>13.5</v>
      </c>
      <c r="AE100" s="9" t="n">
        <v>16</v>
      </c>
      <c r="AF100" t="n">
        <v>2023</v>
      </c>
      <c r="AH100" t="inlineStr">
        <is>
          <t>Apartment</t>
        </is>
      </c>
      <c r="AI100" t="inlineStr">
        <is>
          <t>Prime</t>
        </is>
      </c>
      <c r="AJ100" t="inlineStr">
        <is>
          <t>TopTier</t>
        </is>
      </c>
      <c r="AK100" t="inlineStr">
        <is>
          <t>Prime resilient / selective</t>
        </is>
      </c>
      <c r="AL100" t="inlineStr">
        <is>
          <t>Better support from quality, branding, and scarcer prime stock; still entry-price sensitive.</t>
        </is>
      </c>
      <c r="AM100" s="9" t="n">
        <v>9</v>
      </c>
      <c r="AN100" s="9" t="n">
        <v>5.75</v>
      </c>
      <c r="AO100" s="10" t="n">
        <v>0.55</v>
      </c>
      <c r="AP100" s="13" t="n">
        <v>0.02</v>
      </c>
      <c r="AQ100" s="13" t="n">
        <v>0</v>
      </c>
      <c r="AR100" s="13" t="n">
        <v>0</v>
      </c>
      <c r="AS100" s="13" t="n">
        <v>0.03</v>
      </c>
      <c r="AT100" s="13" t="n">
        <v>0.005</v>
      </c>
      <c r="AU100" s="13" t="n">
        <v>0</v>
      </c>
      <c r="AV100" s="13" t="n">
        <v>-0.005</v>
      </c>
      <c r="AW100" s="13" t="n">
        <v>0.06950000000000001</v>
      </c>
      <c r="AX100" s="13" t="n">
        <v>0.03</v>
      </c>
      <c r="AY100" s="12" t="n">
        <v>1815476</v>
      </c>
      <c r="AZ100" s="12" t="n">
        <v>1871625</v>
      </c>
      <c r="BA100" s="12" t="n">
        <v>1927774</v>
      </c>
      <c r="BB100" s="12" t="n">
        <v>1871625</v>
      </c>
      <c r="BC100" s="12" t="n">
        <v>1927774</v>
      </c>
      <c r="BD100" s="12" t="n">
        <v>1983922</v>
      </c>
      <c r="BE100" s="12" t="n">
        <v>1985607</v>
      </c>
      <c r="BF100" t="inlineStr">
        <is>
          <t>Frozen values from same rules-based model as formula sheet.</t>
        </is>
      </c>
      <c r="BG100" t="inlineStr">
        <is>
          <t>2026-03-17</t>
        </is>
      </c>
      <c r="BH100" t="inlineStr">
        <is>
          <t>DLD / Digital Dubai / CBUAE / Savills / Knight Frank-Moody’s / Reuters</t>
        </is>
      </c>
    </row>
    <row r="101">
      <c r="A101" t="n">
        <v>100</v>
      </c>
      <c r="B101" t="inlineStr">
        <is>
          <t>Central Park: Erin</t>
        </is>
      </c>
      <c r="C101" t="inlineStr">
        <is>
          <t>Meraas</t>
        </is>
      </c>
      <c r="D101" t="inlineStr">
        <is>
          <t>City Walk</t>
        </is>
      </c>
      <c r="E101" t="inlineStr">
        <is>
          <t>Apartments</t>
        </is>
      </c>
      <c r="F101" t="inlineStr">
        <is>
          <t>Park / Green</t>
        </is>
      </c>
      <c r="G101" t="inlineStr">
        <is>
          <t>1.8M</t>
        </is>
      </c>
      <c r="H101" t="inlineStr">
        <is>
          <t>2300</t>
        </is>
      </c>
      <c r="I101" t="inlineStr">
        <is>
          <t>25</t>
        </is>
      </c>
      <c r="J101" t="inlineStr">
        <is>
          <t>50/50</t>
        </is>
      </c>
      <c r="K101" t="inlineStr">
        <is>
          <t>2023</t>
        </is>
      </c>
      <c r="L101" t="inlineStr">
        <is>
          <t>5.5-6.0</t>
        </is>
      </c>
      <c r="M101" t="inlineStr">
        <is>
          <t>8-10</t>
        </is>
      </c>
      <c r="N101" t="inlineStr">
        <is>
          <t>13.5-16.0</t>
        </is>
      </c>
      <c r="O101" t="inlineStr">
        <is>
          <t>Jumeirah Baccalaureate</t>
        </is>
      </c>
      <c r="P101" t="inlineStr">
        <is>
          <t>Valiant Clinic</t>
        </is>
      </c>
      <c r="Q101" t="inlineStr">
        <is>
          <t>City Walk</t>
        </is>
      </c>
      <c r="R101" t="inlineStr">
        <is>
          <t>Al Wasl / SZR</t>
        </is>
      </c>
      <c r="S101" t="inlineStr">
        <is>
          <t>5</t>
        </is>
      </c>
      <c r="T101" t="inlineStr">
        <is>
          <t>15</t>
        </is>
      </c>
      <c r="U101" t="inlineStr">
        <is>
          <t>15</t>
        </is>
      </c>
      <c r="V101" t="inlineStr">
        <is>
          <t>35</t>
        </is>
      </c>
      <c r="W101" t="n">
        <v>2</v>
      </c>
      <c r="X101" s="12" t="n">
        <v>1800000</v>
      </c>
      <c r="Y101" s="12" t="n">
        <v>1800000</v>
      </c>
      <c r="Z101" s="9" t="n">
        <v>5.5</v>
      </c>
      <c r="AA101" s="9" t="n">
        <v>6</v>
      </c>
      <c r="AB101" s="9" t="n">
        <v>8</v>
      </c>
      <c r="AC101" s="9" t="n">
        <v>10</v>
      </c>
      <c r="AD101" s="9" t="n">
        <v>13.5</v>
      </c>
      <c r="AE101" s="9" t="n">
        <v>16</v>
      </c>
      <c r="AF101" t="n">
        <v>2023</v>
      </c>
      <c r="AH101" t="inlineStr">
        <is>
          <t>Apartment</t>
        </is>
      </c>
      <c r="AI101" t="inlineStr">
        <is>
          <t>Prime</t>
        </is>
      </c>
      <c r="AJ101" t="inlineStr">
        <is>
          <t>TopTier</t>
        </is>
      </c>
      <c r="AK101" t="inlineStr">
        <is>
          <t>Prime resilient / selective</t>
        </is>
      </c>
      <c r="AL101" t="inlineStr">
        <is>
          <t>Better support from quality, branding, and scarcer prime stock; still entry-price sensitive.</t>
        </is>
      </c>
      <c r="AM101" s="9" t="n">
        <v>9</v>
      </c>
      <c r="AN101" s="9" t="n">
        <v>5.75</v>
      </c>
      <c r="AO101" s="10" t="n">
        <v>0.55</v>
      </c>
      <c r="AP101" s="13" t="n">
        <v>0.02</v>
      </c>
      <c r="AQ101" s="13" t="n">
        <v>0</v>
      </c>
      <c r="AR101" s="13" t="n">
        <v>0</v>
      </c>
      <c r="AS101" s="13" t="n">
        <v>0.03</v>
      </c>
      <c r="AT101" s="13" t="n">
        <v>0.005</v>
      </c>
      <c r="AU101" s="13" t="n">
        <v>0</v>
      </c>
      <c r="AV101" s="13" t="n">
        <v>-0.005</v>
      </c>
      <c r="AW101" s="13" t="n">
        <v>0.06950000000000001</v>
      </c>
      <c r="AX101" s="13" t="n">
        <v>0.03</v>
      </c>
      <c r="AY101" s="12" t="n">
        <v>1867347</v>
      </c>
      <c r="AZ101" s="12" t="n">
        <v>1925100</v>
      </c>
      <c r="BA101" s="12" t="n">
        <v>1982853</v>
      </c>
      <c r="BB101" s="12" t="n">
        <v>1925100</v>
      </c>
      <c r="BC101" s="12" t="n">
        <v>1982853</v>
      </c>
      <c r="BD101" s="12" t="n">
        <v>2040606</v>
      </c>
      <c r="BE101" s="12" t="n">
        <v>2042339</v>
      </c>
      <c r="BF101" t="inlineStr">
        <is>
          <t>Frozen values from same rules-based model as formula sheet.</t>
        </is>
      </c>
      <c r="BG101" t="inlineStr">
        <is>
          <t>2026-03-17</t>
        </is>
      </c>
      <c r="BH101" t="inlineStr">
        <is>
          <t>DLD / Digital Dubai / CBUAE / Savills / Knight Frank-Moody’s / Reuters</t>
        </is>
      </c>
    </row>
    <row r="102">
      <c r="A102" t="n">
        <v>101</v>
      </c>
      <c r="B102" t="inlineStr">
        <is>
          <t>City Walk Residences</t>
        </is>
      </c>
      <c r="C102" t="inlineStr">
        <is>
          <t>Meraas</t>
        </is>
      </c>
      <c r="D102" t="inlineStr">
        <is>
          <t>City Walk</t>
        </is>
      </c>
      <c r="E102" t="inlineStr">
        <is>
          <t>Apartments</t>
        </is>
      </c>
      <c r="F102" t="inlineStr">
        <is>
          <t>Urban / Luxury</t>
        </is>
      </c>
      <c r="G102" t="inlineStr">
        <is>
          <t>Resale (3M+)</t>
        </is>
      </c>
      <c r="H102" t="inlineStr">
        <is>
          <t>2500</t>
        </is>
      </c>
      <c r="I102" t="inlineStr">
        <is>
          <t>25</t>
        </is>
      </c>
      <c r="J102" t="inlineStr">
        <is>
          <t>Completed</t>
        </is>
      </c>
      <c r="K102" t="inlineStr">
        <is>
          <t>2016</t>
        </is>
      </c>
      <c r="L102" t="inlineStr">
        <is>
          <t>5.0-5.5</t>
        </is>
      </c>
      <c r="M102" t="inlineStr">
        <is>
          <t>6-8</t>
        </is>
      </c>
      <c r="N102" t="inlineStr">
        <is>
          <t>11.0-13.5</t>
        </is>
      </c>
      <c r="O102" t="inlineStr">
        <is>
          <t>Jumeirah Baccalaureate</t>
        </is>
      </c>
      <c r="P102" t="inlineStr">
        <is>
          <t>Valiant Clinic</t>
        </is>
      </c>
      <c r="Q102" t="inlineStr">
        <is>
          <t>City Walk</t>
        </is>
      </c>
      <c r="R102" t="inlineStr">
        <is>
          <t>Al Wasl / SZR</t>
        </is>
      </c>
      <c r="S102" t="inlineStr">
        <is>
          <t>5</t>
        </is>
      </c>
      <c r="T102" t="inlineStr">
        <is>
          <t>15</t>
        </is>
      </c>
      <c r="U102" t="inlineStr">
        <is>
          <t>15</t>
        </is>
      </c>
      <c r="V102" t="inlineStr">
        <is>
          <t>35</t>
        </is>
      </c>
      <c r="W102" t="n">
        <v>2</v>
      </c>
      <c r="X102" s="12" t="n">
        <v>3000000</v>
      </c>
      <c r="Y102" s="12" t="n">
        <v>3000000</v>
      </c>
      <c r="Z102" s="9" t="n">
        <v>5</v>
      </c>
      <c r="AA102" s="9" t="n">
        <v>5.5</v>
      </c>
      <c r="AB102" s="9" t="n">
        <v>6</v>
      </c>
      <c r="AC102" s="9" t="n">
        <v>8</v>
      </c>
      <c r="AD102" s="9" t="n">
        <v>11</v>
      </c>
      <c r="AE102" s="9" t="n">
        <v>13.5</v>
      </c>
      <c r="AF102" t="n">
        <v>2016</v>
      </c>
      <c r="AH102" t="inlineStr">
        <is>
          <t>Apartment</t>
        </is>
      </c>
      <c r="AI102" t="inlineStr">
        <is>
          <t>Prime</t>
        </is>
      </c>
      <c r="AJ102" t="inlineStr">
        <is>
          <t>TopTier</t>
        </is>
      </c>
      <c r="AK102" t="inlineStr">
        <is>
          <t>Prime resilient / selective</t>
        </is>
      </c>
      <c r="AL102" t="inlineStr">
        <is>
          <t>Better support from quality, branding, and scarcer prime stock; still entry-price sensitive.</t>
        </is>
      </c>
      <c r="AM102" s="9" t="n">
        <v>7</v>
      </c>
      <c r="AN102" s="9" t="n">
        <v>5.25</v>
      </c>
      <c r="AO102" s="10" t="n">
        <v>0.55</v>
      </c>
      <c r="AP102" s="13" t="n">
        <v>0.02</v>
      </c>
      <c r="AQ102" s="13" t="n">
        <v>0</v>
      </c>
      <c r="AR102" s="13" t="n">
        <v>0</v>
      </c>
      <c r="AS102" s="13" t="n">
        <v>0.03</v>
      </c>
      <c r="AT102" s="13" t="n">
        <v>0.005</v>
      </c>
      <c r="AU102" s="13" t="n">
        <v>0</v>
      </c>
      <c r="AV102" s="13" t="n">
        <v>-0.005</v>
      </c>
      <c r="AW102" s="13" t="n">
        <v>0.05850000000000001</v>
      </c>
      <c r="AX102" s="13" t="n">
        <v>0.03</v>
      </c>
      <c r="AY102" s="12" t="n">
        <v>3080235</v>
      </c>
      <c r="AZ102" s="12" t="n">
        <v>3175500</v>
      </c>
      <c r="BA102" s="12" t="n">
        <v>3270765</v>
      </c>
      <c r="BB102" s="12" t="n">
        <v>3175500</v>
      </c>
      <c r="BC102" s="12" t="n">
        <v>3270765</v>
      </c>
      <c r="BD102" s="12" t="n">
        <v>3366030</v>
      </c>
      <c r="BE102" s="12" t="n">
        <v>3368888</v>
      </c>
      <c r="BF102" t="inlineStr">
        <is>
          <t>Frozen values from same rules-based model as formula sheet.</t>
        </is>
      </c>
      <c r="BG102" t="inlineStr">
        <is>
          <t>2026-03-17</t>
        </is>
      </c>
      <c r="BH102" t="inlineStr">
        <is>
          <t>DLD / Digital Dubai / CBUAE / Savills / Knight Frank-Moody’s / Reuters</t>
        </is>
      </c>
    </row>
    <row r="103">
      <c r="A103" t="n">
        <v>102</v>
      </c>
      <c r="B103" t="inlineStr">
        <is>
          <t>Port de La Mer (Master Community)</t>
        </is>
      </c>
      <c r="C103" t="inlineStr">
        <is>
          <t>Meraas</t>
        </is>
      </c>
      <c r="D103" t="inlineStr">
        <is>
          <t>Jumeirah 1</t>
        </is>
      </c>
      <c r="E103" t="inlineStr">
        <is>
          <t>Apartments</t>
        </is>
      </c>
      <c r="F103" t="inlineStr">
        <is>
          <t>Island / Marina</t>
        </is>
      </c>
      <c r="I103" t="inlineStr">
        <is>
          <t>25</t>
        </is>
      </c>
      <c r="J103" t="inlineStr">
        <is>
          <t>Varies</t>
        </is>
      </c>
      <c r="K103" t="inlineStr">
        <is>
          <t>Ongoing</t>
        </is>
      </c>
      <c r="L103" t="inlineStr">
        <is>
          <t>5.5-6.5</t>
        </is>
      </c>
      <c r="M103" t="inlineStr">
        <is>
          <t>8-12</t>
        </is>
      </c>
      <c r="N103" t="inlineStr">
        <is>
          <t>13.5-18.5</t>
        </is>
      </c>
      <c r="O103" t="inlineStr">
        <is>
          <t>Jumeirah Baccalaureate</t>
        </is>
      </c>
      <c r="P103" t="inlineStr">
        <is>
          <t>American Hospital (Clinic)</t>
        </is>
      </c>
      <c r="Q103" t="inlineStr">
        <is>
          <t>La Mer</t>
        </is>
      </c>
      <c r="R103" t="inlineStr">
        <is>
          <t>Jumeirah St / D94</t>
        </is>
      </c>
      <c r="S103" t="inlineStr">
        <is>
          <t>15</t>
        </is>
      </c>
      <c r="T103" t="inlineStr">
        <is>
          <t>25</t>
        </is>
      </c>
      <c r="U103" t="inlineStr">
        <is>
          <t>15</t>
        </is>
      </c>
      <c r="V103" t="inlineStr">
        <is>
          <t>40</t>
        </is>
      </c>
      <c r="W103" t="n">
        <v>2</v>
      </c>
      <c r="X103" s="12" t="n"/>
      <c r="Y103" s="12" t="n"/>
      <c r="Z103" s="9" t="n">
        <v>5.5</v>
      </c>
      <c r="AA103" s="9" t="n">
        <v>6.5</v>
      </c>
      <c r="AB103" s="9" t="n">
        <v>8</v>
      </c>
      <c r="AC103" s="9" t="n">
        <v>12</v>
      </c>
      <c r="AD103" s="9" t="n">
        <v>13.5</v>
      </c>
      <c r="AE103" s="9" t="n">
        <v>18.5</v>
      </c>
      <c r="AH103" t="inlineStr">
        <is>
          <t>Apartment</t>
        </is>
      </c>
      <c r="AI103" t="inlineStr">
        <is>
          <t>MainstreamSelective</t>
        </is>
      </c>
      <c r="AJ103" t="inlineStr">
        <is>
          <t>TopTier</t>
        </is>
      </c>
      <c r="AK103" t="inlineStr">
        <is>
          <t>Balanced / selective</t>
        </is>
      </c>
      <c r="AL103" t="inlineStr">
        <is>
          <t>Market remains active but increasingly differentiated by developer, micro-location, livability, and pricing discipline.</t>
        </is>
      </c>
      <c r="AM103" s="9" t="n">
        <v>10</v>
      </c>
      <c r="AN103" s="9" t="n">
        <v>6</v>
      </c>
      <c r="AO103" s="10" t="n">
        <v>0.25</v>
      </c>
      <c r="AP103" s="13" t="n">
        <v>0</v>
      </c>
      <c r="AQ103" s="13" t="n">
        <v>0</v>
      </c>
      <c r="AR103" s="13" t="n">
        <v>0</v>
      </c>
      <c r="AS103" s="13" t="n">
        <v>0.01</v>
      </c>
      <c r="AT103" s="13" t="n">
        <v>0.005</v>
      </c>
      <c r="AU103" s="13" t="n">
        <v>0</v>
      </c>
      <c r="AV103" s="13" t="n">
        <v>-0.005</v>
      </c>
      <c r="AW103" s="13" t="n">
        <v>0.025</v>
      </c>
      <c r="AX103" s="13" t="n">
        <v>0.009999999999999998</v>
      </c>
      <c r="AY103" s="12" t="n"/>
      <c r="AZ103" s="12" t="n"/>
      <c r="BA103" s="12" t="n"/>
      <c r="BB103" s="12" t="n"/>
      <c r="BC103" s="12" t="n"/>
      <c r="BD103" s="12" t="n"/>
      <c r="BE103" s="12" t="n"/>
      <c r="BF103" t="inlineStr">
        <is>
          <t>Frozen values from same rules-based model as formula sheet.</t>
        </is>
      </c>
      <c r="BG103" t="inlineStr">
        <is>
          <t>2026-03-17</t>
        </is>
      </c>
      <c r="BH103" t="inlineStr">
        <is>
          <t>DLD / Digital Dubai / CBUAE / Savills / Knight Frank-Moody’s / Reuters</t>
        </is>
      </c>
    </row>
    <row r="104">
      <c r="A104" t="n">
        <v>103</v>
      </c>
      <c r="B104" t="inlineStr">
        <is>
          <t>La Sirène</t>
        </is>
      </c>
      <c r="C104" t="inlineStr">
        <is>
          <t>Meraas</t>
        </is>
      </c>
      <c r="D104" t="inlineStr">
        <is>
          <t>Port de La Mer</t>
        </is>
      </c>
      <c r="E104" t="inlineStr">
        <is>
          <t>Apartments</t>
        </is>
      </c>
      <c r="F104" t="inlineStr">
        <is>
          <t>Waterfront</t>
        </is>
      </c>
      <c r="G104" t="inlineStr">
        <is>
          <t>1.8M</t>
        </is>
      </c>
      <c r="H104" t="inlineStr">
        <is>
          <t>2100</t>
        </is>
      </c>
      <c r="I104" t="inlineStr">
        <is>
          <t>25</t>
        </is>
      </c>
      <c r="J104" t="inlineStr">
        <is>
          <t>50/50</t>
        </is>
      </c>
      <c r="K104" t="inlineStr">
        <is>
          <t>2021</t>
        </is>
      </c>
      <c r="L104" t="inlineStr">
        <is>
          <t>5.5-6.0</t>
        </is>
      </c>
      <c r="M104" t="inlineStr">
        <is>
          <t>8-10</t>
        </is>
      </c>
      <c r="N104" t="inlineStr">
        <is>
          <t>13.5-16.0</t>
        </is>
      </c>
      <c r="O104" t="inlineStr">
        <is>
          <t>Jumeirah Baccalaureate</t>
        </is>
      </c>
      <c r="P104" t="inlineStr">
        <is>
          <t>American Hospital (Clinic)</t>
        </is>
      </c>
      <c r="Q104" t="inlineStr">
        <is>
          <t>La Mer</t>
        </is>
      </c>
      <c r="R104" t="inlineStr">
        <is>
          <t>Jumeirah St / D94</t>
        </is>
      </c>
      <c r="S104" t="inlineStr">
        <is>
          <t>15</t>
        </is>
      </c>
      <c r="T104" t="inlineStr">
        <is>
          <t>25</t>
        </is>
      </c>
      <c r="U104" t="inlineStr">
        <is>
          <t>15</t>
        </is>
      </c>
      <c r="V104" t="inlineStr">
        <is>
          <t>40</t>
        </is>
      </c>
      <c r="W104" t="n">
        <v>2</v>
      </c>
      <c r="X104" s="12" t="n">
        <v>1800000</v>
      </c>
      <c r="Y104" s="12" t="n">
        <v>1800000</v>
      </c>
      <c r="Z104" s="9" t="n">
        <v>5.5</v>
      </c>
      <c r="AA104" s="9" t="n">
        <v>6</v>
      </c>
      <c r="AB104" s="9" t="n">
        <v>8</v>
      </c>
      <c r="AC104" s="9" t="n">
        <v>10</v>
      </c>
      <c r="AD104" s="9" t="n">
        <v>13.5</v>
      </c>
      <c r="AE104" s="9" t="n">
        <v>16</v>
      </c>
      <c r="AF104" t="n">
        <v>2021</v>
      </c>
      <c r="AH104" t="inlineStr">
        <is>
          <t>Apartment</t>
        </is>
      </c>
      <c r="AI104" t="inlineStr">
        <is>
          <t>MainstreamSelective</t>
        </is>
      </c>
      <c r="AJ104" t="inlineStr">
        <is>
          <t>TopTier</t>
        </is>
      </c>
      <c r="AK104" t="inlineStr">
        <is>
          <t>Balanced / selective</t>
        </is>
      </c>
      <c r="AL104" t="inlineStr">
        <is>
          <t>Market remains active but increasingly differentiated by developer, micro-location, livability, and pricing discipline.</t>
        </is>
      </c>
      <c r="AM104" s="9" t="n">
        <v>9</v>
      </c>
      <c r="AN104" s="9" t="n">
        <v>5.75</v>
      </c>
      <c r="AO104" s="10" t="n">
        <v>0.55</v>
      </c>
      <c r="AP104" s="13" t="n">
        <v>0</v>
      </c>
      <c r="AQ104" s="13" t="n">
        <v>0</v>
      </c>
      <c r="AR104" s="13" t="n">
        <v>0</v>
      </c>
      <c r="AS104" s="13" t="n">
        <v>0.01</v>
      </c>
      <c r="AT104" s="13" t="n">
        <v>0.005</v>
      </c>
      <c r="AU104" s="13" t="n">
        <v>0</v>
      </c>
      <c r="AV104" s="13" t="n">
        <v>-0.005</v>
      </c>
      <c r="AW104" s="13" t="n">
        <v>0.0495</v>
      </c>
      <c r="AX104" s="13" t="n">
        <v>0.009999999999999998</v>
      </c>
      <c r="AY104" s="12" t="n">
        <v>1832427</v>
      </c>
      <c r="AZ104" s="12" t="n">
        <v>1889100</v>
      </c>
      <c r="BA104" s="12" t="n">
        <v>1945773</v>
      </c>
      <c r="BB104" s="12" t="n">
        <v>1851318</v>
      </c>
      <c r="BC104" s="12" t="n">
        <v>1907991</v>
      </c>
      <c r="BD104" s="12" t="n">
        <v>1964664</v>
      </c>
      <c r="BE104" s="12" t="n">
        <v>1927071</v>
      </c>
      <c r="BF104" t="inlineStr">
        <is>
          <t>Frozen values from same rules-based model as formula sheet.</t>
        </is>
      </c>
      <c r="BG104" t="inlineStr">
        <is>
          <t>2026-03-17</t>
        </is>
      </c>
      <c r="BH104" t="inlineStr">
        <is>
          <t>DLD / Digital Dubai / CBUAE / Savills / Knight Frank-Moody’s / Reuters</t>
        </is>
      </c>
    </row>
    <row r="105">
      <c r="A105" t="n">
        <v>104</v>
      </c>
      <c r="B105" t="inlineStr">
        <is>
          <t>La Voile</t>
        </is>
      </c>
      <c r="C105" t="inlineStr">
        <is>
          <t>Meraas</t>
        </is>
      </c>
      <c r="D105" t="inlineStr">
        <is>
          <t>Port de La Mer</t>
        </is>
      </c>
      <c r="E105" t="inlineStr">
        <is>
          <t>Apartments</t>
        </is>
      </c>
      <c r="F105" t="inlineStr">
        <is>
          <t>Waterfront</t>
        </is>
      </c>
      <c r="G105" t="inlineStr">
        <is>
          <t>Resale</t>
        </is>
      </c>
      <c r="H105" t="inlineStr">
        <is>
          <t>2000</t>
        </is>
      </c>
      <c r="I105" t="inlineStr">
        <is>
          <t>25</t>
        </is>
      </c>
      <c r="J105" t="inlineStr">
        <is>
          <t>Completed</t>
        </is>
      </c>
      <c r="K105" t="inlineStr">
        <is>
          <t>2019</t>
        </is>
      </c>
      <c r="L105" t="inlineStr">
        <is>
          <t>6.0-6.5</t>
        </is>
      </c>
      <c r="M105" t="inlineStr">
        <is>
          <t>6-8</t>
        </is>
      </c>
      <c r="N105" t="inlineStr">
        <is>
          <t>12.0-14.5</t>
        </is>
      </c>
      <c r="O105" t="inlineStr">
        <is>
          <t>Jumeirah Baccalaureate</t>
        </is>
      </c>
      <c r="P105" t="inlineStr">
        <is>
          <t>American Hospital (Clinic)</t>
        </is>
      </c>
      <c r="Q105" t="inlineStr">
        <is>
          <t>La Mer</t>
        </is>
      </c>
      <c r="R105" t="inlineStr">
        <is>
          <t>Jumeirah St / D94</t>
        </is>
      </c>
      <c r="S105" t="inlineStr">
        <is>
          <t>15</t>
        </is>
      </c>
      <c r="T105" t="inlineStr">
        <is>
          <t>25</t>
        </is>
      </c>
      <c r="U105" t="inlineStr">
        <is>
          <t>15</t>
        </is>
      </c>
      <c r="V105" t="inlineStr">
        <is>
          <t>40</t>
        </is>
      </c>
      <c r="W105" t="n">
        <v>2</v>
      </c>
      <c r="X105" s="12" t="n"/>
      <c r="Y105" s="12" t="n"/>
      <c r="Z105" s="9" t="n">
        <v>6</v>
      </c>
      <c r="AA105" s="9" t="n">
        <v>6.5</v>
      </c>
      <c r="AB105" s="9" t="n">
        <v>6</v>
      </c>
      <c r="AC105" s="9" t="n">
        <v>8</v>
      </c>
      <c r="AD105" s="9" t="n">
        <v>12</v>
      </c>
      <c r="AE105" s="9" t="n">
        <v>14.5</v>
      </c>
      <c r="AF105" t="n">
        <v>2019</v>
      </c>
      <c r="AH105" t="inlineStr">
        <is>
          <t>Apartment</t>
        </is>
      </c>
      <c r="AI105" t="inlineStr">
        <is>
          <t>MainstreamSelective</t>
        </is>
      </c>
      <c r="AJ105" t="inlineStr">
        <is>
          <t>TopTier</t>
        </is>
      </c>
      <c r="AK105" t="inlineStr">
        <is>
          <t>Balanced / selective</t>
        </is>
      </c>
      <c r="AL105" t="inlineStr">
        <is>
          <t>Market remains active but increasingly differentiated by developer, micro-location, livability, and pricing discipline.</t>
        </is>
      </c>
      <c r="AM105" s="9" t="n">
        <v>7</v>
      </c>
      <c r="AN105" s="9" t="n">
        <v>6.25</v>
      </c>
      <c r="AO105" s="10" t="n">
        <v>0.55</v>
      </c>
      <c r="AP105" s="13" t="n">
        <v>0</v>
      </c>
      <c r="AQ105" s="13" t="n">
        <v>0</v>
      </c>
      <c r="AR105" s="13" t="n">
        <v>0</v>
      </c>
      <c r="AS105" s="13" t="n">
        <v>0.01</v>
      </c>
      <c r="AT105" s="13" t="n">
        <v>0.005</v>
      </c>
      <c r="AU105" s="13" t="n">
        <v>0.0025</v>
      </c>
      <c r="AV105" s="13" t="n">
        <v>-0.005</v>
      </c>
      <c r="AW105" s="13" t="n">
        <v>0.03850000000000001</v>
      </c>
      <c r="AX105" s="13" t="n">
        <v>0.0125</v>
      </c>
      <c r="AY105" s="12" t="n"/>
      <c r="AZ105" s="12" t="n"/>
      <c r="BA105" s="12" t="n"/>
      <c r="BB105" s="12" t="n"/>
      <c r="BC105" s="12" t="n"/>
      <c r="BD105" s="12" t="n"/>
      <c r="BE105" s="12" t="n"/>
      <c r="BF105" t="inlineStr">
        <is>
          <t>Frozen values from same rules-based model as formula sheet.</t>
        </is>
      </c>
      <c r="BG105" t="inlineStr">
        <is>
          <t>2026-03-17</t>
        </is>
      </c>
      <c r="BH105" t="inlineStr">
        <is>
          <t>DLD / Digital Dubai / CBUAE / Savills / Knight Frank-Moody’s / Reuters</t>
        </is>
      </c>
    </row>
    <row r="106">
      <c r="A106" t="n">
        <v>105</v>
      </c>
      <c r="B106" t="inlineStr">
        <is>
          <t>La Rive</t>
        </is>
      </c>
      <c r="C106" t="inlineStr">
        <is>
          <t>Meraas</t>
        </is>
      </c>
      <c r="D106" t="inlineStr">
        <is>
          <t>Port de La Mer</t>
        </is>
      </c>
      <c r="E106" t="inlineStr">
        <is>
          <t>Apartments</t>
        </is>
      </c>
      <c r="F106" t="inlineStr">
        <is>
          <t>Waterfront</t>
        </is>
      </c>
      <c r="G106" t="inlineStr">
        <is>
          <t>Resale</t>
        </is>
      </c>
      <c r="H106" t="inlineStr">
        <is>
          <t>2000</t>
        </is>
      </c>
      <c r="I106" t="inlineStr">
        <is>
          <t>25</t>
        </is>
      </c>
      <c r="J106" t="inlineStr">
        <is>
          <t>Completed</t>
        </is>
      </c>
      <c r="K106" t="inlineStr">
        <is>
          <t>2019</t>
        </is>
      </c>
      <c r="L106" t="inlineStr">
        <is>
          <t>6.0-6.5</t>
        </is>
      </c>
      <c r="M106" t="inlineStr">
        <is>
          <t>6-8</t>
        </is>
      </c>
      <c r="N106" t="inlineStr">
        <is>
          <t>12.0-14.5</t>
        </is>
      </c>
      <c r="O106" t="inlineStr">
        <is>
          <t>Jumeirah Baccalaureate</t>
        </is>
      </c>
      <c r="P106" t="inlineStr">
        <is>
          <t>American Hospital (Clinic)</t>
        </is>
      </c>
      <c r="Q106" t="inlineStr">
        <is>
          <t>La Mer</t>
        </is>
      </c>
      <c r="R106" t="inlineStr">
        <is>
          <t>Jumeirah St / D94</t>
        </is>
      </c>
      <c r="S106" t="inlineStr">
        <is>
          <t>15</t>
        </is>
      </c>
      <c r="T106" t="inlineStr">
        <is>
          <t>25</t>
        </is>
      </c>
      <c r="U106" t="inlineStr">
        <is>
          <t>15</t>
        </is>
      </c>
      <c r="V106" t="inlineStr">
        <is>
          <t>40</t>
        </is>
      </c>
      <c r="W106" t="n">
        <v>2</v>
      </c>
      <c r="X106" s="12" t="n"/>
      <c r="Y106" s="12" t="n"/>
      <c r="Z106" s="9" t="n">
        <v>6</v>
      </c>
      <c r="AA106" s="9" t="n">
        <v>6.5</v>
      </c>
      <c r="AB106" s="9" t="n">
        <v>6</v>
      </c>
      <c r="AC106" s="9" t="n">
        <v>8</v>
      </c>
      <c r="AD106" s="9" t="n">
        <v>12</v>
      </c>
      <c r="AE106" s="9" t="n">
        <v>14.5</v>
      </c>
      <c r="AF106" t="n">
        <v>2019</v>
      </c>
      <c r="AH106" t="inlineStr">
        <is>
          <t>Apartment</t>
        </is>
      </c>
      <c r="AI106" t="inlineStr">
        <is>
          <t>MainstreamSelective</t>
        </is>
      </c>
      <c r="AJ106" t="inlineStr">
        <is>
          <t>TopTier</t>
        </is>
      </c>
      <c r="AK106" t="inlineStr">
        <is>
          <t>Balanced / selective</t>
        </is>
      </c>
      <c r="AL106" t="inlineStr">
        <is>
          <t>Market remains active but increasingly differentiated by developer, micro-location, livability, and pricing discipline.</t>
        </is>
      </c>
      <c r="AM106" s="9" t="n">
        <v>7</v>
      </c>
      <c r="AN106" s="9" t="n">
        <v>6.25</v>
      </c>
      <c r="AO106" s="10" t="n">
        <v>0.55</v>
      </c>
      <c r="AP106" s="13" t="n">
        <v>0</v>
      </c>
      <c r="AQ106" s="13" t="n">
        <v>0</v>
      </c>
      <c r="AR106" s="13" t="n">
        <v>0</v>
      </c>
      <c r="AS106" s="13" t="n">
        <v>0.01</v>
      </c>
      <c r="AT106" s="13" t="n">
        <v>0.005</v>
      </c>
      <c r="AU106" s="13" t="n">
        <v>0.0025</v>
      </c>
      <c r="AV106" s="13" t="n">
        <v>-0.005</v>
      </c>
      <c r="AW106" s="13" t="n">
        <v>0.03850000000000001</v>
      </c>
      <c r="AX106" s="13" t="n">
        <v>0.0125</v>
      </c>
      <c r="AY106" s="12" t="n"/>
      <c r="AZ106" s="12" t="n"/>
      <c r="BA106" s="12" t="n"/>
      <c r="BB106" s="12" t="n"/>
      <c r="BC106" s="12" t="n"/>
      <c r="BD106" s="12" t="n"/>
      <c r="BE106" s="12" t="n"/>
      <c r="BF106" t="inlineStr">
        <is>
          <t>Frozen values from same rules-based model as formula sheet.</t>
        </is>
      </c>
      <c r="BG106" t="inlineStr">
        <is>
          <t>2026-03-17</t>
        </is>
      </c>
      <c r="BH106" t="inlineStr">
        <is>
          <t>DLD / Digital Dubai / CBUAE / Savills / Knight Frank-Moody’s / Reuters</t>
        </is>
      </c>
    </row>
    <row r="107">
      <c r="A107" t="n">
        <v>106</v>
      </c>
      <c r="B107" t="inlineStr">
        <is>
          <t>Le Pont</t>
        </is>
      </c>
      <c r="C107" t="inlineStr">
        <is>
          <t>Meraas</t>
        </is>
      </c>
      <c r="D107" t="inlineStr">
        <is>
          <t>Port de La Mer</t>
        </is>
      </c>
      <c r="E107" t="inlineStr">
        <is>
          <t>Apartments</t>
        </is>
      </c>
      <c r="F107" t="inlineStr">
        <is>
          <t>Waterfront</t>
        </is>
      </c>
      <c r="G107" t="inlineStr">
        <is>
          <t>Resale</t>
        </is>
      </c>
      <c r="H107" t="inlineStr">
        <is>
          <t>2000</t>
        </is>
      </c>
      <c r="I107" t="inlineStr">
        <is>
          <t>25</t>
        </is>
      </c>
      <c r="J107" t="inlineStr">
        <is>
          <t>Completed</t>
        </is>
      </c>
      <c r="K107" t="inlineStr">
        <is>
          <t>2019</t>
        </is>
      </c>
      <c r="L107" t="inlineStr">
        <is>
          <t>6.0-6.5</t>
        </is>
      </c>
      <c r="M107" t="inlineStr">
        <is>
          <t>6-8</t>
        </is>
      </c>
      <c r="N107" t="inlineStr">
        <is>
          <t>12.0-14.5</t>
        </is>
      </c>
      <c r="O107" t="inlineStr">
        <is>
          <t>Jumeirah Baccalaureate</t>
        </is>
      </c>
      <c r="P107" t="inlineStr">
        <is>
          <t>American Hospital (Clinic)</t>
        </is>
      </c>
      <c r="Q107" t="inlineStr">
        <is>
          <t>La Mer</t>
        </is>
      </c>
      <c r="R107" t="inlineStr">
        <is>
          <t>Jumeirah St / D94</t>
        </is>
      </c>
      <c r="S107" t="inlineStr">
        <is>
          <t>15</t>
        </is>
      </c>
      <c r="T107" t="inlineStr">
        <is>
          <t>25</t>
        </is>
      </c>
      <c r="U107" t="inlineStr">
        <is>
          <t>15</t>
        </is>
      </c>
      <c r="V107" t="inlineStr">
        <is>
          <t>40</t>
        </is>
      </c>
      <c r="W107" t="n">
        <v>2</v>
      </c>
      <c r="X107" s="12" t="n"/>
      <c r="Y107" s="12" t="n"/>
      <c r="Z107" s="9" t="n">
        <v>6</v>
      </c>
      <c r="AA107" s="9" t="n">
        <v>6.5</v>
      </c>
      <c r="AB107" s="9" t="n">
        <v>6</v>
      </c>
      <c r="AC107" s="9" t="n">
        <v>8</v>
      </c>
      <c r="AD107" s="9" t="n">
        <v>12</v>
      </c>
      <c r="AE107" s="9" t="n">
        <v>14.5</v>
      </c>
      <c r="AF107" t="n">
        <v>2019</v>
      </c>
      <c r="AH107" t="inlineStr">
        <is>
          <t>Apartment</t>
        </is>
      </c>
      <c r="AI107" t="inlineStr">
        <is>
          <t>MainstreamSelective</t>
        </is>
      </c>
      <c r="AJ107" t="inlineStr">
        <is>
          <t>TopTier</t>
        </is>
      </c>
      <c r="AK107" t="inlineStr">
        <is>
          <t>Balanced / selective</t>
        </is>
      </c>
      <c r="AL107" t="inlineStr">
        <is>
          <t>Market remains active but increasingly differentiated by developer, micro-location, livability, and pricing discipline.</t>
        </is>
      </c>
      <c r="AM107" s="9" t="n">
        <v>7</v>
      </c>
      <c r="AN107" s="9" t="n">
        <v>6.25</v>
      </c>
      <c r="AO107" s="10" t="n">
        <v>0.55</v>
      </c>
      <c r="AP107" s="13" t="n">
        <v>0</v>
      </c>
      <c r="AQ107" s="13" t="n">
        <v>0</v>
      </c>
      <c r="AR107" s="13" t="n">
        <v>0</v>
      </c>
      <c r="AS107" s="13" t="n">
        <v>0.01</v>
      </c>
      <c r="AT107" s="13" t="n">
        <v>0.005</v>
      </c>
      <c r="AU107" s="13" t="n">
        <v>0.0025</v>
      </c>
      <c r="AV107" s="13" t="n">
        <v>-0.005</v>
      </c>
      <c r="AW107" s="13" t="n">
        <v>0.03850000000000001</v>
      </c>
      <c r="AX107" s="13" t="n">
        <v>0.0125</v>
      </c>
      <c r="AY107" s="12" t="n"/>
      <c r="AZ107" s="12" t="n"/>
      <c r="BA107" s="12" t="n"/>
      <c r="BB107" s="12" t="n"/>
      <c r="BC107" s="12" t="n"/>
      <c r="BD107" s="12" t="n"/>
      <c r="BE107" s="12" t="n"/>
      <c r="BF107" t="inlineStr">
        <is>
          <t>Frozen values from same rules-based model as formula sheet.</t>
        </is>
      </c>
      <c r="BG107" t="inlineStr">
        <is>
          <t>2026-03-17</t>
        </is>
      </c>
      <c r="BH107" t="inlineStr">
        <is>
          <t>DLD / Digital Dubai / CBUAE / Savills / Knight Frank-Moody’s / Reuters</t>
        </is>
      </c>
    </row>
    <row r="108">
      <c r="A108" t="n">
        <v>107</v>
      </c>
      <c r="B108" t="inlineStr">
        <is>
          <t>La Cote</t>
        </is>
      </c>
      <c r="C108" t="inlineStr">
        <is>
          <t>Meraas</t>
        </is>
      </c>
      <c r="D108" t="inlineStr">
        <is>
          <t>Port de La Mer</t>
        </is>
      </c>
      <c r="E108" t="inlineStr">
        <is>
          <t>Apartments</t>
        </is>
      </c>
      <c r="F108" t="inlineStr">
        <is>
          <t>Waterfront</t>
        </is>
      </c>
      <c r="G108" t="inlineStr">
        <is>
          <t>Resale</t>
        </is>
      </c>
      <c r="H108" t="inlineStr">
        <is>
          <t>1900</t>
        </is>
      </c>
      <c r="I108" t="inlineStr">
        <is>
          <t>25</t>
        </is>
      </c>
      <c r="J108" t="inlineStr">
        <is>
          <t>Completed</t>
        </is>
      </c>
      <c r="K108" t="inlineStr">
        <is>
          <t>2018</t>
        </is>
      </c>
      <c r="L108" t="inlineStr">
        <is>
          <t>6.0-6.5</t>
        </is>
      </c>
      <c r="M108" t="inlineStr">
        <is>
          <t>6-8</t>
        </is>
      </c>
      <c r="N108" t="inlineStr">
        <is>
          <t>12.0-14.5</t>
        </is>
      </c>
      <c r="O108" t="inlineStr">
        <is>
          <t>Jumeirah Baccalaureate</t>
        </is>
      </c>
      <c r="P108" t="inlineStr">
        <is>
          <t>American Hospital (Clinic)</t>
        </is>
      </c>
      <c r="Q108" t="inlineStr">
        <is>
          <t>La Mer</t>
        </is>
      </c>
      <c r="R108" t="inlineStr">
        <is>
          <t>Jumeirah St / D94</t>
        </is>
      </c>
      <c r="S108" t="inlineStr">
        <is>
          <t>15</t>
        </is>
      </c>
      <c r="T108" t="inlineStr">
        <is>
          <t>25</t>
        </is>
      </c>
      <c r="U108" t="inlineStr">
        <is>
          <t>15</t>
        </is>
      </c>
      <c r="V108" t="inlineStr">
        <is>
          <t>40</t>
        </is>
      </c>
      <c r="W108" t="n">
        <v>2</v>
      </c>
      <c r="X108" s="12" t="n"/>
      <c r="Y108" s="12" t="n"/>
      <c r="Z108" s="9" t="n">
        <v>6</v>
      </c>
      <c r="AA108" s="9" t="n">
        <v>6.5</v>
      </c>
      <c r="AB108" s="9" t="n">
        <v>6</v>
      </c>
      <c r="AC108" s="9" t="n">
        <v>8</v>
      </c>
      <c r="AD108" s="9" t="n">
        <v>12</v>
      </c>
      <c r="AE108" s="9" t="n">
        <v>14.5</v>
      </c>
      <c r="AF108" t="n">
        <v>2018</v>
      </c>
      <c r="AH108" t="inlineStr">
        <is>
          <t>Apartment</t>
        </is>
      </c>
      <c r="AI108" t="inlineStr">
        <is>
          <t>MainstreamSelective</t>
        </is>
      </c>
      <c r="AJ108" t="inlineStr">
        <is>
          <t>TopTier</t>
        </is>
      </c>
      <c r="AK108" t="inlineStr">
        <is>
          <t>Balanced / selective</t>
        </is>
      </c>
      <c r="AL108" t="inlineStr">
        <is>
          <t>Market remains active but increasingly differentiated by developer, micro-location, livability, and pricing discipline.</t>
        </is>
      </c>
      <c r="AM108" s="9" t="n">
        <v>7</v>
      </c>
      <c r="AN108" s="9" t="n">
        <v>6.25</v>
      </c>
      <c r="AO108" s="10" t="n">
        <v>0.55</v>
      </c>
      <c r="AP108" s="13" t="n">
        <v>0</v>
      </c>
      <c r="AQ108" s="13" t="n">
        <v>0</v>
      </c>
      <c r="AR108" s="13" t="n">
        <v>0</v>
      </c>
      <c r="AS108" s="13" t="n">
        <v>0.01</v>
      </c>
      <c r="AT108" s="13" t="n">
        <v>0.005</v>
      </c>
      <c r="AU108" s="13" t="n">
        <v>0.0025</v>
      </c>
      <c r="AV108" s="13" t="n">
        <v>-0.005</v>
      </c>
      <c r="AW108" s="13" t="n">
        <v>0.03850000000000001</v>
      </c>
      <c r="AX108" s="13" t="n">
        <v>0.0125</v>
      </c>
      <c r="AY108" s="12" t="n"/>
      <c r="AZ108" s="12" t="n"/>
      <c r="BA108" s="12" t="n"/>
      <c r="BB108" s="12" t="n"/>
      <c r="BC108" s="12" t="n"/>
      <c r="BD108" s="12" t="n"/>
      <c r="BE108" s="12" t="n"/>
      <c r="BF108" t="inlineStr">
        <is>
          <t>Frozen values from same rules-based model as formula sheet.</t>
        </is>
      </c>
      <c r="BG108" t="inlineStr">
        <is>
          <t>2026-03-17</t>
        </is>
      </c>
      <c r="BH108" t="inlineStr">
        <is>
          <t>DLD / Digital Dubai / CBUAE / Savills / Knight Frank-Moody’s / Reuters</t>
        </is>
      </c>
    </row>
    <row r="109">
      <c r="A109" t="n">
        <v>108</v>
      </c>
      <c r="B109" t="inlineStr">
        <is>
          <t>Sur La Mer</t>
        </is>
      </c>
      <c r="C109" t="inlineStr">
        <is>
          <t>Meraas</t>
        </is>
      </c>
      <c r="D109" t="inlineStr">
        <is>
          <t>Port de La Mer</t>
        </is>
      </c>
      <c r="E109" t="inlineStr">
        <is>
          <t>Townhouses</t>
        </is>
      </c>
      <c r="F109" t="inlineStr">
        <is>
          <t>Waterfront</t>
        </is>
      </c>
      <c r="G109" t="inlineStr">
        <is>
          <t>5.5M</t>
        </is>
      </c>
      <c r="H109" t="inlineStr">
        <is>
          <t>2200</t>
        </is>
      </c>
      <c r="I109" t="inlineStr">
        <is>
          <t>20</t>
        </is>
      </c>
      <c r="J109" t="inlineStr">
        <is>
          <t>50/50</t>
        </is>
      </c>
      <c r="K109" t="inlineStr">
        <is>
          <t>2019</t>
        </is>
      </c>
      <c r="L109" t="inlineStr">
        <is>
          <t>4.5-5.0</t>
        </is>
      </c>
      <c r="M109" t="inlineStr">
        <is>
          <t>8-10</t>
        </is>
      </c>
      <c r="N109" t="inlineStr">
        <is>
          <t>12.5-15.0</t>
        </is>
      </c>
      <c r="O109" t="inlineStr">
        <is>
          <t>Jumeirah Baccalaureate</t>
        </is>
      </c>
      <c r="P109" t="inlineStr">
        <is>
          <t>American Hospital (Clinic)</t>
        </is>
      </c>
      <c r="Q109" t="inlineStr">
        <is>
          <t>La Mer</t>
        </is>
      </c>
      <c r="R109" t="inlineStr">
        <is>
          <t>Jumeirah St / D94</t>
        </is>
      </c>
      <c r="S109" t="inlineStr">
        <is>
          <t>15</t>
        </is>
      </c>
      <c r="T109" t="inlineStr">
        <is>
          <t>25</t>
        </is>
      </c>
      <c r="U109" t="inlineStr">
        <is>
          <t>15</t>
        </is>
      </c>
      <c r="V109" t="inlineStr">
        <is>
          <t>40</t>
        </is>
      </c>
      <c r="W109" t="n">
        <v>2</v>
      </c>
      <c r="X109" s="12" t="n">
        <v>5500000</v>
      </c>
      <c r="Y109" s="12" t="n">
        <v>5500000</v>
      </c>
      <c r="Z109" s="9" t="n">
        <v>4.5</v>
      </c>
      <c r="AA109" s="9" t="n">
        <v>5</v>
      </c>
      <c r="AB109" s="9" t="n">
        <v>8</v>
      </c>
      <c r="AC109" s="9" t="n">
        <v>10</v>
      </c>
      <c r="AD109" s="9" t="n">
        <v>12.5</v>
      </c>
      <c r="AE109" s="9" t="n">
        <v>15</v>
      </c>
      <c r="AF109" t="n">
        <v>2019</v>
      </c>
      <c r="AH109" t="inlineStr">
        <is>
          <t>Townhouse</t>
        </is>
      </c>
      <c r="AI109" t="inlineStr">
        <is>
          <t>MainstreamSelective</t>
        </is>
      </c>
      <c r="AJ109" t="inlineStr">
        <is>
          <t>TopTier</t>
        </is>
      </c>
      <c r="AK109" t="inlineStr">
        <is>
          <t>Family-villa resilient</t>
        </is>
      </c>
      <c r="AL109" t="inlineStr">
        <is>
          <t>Villa/townhouse demand remains relatively firmer, though growth should be slower than the post-2020 surge.</t>
        </is>
      </c>
      <c r="AM109" s="9" t="n">
        <v>9</v>
      </c>
      <c r="AN109" s="9" t="n">
        <v>4.75</v>
      </c>
      <c r="AO109" s="10" t="n">
        <v>0.55</v>
      </c>
      <c r="AP109" s="13" t="n">
        <v>0</v>
      </c>
      <c r="AQ109" s="13" t="n">
        <v>0.015</v>
      </c>
      <c r="AR109" s="13" t="n">
        <v>0</v>
      </c>
      <c r="AS109" s="13" t="n">
        <v>0.025</v>
      </c>
      <c r="AT109" s="13" t="n">
        <v>0.005</v>
      </c>
      <c r="AU109" s="13" t="n">
        <v>0</v>
      </c>
      <c r="AV109" s="13" t="n">
        <v>-0.005</v>
      </c>
      <c r="AW109" s="13" t="n">
        <v>0.0645</v>
      </c>
      <c r="AX109" s="13" t="n">
        <v>0.025</v>
      </c>
      <c r="AY109" s="12" t="n">
        <v>5679108</v>
      </c>
      <c r="AZ109" s="12" t="n">
        <v>5854750</v>
      </c>
      <c r="BA109" s="12" t="n">
        <v>6030392</v>
      </c>
      <c r="BB109" s="12" t="n">
        <v>5825476</v>
      </c>
      <c r="BC109" s="12" t="n">
        <v>6001119</v>
      </c>
      <c r="BD109" s="12" t="n">
        <v>6176761</v>
      </c>
      <c r="BE109" s="12" t="n">
        <v>6151147</v>
      </c>
      <c r="BF109" t="inlineStr">
        <is>
          <t>Frozen values from same rules-based model as formula sheet.</t>
        </is>
      </c>
      <c r="BG109" t="inlineStr">
        <is>
          <t>2026-03-17</t>
        </is>
      </c>
      <c r="BH109" t="inlineStr">
        <is>
          <t>DLD / Digital Dubai / CBUAE / Savills / Knight Frank-Moody’s / Reuters</t>
        </is>
      </c>
    </row>
    <row r="110">
      <c r="A110" t="n">
        <v>109</v>
      </c>
      <c r="B110" t="inlineStr">
        <is>
          <t>Madinat Jumeirah Living</t>
        </is>
      </c>
      <c r="C110" t="inlineStr">
        <is>
          <t>Meraas</t>
        </is>
      </c>
      <c r="D110" t="inlineStr">
        <is>
          <t>Umm Suqeim (Burj Al Arab)</t>
        </is>
      </c>
      <c r="E110" t="inlineStr">
        <is>
          <t>Apartments</t>
        </is>
      </c>
      <c r="F110" t="inlineStr">
        <is>
          <t>Luxury / Traditional</t>
        </is>
      </c>
      <c r="I110" t="inlineStr">
        <is>
          <t>25</t>
        </is>
      </c>
      <c r="J110" t="inlineStr">
        <is>
          <t>Varies</t>
        </is>
      </c>
      <c r="K110" t="inlineStr">
        <is>
          <t>Ongoing</t>
        </is>
      </c>
      <c r="L110" t="inlineStr">
        <is>
          <t>5.0-6.0</t>
        </is>
      </c>
      <c r="M110" t="inlineStr">
        <is>
          <t>9-12</t>
        </is>
      </c>
      <c r="N110" t="inlineStr">
        <is>
          <t>14.0-18.0</t>
        </is>
      </c>
      <c r="O110" t="inlineStr">
        <is>
          <t>Kings' School Dubai</t>
        </is>
      </c>
      <c r="P110" t="inlineStr">
        <is>
          <t>Saudi German Hospital</t>
        </is>
      </c>
      <c r="Q110" t="inlineStr">
        <is>
          <t>Mall of Emirates</t>
        </is>
      </c>
      <c r="R110" t="inlineStr">
        <is>
          <t>Umm Suqeim St</t>
        </is>
      </c>
      <c r="S110" t="inlineStr">
        <is>
          <t>15</t>
        </is>
      </c>
      <c r="T110" t="inlineStr">
        <is>
          <t>10</t>
        </is>
      </c>
      <c r="U110" t="inlineStr">
        <is>
          <t>25</t>
        </is>
      </c>
      <c r="V110" t="inlineStr">
        <is>
          <t>30</t>
        </is>
      </c>
      <c r="W110" t="n">
        <v>2</v>
      </c>
      <c r="X110" s="12" t="n"/>
      <c r="Y110" s="12" t="n"/>
      <c r="Z110" s="9" t="n">
        <v>5</v>
      </c>
      <c r="AA110" s="9" t="n">
        <v>6</v>
      </c>
      <c r="AB110" s="9" t="n">
        <v>9</v>
      </c>
      <c r="AC110" s="9" t="n">
        <v>12</v>
      </c>
      <c r="AD110" s="9" t="n">
        <v>14</v>
      </c>
      <c r="AE110" s="9" t="n">
        <v>18</v>
      </c>
      <c r="AH110" t="inlineStr">
        <is>
          <t>Apartment</t>
        </is>
      </c>
      <c r="AI110" t="inlineStr">
        <is>
          <t>MainstreamSelective</t>
        </is>
      </c>
      <c r="AJ110" t="inlineStr">
        <is>
          <t>TopTier</t>
        </is>
      </c>
      <c r="AK110" t="inlineStr">
        <is>
          <t>Balanced / selective</t>
        </is>
      </c>
      <c r="AL110" t="inlineStr">
        <is>
          <t>Market remains active but increasingly differentiated by developer, micro-location, livability, and pricing discipline.</t>
        </is>
      </c>
      <c r="AM110" s="9" t="n">
        <v>10.5</v>
      </c>
      <c r="AN110" s="9" t="n">
        <v>5.5</v>
      </c>
      <c r="AO110" s="10" t="n">
        <v>0.25</v>
      </c>
      <c r="AP110" s="13" t="n">
        <v>0</v>
      </c>
      <c r="AQ110" s="13" t="n">
        <v>0</v>
      </c>
      <c r="AR110" s="13" t="n">
        <v>0</v>
      </c>
      <c r="AS110" s="13" t="n">
        <v>0.01</v>
      </c>
      <c r="AT110" s="13" t="n">
        <v>0.005</v>
      </c>
      <c r="AU110" s="13" t="n">
        <v>0</v>
      </c>
      <c r="AV110" s="13" t="n">
        <v>-0.005</v>
      </c>
      <c r="AW110" s="13" t="n">
        <v>0.02625</v>
      </c>
      <c r="AX110" s="13" t="n">
        <v>0.009999999999999998</v>
      </c>
      <c r="AY110" s="12" t="n"/>
      <c r="AZ110" s="12" t="n"/>
      <c r="BA110" s="12" t="n"/>
      <c r="BB110" s="12" t="n"/>
      <c r="BC110" s="12" t="n"/>
      <c r="BD110" s="12" t="n"/>
      <c r="BE110" s="12" t="n"/>
      <c r="BF110" t="inlineStr">
        <is>
          <t>Frozen values from same rules-based model as formula sheet.</t>
        </is>
      </c>
      <c r="BG110" t="inlineStr">
        <is>
          <t>2026-03-17</t>
        </is>
      </c>
      <c r="BH110" t="inlineStr">
        <is>
          <t>DLD / Digital Dubai / CBUAE / Savills / Knight Frank-Moody’s / Reuters</t>
        </is>
      </c>
    </row>
    <row r="111">
      <c r="A111" t="n">
        <v>110</v>
      </c>
      <c r="B111" t="inlineStr">
        <is>
          <t>Riwa</t>
        </is>
      </c>
      <c r="C111" t="inlineStr">
        <is>
          <t>Meraas</t>
        </is>
      </c>
      <c r="D111" t="inlineStr">
        <is>
          <t>Madinat Jumeirah Living</t>
        </is>
      </c>
      <c r="E111" t="inlineStr">
        <is>
          <t>Apartments</t>
        </is>
      </c>
      <c r="F111" t="inlineStr">
        <is>
          <t>Luxury / View</t>
        </is>
      </c>
      <c r="G111" t="inlineStr">
        <is>
          <t>2.1M</t>
        </is>
      </c>
      <c r="H111" t="inlineStr">
        <is>
          <t>2800</t>
        </is>
      </c>
      <c r="I111" t="inlineStr">
        <is>
          <t>25</t>
        </is>
      </c>
      <c r="J111" t="inlineStr">
        <is>
          <t>70/30</t>
        </is>
      </c>
      <c r="K111" t="inlineStr">
        <is>
          <t>2024</t>
        </is>
      </c>
      <c r="L111" t="inlineStr">
        <is>
          <t>5.0-5.5</t>
        </is>
      </c>
      <c r="M111" t="inlineStr">
        <is>
          <t>9-12</t>
        </is>
      </c>
      <c r="N111" t="inlineStr">
        <is>
          <t>14.0-17.5</t>
        </is>
      </c>
      <c r="O111" t="inlineStr">
        <is>
          <t>Kings' School Dubai</t>
        </is>
      </c>
      <c r="P111" t="inlineStr">
        <is>
          <t>Saudi German Hospital</t>
        </is>
      </c>
      <c r="Q111" t="inlineStr">
        <is>
          <t>Mall of Emirates</t>
        </is>
      </c>
      <c r="R111" t="inlineStr">
        <is>
          <t>Umm Suqeim St</t>
        </is>
      </c>
      <c r="S111" t="inlineStr">
        <is>
          <t>15</t>
        </is>
      </c>
      <c r="T111" t="inlineStr">
        <is>
          <t>10</t>
        </is>
      </c>
      <c r="U111" t="inlineStr">
        <is>
          <t>25</t>
        </is>
      </c>
      <c r="V111" t="inlineStr">
        <is>
          <t>30</t>
        </is>
      </c>
      <c r="W111" t="n">
        <v>2</v>
      </c>
      <c r="X111" s="12" t="n">
        <v>2100000</v>
      </c>
      <c r="Y111" s="12" t="n">
        <v>2100000</v>
      </c>
      <c r="Z111" s="9" t="n">
        <v>5</v>
      </c>
      <c r="AA111" s="9" t="n">
        <v>5.5</v>
      </c>
      <c r="AB111" s="9" t="n">
        <v>9</v>
      </c>
      <c r="AC111" s="9" t="n">
        <v>12</v>
      </c>
      <c r="AD111" s="9" t="n">
        <v>14</v>
      </c>
      <c r="AE111" s="9" t="n">
        <v>17.5</v>
      </c>
      <c r="AF111" t="n">
        <v>2024</v>
      </c>
      <c r="AH111" t="inlineStr">
        <is>
          <t>Apartment</t>
        </is>
      </c>
      <c r="AI111" t="inlineStr">
        <is>
          <t>MainstreamSelective</t>
        </is>
      </c>
      <c r="AJ111" t="inlineStr">
        <is>
          <t>TopTier</t>
        </is>
      </c>
      <c r="AK111" t="inlineStr">
        <is>
          <t>Balanced / selective</t>
        </is>
      </c>
      <c r="AL111" t="inlineStr">
        <is>
          <t>Market remains active but increasingly differentiated by developer, micro-location, livability, and pricing discipline.</t>
        </is>
      </c>
      <c r="AM111" s="9" t="n">
        <v>10.5</v>
      </c>
      <c r="AN111" s="9" t="n">
        <v>5.25</v>
      </c>
      <c r="AO111" s="10" t="n">
        <v>0.55</v>
      </c>
      <c r="AP111" s="13" t="n">
        <v>0</v>
      </c>
      <c r="AQ111" s="13" t="n">
        <v>0</v>
      </c>
      <c r="AR111" s="13" t="n">
        <v>0</v>
      </c>
      <c r="AS111" s="13" t="n">
        <v>0.01</v>
      </c>
      <c r="AT111" s="13" t="n">
        <v>0.005</v>
      </c>
      <c r="AU111" s="13" t="n">
        <v>0</v>
      </c>
      <c r="AV111" s="13" t="n">
        <v>-0.005</v>
      </c>
      <c r="AW111" s="13" t="n">
        <v>0.05775</v>
      </c>
      <c r="AX111" s="13" t="n">
        <v>0.009999999999999998</v>
      </c>
      <c r="AY111" s="12" t="n">
        <v>2154637</v>
      </c>
      <c r="AZ111" s="12" t="n">
        <v>2221275</v>
      </c>
      <c r="BA111" s="12" t="n">
        <v>2287913</v>
      </c>
      <c r="BB111" s="12" t="n">
        <v>2176850</v>
      </c>
      <c r="BC111" s="12" t="n">
        <v>2243488</v>
      </c>
      <c r="BD111" s="12" t="n">
        <v>2310126</v>
      </c>
      <c r="BE111" s="12" t="n">
        <v>2265923</v>
      </c>
      <c r="BF111" t="inlineStr">
        <is>
          <t>Frozen values from same rules-based model as formula sheet.</t>
        </is>
      </c>
      <c r="BG111" t="inlineStr">
        <is>
          <t>2026-03-17</t>
        </is>
      </c>
      <c r="BH111" t="inlineStr">
        <is>
          <t>DLD / Digital Dubai / CBUAE / Savills / Knight Frank-Moody’s / Reuters</t>
        </is>
      </c>
    </row>
    <row r="112">
      <c r="A112" t="n">
        <v>111</v>
      </c>
      <c r="B112" t="inlineStr">
        <is>
          <t>Jadeel</t>
        </is>
      </c>
      <c r="C112" t="inlineStr">
        <is>
          <t>Meraas</t>
        </is>
      </c>
      <c r="D112" t="inlineStr">
        <is>
          <t>Madinat Jumeirah Living</t>
        </is>
      </c>
      <c r="E112" t="inlineStr">
        <is>
          <t>Apartments</t>
        </is>
      </c>
      <c r="F112" t="inlineStr">
        <is>
          <t>Luxury / View</t>
        </is>
      </c>
      <c r="G112" t="inlineStr">
        <is>
          <t>1.9M</t>
        </is>
      </c>
      <c r="H112" t="inlineStr">
        <is>
          <t>2600</t>
        </is>
      </c>
      <c r="I112" t="inlineStr">
        <is>
          <t>25</t>
        </is>
      </c>
      <c r="J112" t="inlineStr">
        <is>
          <t>50/50</t>
        </is>
      </c>
      <c r="K112" t="inlineStr">
        <is>
          <t>2022</t>
        </is>
      </c>
      <c r="L112" t="inlineStr">
        <is>
          <t>5.5-6.0</t>
        </is>
      </c>
      <c r="M112" t="inlineStr">
        <is>
          <t>8-10</t>
        </is>
      </c>
      <c r="N112" t="inlineStr">
        <is>
          <t>13.5-16.0</t>
        </is>
      </c>
      <c r="O112" t="inlineStr">
        <is>
          <t>Kings' School Dubai</t>
        </is>
      </c>
      <c r="P112" t="inlineStr">
        <is>
          <t>Saudi German Hospital</t>
        </is>
      </c>
      <c r="Q112" t="inlineStr">
        <is>
          <t>Mall of Emirates</t>
        </is>
      </c>
      <c r="R112" t="inlineStr">
        <is>
          <t>Umm Suqeim St</t>
        </is>
      </c>
      <c r="S112" t="inlineStr">
        <is>
          <t>15</t>
        </is>
      </c>
      <c r="T112" t="inlineStr">
        <is>
          <t>10</t>
        </is>
      </c>
      <c r="U112" t="inlineStr">
        <is>
          <t>25</t>
        </is>
      </c>
      <c r="V112" t="inlineStr">
        <is>
          <t>30</t>
        </is>
      </c>
      <c r="W112" t="n">
        <v>2</v>
      </c>
      <c r="X112" s="12" t="n">
        <v>1900000</v>
      </c>
      <c r="Y112" s="12" t="n">
        <v>1900000</v>
      </c>
      <c r="Z112" s="9" t="n">
        <v>5.5</v>
      </c>
      <c r="AA112" s="9" t="n">
        <v>6</v>
      </c>
      <c r="AB112" s="9" t="n">
        <v>8</v>
      </c>
      <c r="AC112" s="9" t="n">
        <v>10</v>
      </c>
      <c r="AD112" s="9" t="n">
        <v>13.5</v>
      </c>
      <c r="AE112" s="9" t="n">
        <v>16</v>
      </c>
      <c r="AF112" t="n">
        <v>2022</v>
      </c>
      <c r="AH112" t="inlineStr">
        <is>
          <t>Apartment</t>
        </is>
      </c>
      <c r="AI112" t="inlineStr">
        <is>
          <t>MainstreamSelective</t>
        </is>
      </c>
      <c r="AJ112" t="inlineStr">
        <is>
          <t>TopTier</t>
        </is>
      </c>
      <c r="AK112" t="inlineStr">
        <is>
          <t>Balanced / selective</t>
        </is>
      </c>
      <c r="AL112" t="inlineStr">
        <is>
          <t>Market remains active but increasingly differentiated by developer, micro-location, livability, and pricing discipline.</t>
        </is>
      </c>
      <c r="AM112" s="9" t="n">
        <v>9</v>
      </c>
      <c r="AN112" s="9" t="n">
        <v>5.75</v>
      </c>
      <c r="AO112" s="10" t="n">
        <v>0.55</v>
      </c>
      <c r="AP112" s="13" t="n">
        <v>0</v>
      </c>
      <c r="AQ112" s="13" t="n">
        <v>0</v>
      </c>
      <c r="AR112" s="13" t="n">
        <v>0</v>
      </c>
      <c r="AS112" s="13" t="n">
        <v>0.01</v>
      </c>
      <c r="AT112" s="13" t="n">
        <v>0.005</v>
      </c>
      <c r="AU112" s="13" t="n">
        <v>0</v>
      </c>
      <c r="AV112" s="13" t="n">
        <v>-0.005</v>
      </c>
      <c r="AW112" s="13" t="n">
        <v>0.0495</v>
      </c>
      <c r="AX112" s="13" t="n">
        <v>0.009999999999999998</v>
      </c>
      <c r="AY112" s="12" t="n">
        <v>1934228</v>
      </c>
      <c r="AZ112" s="12" t="n">
        <v>1994050</v>
      </c>
      <c r="BA112" s="12" t="n">
        <v>2053872</v>
      </c>
      <c r="BB112" s="12" t="n">
        <v>1954169</v>
      </c>
      <c r="BC112" s="12" t="n">
        <v>2013990</v>
      </c>
      <c r="BD112" s="12" t="n">
        <v>2073812</v>
      </c>
      <c r="BE112" s="12" t="n">
        <v>2034130</v>
      </c>
      <c r="BF112" t="inlineStr">
        <is>
          <t>Frozen values from same rules-based model as formula sheet.</t>
        </is>
      </c>
      <c r="BG112" t="inlineStr">
        <is>
          <t>2026-03-17</t>
        </is>
      </c>
      <c r="BH112" t="inlineStr">
        <is>
          <t>DLD / Digital Dubai / CBUAE / Savills / Knight Frank-Moody’s / Reuters</t>
        </is>
      </c>
    </row>
    <row r="113">
      <c r="A113" t="n">
        <v>112</v>
      </c>
      <c r="B113" t="inlineStr">
        <is>
          <t>Lamaa</t>
        </is>
      </c>
      <c r="C113" t="inlineStr">
        <is>
          <t>Meraas</t>
        </is>
      </c>
      <c r="D113" t="inlineStr">
        <is>
          <t>Madinat Jumeirah Living</t>
        </is>
      </c>
      <c r="E113" t="inlineStr">
        <is>
          <t>Apartments</t>
        </is>
      </c>
      <c r="F113" t="inlineStr">
        <is>
          <t>Luxury / View</t>
        </is>
      </c>
      <c r="G113" t="inlineStr">
        <is>
          <t>2.0M</t>
        </is>
      </c>
      <c r="H113" t="inlineStr">
        <is>
          <t>2700</t>
        </is>
      </c>
      <c r="I113" t="inlineStr">
        <is>
          <t>25</t>
        </is>
      </c>
      <c r="J113" t="inlineStr">
        <is>
          <t>50/50</t>
        </is>
      </c>
      <c r="K113" t="inlineStr">
        <is>
          <t>2022</t>
        </is>
      </c>
      <c r="L113" t="inlineStr">
        <is>
          <t>5.5-6.0</t>
        </is>
      </c>
      <c r="M113" t="inlineStr">
        <is>
          <t>8-10</t>
        </is>
      </c>
      <c r="N113" t="inlineStr">
        <is>
          <t>13.5-16.0</t>
        </is>
      </c>
      <c r="O113" t="inlineStr">
        <is>
          <t>Kings' School Dubai</t>
        </is>
      </c>
      <c r="P113" t="inlineStr">
        <is>
          <t>Saudi German Hospital</t>
        </is>
      </c>
      <c r="Q113" t="inlineStr">
        <is>
          <t>Mall of Emirates</t>
        </is>
      </c>
      <c r="R113" t="inlineStr">
        <is>
          <t>Umm Suqeim St</t>
        </is>
      </c>
      <c r="S113" t="inlineStr">
        <is>
          <t>15</t>
        </is>
      </c>
      <c r="T113" t="inlineStr">
        <is>
          <t>10</t>
        </is>
      </c>
      <c r="U113" t="inlineStr">
        <is>
          <t>25</t>
        </is>
      </c>
      <c r="V113" t="inlineStr">
        <is>
          <t>30</t>
        </is>
      </c>
      <c r="W113" t="n">
        <v>2</v>
      </c>
      <c r="X113" s="12" t="n">
        <v>2000000</v>
      </c>
      <c r="Y113" s="12" t="n">
        <v>2000000</v>
      </c>
      <c r="Z113" s="9" t="n">
        <v>5.5</v>
      </c>
      <c r="AA113" s="9" t="n">
        <v>6</v>
      </c>
      <c r="AB113" s="9" t="n">
        <v>8</v>
      </c>
      <c r="AC113" s="9" t="n">
        <v>10</v>
      </c>
      <c r="AD113" s="9" t="n">
        <v>13.5</v>
      </c>
      <c r="AE113" s="9" t="n">
        <v>16</v>
      </c>
      <c r="AF113" t="n">
        <v>2022</v>
      </c>
      <c r="AH113" t="inlineStr">
        <is>
          <t>Apartment</t>
        </is>
      </c>
      <c r="AI113" t="inlineStr">
        <is>
          <t>MainstreamSelective</t>
        </is>
      </c>
      <c r="AJ113" t="inlineStr">
        <is>
          <t>TopTier</t>
        </is>
      </c>
      <c r="AK113" t="inlineStr">
        <is>
          <t>Balanced / selective</t>
        </is>
      </c>
      <c r="AL113" t="inlineStr">
        <is>
          <t>Market remains active but increasingly differentiated by developer, micro-location, livability, and pricing discipline.</t>
        </is>
      </c>
      <c r="AM113" s="9" t="n">
        <v>9</v>
      </c>
      <c r="AN113" s="9" t="n">
        <v>5.75</v>
      </c>
      <c r="AO113" s="10" t="n">
        <v>0.55</v>
      </c>
      <c r="AP113" s="13" t="n">
        <v>0</v>
      </c>
      <c r="AQ113" s="13" t="n">
        <v>0</v>
      </c>
      <c r="AR113" s="13" t="n">
        <v>0</v>
      </c>
      <c r="AS113" s="13" t="n">
        <v>0.01</v>
      </c>
      <c r="AT113" s="13" t="n">
        <v>0.005</v>
      </c>
      <c r="AU113" s="13" t="n">
        <v>0</v>
      </c>
      <c r="AV113" s="13" t="n">
        <v>-0.005</v>
      </c>
      <c r="AW113" s="13" t="n">
        <v>0.0495</v>
      </c>
      <c r="AX113" s="13" t="n">
        <v>0.009999999999999998</v>
      </c>
      <c r="AY113" s="12" t="n">
        <v>2036030</v>
      </c>
      <c r="AZ113" s="12" t="n">
        <v>2099000</v>
      </c>
      <c r="BA113" s="12" t="n">
        <v>2161970</v>
      </c>
      <c r="BB113" s="12" t="n">
        <v>2057020</v>
      </c>
      <c r="BC113" s="12" t="n">
        <v>2119990</v>
      </c>
      <c r="BD113" s="12" t="n">
        <v>2182960</v>
      </c>
      <c r="BE113" s="12" t="n">
        <v>2141190</v>
      </c>
      <c r="BF113" t="inlineStr">
        <is>
          <t>Frozen values from same rules-based model as formula sheet.</t>
        </is>
      </c>
      <c r="BG113" t="inlineStr">
        <is>
          <t>2026-03-17</t>
        </is>
      </c>
      <c r="BH113" t="inlineStr">
        <is>
          <t>DLD / Digital Dubai / CBUAE / Savills / Knight Frank-Moody’s / Reuters</t>
        </is>
      </c>
    </row>
    <row r="114">
      <c r="A114" t="n">
        <v>113</v>
      </c>
      <c r="B114" t="inlineStr">
        <is>
          <t>Jomana</t>
        </is>
      </c>
      <c r="C114" t="inlineStr">
        <is>
          <t>Meraas</t>
        </is>
      </c>
      <c r="D114" t="inlineStr">
        <is>
          <t>Madinat Jumeirah Living</t>
        </is>
      </c>
      <c r="E114" t="inlineStr">
        <is>
          <t>Apartments</t>
        </is>
      </c>
      <c r="F114" t="inlineStr">
        <is>
          <t>Luxury / View</t>
        </is>
      </c>
      <c r="G114" t="inlineStr">
        <is>
          <t>2.1M</t>
        </is>
      </c>
      <c r="H114" t="inlineStr">
        <is>
          <t>2800</t>
        </is>
      </c>
      <c r="I114" t="inlineStr">
        <is>
          <t>25</t>
        </is>
      </c>
      <c r="J114" t="inlineStr">
        <is>
          <t>70/30</t>
        </is>
      </c>
      <c r="K114" t="inlineStr">
        <is>
          <t>2023</t>
        </is>
      </c>
      <c r="L114" t="inlineStr">
        <is>
          <t>5.0-5.5</t>
        </is>
      </c>
      <c r="M114" t="inlineStr">
        <is>
          <t>8-10</t>
        </is>
      </c>
      <c r="N114" t="inlineStr">
        <is>
          <t>13.0-15.5</t>
        </is>
      </c>
      <c r="O114" t="inlineStr">
        <is>
          <t>Kings' School Dubai</t>
        </is>
      </c>
      <c r="P114" t="inlineStr">
        <is>
          <t>Saudi German Hospital</t>
        </is>
      </c>
      <c r="Q114" t="inlineStr">
        <is>
          <t>Mall of Emirates</t>
        </is>
      </c>
      <c r="R114" t="inlineStr">
        <is>
          <t>Umm Suqeim St</t>
        </is>
      </c>
      <c r="S114" t="inlineStr">
        <is>
          <t>15</t>
        </is>
      </c>
      <c r="T114" t="inlineStr">
        <is>
          <t>10</t>
        </is>
      </c>
      <c r="U114" t="inlineStr">
        <is>
          <t>25</t>
        </is>
      </c>
      <c r="V114" t="inlineStr">
        <is>
          <t>30</t>
        </is>
      </c>
      <c r="W114" t="n">
        <v>2</v>
      </c>
      <c r="X114" s="12" t="n">
        <v>2100000</v>
      </c>
      <c r="Y114" s="12" t="n">
        <v>2100000</v>
      </c>
      <c r="Z114" s="9" t="n">
        <v>5</v>
      </c>
      <c r="AA114" s="9" t="n">
        <v>5.5</v>
      </c>
      <c r="AB114" s="9" t="n">
        <v>8</v>
      </c>
      <c r="AC114" s="9" t="n">
        <v>10</v>
      </c>
      <c r="AD114" s="9" t="n">
        <v>13</v>
      </c>
      <c r="AE114" s="9" t="n">
        <v>15.5</v>
      </c>
      <c r="AF114" t="n">
        <v>2023</v>
      </c>
      <c r="AH114" t="inlineStr">
        <is>
          <t>Apartment</t>
        </is>
      </c>
      <c r="AI114" t="inlineStr">
        <is>
          <t>MainstreamSelective</t>
        </is>
      </c>
      <c r="AJ114" t="inlineStr">
        <is>
          <t>TopTier</t>
        </is>
      </c>
      <c r="AK114" t="inlineStr">
        <is>
          <t>Balanced / selective</t>
        </is>
      </c>
      <c r="AL114" t="inlineStr">
        <is>
          <t>Market remains active but increasingly differentiated by developer, micro-location, livability, and pricing discipline.</t>
        </is>
      </c>
      <c r="AM114" s="9" t="n">
        <v>9</v>
      </c>
      <c r="AN114" s="9" t="n">
        <v>5.25</v>
      </c>
      <c r="AO114" s="10" t="n">
        <v>0.55</v>
      </c>
      <c r="AP114" s="13" t="n">
        <v>0</v>
      </c>
      <c r="AQ114" s="13" t="n">
        <v>0</v>
      </c>
      <c r="AR114" s="13" t="n">
        <v>0</v>
      </c>
      <c r="AS114" s="13" t="n">
        <v>0.01</v>
      </c>
      <c r="AT114" s="13" t="n">
        <v>0.005</v>
      </c>
      <c r="AU114" s="13" t="n">
        <v>0</v>
      </c>
      <c r="AV114" s="13" t="n">
        <v>-0.005</v>
      </c>
      <c r="AW114" s="13" t="n">
        <v>0.0495</v>
      </c>
      <c r="AX114" s="13" t="n">
        <v>0.009999999999999998</v>
      </c>
      <c r="AY114" s="12" t="n">
        <v>2137832</v>
      </c>
      <c r="AZ114" s="12" t="n">
        <v>2203950</v>
      </c>
      <c r="BA114" s="12" t="n">
        <v>2270068</v>
      </c>
      <c r="BB114" s="12" t="n">
        <v>2159871</v>
      </c>
      <c r="BC114" s="12" t="n">
        <v>2225990</v>
      </c>
      <c r="BD114" s="12" t="n">
        <v>2292108</v>
      </c>
      <c r="BE114" s="12" t="n">
        <v>2248249</v>
      </c>
      <c r="BF114" t="inlineStr">
        <is>
          <t>Frozen values from same rules-based model as formula sheet.</t>
        </is>
      </c>
      <c r="BG114" t="inlineStr">
        <is>
          <t>2026-03-17</t>
        </is>
      </c>
      <c r="BH114" t="inlineStr">
        <is>
          <t>DLD / Digital Dubai / CBUAE / Savills / Knight Frank-Moody’s / Reuters</t>
        </is>
      </c>
    </row>
    <row r="115">
      <c r="A115" t="n">
        <v>114</v>
      </c>
      <c r="B115" t="inlineStr">
        <is>
          <t>Rahaal</t>
        </is>
      </c>
      <c r="C115" t="inlineStr">
        <is>
          <t>Meraas</t>
        </is>
      </c>
      <c r="D115" t="inlineStr">
        <is>
          <t>Madinat Jumeirah Living</t>
        </is>
      </c>
      <c r="E115" t="inlineStr">
        <is>
          <t>Apartments</t>
        </is>
      </c>
      <c r="F115" t="inlineStr">
        <is>
          <t>Luxury / View</t>
        </is>
      </c>
      <c r="G115" t="inlineStr">
        <is>
          <t>Resale (2.2M+)</t>
        </is>
      </c>
      <c r="H115" t="inlineStr">
        <is>
          <t>2500</t>
        </is>
      </c>
      <c r="I115" t="inlineStr">
        <is>
          <t>25</t>
        </is>
      </c>
      <c r="J115" t="inlineStr">
        <is>
          <t>Completed</t>
        </is>
      </c>
      <c r="K115" t="inlineStr">
        <is>
          <t>2019</t>
        </is>
      </c>
      <c r="L115" t="inlineStr">
        <is>
          <t>5.5-6.0</t>
        </is>
      </c>
      <c r="M115" t="inlineStr">
        <is>
          <t>6-8</t>
        </is>
      </c>
      <c r="N115" t="inlineStr">
        <is>
          <t>11.5-14.0</t>
        </is>
      </c>
      <c r="O115" t="inlineStr">
        <is>
          <t>Kings' School Dubai</t>
        </is>
      </c>
      <c r="P115" t="inlineStr">
        <is>
          <t>Saudi German Hospital</t>
        </is>
      </c>
      <c r="Q115" t="inlineStr">
        <is>
          <t>Mall of Emirates</t>
        </is>
      </c>
      <c r="R115" t="inlineStr">
        <is>
          <t>Umm Suqeim St</t>
        </is>
      </c>
      <c r="S115" t="inlineStr">
        <is>
          <t>15</t>
        </is>
      </c>
      <c r="T115" t="inlineStr">
        <is>
          <t>10</t>
        </is>
      </c>
      <c r="U115" t="inlineStr">
        <is>
          <t>25</t>
        </is>
      </c>
      <c r="V115" t="inlineStr">
        <is>
          <t>30</t>
        </is>
      </c>
      <c r="W115" t="n">
        <v>2</v>
      </c>
      <c r="X115" s="12" t="n">
        <v>2200000</v>
      </c>
      <c r="Y115" s="12" t="n">
        <v>2200000</v>
      </c>
      <c r="Z115" s="9" t="n">
        <v>5.5</v>
      </c>
      <c r="AA115" s="9" t="n">
        <v>6</v>
      </c>
      <c r="AB115" s="9" t="n">
        <v>6</v>
      </c>
      <c r="AC115" s="9" t="n">
        <v>8</v>
      </c>
      <c r="AD115" s="9" t="n">
        <v>11.5</v>
      </c>
      <c r="AE115" s="9" t="n">
        <v>14</v>
      </c>
      <c r="AF115" t="n">
        <v>2019</v>
      </c>
      <c r="AH115" t="inlineStr">
        <is>
          <t>Apartment</t>
        </is>
      </c>
      <c r="AI115" t="inlineStr">
        <is>
          <t>MainstreamSelective</t>
        </is>
      </c>
      <c r="AJ115" t="inlineStr">
        <is>
          <t>TopTier</t>
        </is>
      </c>
      <c r="AK115" t="inlineStr">
        <is>
          <t>Balanced / selective</t>
        </is>
      </c>
      <c r="AL115" t="inlineStr">
        <is>
          <t>Market remains active but increasingly differentiated by developer, micro-location, livability, and pricing discipline.</t>
        </is>
      </c>
      <c r="AM115" s="9" t="n">
        <v>7</v>
      </c>
      <c r="AN115" s="9" t="n">
        <v>5.75</v>
      </c>
      <c r="AO115" s="10" t="n">
        <v>0.55</v>
      </c>
      <c r="AP115" s="13" t="n">
        <v>0</v>
      </c>
      <c r="AQ115" s="13" t="n">
        <v>0</v>
      </c>
      <c r="AR115" s="13" t="n">
        <v>0</v>
      </c>
      <c r="AS115" s="13" t="n">
        <v>0.01</v>
      </c>
      <c r="AT115" s="13" t="n">
        <v>0.005</v>
      </c>
      <c r="AU115" s="13" t="n">
        <v>0</v>
      </c>
      <c r="AV115" s="13" t="n">
        <v>-0.005</v>
      </c>
      <c r="AW115" s="13" t="n">
        <v>0.03850000000000001</v>
      </c>
      <c r="AX115" s="13" t="n">
        <v>0.009999999999999998</v>
      </c>
      <c r="AY115" s="12" t="n">
        <v>2216159</v>
      </c>
      <c r="AZ115" s="12" t="n">
        <v>2284700</v>
      </c>
      <c r="BA115" s="12" t="n">
        <v>2353241</v>
      </c>
      <c r="BB115" s="12" t="n">
        <v>2239006</v>
      </c>
      <c r="BC115" s="12" t="n">
        <v>2307547</v>
      </c>
      <c r="BD115" s="12" t="n">
        <v>2376088</v>
      </c>
      <c r="BE115" s="12" t="n">
        <v>2330622</v>
      </c>
      <c r="BF115" t="inlineStr">
        <is>
          <t>Frozen values from same rules-based model as formula sheet.</t>
        </is>
      </c>
      <c r="BG115" t="inlineStr">
        <is>
          <t>2026-03-17</t>
        </is>
      </c>
      <c r="BH115" t="inlineStr">
        <is>
          <t>DLD / Digital Dubai / CBUAE / Savills / Knight Frank-Moody’s / Reuters</t>
        </is>
      </c>
    </row>
    <row r="116">
      <c r="A116" t="n">
        <v>115</v>
      </c>
      <c r="B116" t="inlineStr">
        <is>
          <t>Asayel</t>
        </is>
      </c>
      <c r="C116" t="inlineStr">
        <is>
          <t>Meraas</t>
        </is>
      </c>
      <c r="D116" t="inlineStr">
        <is>
          <t>Madinat Jumeirah Living</t>
        </is>
      </c>
      <c r="E116" t="inlineStr">
        <is>
          <t>Apartments</t>
        </is>
      </c>
      <c r="F116" t="inlineStr">
        <is>
          <t>Luxury / View</t>
        </is>
      </c>
      <c r="G116" t="inlineStr">
        <is>
          <t>Resale (2.2M+)</t>
        </is>
      </c>
      <c r="H116" t="inlineStr">
        <is>
          <t>2500</t>
        </is>
      </c>
      <c r="I116" t="inlineStr">
        <is>
          <t>25</t>
        </is>
      </c>
      <c r="J116" t="inlineStr">
        <is>
          <t>Completed</t>
        </is>
      </c>
      <c r="K116" t="inlineStr">
        <is>
          <t>2020</t>
        </is>
      </c>
      <c r="L116" t="inlineStr">
        <is>
          <t>5.5-6.0</t>
        </is>
      </c>
      <c r="M116" t="inlineStr">
        <is>
          <t>6-8</t>
        </is>
      </c>
      <c r="N116" t="inlineStr">
        <is>
          <t>11.5-14.0</t>
        </is>
      </c>
      <c r="O116" t="inlineStr">
        <is>
          <t>Kings' School Dubai</t>
        </is>
      </c>
      <c r="P116" t="inlineStr">
        <is>
          <t>Saudi German Hospital</t>
        </is>
      </c>
      <c r="Q116" t="inlineStr">
        <is>
          <t>Mall of Emirates</t>
        </is>
      </c>
      <c r="R116" t="inlineStr">
        <is>
          <t>Umm Suqeim St</t>
        </is>
      </c>
      <c r="S116" t="inlineStr">
        <is>
          <t>15</t>
        </is>
      </c>
      <c r="T116" t="inlineStr">
        <is>
          <t>10</t>
        </is>
      </c>
      <c r="U116" t="inlineStr">
        <is>
          <t>25</t>
        </is>
      </c>
      <c r="V116" t="inlineStr">
        <is>
          <t>30</t>
        </is>
      </c>
      <c r="W116" t="n">
        <v>2</v>
      </c>
      <c r="X116" s="12" t="n">
        <v>2200000</v>
      </c>
      <c r="Y116" s="12" t="n">
        <v>2200000</v>
      </c>
      <c r="Z116" s="9" t="n">
        <v>5.5</v>
      </c>
      <c r="AA116" s="9" t="n">
        <v>6</v>
      </c>
      <c r="AB116" s="9" t="n">
        <v>6</v>
      </c>
      <c r="AC116" s="9" t="n">
        <v>8</v>
      </c>
      <c r="AD116" s="9" t="n">
        <v>11.5</v>
      </c>
      <c r="AE116" s="9" t="n">
        <v>14</v>
      </c>
      <c r="AF116" t="n">
        <v>2020</v>
      </c>
      <c r="AH116" t="inlineStr">
        <is>
          <t>Apartment</t>
        </is>
      </c>
      <c r="AI116" t="inlineStr">
        <is>
          <t>MainstreamSelective</t>
        </is>
      </c>
      <c r="AJ116" t="inlineStr">
        <is>
          <t>TopTier</t>
        </is>
      </c>
      <c r="AK116" t="inlineStr">
        <is>
          <t>Balanced / selective</t>
        </is>
      </c>
      <c r="AL116" t="inlineStr">
        <is>
          <t>Market remains active but increasingly differentiated by developer, micro-location, livability, and pricing discipline.</t>
        </is>
      </c>
      <c r="AM116" s="9" t="n">
        <v>7</v>
      </c>
      <c r="AN116" s="9" t="n">
        <v>5.75</v>
      </c>
      <c r="AO116" s="10" t="n">
        <v>0.55</v>
      </c>
      <c r="AP116" s="13" t="n">
        <v>0</v>
      </c>
      <c r="AQ116" s="13" t="n">
        <v>0</v>
      </c>
      <c r="AR116" s="13" t="n">
        <v>0</v>
      </c>
      <c r="AS116" s="13" t="n">
        <v>0.01</v>
      </c>
      <c r="AT116" s="13" t="n">
        <v>0.005</v>
      </c>
      <c r="AU116" s="13" t="n">
        <v>0</v>
      </c>
      <c r="AV116" s="13" t="n">
        <v>-0.005</v>
      </c>
      <c r="AW116" s="13" t="n">
        <v>0.03850000000000001</v>
      </c>
      <c r="AX116" s="13" t="n">
        <v>0.009999999999999998</v>
      </c>
      <c r="AY116" s="12" t="n">
        <v>2216159</v>
      </c>
      <c r="AZ116" s="12" t="n">
        <v>2284700</v>
      </c>
      <c r="BA116" s="12" t="n">
        <v>2353241</v>
      </c>
      <c r="BB116" s="12" t="n">
        <v>2239006</v>
      </c>
      <c r="BC116" s="12" t="n">
        <v>2307547</v>
      </c>
      <c r="BD116" s="12" t="n">
        <v>2376088</v>
      </c>
      <c r="BE116" s="12" t="n">
        <v>2330622</v>
      </c>
      <c r="BF116" t="inlineStr">
        <is>
          <t>Frozen values from same rules-based model as formula sheet.</t>
        </is>
      </c>
      <c r="BG116" t="inlineStr">
        <is>
          <t>2026-03-17</t>
        </is>
      </c>
      <c r="BH116" t="inlineStr">
        <is>
          <t>DLD / Digital Dubai / CBUAE / Savills / Knight Frank-Moody’s / Reuters</t>
        </is>
      </c>
    </row>
    <row r="117">
      <c r="A117" t="n">
        <v>116</v>
      </c>
      <c r="B117" t="inlineStr">
        <is>
          <t>The Acres Phase 1</t>
        </is>
      </c>
      <c r="C117" t="inlineStr">
        <is>
          <t>Meraas</t>
        </is>
      </c>
      <c r="D117" t="inlineStr">
        <is>
          <t>Dubailand / Plantation</t>
        </is>
      </c>
      <c r="E117" t="inlineStr">
        <is>
          <t>Villas</t>
        </is>
      </c>
      <c r="F117" t="inlineStr">
        <is>
          <t>Nature / Eco</t>
        </is>
      </c>
      <c r="G117" t="inlineStr">
        <is>
          <t>5.5M</t>
        </is>
      </c>
      <c r="H117" t="inlineStr">
        <is>
          <t>1500</t>
        </is>
      </c>
      <c r="I117" t="inlineStr">
        <is>
          <t>18</t>
        </is>
      </c>
      <c r="J117" t="inlineStr">
        <is>
          <t>65/35</t>
        </is>
      </c>
      <c r="K117" t="inlineStr">
        <is>
          <t>2024</t>
        </is>
      </c>
      <c r="L117" t="inlineStr">
        <is>
          <t>5.0-5.5</t>
        </is>
      </c>
      <c r="M117" t="inlineStr">
        <is>
          <t>10-15</t>
        </is>
      </c>
      <c r="N117" t="inlineStr">
        <is>
          <t>15.0-20.5</t>
        </is>
      </c>
      <c r="O117" t="inlineStr">
        <is>
          <t>GEMS Winchester</t>
        </is>
      </c>
      <c r="P117" t="inlineStr">
        <is>
          <t>Fakeeh University Hosp</t>
        </is>
      </c>
      <c r="Q117" t="inlineStr">
        <is>
          <t>Dubai Outlet Mall</t>
        </is>
      </c>
      <c r="R117" t="inlineStr">
        <is>
          <t>E611 / Al Ain Rd</t>
        </is>
      </c>
      <c r="S117" t="inlineStr">
        <is>
          <t>20</t>
        </is>
      </c>
      <c r="T117" t="inlineStr">
        <is>
          <t>25</t>
        </is>
      </c>
      <c r="U117" t="inlineStr">
        <is>
          <t>25</t>
        </is>
      </c>
      <c r="V117" t="inlineStr">
        <is>
          <t>30</t>
        </is>
      </c>
      <c r="W117" t="n">
        <v>2</v>
      </c>
      <c r="X117" s="12" t="n">
        <v>5500000</v>
      </c>
      <c r="Y117" s="12" t="n">
        <v>5500000</v>
      </c>
      <c r="Z117" s="9" t="n">
        <v>5</v>
      </c>
      <c r="AA117" s="9" t="n">
        <v>5.5</v>
      </c>
      <c r="AB117" s="9" t="n">
        <v>10</v>
      </c>
      <c r="AC117" s="9" t="n">
        <v>15</v>
      </c>
      <c r="AD117" s="9" t="n">
        <v>15</v>
      </c>
      <c r="AE117" s="9" t="n">
        <v>20.5</v>
      </c>
      <c r="AF117" t="n">
        <v>2024</v>
      </c>
      <c r="AH117" t="inlineStr">
        <is>
          <t>Villa</t>
        </is>
      </c>
      <c r="AI117" t="inlineStr">
        <is>
          <t>MainstreamSelective</t>
        </is>
      </c>
      <c r="AJ117" t="inlineStr">
        <is>
          <t>TopTier</t>
        </is>
      </c>
      <c r="AK117" t="inlineStr">
        <is>
          <t>Family-villa resilient</t>
        </is>
      </c>
      <c r="AL117" t="inlineStr">
        <is>
          <t>Villa/townhouse demand remains relatively firmer, though growth should be slower than the post-2020 surge.</t>
        </is>
      </c>
      <c r="AM117" s="9" t="n">
        <v>12.5</v>
      </c>
      <c r="AN117" s="9" t="n">
        <v>5.25</v>
      </c>
      <c r="AO117" s="10" t="n">
        <v>0.55</v>
      </c>
      <c r="AP117" s="13" t="n">
        <v>0</v>
      </c>
      <c r="AQ117" s="13" t="n">
        <v>0.015</v>
      </c>
      <c r="AR117" s="13" t="n">
        <v>0</v>
      </c>
      <c r="AS117" s="13" t="n">
        <v>0.025</v>
      </c>
      <c r="AT117" s="13" t="n">
        <v>0.005</v>
      </c>
      <c r="AU117" s="13" t="n">
        <v>0</v>
      </c>
      <c r="AV117" s="13" t="n">
        <v>-0.005</v>
      </c>
      <c r="AW117" s="13" t="n">
        <v>0.08375</v>
      </c>
      <c r="AX117" s="13" t="n">
        <v>0.025</v>
      </c>
      <c r="AY117" s="12" t="n">
        <v>5781806</v>
      </c>
      <c r="AZ117" s="12" t="n">
        <v>5960625</v>
      </c>
      <c r="BA117" s="12" t="n">
        <v>6139444</v>
      </c>
      <c r="BB117" s="12" t="n">
        <v>5930822</v>
      </c>
      <c r="BC117" s="12" t="n">
        <v>6109641</v>
      </c>
      <c r="BD117" s="12" t="n">
        <v>6288459</v>
      </c>
      <c r="BE117" s="12" t="n">
        <v>6262382</v>
      </c>
      <c r="BF117" t="inlineStr">
        <is>
          <t>Frozen values from same rules-based model as formula sheet.</t>
        </is>
      </c>
      <c r="BG117" t="inlineStr">
        <is>
          <t>2026-03-17</t>
        </is>
      </c>
      <c r="BH117" t="inlineStr">
        <is>
          <t>DLD / Digital Dubai / CBUAE / Savills / Knight Frank-Moody’s / Reuters</t>
        </is>
      </c>
    </row>
    <row r="118">
      <c r="A118" t="n">
        <v>117</v>
      </c>
      <c r="B118" t="inlineStr">
        <is>
          <t>The Acres Phase 2</t>
        </is>
      </c>
      <c r="C118" t="inlineStr">
        <is>
          <t>Meraas</t>
        </is>
      </c>
      <c r="D118" t="inlineStr">
        <is>
          <t>Dubailand / Plantation</t>
        </is>
      </c>
      <c r="E118" t="inlineStr">
        <is>
          <t>Villas</t>
        </is>
      </c>
      <c r="F118" t="inlineStr">
        <is>
          <t>Nature / Eco</t>
        </is>
      </c>
      <c r="G118" t="inlineStr">
        <is>
          <t>6.0M</t>
        </is>
      </c>
      <c r="H118" t="inlineStr">
        <is>
          <t>1550</t>
        </is>
      </c>
      <c r="I118" t="inlineStr">
        <is>
          <t>18</t>
        </is>
      </c>
      <c r="J118" t="inlineStr">
        <is>
          <t>65/35</t>
        </is>
      </c>
      <c r="K118" t="inlineStr">
        <is>
          <t>2024</t>
        </is>
      </c>
      <c r="L118" t="inlineStr">
        <is>
          <t>5.0-5.5</t>
        </is>
      </c>
      <c r="M118" t="inlineStr">
        <is>
          <t>10-15</t>
        </is>
      </c>
      <c r="N118" t="inlineStr">
        <is>
          <t>15.0-20.5</t>
        </is>
      </c>
      <c r="O118" t="inlineStr">
        <is>
          <t>GEMS Winchester</t>
        </is>
      </c>
      <c r="P118" t="inlineStr">
        <is>
          <t>Fakeeh University Hosp</t>
        </is>
      </c>
      <c r="Q118" t="inlineStr">
        <is>
          <t>Dubai Outlet Mall</t>
        </is>
      </c>
      <c r="R118" t="inlineStr">
        <is>
          <t>E611 / Al Ain Rd</t>
        </is>
      </c>
      <c r="S118" t="inlineStr">
        <is>
          <t>20</t>
        </is>
      </c>
      <c r="T118" t="inlineStr">
        <is>
          <t>25</t>
        </is>
      </c>
      <c r="U118" t="inlineStr">
        <is>
          <t>25</t>
        </is>
      </c>
      <c r="V118" t="inlineStr">
        <is>
          <t>30</t>
        </is>
      </c>
      <c r="W118" t="n">
        <v>2</v>
      </c>
      <c r="X118" s="12" t="n">
        <v>6000000</v>
      </c>
      <c r="Y118" s="12" t="n">
        <v>6000000</v>
      </c>
      <c r="Z118" s="9" t="n">
        <v>5</v>
      </c>
      <c r="AA118" s="9" t="n">
        <v>5.5</v>
      </c>
      <c r="AB118" s="9" t="n">
        <v>10</v>
      </c>
      <c r="AC118" s="9" t="n">
        <v>15</v>
      </c>
      <c r="AD118" s="9" t="n">
        <v>15</v>
      </c>
      <c r="AE118" s="9" t="n">
        <v>20.5</v>
      </c>
      <c r="AF118" t="n">
        <v>2024</v>
      </c>
      <c r="AH118" t="inlineStr">
        <is>
          <t>Villa</t>
        </is>
      </c>
      <c r="AI118" t="inlineStr">
        <is>
          <t>MainstreamSelective</t>
        </is>
      </c>
      <c r="AJ118" t="inlineStr">
        <is>
          <t>TopTier</t>
        </is>
      </c>
      <c r="AK118" t="inlineStr">
        <is>
          <t>Family-villa resilient</t>
        </is>
      </c>
      <c r="AL118" t="inlineStr">
        <is>
          <t>Villa/townhouse demand remains relatively firmer, though growth should be slower than the post-2020 surge.</t>
        </is>
      </c>
      <c r="AM118" s="9" t="n">
        <v>12.5</v>
      </c>
      <c r="AN118" s="9" t="n">
        <v>5.25</v>
      </c>
      <c r="AO118" s="10" t="n">
        <v>0.55</v>
      </c>
      <c r="AP118" s="13" t="n">
        <v>0</v>
      </c>
      <c r="AQ118" s="13" t="n">
        <v>0.015</v>
      </c>
      <c r="AR118" s="13" t="n">
        <v>0</v>
      </c>
      <c r="AS118" s="13" t="n">
        <v>0.025</v>
      </c>
      <c r="AT118" s="13" t="n">
        <v>0.005</v>
      </c>
      <c r="AU118" s="13" t="n">
        <v>0</v>
      </c>
      <c r="AV118" s="13" t="n">
        <v>-0.005</v>
      </c>
      <c r="AW118" s="13" t="n">
        <v>0.08375</v>
      </c>
      <c r="AX118" s="13" t="n">
        <v>0.025</v>
      </c>
      <c r="AY118" s="12" t="n">
        <v>6307425</v>
      </c>
      <c r="AZ118" s="12" t="n">
        <v>6502500</v>
      </c>
      <c r="BA118" s="12" t="n">
        <v>6697575</v>
      </c>
      <c r="BB118" s="12" t="n">
        <v>6469987</v>
      </c>
      <c r="BC118" s="12" t="n">
        <v>6665062</v>
      </c>
      <c r="BD118" s="12" t="n">
        <v>6860138</v>
      </c>
      <c r="BE118" s="12" t="n">
        <v>6831689</v>
      </c>
      <c r="BF118" t="inlineStr">
        <is>
          <t>Frozen values from same rules-based model as formula sheet.</t>
        </is>
      </c>
      <c r="BG118" t="inlineStr">
        <is>
          <t>2026-03-17</t>
        </is>
      </c>
      <c r="BH118" t="inlineStr">
        <is>
          <t>DLD / Digital Dubai / CBUAE / Savills / Knight Frank-Moody’s / Reuters</t>
        </is>
      </c>
    </row>
    <row r="119">
      <c r="A119" t="n">
        <v>118</v>
      </c>
      <c r="B119" t="inlineStr">
        <is>
          <t>Nad Al Sheba Gardens Ph 1</t>
        </is>
      </c>
      <c r="C119" t="inlineStr">
        <is>
          <t>Meraas</t>
        </is>
      </c>
      <c r="D119" t="inlineStr">
        <is>
          <t>Nad Al Sheba</t>
        </is>
      </c>
      <c r="E119" t="inlineStr">
        <is>
          <t>Townhouses &amp; Villas</t>
        </is>
      </c>
      <c r="F119" t="inlineStr">
        <is>
          <t>Gated / Design</t>
        </is>
      </c>
      <c r="G119" t="inlineStr">
        <is>
          <t>3.2M</t>
        </is>
      </c>
      <c r="H119" t="inlineStr">
        <is>
          <t>1400</t>
        </is>
      </c>
      <c r="I119" t="inlineStr">
        <is>
          <t>15</t>
        </is>
      </c>
      <c r="J119" t="inlineStr">
        <is>
          <t>50/50</t>
        </is>
      </c>
      <c r="K119" t="inlineStr">
        <is>
          <t>2022</t>
        </is>
      </c>
      <c r="L119" t="inlineStr">
        <is>
          <t>6.0-6.5</t>
        </is>
      </c>
      <c r="M119" t="inlineStr">
        <is>
          <t>8-10</t>
        </is>
      </c>
      <c r="N119" t="inlineStr">
        <is>
          <t>14.0-16.5</t>
        </is>
      </c>
      <c r="O119" t="inlineStr">
        <is>
          <t>Repton School</t>
        </is>
      </c>
      <c r="P119" t="inlineStr">
        <is>
          <t>Nad Al Sheba Health</t>
        </is>
      </c>
      <c r="Q119" t="inlineStr">
        <is>
          <t>Meydan One (Planned)</t>
        </is>
      </c>
      <c r="R119" t="inlineStr">
        <is>
          <t>Al Ain Rd E66</t>
        </is>
      </c>
      <c r="S119" t="inlineStr">
        <is>
          <t>15</t>
        </is>
      </c>
      <c r="T119" t="inlineStr">
        <is>
          <t>20</t>
        </is>
      </c>
      <c r="U119" t="inlineStr">
        <is>
          <t>20</t>
        </is>
      </c>
      <c r="V119" t="inlineStr">
        <is>
          <t>30</t>
        </is>
      </c>
      <c r="W119" t="n">
        <v>2</v>
      </c>
      <c r="X119" s="12" t="n">
        <v>3200000</v>
      </c>
      <c r="Y119" s="12" t="n">
        <v>3200000</v>
      </c>
      <c r="Z119" s="9" t="n">
        <v>6</v>
      </c>
      <c r="AA119" s="9" t="n">
        <v>6.5</v>
      </c>
      <c r="AB119" s="9" t="n">
        <v>8</v>
      </c>
      <c r="AC119" s="9" t="n">
        <v>10</v>
      </c>
      <c r="AD119" s="9" t="n">
        <v>14</v>
      </c>
      <c r="AE119" s="9" t="n">
        <v>16.5</v>
      </c>
      <c r="AF119" t="n">
        <v>2022</v>
      </c>
      <c r="AH119" t="inlineStr">
        <is>
          <t>Villa/Townhouse</t>
        </is>
      </c>
      <c r="AI119" t="inlineStr">
        <is>
          <t>MainstreamSelective</t>
        </is>
      </c>
      <c r="AJ119" t="inlineStr">
        <is>
          <t>TopTier</t>
        </is>
      </c>
      <c r="AK119" t="inlineStr">
        <is>
          <t>Family-villa resilient</t>
        </is>
      </c>
      <c r="AL119" t="inlineStr">
        <is>
          <t>Villa/townhouse demand remains relatively firmer, though growth should be slower than the post-2020 surge.</t>
        </is>
      </c>
      <c r="AM119" s="9" t="n">
        <v>9</v>
      </c>
      <c r="AN119" s="9" t="n">
        <v>6.25</v>
      </c>
      <c r="AO119" s="10" t="n">
        <v>0.55</v>
      </c>
      <c r="AP119" s="13" t="n">
        <v>0</v>
      </c>
      <c r="AQ119" s="13" t="n">
        <v>0.015</v>
      </c>
      <c r="AR119" s="13" t="n">
        <v>0</v>
      </c>
      <c r="AS119" s="13" t="n">
        <v>0.025</v>
      </c>
      <c r="AT119" s="13" t="n">
        <v>0.005</v>
      </c>
      <c r="AU119" s="13" t="n">
        <v>0.0025</v>
      </c>
      <c r="AV119" s="13" t="n">
        <v>-0.005</v>
      </c>
      <c r="AW119" s="13" t="n">
        <v>0.0645</v>
      </c>
      <c r="AX119" s="13" t="n">
        <v>0.0275</v>
      </c>
      <c r="AY119" s="12" t="n">
        <v>3304208</v>
      </c>
      <c r="AZ119" s="12" t="n">
        <v>3406400</v>
      </c>
      <c r="BA119" s="12" t="n">
        <v>3508592</v>
      </c>
      <c r="BB119" s="12" t="n">
        <v>3397884</v>
      </c>
      <c r="BC119" s="12" t="n">
        <v>3500076</v>
      </c>
      <c r="BD119" s="12" t="n">
        <v>3602268</v>
      </c>
      <c r="BE119" s="12" t="n">
        <v>3596328</v>
      </c>
      <c r="BF119" t="inlineStr">
        <is>
          <t>Frozen values from same rules-based model as formula sheet.</t>
        </is>
      </c>
      <c r="BG119" t="inlineStr">
        <is>
          <t>2026-03-17</t>
        </is>
      </c>
      <c r="BH119" t="inlineStr">
        <is>
          <t>DLD / Digital Dubai / CBUAE / Savills / Knight Frank-Moody’s / Reuters</t>
        </is>
      </c>
    </row>
    <row r="120">
      <c r="A120" t="n">
        <v>119</v>
      </c>
      <c r="B120" t="inlineStr">
        <is>
          <t>Nad Al Sheba Gardens Ph 2</t>
        </is>
      </c>
      <c r="C120" t="inlineStr">
        <is>
          <t>Meraas</t>
        </is>
      </c>
      <c r="D120" t="inlineStr">
        <is>
          <t>Nad Al Sheba</t>
        </is>
      </c>
      <c r="E120" t="inlineStr">
        <is>
          <t>Townhouses &amp; Villas</t>
        </is>
      </c>
      <c r="F120" t="inlineStr">
        <is>
          <t>Gated / Design</t>
        </is>
      </c>
      <c r="G120" t="inlineStr">
        <is>
          <t>3.4M</t>
        </is>
      </c>
      <c r="H120" t="inlineStr">
        <is>
          <t>1450</t>
        </is>
      </c>
      <c r="I120" t="inlineStr">
        <is>
          <t>15</t>
        </is>
      </c>
      <c r="J120" t="inlineStr">
        <is>
          <t>50/50</t>
        </is>
      </c>
      <c r="K120" t="inlineStr">
        <is>
          <t>2022</t>
        </is>
      </c>
      <c r="L120" t="inlineStr">
        <is>
          <t>6.0-6.5</t>
        </is>
      </c>
      <c r="M120" t="inlineStr">
        <is>
          <t>8-10</t>
        </is>
      </c>
      <c r="N120" t="inlineStr">
        <is>
          <t>14.0-16.5</t>
        </is>
      </c>
      <c r="O120" t="inlineStr">
        <is>
          <t>Repton School</t>
        </is>
      </c>
      <c r="P120" t="inlineStr">
        <is>
          <t>Nad Al Sheba Health</t>
        </is>
      </c>
      <c r="Q120" t="inlineStr">
        <is>
          <t>Meydan One (Planned)</t>
        </is>
      </c>
      <c r="R120" t="inlineStr">
        <is>
          <t>Al Ain Rd E66</t>
        </is>
      </c>
      <c r="S120" t="inlineStr">
        <is>
          <t>15</t>
        </is>
      </c>
      <c r="T120" t="inlineStr">
        <is>
          <t>20</t>
        </is>
      </c>
      <c r="U120" t="inlineStr">
        <is>
          <t>20</t>
        </is>
      </c>
      <c r="V120" t="inlineStr">
        <is>
          <t>30</t>
        </is>
      </c>
      <c r="W120" t="n">
        <v>2</v>
      </c>
      <c r="X120" s="12" t="n">
        <v>3400000</v>
      </c>
      <c r="Y120" s="12" t="n">
        <v>3400000</v>
      </c>
      <c r="Z120" s="9" t="n">
        <v>6</v>
      </c>
      <c r="AA120" s="9" t="n">
        <v>6.5</v>
      </c>
      <c r="AB120" s="9" t="n">
        <v>8</v>
      </c>
      <c r="AC120" s="9" t="n">
        <v>10</v>
      </c>
      <c r="AD120" s="9" t="n">
        <v>14</v>
      </c>
      <c r="AE120" s="9" t="n">
        <v>16.5</v>
      </c>
      <c r="AF120" t="n">
        <v>2022</v>
      </c>
      <c r="AH120" t="inlineStr">
        <is>
          <t>Villa/Townhouse</t>
        </is>
      </c>
      <c r="AI120" t="inlineStr">
        <is>
          <t>MainstreamSelective</t>
        </is>
      </c>
      <c r="AJ120" t="inlineStr">
        <is>
          <t>TopTier</t>
        </is>
      </c>
      <c r="AK120" t="inlineStr">
        <is>
          <t>Family-villa resilient</t>
        </is>
      </c>
      <c r="AL120" t="inlineStr">
        <is>
          <t>Villa/townhouse demand remains relatively firmer, though growth should be slower than the post-2020 surge.</t>
        </is>
      </c>
      <c r="AM120" s="9" t="n">
        <v>9</v>
      </c>
      <c r="AN120" s="9" t="n">
        <v>6.25</v>
      </c>
      <c r="AO120" s="10" t="n">
        <v>0.55</v>
      </c>
      <c r="AP120" s="13" t="n">
        <v>0</v>
      </c>
      <c r="AQ120" s="13" t="n">
        <v>0.015</v>
      </c>
      <c r="AR120" s="13" t="n">
        <v>0</v>
      </c>
      <c r="AS120" s="13" t="n">
        <v>0.025</v>
      </c>
      <c r="AT120" s="13" t="n">
        <v>0.005</v>
      </c>
      <c r="AU120" s="13" t="n">
        <v>0.0025</v>
      </c>
      <c r="AV120" s="13" t="n">
        <v>-0.005</v>
      </c>
      <c r="AW120" s="13" t="n">
        <v>0.0645</v>
      </c>
      <c r="AX120" s="13" t="n">
        <v>0.0275</v>
      </c>
      <c r="AY120" s="12" t="n">
        <v>3510721</v>
      </c>
      <c r="AZ120" s="12" t="n">
        <v>3619300</v>
      </c>
      <c r="BA120" s="12" t="n">
        <v>3727879</v>
      </c>
      <c r="BB120" s="12" t="n">
        <v>3610252</v>
      </c>
      <c r="BC120" s="12" t="n">
        <v>3718831</v>
      </c>
      <c r="BD120" s="12" t="n">
        <v>3827410</v>
      </c>
      <c r="BE120" s="12" t="n">
        <v>3821099</v>
      </c>
      <c r="BF120" t="inlineStr">
        <is>
          <t>Frozen values from same rules-based model as formula sheet.</t>
        </is>
      </c>
      <c r="BG120" t="inlineStr">
        <is>
          <t>2026-03-17</t>
        </is>
      </c>
      <c r="BH120" t="inlineStr">
        <is>
          <t>DLD / Digital Dubai / CBUAE / Savills / Knight Frank-Moody’s / Reuters</t>
        </is>
      </c>
    </row>
    <row r="121">
      <c r="A121" t="n">
        <v>120</v>
      </c>
      <c r="B121" t="inlineStr">
        <is>
          <t>Nad Al Sheba Gardens Ph 3</t>
        </is>
      </c>
      <c r="C121" t="inlineStr">
        <is>
          <t>Meraas</t>
        </is>
      </c>
      <c r="D121" t="inlineStr">
        <is>
          <t>Nad Al Sheba</t>
        </is>
      </c>
      <c r="E121" t="inlineStr">
        <is>
          <t>Townhouses &amp; Villas</t>
        </is>
      </c>
      <c r="F121" t="inlineStr">
        <is>
          <t>Gated / Design</t>
        </is>
      </c>
      <c r="G121" t="inlineStr">
        <is>
          <t>3.5M</t>
        </is>
      </c>
      <c r="H121" t="inlineStr">
        <is>
          <t>1500</t>
        </is>
      </c>
      <c r="I121" t="inlineStr">
        <is>
          <t>15</t>
        </is>
      </c>
      <c r="J121" t="inlineStr">
        <is>
          <t>50/50</t>
        </is>
      </c>
      <c r="K121" t="inlineStr">
        <is>
          <t>2023</t>
        </is>
      </c>
      <c r="L121" t="inlineStr">
        <is>
          <t>6.0-6.5</t>
        </is>
      </c>
      <c r="M121" t="inlineStr">
        <is>
          <t>8-10</t>
        </is>
      </c>
      <c r="N121" t="inlineStr">
        <is>
          <t>14.0-16.5</t>
        </is>
      </c>
      <c r="O121" t="inlineStr">
        <is>
          <t>Repton School</t>
        </is>
      </c>
      <c r="P121" t="inlineStr">
        <is>
          <t>Nad Al Sheba Health</t>
        </is>
      </c>
      <c r="Q121" t="inlineStr">
        <is>
          <t>Meydan One (Planned)</t>
        </is>
      </c>
      <c r="R121" t="inlineStr">
        <is>
          <t>Al Ain Rd E66</t>
        </is>
      </c>
      <c r="S121" t="inlineStr">
        <is>
          <t>15</t>
        </is>
      </c>
      <c r="T121" t="inlineStr">
        <is>
          <t>20</t>
        </is>
      </c>
      <c r="U121" t="inlineStr">
        <is>
          <t>20</t>
        </is>
      </c>
      <c r="V121" t="inlineStr">
        <is>
          <t>30</t>
        </is>
      </c>
      <c r="W121" t="n">
        <v>2</v>
      </c>
      <c r="X121" s="12" t="n">
        <v>3500000</v>
      </c>
      <c r="Y121" s="12" t="n">
        <v>3500000</v>
      </c>
      <c r="Z121" s="9" t="n">
        <v>6</v>
      </c>
      <c r="AA121" s="9" t="n">
        <v>6.5</v>
      </c>
      <c r="AB121" s="9" t="n">
        <v>8</v>
      </c>
      <c r="AC121" s="9" t="n">
        <v>10</v>
      </c>
      <c r="AD121" s="9" t="n">
        <v>14</v>
      </c>
      <c r="AE121" s="9" t="n">
        <v>16.5</v>
      </c>
      <c r="AF121" t="n">
        <v>2023</v>
      </c>
      <c r="AH121" t="inlineStr">
        <is>
          <t>Villa/Townhouse</t>
        </is>
      </c>
      <c r="AI121" t="inlineStr">
        <is>
          <t>MainstreamSelective</t>
        </is>
      </c>
      <c r="AJ121" t="inlineStr">
        <is>
          <t>TopTier</t>
        </is>
      </c>
      <c r="AK121" t="inlineStr">
        <is>
          <t>Family-villa resilient</t>
        </is>
      </c>
      <c r="AL121" t="inlineStr">
        <is>
          <t>Villa/townhouse demand remains relatively firmer, though growth should be slower than the post-2020 surge.</t>
        </is>
      </c>
      <c r="AM121" s="9" t="n">
        <v>9</v>
      </c>
      <c r="AN121" s="9" t="n">
        <v>6.25</v>
      </c>
      <c r="AO121" s="10" t="n">
        <v>0.55</v>
      </c>
      <c r="AP121" s="13" t="n">
        <v>0</v>
      </c>
      <c r="AQ121" s="13" t="n">
        <v>0.015</v>
      </c>
      <c r="AR121" s="13" t="n">
        <v>0</v>
      </c>
      <c r="AS121" s="13" t="n">
        <v>0.025</v>
      </c>
      <c r="AT121" s="13" t="n">
        <v>0.005</v>
      </c>
      <c r="AU121" s="13" t="n">
        <v>0.0025</v>
      </c>
      <c r="AV121" s="13" t="n">
        <v>-0.005</v>
      </c>
      <c r="AW121" s="13" t="n">
        <v>0.0645</v>
      </c>
      <c r="AX121" s="13" t="n">
        <v>0.0275</v>
      </c>
      <c r="AY121" s="12" t="n">
        <v>3613978</v>
      </c>
      <c r="AZ121" s="12" t="n">
        <v>3725750</v>
      </c>
      <c r="BA121" s="12" t="n">
        <v>3837522</v>
      </c>
      <c r="BB121" s="12" t="n">
        <v>3716436</v>
      </c>
      <c r="BC121" s="12" t="n">
        <v>3828208</v>
      </c>
      <c r="BD121" s="12" t="n">
        <v>3939981</v>
      </c>
      <c r="BE121" s="12" t="n">
        <v>3933484</v>
      </c>
      <c r="BF121" t="inlineStr">
        <is>
          <t>Frozen values from same rules-based model as formula sheet.</t>
        </is>
      </c>
      <c r="BG121" t="inlineStr">
        <is>
          <t>2026-03-17</t>
        </is>
      </c>
      <c r="BH121" t="inlineStr">
        <is>
          <t>DLD / Digital Dubai / CBUAE / Savills / Knight Frank-Moody’s / Reuters</t>
        </is>
      </c>
    </row>
    <row r="122">
      <c r="A122" t="n">
        <v>121</v>
      </c>
      <c r="B122" t="inlineStr">
        <is>
          <t>Nad Al Sheba Gardens Ph 4</t>
        </is>
      </c>
      <c r="C122" t="inlineStr">
        <is>
          <t>Meraas</t>
        </is>
      </c>
      <c r="D122" t="inlineStr">
        <is>
          <t>Nad Al Sheba</t>
        </is>
      </c>
      <c r="E122" t="inlineStr">
        <is>
          <t>Townhouses &amp; Villas</t>
        </is>
      </c>
      <c r="F122" t="inlineStr">
        <is>
          <t>Gated / Design</t>
        </is>
      </c>
      <c r="G122" t="inlineStr">
        <is>
          <t>3.8M</t>
        </is>
      </c>
      <c r="H122" t="inlineStr">
        <is>
          <t>1600</t>
        </is>
      </c>
      <c r="I122" t="inlineStr">
        <is>
          <t>15</t>
        </is>
      </c>
      <c r="J122" t="inlineStr">
        <is>
          <t>60/40</t>
        </is>
      </c>
      <c r="K122" t="inlineStr">
        <is>
          <t>2023</t>
        </is>
      </c>
      <c r="L122" t="inlineStr">
        <is>
          <t>5.5-6.0</t>
        </is>
      </c>
      <c r="M122" t="inlineStr">
        <is>
          <t>8-10</t>
        </is>
      </c>
      <c r="N122" t="inlineStr">
        <is>
          <t>13.5-16.0</t>
        </is>
      </c>
      <c r="O122" t="inlineStr">
        <is>
          <t>Repton School</t>
        </is>
      </c>
      <c r="P122" t="inlineStr">
        <is>
          <t>Nad Al Sheba Health</t>
        </is>
      </c>
      <c r="Q122" t="inlineStr">
        <is>
          <t>Meydan One (Planned)</t>
        </is>
      </c>
      <c r="R122" t="inlineStr">
        <is>
          <t>Al Ain Rd E66</t>
        </is>
      </c>
      <c r="S122" t="inlineStr">
        <is>
          <t>15</t>
        </is>
      </c>
      <c r="T122" t="inlineStr">
        <is>
          <t>20</t>
        </is>
      </c>
      <c r="U122" t="inlineStr">
        <is>
          <t>20</t>
        </is>
      </c>
      <c r="V122" t="inlineStr">
        <is>
          <t>30</t>
        </is>
      </c>
      <c r="W122" t="n">
        <v>2</v>
      </c>
      <c r="X122" s="12" t="n">
        <v>3800000</v>
      </c>
      <c r="Y122" s="12" t="n">
        <v>3800000</v>
      </c>
      <c r="Z122" s="9" t="n">
        <v>5.5</v>
      </c>
      <c r="AA122" s="9" t="n">
        <v>6</v>
      </c>
      <c r="AB122" s="9" t="n">
        <v>8</v>
      </c>
      <c r="AC122" s="9" t="n">
        <v>10</v>
      </c>
      <c r="AD122" s="9" t="n">
        <v>13.5</v>
      </c>
      <c r="AE122" s="9" t="n">
        <v>16</v>
      </c>
      <c r="AF122" t="n">
        <v>2023</v>
      </c>
      <c r="AH122" t="inlineStr">
        <is>
          <t>Villa/Townhouse</t>
        </is>
      </c>
      <c r="AI122" t="inlineStr">
        <is>
          <t>MainstreamSelective</t>
        </is>
      </c>
      <c r="AJ122" t="inlineStr">
        <is>
          <t>TopTier</t>
        </is>
      </c>
      <c r="AK122" t="inlineStr">
        <is>
          <t>Family-villa resilient</t>
        </is>
      </c>
      <c r="AL122" t="inlineStr">
        <is>
          <t>Villa/townhouse demand remains relatively firmer, though growth should be slower than the post-2020 surge.</t>
        </is>
      </c>
      <c r="AM122" s="9" t="n">
        <v>9</v>
      </c>
      <c r="AN122" s="9" t="n">
        <v>5.75</v>
      </c>
      <c r="AO122" s="10" t="n">
        <v>0.55</v>
      </c>
      <c r="AP122" s="13" t="n">
        <v>0</v>
      </c>
      <c r="AQ122" s="13" t="n">
        <v>0.015</v>
      </c>
      <c r="AR122" s="13" t="n">
        <v>0</v>
      </c>
      <c r="AS122" s="13" t="n">
        <v>0.025</v>
      </c>
      <c r="AT122" s="13" t="n">
        <v>0.005</v>
      </c>
      <c r="AU122" s="13" t="n">
        <v>0</v>
      </c>
      <c r="AV122" s="13" t="n">
        <v>-0.005</v>
      </c>
      <c r="AW122" s="13" t="n">
        <v>0.0645</v>
      </c>
      <c r="AX122" s="13" t="n">
        <v>0.025</v>
      </c>
      <c r="AY122" s="12" t="n">
        <v>3923747</v>
      </c>
      <c r="AZ122" s="12" t="n">
        <v>4045100</v>
      </c>
      <c r="BA122" s="12" t="n">
        <v>4166453</v>
      </c>
      <c r="BB122" s="12" t="n">
        <v>4024874</v>
      </c>
      <c r="BC122" s="12" t="n">
        <v>4146227</v>
      </c>
      <c r="BD122" s="12" t="n">
        <v>4267580</v>
      </c>
      <c r="BE122" s="12" t="n">
        <v>4249883</v>
      </c>
      <c r="BF122" t="inlineStr">
        <is>
          <t>Frozen values from same rules-based model as formula sheet.</t>
        </is>
      </c>
      <c r="BG122" t="inlineStr">
        <is>
          <t>2026-03-17</t>
        </is>
      </c>
      <c r="BH122" t="inlineStr">
        <is>
          <t>DLD / Digital Dubai / CBUAE / Savills / Knight Frank-Moody’s / Reuters</t>
        </is>
      </c>
    </row>
    <row r="123">
      <c r="A123" t="n">
        <v>122</v>
      </c>
      <c r="B123" t="inlineStr">
        <is>
          <t>Nad Al Sheba Gardens Ph 5</t>
        </is>
      </c>
      <c r="C123" t="inlineStr">
        <is>
          <t>Meraas</t>
        </is>
      </c>
      <c r="D123" t="inlineStr">
        <is>
          <t>Nad Al Sheba</t>
        </is>
      </c>
      <c r="E123" t="inlineStr">
        <is>
          <t>Townhouses &amp; Villas</t>
        </is>
      </c>
      <c r="F123" t="inlineStr">
        <is>
          <t>Gated / Design</t>
        </is>
      </c>
      <c r="G123" t="inlineStr">
        <is>
          <t>4.1M</t>
        </is>
      </c>
      <c r="H123" t="inlineStr">
        <is>
          <t>1700</t>
        </is>
      </c>
      <c r="I123" t="inlineStr">
        <is>
          <t>15</t>
        </is>
      </c>
      <c r="J123" t="inlineStr">
        <is>
          <t>60/40</t>
        </is>
      </c>
      <c r="K123" t="inlineStr">
        <is>
          <t>2024</t>
        </is>
      </c>
      <c r="L123" t="inlineStr">
        <is>
          <t>5.5-6.0</t>
        </is>
      </c>
      <c r="M123" t="inlineStr">
        <is>
          <t>8-10</t>
        </is>
      </c>
      <c r="N123" t="inlineStr">
        <is>
          <t>13.5-16.0</t>
        </is>
      </c>
      <c r="O123" t="inlineStr">
        <is>
          <t>Repton School</t>
        </is>
      </c>
      <c r="P123" t="inlineStr">
        <is>
          <t>Nad Al Sheba Health</t>
        </is>
      </c>
      <c r="Q123" t="inlineStr">
        <is>
          <t>Meydan One (Planned)</t>
        </is>
      </c>
      <c r="R123" t="inlineStr">
        <is>
          <t>Al Ain Rd E66</t>
        </is>
      </c>
      <c r="S123" t="inlineStr">
        <is>
          <t>15</t>
        </is>
      </c>
      <c r="T123" t="inlineStr">
        <is>
          <t>20</t>
        </is>
      </c>
      <c r="U123" t="inlineStr">
        <is>
          <t>20</t>
        </is>
      </c>
      <c r="V123" t="inlineStr">
        <is>
          <t>30</t>
        </is>
      </c>
      <c r="W123" t="n">
        <v>2</v>
      </c>
      <c r="X123" s="12" t="n">
        <v>4100000</v>
      </c>
      <c r="Y123" s="12" t="n">
        <v>4100000</v>
      </c>
      <c r="Z123" s="9" t="n">
        <v>5.5</v>
      </c>
      <c r="AA123" s="9" t="n">
        <v>6</v>
      </c>
      <c r="AB123" s="9" t="n">
        <v>8</v>
      </c>
      <c r="AC123" s="9" t="n">
        <v>10</v>
      </c>
      <c r="AD123" s="9" t="n">
        <v>13.5</v>
      </c>
      <c r="AE123" s="9" t="n">
        <v>16</v>
      </c>
      <c r="AF123" t="n">
        <v>2024</v>
      </c>
      <c r="AH123" t="inlineStr">
        <is>
          <t>Villa/Townhouse</t>
        </is>
      </c>
      <c r="AI123" t="inlineStr">
        <is>
          <t>MainstreamSelective</t>
        </is>
      </c>
      <c r="AJ123" t="inlineStr">
        <is>
          <t>TopTier</t>
        </is>
      </c>
      <c r="AK123" t="inlineStr">
        <is>
          <t>Family-villa resilient</t>
        </is>
      </c>
      <c r="AL123" t="inlineStr">
        <is>
          <t>Villa/townhouse demand remains relatively firmer, though growth should be slower than the post-2020 surge.</t>
        </is>
      </c>
      <c r="AM123" s="9" t="n">
        <v>9</v>
      </c>
      <c r="AN123" s="9" t="n">
        <v>5.75</v>
      </c>
      <c r="AO123" s="10" t="n">
        <v>0.55</v>
      </c>
      <c r="AP123" s="13" t="n">
        <v>0</v>
      </c>
      <c r="AQ123" s="13" t="n">
        <v>0.015</v>
      </c>
      <c r="AR123" s="13" t="n">
        <v>0</v>
      </c>
      <c r="AS123" s="13" t="n">
        <v>0.025</v>
      </c>
      <c r="AT123" s="13" t="n">
        <v>0.005</v>
      </c>
      <c r="AU123" s="13" t="n">
        <v>0</v>
      </c>
      <c r="AV123" s="13" t="n">
        <v>-0.005</v>
      </c>
      <c r="AW123" s="13" t="n">
        <v>0.0645</v>
      </c>
      <c r="AX123" s="13" t="n">
        <v>0.025</v>
      </c>
      <c r="AY123" s="12" t="n">
        <v>4233516</v>
      </c>
      <c r="AZ123" s="12" t="n">
        <v>4364450</v>
      </c>
      <c r="BA123" s="12" t="n">
        <v>4495384</v>
      </c>
      <c r="BB123" s="12" t="n">
        <v>4342628</v>
      </c>
      <c r="BC123" s="12" t="n">
        <v>4473561</v>
      </c>
      <c r="BD123" s="12" t="n">
        <v>4604495</v>
      </c>
      <c r="BE123" s="12" t="n">
        <v>4585400</v>
      </c>
      <c r="BF123" t="inlineStr">
        <is>
          <t>Frozen values from same rules-based model as formula sheet.</t>
        </is>
      </c>
      <c r="BG123" t="inlineStr">
        <is>
          <t>2026-03-17</t>
        </is>
      </c>
      <c r="BH123" t="inlineStr">
        <is>
          <t>DLD / Digital Dubai / CBUAE / Savills / Knight Frank-Moody’s / Reuters</t>
        </is>
      </c>
    </row>
    <row r="124">
      <c r="A124" t="n">
        <v>123</v>
      </c>
      <c r="B124" t="inlineStr">
        <is>
          <t>Nad Al Sheba Gardens Ph 6</t>
        </is>
      </c>
      <c r="C124" t="inlineStr">
        <is>
          <t>Meraas</t>
        </is>
      </c>
      <c r="D124" t="inlineStr">
        <is>
          <t>Nad Al Sheba</t>
        </is>
      </c>
      <c r="E124" t="inlineStr">
        <is>
          <t>Townhouses &amp; Villas</t>
        </is>
      </c>
      <c r="F124" t="inlineStr">
        <is>
          <t>Gated / Design</t>
        </is>
      </c>
      <c r="G124" t="inlineStr">
        <is>
          <t>4.2M</t>
        </is>
      </c>
      <c r="H124" t="inlineStr">
        <is>
          <t>1750</t>
        </is>
      </c>
      <c r="I124" t="inlineStr">
        <is>
          <t>15</t>
        </is>
      </c>
      <c r="J124" t="inlineStr">
        <is>
          <t>60/40</t>
        </is>
      </c>
      <c r="K124" t="inlineStr">
        <is>
          <t>2024</t>
        </is>
      </c>
      <c r="L124" t="inlineStr">
        <is>
          <t>5.5-6.0</t>
        </is>
      </c>
      <c r="M124" t="inlineStr">
        <is>
          <t>8-10</t>
        </is>
      </c>
      <c r="N124" t="inlineStr">
        <is>
          <t>13.5-16.0</t>
        </is>
      </c>
      <c r="O124" t="inlineStr">
        <is>
          <t>Repton School</t>
        </is>
      </c>
      <c r="P124" t="inlineStr">
        <is>
          <t>Nad Al Sheba Health</t>
        </is>
      </c>
      <c r="Q124" t="inlineStr">
        <is>
          <t>Meydan One (Planned)</t>
        </is>
      </c>
      <c r="R124" t="inlineStr">
        <is>
          <t>Al Ain Rd E66</t>
        </is>
      </c>
      <c r="S124" t="inlineStr">
        <is>
          <t>15</t>
        </is>
      </c>
      <c r="T124" t="inlineStr">
        <is>
          <t>20</t>
        </is>
      </c>
      <c r="U124" t="inlineStr">
        <is>
          <t>20</t>
        </is>
      </c>
      <c r="V124" t="inlineStr">
        <is>
          <t>30</t>
        </is>
      </c>
      <c r="W124" t="n">
        <v>2</v>
      </c>
      <c r="X124" s="12" t="n">
        <v>4200000</v>
      </c>
      <c r="Y124" s="12" t="n">
        <v>4200000</v>
      </c>
      <c r="Z124" s="9" t="n">
        <v>5.5</v>
      </c>
      <c r="AA124" s="9" t="n">
        <v>6</v>
      </c>
      <c r="AB124" s="9" t="n">
        <v>8</v>
      </c>
      <c r="AC124" s="9" t="n">
        <v>10</v>
      </c>
      <c r="AD124" s="9" t="n">
        <v>13.5</v>
      </c>
      <c r="AE124" s="9" t="n">
        <v>16</v>
      </c>
      <c r="AF124" t="n">
        <v>2024</v>
      </c>
      <c r="AH124" t="inlineStr">
        <is>
          <t>Villa/Townhouse</t>
        </is>
      </c>
      <c r="AI124" t="inlineStr">
        <is>
          <t>MainstreamSelective</t>
        </is>
      </c>
      <c r="AJ124" t="inlineStr">
        <is>
          <t>TopTier</t>
        </is>
      </c>
      <c r="AK124" t="inlineStr">
        <is>
          <t>Family-villa resilient</t>
        </is>
      </c>
      <c r="AL124" t="inlineStr">
        <is>
          <t>Villa/townhouse demand remains relatively firmer, though growth should be slower than the post-2020 surge.</t>
        </is>
      </c>
      <c r="AM124" s="9" t="n">
        <v>9</v>
      </c>
      <c r="AN124" s="9" t="n">
        <v>5.75</v>
      </c>
      <c r="AO124" s="10" t="n">
        <v>0.55</v>
      </c>
      <c r="AP124" s="13" t="n">
        <v>0</v>
      </c>
      <c r="AQ124" s="13" t="n">
        <v>0.015</v>
      </c>
      <c r="AR124" s="13" t="n">
        <v>0</v>
      </c>
      <c r="AS124" s="13" t="n">
        <v>0.025</v>
      </c>
      <c r="AT124" s="13" t="n">
        <v>0.005</v>
      </c>
      <c r="AU124" s="13" t="n">
        <v>0</v>
      </c>
      <c r="AV124" s="13" t="n">
        <v>-0.005</v>
      </c>
      <c r="AW124" s="13" t="n">
        <v>0.0645</v>
      </c>
      <c r="AX124" s="13" t="n">
        <v>0.025</v>
      </c>
      <c r="AY124" s="12" t="n">
        <v>4336773</v>
      </c>
      <c r="AZ124" s="12" t="n">
        <v>4470900</v>
      </c>
      <c r="BA124" s="12" t="n">
        <v>4605027</v>
      </c>
      <c r="BB124" s="12" t="n">
        <v>4448545</v>
      </c>
      <c r="BC124" s="12" t="n">
        <v>4582672</v>
      </c>
      <c r="BD124" s="12" t="n">
        <v>4716800</v>
      </c>
      <c r="BE124" s="12" t="n">
        <v>4697239</v>
      </c>
      <c r="BF124" t="inlineStr">
        <is>
          <t>Frozen values from same rules-based model as formula sheet.</t>
        </is>
      </c>
      <c r="BG124" t="inlineStr">
        <is>
          <t>2026-03-17</t>
        </is>
      </c>
      <c r="BH124" t="inlineStr">
        <is>
          <t>DLD / Digital Dubai / CBUAE / Savills / Knight Frank-Moody’s / Reuters</t>
        </is>
      </c>
    </row>
    <row r="125">
      <c r="A125" t="n">
        <v>124</v>
      </c>
      <c r="B125" t="inlineStr">
        <is>
          <t>Cherrywoods</t>
        </is>
      </c>
      <c r="C125" t="inlineStr">
        <is>
          <t>Meraas</t>
        </is>
      </c>
      <c r="D125" t="inlineStr">
        <is>
          <t>Dubailand (Al Qudra)</t>
        </is>
      </c>
      <c r="E125" t="inlineStr">
        <is>
          <t>Townhouses</t>
        </is>
      </c>
      <c r="F125" t="inlineStr">
        <is>
          <t>Gated</t>
        </is>
      </c>
      <c r="G125" t="inlineStr">
        <is>
          <t>Resale (2.2M+)</t>
        </is>
      </c>
      <c r="H125" t="inlineStr">
        <is>
          <t>1100</t>
        </is>
      </c>
      <c r="I125" t="inlineStr">
        <is>
          <t>12</t>
        </is>
      </c>
      <c r="J125" t="inlineStr">
        <is>
          <t>Completed</t>
        </is>
      </c>
      <c r="K125" t="inlineStr">
        <is>
          <t>2019</t>
        </is>
      </c>
      <c r="L125" t="inlineStr">
        <is>
          <t>6.5-7.0</t>
        </is>
      </c>
      <c r="M125" t="inlineStr">
        <is>
          <t>6-8</t>
        </is>
      </c>
      <c r="N125" t="inlineStr">
        <is>
          <t>12.5-15.0</t>
        </is>
      </c>
      <c r="O125" t="inlineStr">
        <is>
          <t>Ranches Primary</t>
        </is>
      </c>
      <c r="P125" t="inlineStr">
        <is>
          <t>King's College Hospital</t>
        </is>
      </c>
      <c r="Q125" t="inlineStr">
        <is>
          <t>Dubai Hills Mall</t>
        </is>
      </c>
      <c r="R125" t="inlineStr">
        <is>
          <t>Al Qudra Rd</t>
        </is>
      </c>
      <c r="S125" t="inlineStr">
        <is>
          <t>25</t>
        </is>
      </c>
      <c r="T125" t="inlineStr">
        <is>
          <t>20</t>
        </is>
      </c>
      <c r="U125" t="inlineStr">
        <is>
          <t>30</t>
        </is>
      </c>
      <c r="V125" t="inlineStr">
        <is>
          <t>25</t>
        </is>
      </c>
      <c r="W125" t="n">
        <v>2</v>
      </c>
      <c r="X125" s="12" t="n">
        <v>2200000</v>
      </c>
      <c r="Y125" s="12" t="n">
        <v>2200000</v>
      </c>
      <c r="Z125" s="9" t="n">
        <v>6.5</v>
      </c>
      <c r="AA125" s="9" t="n">
        <v>7</v>
      </c>
      <c r="AB125" s="9" t="n">
        <v>6</v>
      </c>
      <c r="AC125" s="9" t="n">
        <v>8</v>
      </c>
      <c r="AD125" s="9" t="n">
        <v>12.5</v>
      </c>
      <c r="AE125" s="9" t="n">
        <v>15</v>
      </c>
      <c r="AF125" t="n">
        <v>2019</v>
      </c>
      <c r="AH125" t="inlineStr">
        <is>
          <t>Townhouse</t>
        </is>
      </c>
      <c r="AI125" t="inlineStr">
        <is>
          <t>MainstreamSelective</t>
        </is>
      </c>
      <c r="AJ125" t="inlineStr">
        <is>
          <t>TopTier</t>
        </is>
      </c>
      <c r="AK125" t="inlineStr">
        <is>
          <t>Family-villa resilient</t>
        </is>
      </c>
      <c r="AL125" t="inlineStr">
        <is>
          <t>Villa/townhouse demand remains relatively firmer, though growth should be slower than the post-2020 surge.</t>
        </is>
      </c>
      <c r="AM125" s="9" t="n">
        <v>7</v>
      </c>
      <c r="AN125" s="9" t="n">
        <v>6.75</v>
      </c>
      <c r="AO125" s="10" t="n">
        <v>0.55</v>
      </c>
      <c r="AP125" s="13" t="n">
        <v>0</v>
      </c>
      <c r="AQ125" s="13" t="n">
        <v>0.015</v>
      </c>
      <c r="AR125" s="13" t="n">
        <v>0</v>
      </c>
      <c r="AS125" s="13" t="n">
        <v>0.025</v>
      </c>
      <c r="AT125" s="13" t="n">
        <v>0.005</v>
      </c>
      <c r="AU125" s="13" t="n">
        <v>0.0025</v>
      </c>
      <c r="AV125" s="13" t="n">
        <v>-0.005</v>
      </c>
      <c r="AW125" s="13" t="n">
        <v>0.05350000000000001</v>
      </c>
      <c r="AX125" s="13" t="n">
        <v>0.0275</v>
      </c>
      <c r="AY125" s="12" t="n">
        <v>2248169</v>
      </c>
      <c r="AZ125" s="12" t="n">
        <v>2317700</v>
      </c>
      <c r="BA125" s="12" t="n">
        <v>2387231</v>
      </c>
      <c r="BB125" s="12" t="n">
        <v>2311906</v>
      </c>
      <c r="BC125" s="12" t="n">
        <v>2381437</v>
      </c>
      <c r="BD125" s="12" t="n">
        <v>2450968</v>
      </c>
      <c r="BE125" s="12" t="n">
        <v>2446926</v>
      </c>
      <c r="BF125" t="inlineStr">
        <is>
          <t>Frozen values from same rules-based model as formula sheet.</t>
        </is>
      </c>
      <c r="BG125" t="inlineStr">
        <is>
          <t>2026-03-17</t>
        </is>
      </c>
      <c r="BH125" t="inlineStr">
        <is>
          <t>DLD / Digital Dubai / CBUAE / Savills / Knight Frank-Moody’s / Reuters</t>
        </is>
      </c>
    </row>
    <row r="126">
      <c r="A126" t="n">
        <v>125</v>
      </c>
      <c r="B126" t="inlineStr">
        <is>
          <t>Bluewaters Bay</t>
        </is>
      </c>
      <c r="C126" t="inlineStr">
        <is>
          <t>Meraas</t>
        </is>
      </c>
      <c r="D126" t="inlineStr">
        <is>
          <t>Bluewaters Island</t>
        </is>
      </c>
      <c r="E126" t="inlineStr">
        <is>
          <t>Apartments</t>
        </is>
      </c>
      <c r="F126" t="inlineStr">
        <is>
          <t>Waterfront / Wheel</t>
        </is>
      </c>
      <c r="G126" t="inlineStr">
        <is>
          <t>3.2M</t>
        </is>
      </c>
      <c r="H126" t="inlineStr">
        <is>
          <t>3500</t>
        </is>
      </c>
      <c r="I126" t="inlineStr">
        <is>
          <t>30</t>
        </is>
      </c>
      <c r="J126" t="inlineStr">
        <is>
          <t>60/40</t>
        </is>
      </c>
      <c r="K126" t="inlineStr">
        <is>
          <t>2023</t>
        </is>
      </c>
      <c r="L126" t="inlineStr">
        <is>
          <t>4.5-5.0</t>
        </is>
      </c>
      <c r="M126" t="inlineStr">
        <is>
          <t>9-12</t>
        </is>
      </c>
      <c r="N126" t="inlineStr">
        <is>
          <t>13.5-17.0</t>
        </is>
      </c>
      <c r="O126" t="inlineStr">
        <is>
          <t>Dubai British School</t>
        </is>
      </c>
      <c r="P126" t="inlineStr">
        <is>
          <t>Emirates Hospital</t>
        </is>
      </c>
      <c r="Q126" t="inlineStr">
        <is>
          <t>Dubai Marina Mall</t>
        </is>
      </c>
      <c r="R126" t="inlineStr">
        <is>
          <t>Sheikh Zayed E11</t>
        </is>
      </c>
      <c r="S126" t="inlineStr">
        <is>
          <t>20</t>
        </is>
      </c>
      <c r="T126" t="inlineStr">
        <is>
          <t>5</t>
        </is>
      </c>
      <c r="U126" t="inlineStr">
        <is>
          <t>25</t>
        </is>
      </c>
      <c r="V126" t="inlineStr">
        <is>
          <t>30</t>
        </is>
      </c>
      <c r="W126" t="n">
        <v>2</v>
      </c>
      <c r="X126" s="12" t="n">
        <v>3200000</v>
      </c>
      <c r="Y126" s="12" t="n">
        <v>3200000</v>
      </c>
      <c r="Z126" s="9" t="n">
        <v>4.5</v>
      </c>
      <c r="AA126" s="9" t="n">
        <v>5</v>
      </c>
      <c r="AB126" s="9" t="n">
        <v>9</v>
      </c>
      <c r="AC126" s="9" t="n">
        <v>12</v>
      </c>
      <c r="AD126" s="9" t="n">
        <v>13.5</v>
      </c>
      <c r="AE126" s="9" t="n">
        <v>17</v>
      </c>
      <c r="AF126" t="n">
        <v>2023</v>
      </c>
      <c r="AH126" t="inlineStr">
        <is>
          <t>Apartment</t>
        </is>
      </c>
      <c r="AI126" t="inlineStr">
        <is>
          <t>MainstreamSelective</t>
        </is>
      </c>
      <c r="AJ126" t="inlineStr">
        <is>
          <t>TopTier</t>
        </is>
      </c>
      <c r="AK126" t="inlineStr">
        <is>
          <t>Balanced / selective</t>
        </is>
      </c>
      <c r="AL126" t="inlineStr">
        <is>
          <t>Market remains active but increasingly differentiated by developer, micro-location, livability, and pricing discipline.</t>
        </is>
      </c>
      <c r="AM126" s="9" t="n">
        <v>10.5</v>
      </c>
      <c r="AN126" s="9" t="n">
        <v>4.75</v>
      </c>
      <c r="AO126" s="10" t="n">
        <v>0.55</v>
      </c>
      <c r="AP126" s="13" t="n">
        <v>0</v>
      </c>
      <c r="AQ126" s="13" t="n">
        <v>0</v>
      </c>
      <c r="AR126" s="13" t="n">
        <v>0</v>
      </c>
      <c r="AS126" s="13" t="n">
        <v>0.01</v>
      </c>
      <c r="AT126" s="13" t="n">
        <v>0.005</v>
      </c>
      <c r="AU126" s="13" t="n">
        <v>0</v>
      </c>
      <c r="AV126" s="13" t="n">
        <v>-0.005</v>
      </c>
      <c r="AW126" s="13" t="n">
        <v>0.05775</v>
      </c>
      <c r="AX126" s="13" t="n">
        <v>0.009999999999999998</v>
      </c>
      <c r="AY126" s="12" t="n">
        <v>3283256</v>
      </c>
      <c r="AZ126" s="12" t="n">
        <v>3384800</v>
      </c>
      <c r="BA126" s="12" t="n">
        <v>3486344</v>
      </c>
      <c r="BB126" s="12" t="n">
        <v>3317104</v>
      </c>
      <c r="BC126" s="12" t="n">
        <v>3418648</v>
      </c>
      <c r="BD126" s="12" t="n">
        <v>3520192</v>
      </c>
      <c r="BE126" s="12" t="n">
        <v>3452834</v>
      </c>
      <c r="BF126" t="inlineStr">
        <is>
          <t>Frozen values from same rules-based model as formula sheet.</t>
        </is>
      </c>
      <c r="BG126" t="inlineStr">
        <is>
          <t>2026-03-17</t>
        </is>
      </c>
      <c r="BH126" t="inlineStr">
        <is>
          <t>DLD / Digital Dubai / CBUAE / Savills / Knight Frank-Moody’s / Reuters</t>
        </is>
      </c>
    </row>
    <row r="127">
      <c r="A127" t="n">
        <v>126</v>
      </c>
      <c r="B127" t="inlineStr">
        <is>
          <t>Bluewaters Residences</t>
        </is>
      </c>
      <c r="C127" t="inlineStr">
        <is>
          <t>Meraas</t>
        </is>
      </c>
      <c r="D127" t="inlineStr">
        <is>
          <t>Bluewaters Island</t>
        </is>
      </c>
      <c r="E127" t="inlineStr">
        <is>
          <t>Apartments</t>
        </is>
      </c>
      <c r="F127" t="inlineStr">
        <is>
          <t>Waterfront / Wheel</t>
        </is>
      </c>
      <c r="G127" t="inlineStr">
        <is>
          <t>Resale (4M+)</t>
        </is>
      </c>
      <c r="H127" t="inlineStr">
        <is>
          <t>3500</t>
        </is>
      </c>
      <c r="I127" t="inlineStr">
        <is>
          <t>30</t>
        </is>
      </c>
      <c r="J127" t="inlineStr">
        <is>
          <t>Completed</t>
        </is>
      </c>
      <c r="K127" t="inlineStr">
        <is>
          <t>2018</t>
        </is>
      </c>
      <c r="L127" t="inlineStr">
        <is>
          <t>4.5-5.0</t>
        </is>
      </c>
      <c r="M127" t="inlineStr">
        <is>
          <t>7-9</t>
        </is>
      </c>
      <c r="N127" t="inlineStr">
        <is>
          <t>11.5-14.0</t>
        </is>
      </c>
      <c r="O127" t="inlineStr">
        <is>
          <t>Dubai British School</t>
        </is>
      </c>
      <c r="P127" t="inlineStr">
        <is>
          <t>Emirates Hospital</t>
        </is>
      </c>
      <c r="Q127" t="inlineStr">
        <is>
          <t>Dubai Marina Mall</t>
        </is>
      </c>
      <c r="R127" t="inlineStr">
        <is>
          <t>Sheikh Zayed E11</t>
        </is>
      </c>
      <c r="S127" t="inlineStr">
        <is>
          <t>20</t>
        </is>
      </c>
      <c r="T127" t="inlineStr">
        <is>
          <t>5</t>
        </is>
      </c>
      <c r="U127" t="inlineStr">
        <is>
          <t>25</t>
        </is>
      </c>
      <c r="V127" t="inlineStr">
        <is>
          <t>30</t>
        </is>
      </c>
      <c r="W127" t="n">
        <v>2</v>
      </c>
      <c r="X127" s="12" t="n">
        <v>4000000</v>
      </c>
      <c r="Y127" s="12" t="n">
        <v>4000000</v>
      </c>
      <c r="Z127" s="9" t="n">
        <v>4.5</v>
      </c>
      <c r="AA127" s="9" t="n">
        <v>5</v>
      </c>
      <c r="AB127" s="9" t="n">
        <v>7</v>
      </c>
      <c r="AC127" s="9" t="n">
        <v>9</v>
      </c>
      <c r="AD127" s="9" t="n">
        <v>11.5</v>
      </c>
      <c r="AE127" s="9" t="n">
        <v>14</v>
      </c>
      <c r="AF127" t="n">
        <v>2018</v>
      </c>
      <c r="AH127" t="inlineStr">
        <is>
          <t>Apartment</t>
        </is>
      </c>
      <c r="AI127" t="inlineStr">
        <is>
          <t>MainstreamSelective</t>
        </is>
      </c>
      <c r="AJ127" t="inlineStr">
        <is>
          <t>TopTier</t>
        </is>
      </c>
      <c r="AK127" t="inlineStr">
        <is>
          <t>Balanced / selective</t>
        </is>
      </c>
      <c r="AL127" t="inlineStr">
        <is>
          <t>Market remains active but increasingly differentiated by developer, micro-location, livability, and pricing discipline.</t>
        </is>
      </c>
      <c r="AM127" s="9" t="n">
        <v>8</v>
      </c>
      <c r="AN127" s="9" t="n">
        <v>4.75</v>
      </c>
      <c r="AO127" s="10" t="n">
        <v>0.55</v>
      </c>
      <c r="AP127" s="13" t="n">
        <v>0</v>
      </c>
      <c r="AQ127" s="13" t="n">
        <v>0</v>
      </c>
      <c r="AR127" s="13" t="n">
        <v>0</v>
      </c>
      <c r="AS127" s="13" t="n">
        <v>0.01</v>
      </c>
      <c r="AT127" s="13" t="n">
        <v>0.005</v>
      </c>
      <c r="AU127" s="13" t="n">
        <v>0</v>
      </c>
      <c r="AV127" s="13" t="n">
        <v>-0.005</v>
      </c>
      <c r="AW127" s="13" t="n">
        <v>0.044</v>
      </c>
      <c r="AX127" s="13" t="n">
        <v>0.009999999999999998</v>
      </c>
      <c r="AY127" s="12" t="n">
        <v>4050720</v>
      </c>
      <c r="AZ127" s="12" t="n">
        <v>4176000</v>
      </c>
      <c r="BA127" s="12" t="n">
        <v>4301280</v>
      </c>
      <c r="BB127" s="12" t="n">
        <v>4092480</v>
      </c>
      <c r="BC127" s="12" t="n">
        <v>4217760</v>
      </c>
      <c r="BD127" s="12" t="n">
        <v>4343040</v>
      </c>
      <c r="BE127" s="12" t="n">
        <v>4259938</v>
      </c>
      <c r="BF127" t="inlineStr">
        <is>
          <t>Frozen values from same rules-based model as formula sheet.</t>
        </is>
      </c>
      <c r="BG127" t="inlineStr">
        <is>
          <t>2026-03-17</t>
        </is>
      </c>
      <c r="BH127" t="inlineStr">
        <is>
          <t>DLD / Digital Dubai / CBUAE / Savills / Knight Frank-Moody’s / Reuters</t>
        </is>
      </c>
    </row>
    <row r="128">
      <c r="A128" t="n">
        <v>127</v>
      </c>
      <c r="B128" t="inlineStr">
        <is>
          <t>Bulgari Resort &amp; Residences</t>
        </is>
      </c>
      <c r="C128" t="inlineStr">
        <is>
          <t>Meraas</t>
        </is>
      </c>
      <c r="D128" t="inlineStr">
        <is>
          <t>Jumeirah Bay Island</t>
        </is>
      </c>
      <c r="E128" t="inlineStr">
        <is>
          <t>Luxury Apts</t>
        </is>
      </c>
      <c r="F128" t="inlineStr">
        <is>
          <t>Ultra-Luxury</t>
        </is>
      </c>
      <c r="G128" t="inlineStr">
        <is>
          <t>Resale (15M+)</t>
        </is>
      </c>
      <c r="H128" t="inlineStr">
        <is>
          <t>7000+</t>
        </is>
      </c>
      <c r="I128" t="inlineStr">
        <is>
          <t>50+</t>
        </is>
      </c>
      <c r="J128" t="inlineStr">
        <is>
          <t>Completed</t>
        </is>
      </c>
      <c r="K128" t="inlineStr">
        <is>
          <t>2017</t>
        </is>
      </c>
      <c r="L128" t="inlineStr">
        <is>
          <t>3.0-3.5</t>
        </is>
      </c>
      <c r="M128" t="inlineStr">
        <is>
          <t>8-10</t>
        </is>
      </c>
      <c r="N128" t="inlineStr">
        <is>
          <t>11.0-13.5</t>
        </is>
      </c>
      <c r="O128" t="inlineStr">
        <is>
          <t>Jumeirah Baccalaureate</t>
        </is>
      </c>
      <c r="P128" t="inlineStr">
        <is>
          <t>Valiant Clinic</t>
        </is>
      </c>
      <c r="Q128" t="inlineStr">
        <is>
          <t>Mercato Mall</t>
        </is>
      </c>
      <c r="R128" t="inlineStr">
        <is>
          <t>Jumeirah St / D94</t>
        </is>
      </c>
      <c r="S128" t="inlineStr">
        <is>
          <t>15</t>
        </is>
      </c>
      <c r="T128" t="inlineStr">
        <is>
          <t>20</t>
        </is>
      </c>
      <c r="U128" t="inlineStr">
        <is>
          <t>20</t>
        </is>
      </c>
      <c r="V128" t="inlineStr">
        <is>
          <t>40</t>
        </is>
      </c>
      <c r="W128" t="n">
        <v>2</v>
      </c>
      <c r="X128" s="12" t="n">
        <v>15000000</v>
      </c>
      <c r="Y128" s="12" t="n">
        <v>15000000</v>
      </c>
      <c r="Z128" s="9" t="n">
        <v>3</v>
      </c>
      <c r="AA128" s="9" t="n">
        <v>3.5</v>
      </c>
      <c r="AB128" s="9" t="n">
        <v>8</v>
      </c>
      <c r="AC128" s="9" t="n">
        <v>10</v>
      </c>
      <c r="AD128" s="9" t="n">
        <v>11</v>
      </c>
      <c r="AE128" s="9" t="n">
        <v>13.5</v>
      </c>
      <c r="AF128" t="n">
        <v>2017</v>
      </c>
      <c r="AH128" t="inlineStr">
        <is>
          <t>Apartment</t>
        </is>
      </c>
      <c r="AI128" t="inlineStr">
        <is>
          <t>MainstreamSelective</t>
        </is>
      </c>
      <c r="AJ128" t="inlineStr">
        <is>
          <t>TopTier</t>
        </is>
      </c>
      <c r="AK128" t="inlineStr">
        <is>
          <t>Balanced / selective</t>
        </is>
      </c>
      <c r="AL128" t="inlineStr">
        <is>
          <t>Market remains active but increasingly differentiated by developer, micro-location, livability, and pricing discipline.</t>
        </is>
      </c>
      <c r="AM128" s="9" t="n">
        <v>9</v>
      </c>
      <c r="AN128" s="9" t="n">
        <v>3.25</v>
      </c>
      <c r="AO128" s="10" t="n">
        <v>0.55</v>
      </c>
      <c r="AP128" s="13" t="n">
        <v>0</v>
      </c>
      <c r="AQ128" s="13" t="n">
        <v>0</v>
      </c>
      <c r="AR128" s="13" t="n">
        <v>0</v>
      </c>
      <c r="AS128" s="13" t="n">
        <v>0.01</v>
      </c>
      <c r="AT128" s="13" t="n">
        <v>0.005</v>
      </c>
      <c r="AU128" s="13" t="n">
        <v>0</v>
      </c>
      <c r="AV128" s="13" t="n">
        <v>-0.005</v>
      </c>
      <c r="AW128" s="13" t="n">
        <v>0.0495</v>
      </c>
      <c r="AX128" s="13" t="n">
        <v>0.009999999999999998</v>
      </c>
      <c r="AY128" s="12" t="n">
        <v>15270225</v>
      </c>
      <c r="AZ128" s="12" t="n">
        <v>15742500</v>
      </c>
      <c r="BA128" s="12" t="n">
        <v>16214775</v>
      </c>
      <c r="BB128" s="12" t="n">
        <v>15427650</v>
      </c>
      <c r="BC128" s="12" t="n">
        <v>15899925</v>
      </c>
      <c r="BD128" s="12" t="n">
        <v>16372200</v>
      </c>
      <c r="BE128" s="12" t="n">
        <v>16058924</v>
      </c>
      <c r="BF128" t="inlineStr">
        <is>
          <t>Frozen values from same rules-based model as formula sheet.</t>
        </is>
      </c>
      <c r="BG128" t="inlineStr">
        <is>
          <t>2026-03-17</t>
        </is>
      </c>
      <c r="BH128" t="inlineStr">
        <is>
          <t>DLD / Digital Dubai / CBUAE / Savills / Knight Frank-Moody’s / Reuters</t>
        </is>
      </c>
    </row>
    <row r="129">
      <c r="A129" t="n">
        <v>128</v>
      </c>
      <c r="B129" t="inlineStr">
        <is>
          <t>Villa Amalfi</t>
        </is>
      </c>
      <c r="C129" t="inlineStr">
        <is>
          <t>Meraas</t>
        </is>
      </c>
      <c r="D129" t="inlineStr">
        <is>
          <t>Jumeirah Bay Island</t>
        </is>
      </c>
      <c r="E129" t="inlineStr">
        <is>
          <t>Villas</t>
        </is>
      </c>
      <c r="F129" t="inlineStr">
        <is>
          <t>Ultra-Luxury</t>
        </is>
      </c>
      <c r="G129" t="inlineStr">
        <is>
          <t>Resale (12M+)</t>
        </is>
      </c>
      <c r="H129" t="inlineStr">
        <is>
          <t>5000+</t>
        </is>
      </c>
      <c r="I129" t="inlineStr">
        <is>
          <t>25</t>
        </is>
      </c>
      <c r="J129" t="inlineStr">
        <is>
          <t>Completed</t>
        </is>
      </c>
      <c r="K129" t="inlineStr">
        <is>
          <t>2019</t>
        </is>
      </c>
      <c r="L129" t="inlineStr">
        <is>
          <t>3.5-4.0</t>
        </is>
      </c>
      <c r="M129" t="inlineStr">
        <is>
          <t>8-10</t>
        </is>
      </c>
      <c r="N129" t="inlineStr">
        <is>
          <t>11.5-14.0</t>
        </is>
      </c>
      <c r="O129" t="inlineStr">
        <is>
          <t>Jumeirah Baccalaureate</t>
        </is>
      </c>
      <c r="P129" t="inlineStr">
        <is>
          <t>Valiant Clinic</t>
        </is>
      </c>
      <c r="Q129" t="inlineStr">
        <is>
          <t>Mercato Mall</t>
        </is>
      </c>
      <c r="R129" t="inlineStr">
        <is>
          <t>Jumeirah St / D94</t>
        </is>
      </c>
      <c r="S129" t="inlineStr">
        <is>
          <t>15</t>
        </is>
      </c>
      <c r="T129" t="inlineStr">
        <is>
          <t>20</t>
        </is>
      </c>
      <c r="U129" t="inlineStr">
        <is>
          <t>20</t>
        </is>
      </c>
      <c r="V129" t="inlineStr">
        <is>
          <t>40</t>
        </is>
      </c>
      <c r="W129" t="n">
        <v>2</v>
      </c>
      <c r="X129" s="12" t="n">
        <v>12000000</v>
      </c>
      <c r="Y129" s="12" t="n">
        <v>12000000</v>
      </c>
      <c r="Z129" s="9" t="n">
        <v>3.5</v>
      </c>
      <c r="AA129" s="9" t="n">
        <v>4</v>
      </c>
      <c r="AB129" s="9" t="n">
        <v>8</v>
      </c>
      <c r="AC129" s="9" t="n">
        <v>10</v>
      </c>
      <c r="AD129" s="9" t="n">
        <v>11.5</v>
      </c>
      <c r="AE129" s="9" t="n">
        <v>14</v>
      </c>
      <c r="AF129" t="n">
        <v>2019</v>
      </c>
      <c r="AH129" t="inlineStr">
        <is>
          <t>Villa</t>
        </is>
      </c>
      <c r="AI129" t="inlineStr">
        <is>
          <t>MainstreamSelective</t>
        </is>
      </c>
      <c r="AJ129" t="inlineStr">
        <is>
          <t>TopTier</t>
        </is>
      </c>
      <c r="AK129" t="inlineStr">
        <is>
          <t>Family-villa resilient</t>
        </is>
      </c>
      <c r="AL129" t="inlineStr">
        <is>
          <t>Villa/townhouse demand remains relatively firmer, though growth should be slower than the post-2020 surge.</t>
        </is>
      </c>
      <c r="AM129" s="9" t="n">
        <v>9</v>
      </c>
      <c r="AN129" s="9" t="n">
        <v>3.75</v>
      </c>
      <c r="AO129" s="10" t="n">
        <v>0.55</v>
      </c>
      <c r="AP129" s="13" t="n">
        <v>0</v>
      </c>
      <c r="AQ129" s="13" t="n">
        <v>0.015</v>
      </c>
      <c r="AR129" s="13" t="n">
        <v>0</v>
      </c>
      <c r="AS129" s="13" t="n">
        <v>0.025</v>
      </c>
      <c r="AT129" s="13" t="n">
        <v>0.005</v>
      </c>
      <c r="AU129" s="13" t="n">
        <v>0</v>
      </c>
      <c r="AV129" s="13" t="n">
        <v>-0.005</v>
      </c>
      <c r="AW129" s="13" t="n">
        <v>0.0645</v>
      </c>
      <c r="AX129" s="13" t="n">
        <v>0.025</v>
      </c>
      <c r="AY129" s="12" t="n">
        <v>12390780</v>
      </c>
      <c r="AZ129" s="12" t="n">
        <v>12774000</v>
      </c>
      <c r="BA129" s="12" t="n">
        <v>13157220</v>
      </c>
      <c r="BB129" s="12" t="n">
        <v>12710130</v>
      </c>
      <c r="BC129" s="12" t="n">
        <v>13093350</v>
      </c>
      <c r="BD129" s="12" t="n">
        <v>13476570</v>
      </c>
      <c r="BE129" s="12" t="n">
        <v>13420684</v>
      </c>
      <c r="BF129" t="inlineStr">
        <is>
          <t>Frozen values from same rules-based model as formula sheet.</t>
        </is>
      </c>
      <c r="BG129" t="inlineStr">
        <is>
          <t>2026-03-17</t>
        </is>
      </c>
      <c r="BH129" t="inlineStr">
        <is>
          <t>DLD / Digital Dubai / CBUAE / Savills / Knight Frank-Moody’s / Reuters</t>
        </is>
      </c>
    </row>
    <row r="130">
      <c r="A130" t="n">
        <v>129</v>
      </c>
      <c r="B130" t="inlineStr">
        <is>
          <t>Bulgari Lighthouse</t>
        </is>
      </c>
      <c r="C130" t="inlineStr">
        <is>
          <t>Meraas</t>
        </is>
      </c>
      <c r="D130" t="inlineStr">
        <is>
          <t>Jumeirah Bay Island</t>
        </is>
      </c>
      <c r="E130" t="inlineStr">
        <is>
          <t>Penthouses</t>
        </is>
      </c>
      <c r="F130" t="inlineStr">
        <is>
          <t>Ultra-Luxury</t>
        </is>
      </c>
      <c r="G130" t="inlineStr">
        <is>
          <t>60M+</t>
        </is>
      </c>
      <c r="H130" t="inlineStr">
        <is>
          <t>10000+</t>
        </is>
      </c>
      <c r="I130" t="inlineStr">
        <is>
          <t>50+</t>
        </is>
      </c>
      <c r="J130" t="inlineStr">
        <is>
          <t>60/40</t>
        </is>
      </c>
      <c r="K130" t="inlineStr">
        <is>
          <t>2023</t>
        </is>
      </c>
      <c r="L130" t="inlineStr">
        <is>
          <t>3.0-3.5</t>
        </is>
      </c>
      <c r="M130" t="inlineStr">
        <is>
          <t>8-10</t>
        </is>
      </c>
      <c r="N130" t="inlineStr">
        <is>
          <t>11.0-13.5</t>
        </is>
      </c>
      <c r="O130" t="inlineStr">
        <is>
          <t>Jumeirah Baccalaureate</t>
        </is>
      </c>
      <c r="P130" t="inlineStr">
        <is>
          <t>Valiant Clinic</t>
        </is>
      </c>
      <c r="Q130" t="inlineStr">
        <is>
          <t>Mercato Mall</t>
        </is>
      </c>
      <c r="R130" t="inlineStr">
        <is>
          <t>Jumeirah St / D94</t>
        </is>
      </c>
      <c r="S130" t="inlineStr">
        <is>
          <t>15</t>
        </is>
      </c>
      <c r="T130" t="inlineStr">
        <is>
          <t>20</t>
        </is>
      </c>
      <c r="U130" t="inlineStr">
        <is>
          <t>20</t>
        </is>
      </c>
      <c r="V130" t="inlineStr">
        <is>
          <t>40</t>
        </is>
      </c>
      <c r="W130" t="n">
        <v>2</v>
      </c>
      <c r="X130" s="12" t="n">
        <v>60000000</v>
      </c>
      <c r="Y130" s="12" t="n">
        <v>60000000</v>
      </c>
      <c r="Z130" s="9" t="n">
        <v>3</v>
      </c>
      <c r="AA130" s="9" t="n">
        <v>3.5</v>
      </c>
      <c r="AB130" s="9" t="n">
        <v>8</v>
      </c>
      <c r="AC130" s="9" t="n">
        <v>10</v>
      </c>
      <c r="AD130" s="9" t="n">
        <v>11</v>
      </c>
      <c r="AE130" s="9" t="n">
        <v>13.5</v>
      </c>
      <c r="AF130" t="n">
        <v>2023</v>
      </c>
      <c r="AH130" t="inlineStr">
        <is>
          <t>Mixed/Other</t>
        </is>
      </c>
      <c r="AI130" t="inlineStr">
        <is>
          <t>MainstreamSelective</t>
        </is>
      </c>
      <c r="AJ130" t="inlineStr">
        <is>
          <t>TopTier</t>
        </is>
      </c>
      <c r="AK130" t="inlineStr">
        <is>
          <t>Balanced / selective</t>
        </is>
      </c>
      <c r="AL130" t="inlineStr">
        <is>
          <t>Market remains active but increasingly differentiated by developer, micro-location, livability, and pricing discipline.</t>
        </is>
      </c>
      <c r="AM130" s="9" t="n">
        <v>9</v>
      </c>
      <c r="AN130" s="9" t="n">
        <v>3.25</v>
      </c>
      <c r="AO130" s="10" t="n">
        <v>0.55</v>
      </c>
      <c r="AP130" s="13" t="n">
        <v>0</v>
      </c>
      <c r="AQ130" s="13" t="n">
        <v>0</v>
      </c>
      <c r="AR130" s="13" t="n">
        <v>0</v>
      </c>
      <c r="AS130" s="13" t="n">
        <v>0.01</v>
      </c>
      <c r="AT130" s="13" t="n">
        <v>0.005</v>
      </c>
      <c r="AU130" s="13" t="n">
        <v>0</v>
      </c>
      <c r="AV130" s="13" t="n">
        <v>-0.005</v>
      </c>
      <c r="AW130" s="13" t="n">
        <v>0.0495</v>
      </c>
      <c r="AX130" s="13" t="n">
        <v>0.009999999999999998</v>
      </c>
      <c r="AY130" s="12" t="n">
        <v>61080900</v>
      </c>
      <c r="AZ130" s="12" t="n">
        <v>62970000</v>
      </c>
      <c r="BA130" s="12" t="n">
        <v>64859100</v>
      </c>
      <c r="BB130" s="12" t="n">
        <v>61710600</v>
      </c>
      <c r="BC130" s="12" t="n">
        <v>63599700</v>
      </c>
      <c r="BD130" s="12" t="n">
        <v>65488800</v>
      </c>
      <c r="BE130" s="12" t="n">
        <v>64235697</v>
      </c>
      <c r="BF130" t="inlineStr">
        <is>
          <t>Frozen values from same rules-based model as formula sheet.</t>
        </is>
      </c>
      <c r="BG130" t="inlineStr">
        <is>
          <t>2026-03-17</t>
        </is>
      </c>
      <c r="BH130" t="inlineStr">
        <is>
          <t>DLD / Digital Dubai / CBUAE / Savills / Knight Frank-Moody’s / Reuters</t>
        </is>
      </c>
    </row>
    <row r="131">
      <c r="A131" t="n">
        <v>130</v>
      </c>
      <c r="B131" t="inlineStr">
        <is>
          <t>Mudon (Master Community)</t>
        </is>
      </c>
      <c r="C131" t="inlineStr">
        <is>
          <t>Dubai Properties</t>
        </is>
      </c>
      <c r="D131" t="inlineStr">
        <is>
          <t>Dubailand</t>
        </is>
      </c>
      <c r="E131" t="inlineStr">
        <is>
          <t>Mixed</t>
        </is>
      </c>
      <c r="F131" t="inlineStr">
        <is>
          <t>Family / Gated</t>
        </is>
      </c>
      <c r="I131" t="inlineStr">
        <is>
          <t>12</t>
        </is>
      </c>
      <c r="J131" t="inlineStr">
        <is>
          <t>Varies</t>
        </is>
      </c>
      <c r="K131" t="inlineStr">
        <is>
          <t>Ongoing</t>
        </is>
      </c>
      <c r="L131" t="inlineStr">
        <is>
          <t>6.0-6.5</t>
        </is>
      </c>
      <c r="M131" t="inlineStr">
        <is>
          <t>5-7</t>
        </is>
      </c>
      <c r="N131" t="inlineStr">
        <is>
          <t>11.0-13.5</t>
        </is>
      </c>
      <c r="O131" t="inlineStr">
        <is>
          <t>Jebel Ali School</t>
        </is>
      </c>
      <c r="P131" t="inlineStr">
        <is>
          <t>Saudi German Hospital</t>
        </is>
      </c>
      <c r="Q131" t="inlineStr">
        <is>
          <t>Mudon Community Ctr</t>
        </is>
      </c>
      <c r="R131" t="inlineStr">
        <is>
          <t>Al Qudra Rd</t>
        </is>
      </c>
      <c r="S131" t="inlineStr">
        <is>
          <t>25</t>
        </is>
      </c>
      <c r="T131" t="inlineStr">
        <is>
          <t>20</t>
        </is>
      </c>
      <c r="U131" t="inlineStr">
        <is>
          <t>30</t>
        </is>
      </c>
      <c r="V131" t="inlineStr">
        <is>
          <t>25</t>
        </is>
      </c>
      <c r="W131" t="n">
        <v>2</v>
      </c>
      <c r="X131" s="12" t="n"/>
      <c r="Y131" s="12" t="n"/>
      <c r="Z131" s="9" t="n">
        <v>6</v>
      </c>
      <c r="AA131" s="9" t="n">
        <v>6.5</v>
      </c>
      <c r="AB131" s="9" t="n">
        <v>5</v>
      </c>
      <c r="AC131" s="9" t="n">
        <v>7</v>
      </c>
      <c r="AD131" s="9" t="n">
        <v>11</v>
      </c>
      <c r="AE131" s="9" t="n">
        <v>13.5</v>
      </c>
      <c r="AH131" t="inlineStr">
        <is>
          <t>Mixed/Other</t>
        </is>
      </c>
      <c r="AI131" t="inlineStr">
        <is>
          <t>MainstreamSelective</t>
        </is>
      </c>
      <c r="AJ131" t="inlineStr">
        <is>
          <t>TopTier</t>
        </is>
      </c>
      <c r="AK131" t="inlineStr">
        <is>
          <t>Balanced / selective</t>
        </is>
      </c>
      <c r="AL131" t="inlineStr">
        <is>
          <t>Market remains active but increasingly differentiated by developer, micro-location, livability, and pricing discipline.</t>
        </is>
      </c>
      <c r="AM131" s="9" t="n">
        <v>6</v>
      </c>
      <c r="AN131" s="9" t="n">
        <v>6.25</v>
      </c>
      <c r="AO131" s="10" t="n">
        <v>0.25</v>
      </c>
      <c r="AP131" s="13" t="n">
        <v>0</v>
      </c>
      <c r="AQ131" s="13" t="n">
        <v>0</v>
      </c>
      <c r="AR131" s="13" t="n">
        <v>0</v>
      </c>
      <c r="AS131" s="13" t="n">
        <v>0.01</v>
      </c>
      <c r="AT131" s="13" t="n">
        <v>0.005</v>
      </c>
      <c r="AU131" s="13" t="n">
        <v>0.0025</v>
      </c>
      <c r="AV131" s="13" t="n">
        <v>-0.005</v>
      </c>
      <c r="AW131" s="13" t="n">
        <v>0.015</v>
      </c>
      <c r="AX131" s="13" t="n">
        <v>0.0125</v>
      </c>
      <c r="AY131" s="12" t="n"/>
      <c r="AZ131" s="12" t="n"/>
      <c r="BA131" s="12" t="n"/>
      <c r="BB131" s="12" t="n"/>
      <c r="BC131" s="12" t="n"/>
      <c r="BD131" s="12" t="n"/>
      <c r="BE131" s="12" t="n"/>
      <c r="BF131" t="inlineStr">
        <is>
          <t>Frozen values from same rules-based model as formula sheet.</t>
        </is>
      </c>
      <c r="BG131" t="inlineStr">
        <is>
          <t>2026-03-17</t>
        </is>
      </c>
      <c r="BH131" t="inlineStr">
        <is>
          <t>DLD / Digital Dubai / CBUAE / Savills / Knight Frank-Moody’s / Reuters</t>
        </is>
      </c>
    </row>
    <row r="132">
      <c r="A132" t="n">
        <v>131</v>
      </c>
      <c r="B132" t="inlineStr">
        <is>
          <t>Mudon Al Ranim Phase 1</t>
        </is>
      </c>
      <c r="C132" t="inlineStr">
        <is>
          <t>Dubai Properties</t>
        </is>
      </c>
      <c r="D132" t="inlineStr">
        <is>
          <t>Mudon</t>
        </is>
      </c>
      <c r="E132" t="inlineStr">
        <is>
          <t>Townhouses</t>
        </is>
      </c>
      <c r="F132" t="inlineStr">
        <is>
          <t>Park View</t>
        </is>
      </c>
      <c r="G132" t="inlineStr">
        <is>
          <t>2.2M</t>
        </is>
      </c>
      <c r="H132" t="inlineStr">
        <is>
          <t>1200</t>
        </is>
      </c>
      <c r="I132" t="inlineStr">
        <is>
          <t>12</t>
        </is>
      </c>
      <c r="J132" t="inlineStr">
        <is>
          <t>60/40</t>
        </is>
      </c>
      <c r="K132" t="inlineStr">
        <is>
          <t>2022</t>
        </is>
      </c>
      <c r="L132" t="inlineStr">
        <is>
          <t>6.0-6.5</t>
        </is>
      </c>
      <c r="M132" t="inlineStr">
        <is>
          <t>6-8</t>
        </is>
      </c>
      <c r="N132" t="inlineStr">
        <is>
          <t>12.0-14.5</t>
        </is>
      </c>
      <c r="O132" t="inlineStr">
        <is>
          <t>Jebel Ali School</t>
        </is>
      </c>
      <c r="P132" t="inlineStr">
        <is>
          <t>Saudi German Hospital</t>
        </is>
      </c>
      <c r="Q132" t="inlineStr">
        <is>
          <t>Mudon Community Ctr</t>
        </is>
      </c>
      <c r="R132" t="inlineStr">
        <is>
          <t>Al Qudra Rd</t>
        </is>
      </c>
      <c r="S132" t="inlineStr">
        <is>
          <t>25</t>
        </is>
      </c>
      <c r="T132" t="inlineStr">
        <is>
          <t>20</t>
        </is>
      </c>
      <c r="U132" t="inlineStr">
        <is>
          <t>30</t>
        </is>
      </c>
      <c r="V132" t="inlineStr">
        <is>
          <t>25</t>
        </is>
      </c>
      <c r="W132" t="n">
        <v>2</v>
      </c>
      <c r="X132" s="12" t="n">
        <v>2200000</v>
      </c>
      <c r="Y132" s="12" t="n">
        <v>2200000</v>
      </c>
      <c r="Z132" s="9" t="n">
        <v>6</v>
      </c>
      <c r="AA132" s="9" t="n">
        <v>6.5</v>
      </c>
      <c r="AB132" s="9" t="n">
        <v>6</v>
      </c>
      <c r="AC132" s="9" t="n">
        <v>8</v>
      </c>
      <c r="AD132" s="9" t="n">
        <v>12</v>
      </c>
      <c r="AE132" s="9" t="n">
        <v>14.5</v>
      </c>
      <c r="AF132" t="n">
        <v>2022</v>
      </c>
      <c r="AH132" t="inlineStr">
        <is>
          <t>Townhouse</t>
        </is>
      </c>
      <c r="AI132" t="inlineStr">
        <is>
          <t>FamilyVilla</t>
        </is>
      </c>
      <c r="AJ132" t="inlineStr">
        <is>
          <t>TopTier</t>
        </is>
      </c>
      <c r="AK132" t="inlineStr">
        <is>
          <t>Family-villa resilient</t>
        </is>
      </c>
      <c r="AL132" t="inlineStr">
        <is>
          <t>Villa/townhouse demand remains relatively firmer, though growth should be slower than the post-2020 surge.</t>
        </is>
      </c>
      <c r="AM132" s="9" t="n">
        <v>7</v>
      </c>
      <c r="AN132" s="9" t="n">
        <v>6.25</v>
      </c>
      <c r="AO132" s="10" t="n">
        <v>0.55</v>
      </c>
      <c r="AP132" s="13" t="n">
        <v>0</v>
      </c>
      <c r="AQ132" s="13" t="n">
        <v>0.015</v>
      </c>
      <c r="AR132" s="13" t="n">
        <v>0</v>
      </c>
      <c r="AS132" s="13" t="n">
        <v>0.025</v>
      </c>
      <c r="AT132" s="13" t="n">
        <v>0.005</v>
      </c>
      <c r="AU132" s="13" t="n">
        <v>0.0025</v>
      </c>
      <c r="AV132" s="13" t="n">
        <v>-0.005</v>
      </c>
      <c r="AW132" s="13" t="n">
        <v>0.05350000000000001</v>
      </c>
      <c r="AX132" s="13" t="n">
        <v>0.0275</v>
      </c>
      <c r="AY132" s="12" t="n">
        <v>2248169</v>
      </c>
      <c r="AZ132" s="12" t="n">
        <v>2317700</v>
      </c>
      <c r="BA132" s="12" t="n">
        <v>2387231</v>
      </c>
      <c r="BB132" s="12" t="n">
        <v>2311906</v>
      </c>
      <c r="BC132" s="12" t="n">
        <v>2381437</v>
      </c>
      <c r="BD132" s="12" t="n">
        <v>2450968</v>
      </c>
      <c r="BE132" s="12" t="n">
        <v>2446926</v>
      </c>
      <c r="BF132" t="inlineStr">
        <is>
          <t>Frozen values from same rules-based model as formula sheet.</t>
        </is>
      </c>
      <c r="BG132" t="inlineStr">
        <is>
          <t>2026-03-17</t>
        </is>
      </c>
      <c r="BH132" t="inlineStr">
        <is>
          <t>DLD / Digital Dubai / CBUAE / Savills / Knight Frank-Moody’s / Reuters</t>
        </is>
      </c>
    </row>
    <row r="133">
      <c r="A133" t="n">
        <v>132</v>
      </c>
      <c r="B133" t="inlineStr">
        <is>
          <t>Mudon Al Ranim Phase 2</t>
        </is>
      </c>
      <c r="C133" t="inlineStr">
        <is>
          <t>Dubai Properties</t>
        </is>
      </c>
      <c r="D133" t="inlineStr">
        <is>
          <t>Mudon</t>
        </is>
      </c>
      <c r="E133" t="inlineStr">
        <is>
          <t>Townhouses</t>
        </is>
      </c>
      <c r="F133" t="inlineStr">
        <is>
          <t>Park View</t>
        </is>
      </c>
      <c r="G133" t="inlineStr">
        <is>
          <t>2.3M</t>
        </is>
      </c>
      <c r="H133" t="inlineStr">
        <is>
          <t>1200</t>
        </is>
      </c>
      <c r="I133" t="inlineStr">
        <is>
          <t>12</t>
        </is>
      </c>
      <c r="J133" t="inlineStr">
        <is>
          <t>60/40</t>
        </is>
      </c>
      <c r="K133" t="inlineStr">
        <is>
          <t>2022</t>
        </is>
      </c>
      <c r="L133" t="inlineStr">
        <is>
          <t>6.0-6.5</t>
        </is>
      </c>
      <c r="M133" t="inlineStr">
        <is>
          <t>6-8</t>
        </is>
      </c>
      <c r="N133" t="inlineStr">
        <is>
          <t>12.0-14.5</t>
        </is>
      </c>
      <c r="O133" t="inlineStr">
        <is>
          <t>Jebel Ali School</t>
        </is>
      </c>
      <c r="P133" t="inlineStr">
        <is>
          <t>Saudi German Hospital</t>
        </is>
      </c>
      <c r="Q133" t="inlineStr">
        <is>
          <t>Mudon Community Ctr</t>
        </is>
      </c>
      <c r="R133" t="inlineStr">
        <is>
          <t>Al Qudra Rd</t>
        </is>
      </c>
      <c r="S133" t="inlineStr">
        <is>
          <t>25</t>
        </is>
      </c>
      <c r="T133" t="inlineStr">
        <is>
          <t>20</t>
        </is>
      </c>
      <c r="U133" t="inlineStr">
        <is>
          <t>30</t>
        </is>
      </c>
      <c r="V133" t="inlineStr">
        <is>
          <t>25</t>
        </is>
      </c>
      <c r="W133" t="n">
        <v>2</v>
      </c>
      <c r="X133" s="12" t="n">
        <v>2300000</v>
      </c>
      <c r="Y133" s="12" t="n">
        <v>2300000</v>
      </c>
      <c r="Z133" s="9" t="n">
        <v>6</v>
      </c>
      <c r="AA133" s="9" t="n">
        <v>6.5</v>
      </c>
      <c r="AB133" s="9" t="n">
        <v>6</v>
      </c>
      <c r="AC133" s="9" t="n">
        <v>8</v>
      </c>
      <c r="AD133" s="9" t="n">
        <v>12</v>
      </c>
      <c r="AE133" s="9" t="n">
        <v>14.5</v>
      </c>
      <c r="AF133" t="n">
        <v>2022</v>
      </c>
      <c r="AH133" t="inlineStr">
        <is>
          <t>Townhouse</t>
        </is>
      </c>
      <c r="AI133" t="inlineStr">
        <is>
          <t>FamilyVilla</t>
        </is>
      </c>
      <c r="AJ133" t="inlineStr">
        <is>
          <t>TopTier</t>
        </is>
      </c>
      <c r="AK133" t="inlineStr">
        <is>
          <t>Family-villa resilient</t>
        </is>
      </c>
      <c r="AL133" t="inlineStr">
        <is>
          <t>Villa/townhouse demand remains relatively firmer, though growth should be slower than the post-2020 surge.</t>
        </is>
      </c>
      <c r="AM133" s="9" t="n">
        <v>7</v>
      </c>
      <c r="AN133" s="9" t="n">
        <v>6.25</v>
      </c>
      <c r="AO133" s="10" t="n">
        <v>0.55</v>
      </c>
      <c r="AP133" s="13" t="n">
        <v>0</v>
      </c>
      <c r="AQ133" s="13" t="n">
        <v>0.015</v>
      </c>
      <c r="AR133" s="13" t="n">
        <v>0</v>
      </c>
      <c r="AS133" s="13" t="n">
        <v>0.025</v>
      </c>
      <c r="AT133" s="13" t="n">
        <v>0.005</v>
      </c>
      <c r="AU133" s="13" t="n">
        <v>0.0025</v>
      </c>
      <c r="AV133" s="13" t="n">
        <v>-0.005</v>
      </c>
      <c r="AW133" s="13" t="n">
        <v>0.05350000000000001</v>
      </c>
      <c r="AX133" s="13" t="n">
        <v>0.0275</v>
      </c>
      <c r="AY133" s="12" t="n">
        <v>2350358</v>
      </c>
      <c r="AZ133" s="12" t="n">
        <v>2423050</v>
      </c>
      <c r="BA133" s="12" t="n">
        <v>2495742</v>
      </c>
      <c r="BB133" s="12" t="n">
        <v>2416992</v>
      </c>
      <c r="BC133" s="12" t="n">
        <v>2489684</v>
      </c>
      <c r="BD133" s="12" t="n">
        <v>2562375</v>
      </c>
      <c r="BE133" s="12" t="n">
        <v>2558150</v>
      </c>
      <c r="BF133" t="inlineStr">
        <is>
          <t>Frozen values from same rules-based model as formula sheet.</t>
        </is>
      </c>
      <c r="BG133" t="inlineStr">
        <is>
          <t>2026-03-17</t>
        </is>
      </c>
      <c r="BH133" t="inlineStr">
        <is>
          <t>DLD / Digital Dubai / CBUAE / Savills / Knight Frank-Moody’s / Reuters</t>
        </is>
      </c>
    </row>
    <row r="134">
      <c r="A134" t="n">
        <v>133</v>
      </c>
      <c r="B134" t="inlineStr">
        <is>
          <t>Mudon Al Ranim Phase 3</t>
        </is>
      </c>
      <c r="C134" t="inlineStr">
        <is>
          <t>Dubai Properties</t>
        </is>
      </c>
      <c r="D134" t="inlineStr">
        <is>
          <t>Mudon</t>
        </is>
      </c>
      <c r="E134" t="inlineStr">
        <is>
          <t>Townhouses</t>
        </is>
      </c>
      <c r="F134" t="inlineStr">
        <is>
          <t>Park View</t>
        </is>
      </c>
      <c r="G134" t="inlineStr">
        <is>
          <t>2.4M</t>
        </is>
      </c>
      <c r="H134" t="inlineStr">
        <is>
          <t>1250</t>
        </is>
      </c>
      <c r="I134" t="inlineStr">
        <is>
          <t>12</t>
        </is>
      </c>
      <c r="J134" t="inlineStr">
        <is>
          <t>60/40</t>
        </is>
      </c>
      <c r="K134" t="inlineStr">
        <is>
          <t>2023</t>
        </is>
      </c>
      <c r="L134" t="inlineStr">
        <is>
          <t>6.0-6.5</t>
        </is>
      </c>
      <c r="M134" t="inlineStr">
        <is>
          <t>6-8</t>
        </is>
      </c>
      <c r="N134" t="inlineStr">
        <is>
          <t>12.0-14.5</t>
        </is>
      </c>
      <c r="O134" t="inlineStr">
        <is>
          <t>Jebel Ali School</t>
        </is>
      </c>
      <c r="P134" t="inlineStr">
        <is>
          <t>Saudi German Hospital</t>
        </is>
      </c>
      <c r="Q134" t="inlineStr">
        <is>
          <t>Mudon Community Ctr</t>
        </is>
      </c>
      <c r="R134" t="inlineStr">
        <is>
          <t>Al Qudra Rd</t>
        </is>
      </c>
      <c r="S134" t="inlineStr">
        <is>
          <t>25</t>
        </is>
      </c>
      <c r="T134" t="inlineStr">
        <is>
          <t>20</t>
        </is>
      </c>
      <c r="U134" t="inlineStr">
        <is>
          <t>30</t>
        </is>
      </c>
      <c r="V134" t="inlineStr">
        <is>
          <t>25</t>
        </is>
      </c>
      <c r="W134" t="n">
        <v>2</v>
      </c>
      <c r="X134" s="12" t="n">
        <v>2400000</v>
      </c>
      <c r="Y134" s="12" t="n">
        <v>2400000</v>
      </c>
      <c r="Z134" s="9" t="n">
        <v>6</v>
      </c>
      <c r="AA134" s="9" t="n">
        <v>6.5</v>
      </c>
      <c r="AB134" s="9" t="n">
        <v>6</v>
      </c>
      <c r="AC134" s="9" t="n">
        <v>8</v>
      </c>
      <c r="AD134" s="9" t="n">
        <v>12</v>
      </c>
      <c r="AE134" s="9" t="n">
        <v>14.5</v>
      </c>
      <c r="AF134" t="n">
        <v>2023</v>
      </c>
      <c r="AH134" t="inlineStr">
        <is>
          <t>Townhouse</t>
        </is>
      </c>
      <c r="AI134" t="inlineStr">
        <is>
          <t>FamilyVilla</t>
        </is>
      </c>
      <c r="AJ134" t="inlineStr">
        <is>
          <t>TopTier</t>
        </is>
      </c>
      <c r="AK134" t="inlineStr">
        <is>
          <t>Family-villa resilient</t>
        </is>
      </c>
      <c r="AL134" t="inlineStr">
        <is>
          <t>Villa/townhouse demand remains relatively firmer, though growth should be slower than the post-2020 surge.</t>
        </is>
      </c>
      <c r="AM134" s="9" t="n">
        <v>7</v>
      </c>
      <c r="AN134" s="9" t="n">
        <v>6.25</v>
      </c>
      <c r="AO134" s="10" t="n">
        <v>0.55</v>
      </c>
      <c r="AP134" s="13" t="n">
        <v>0</v>
      </c>
      <c r="AQ134" s="13" t="n">
        <v>0.015</v>
      </c>
      <c r="AR134" s="13" t="n">
        <v>0</v>
      </c>
      <c r="AS134" s="13" t="n">
        <v>0.025</v>
      </c>
      <c r="AT134" s="13" t="n">
        <v>0.005</v>
      </c>
      <c r="AU134" s="13" t="n">
        <v>0.0025</v>
      </c>
      <c r="AV134" s="13" t="n">
        <v>-0.005</v>
      </c>
      <c r="AW134" s="13" t="n">
        <v>0.05350000000000001</v>
      </c>
      <c r="AX134" s="13" t="n">
        <v>0.0275</v>
      </c>
      <c r="AY134" s="12" t="n">
        <v>2452548</v>
      </c>
      <c r="AZ134" s="12" t="n">
        <v>2528400</v>
      </c>
      <c r="BA134" s="12" t="n">
        <v>2604252</v>
      </c>
      <c r="BB134" s="12" t="n">
        <v>2522079</v>
      </c>
      <c r="BC134" s="12" t="n">
        <v>2597931</v>
      </c>
      <c r="BD134" s="12" t="n">
        <v>2673783</v>
      </c>
      <c r="BE134" s="12" t="n">
        <v>2669374</v>
      </c>
      <c r="BF134" t="inlineStr">
        <is>
          <t>Frozen values from same rules-based model as formula sheet.</t>
        </is>
      </c>
      <c r="BG134" t="inlineStr">
        <is>
          <t>2026-03-17</t>
        </is>
      </c>
      <c r="BH134" t="inlineStr">
        <is>
          <t>DLD / Digital Dubai / CBUAE / Savills / Knight Frank-Moody’s / Reuters</t>
        </is>
      </c>
    </row>
    <row r="135">
      <c r="A135" t="n">
        <v>134</v>
      </c>
      <c r="B135" t="inlineStr">
        <is>
          <t>Mudon Al Ranim Phase 4</t>
        </is>
      </c>
      <c r="C135" t="inlineStr">
        <is>
          <t>Dubai Properties</t>
        </is>
      </c>
      <c r="D135" t="inlineStr">
        <is>
          <t>Mudon</t>
        </is>
      </c>
      <c r="E135" t="inlineStr">
        <is>
          <t>Townhouses</t>
        </is>
      </c>
      <c r="F135" t="inlineStr">
        <is>
          <t>Park View</t>
        </is>
      </c>
      <c r="G135" t="inlineStr">
        <is>
          <t>2.5M</t>
        </is>
      </c>
      <c r="H135" t="inlineStr">
        <is>
          <t>1250</t>
        </is>
      </c>
      <c r="I135" t="inlineStr">
        <is>
          <t>12</t>
        </is>
      </c>
      <c r="J135" t="inlineStr">
        <is>
          <t>60/40</t>
        </is>
      </c>
      <c r="K135" t="inlineStr">
        <is>
          <t>2023</t>
        </is>
      </c>
      <c r="L135" t="inlineStr">
        <is>
          <t>6.0-6.5</t>
        </is>
      </c>
      <c r="M135" t="inlineStr">
        <is>
          <t>6-8</t>
        </is>
      </c>
      <c r="N135" t="inlineStr">
        <is>
          <t>12.0-14.5</t>
        </is>
      </c>
      <c r="O135" t="inlineStr">
        <is>
          <t>Jebel Ali School</t>
        </is>
      </c>
      <c r="P135" t="inlineStr">
        <is>
          <t>Saudi German Hospital</t>
        </is>
      </c>
      <c r="Q135" t="inlineStr">
        <is>
          <t>Mudon Community Ctr</t>
        </is>
      </c>
      <c r="R135" t="inlineStr">
        <is>
          <t>Al Qudra Rd</t>
        </is>
      </c>
      <c r="S135" t="inlineStr">
        <is>
          <t>25</t>
        </is>
      </c>
      <c r="T135" t="inlineStr">
        <is>
          <t>20</t>
        </is>
      </c>
      <c r="U135" t="inlineStr">
        <is>
          <t>30</t>
        </is>
      </c>
      <c r="V135" t="inlineStr">
        <is>
          <t>25</t>
        </is>
      </c>
      <c r="W135" t="n">
        <v>2</v>
      </c>
      <c r="X135" s="12" t="n">
        <v>2500000</v>
      </c>
      <c r="Y135" s="12" t="n">
        <v>2500000</v>
      </c>
      <c r="Z135" s="9" t="n">
        <v>6</v>
      </c>
      <c r="AA135" s="9" t="n">
        <v>6.5</v>
      </c>
      <c r="AB135" s="9" t="n">
        <v>6</v>
      </c>
      <c r="AC135" s="9" t="n">
        <v>8</v>
      </c>
      <c r="AD135" s="9" t="n">
        <v>12</v>
      </c>
      <c r="AE135" s="9" t="n">
        <v>14.5</v>
      </c>
      <c r="AF135" t="n">
        <v>2023</v>
      </c>
      <c r="AH135" t="inlineStr">
        <is>
          <t>Townhouse</t>
        </is>
      </c>
      <c r="AI135" t="inlineStr">
        <is>
          <t>FamilyVilla</t>
        </is>
      </c>
      <c r="AJ135" t="inlineStr">
        <is>
          <t>TopTier</t>
        </is>
      </c>
      <c r="AK135" t="inlineStr">
        <is>
          <t>Family-villa resilient</t>
        </is>
      </c>
      <c r="AL135" t="inlineStr">
        <is>
          <t>Villa/townhouse demand remains relatively firmer, though growth should be slower than the post-2020 surge.</t>
        </is>
      </c>
      <c r="AM135" s="9" t="n">
        <v>7</v>
      </c>
      <c r="AN135" s="9" t="n">
        <v>6.25</v>
      </c>
      <c r="AO135" s="10" t="n">
        <v>0.55</v>
      </c>
      <c r="AP135" s="13" t="n">
        <v>0</v>
      </c>
      <c r="AQ135" s="13" t="n">
        <v>0.015</v>
      </c>
      <c r="AR135" s="13" t="n">
        <v>0</v>
      </c>
      <c r="AS135" s="13" t="n">
        <v>0.025</v>
      </c>
      <c r="AT135" s="13" t="n">
        <v>0.005</v>
      </c>
      <c r="AU135" s="13" t="n">
        <v>0.0025</v>
      </c>
      <c r="AV135" s="13" t="n">
        <v>-0.005</v>
      </c>
      <c r="AW135" s="13" t="n">
        <v>0.05350000000000001</v>
      </c>
      <c r="AX135" s="13" t="n">
        <v>0.0275</v>
      </c>
      <c r="AY135" s="12" t="n">
        <v>2554738</v>
      </c>
      <c r="AZ135" s="12" t="n">
        <v>2633750</v>
      </c>
      <c r="BA135" s="12" t="n">
        <v>2712762</v>
      </c>
      <c r="BB135" s="12" t="n">
        <v>2627166</v>
      </c>
      <c r="BC135" s="12" t="n">
        <v>2706178</v>
      </c>
      <c r="BD135" s="12" t="n">
        <v>2785191</v>
      </c>
      <c r="BE135" s="12" t="n">
        <v>2780598</v>
      </c>
      <c r="BF135" t="inlineStr">
        <is>
          <t>Frozen values from same rules-based model as formula sheet.</t>
        </is>
      </c>
      <c r="BG135" t="inlineStr">
        <is>
          <t>2026-03-17</t>
        </is>
      </c>
      <c r="BH135" t="inlineStr">
        <is>
          <t>DLD / Digital Dubai / CBUAE / Savills / Knight Frank-Moody’s / Reuters</t>
        </is>
      </c>
    </row>
    <row r="136">
      <c r="A136" t="n">
        <v>135</v>
      </c>
      <c r="B136" t="inlineStr">
        <is>
          <t>Mudon Al Ranim Phase 5</t>
        </is>
      </c>
      <c r="C136" t="inlineStr">
        <is>
          <t>Dubai Properties</t>
        </is>
      </c>
      <c r="D136" t="inlineStr">
        <is>
          <t>Mudon</t>
        </is>
      </c>
      <c r="E136" t="inlineStr">
        <is>
          <t>Townhouses</t>
        </is>
      </c>
      <c r="F136" t="inlineStr">
        <is>
          <t>Park View</t>
        </is>
      </c>
      <c r="G136" t="inlineStr">
        <is>
          <t>2.6M</t>
        </is>
      </c>
      <c r="H136" t="inlineStr">
        <is>
          <t>1300</t>
        </is>
      </c>
      <c r="I136" t="inlineStr">
        <is>
          <t>12</t>
        </is>
      </c>
      <c r="J136" t="inlineStr">
        <is>
          <t>60/40</t>
        </is>
      </c>
      <c r="K136" t="inlineStr">
        <is>
          <t>2023</t>
        </is>
      </c>
      <c r="L136" t="inlineStr">
        <is>
          <t>6.0-6.5</t>
        </is>
      </c>
      <c r="M136" t="inlineStr">
        <is>
          <t>6-8</t>
        </is>
      </c>
      <c r="N136" t="inlineStr">
        <is>
          <t>12.0-14.5</t>
        </is>
      </c>
      <c r="O136" t="inlineStr">
        <is>
          <t>Jebel Ali School</t>
        </is>
      </c>
      <c r="P136" t="inlineStr">
        <is>
          <t>Saudi German Hospital</t>
        </is>
      </c>
      <c r="Q136" t="inlineStr">
        <is>
          <t>Mudon Community Ctr</t>
        </is>
      </c>
      <c r="R136" t="inlineStr">
        <is>
          <t>Al Qudra Rd</t>
        </is>
      </c>
      <c r="S136" t="inlineStr">
        <is>
          <t>25</t>
        </is>
      </c>
      <c r="T136" t="inlineStr">
        <is>
          <t>20</t>
        </is>
      </c>
      <c r="U136" t="inlineStr">
        <is>
          <t>30</t>
        </is>
      </c>
      <c r="V136" t="inlineStr">
        <is>
          <t>25</t>
        </is>
      </c>
      <c r="W136" t="n">
        <v>2</v>
      </c>
      <c r="X136" s="12" t="n">
        <v>2600000</v>
      </c>
      <c r="Y136" s="12" t="n">
        <v>2600000</v>
      </c>
      <c r="Z136" s="9" t="n">
        <v>6</v>
      </c>
      <c r="AA136" s="9" t="n">
        <v>6.5</v>
      </c>
      <c r="AB136" s="9" t="n">
        <v>6</v>
      </c>
      <c r="AC136" s="9" t="n">
        <v>8</v>
      </c>
      <c r="AD136" s="9" t="n">
        <v>12</v>
      </c>
      <c r="AE136" s="9" t="n">
        <v>14.5</v>
      </c>
      <c r="AF136" t="n">
        <v>2023</v>
      </c>
      <c r="AH136" t="inlineStr">
        <is>
          <t>Townhouse</t>
        </is>
      </c>
      <c r="AI136" t="inlineStr">
        <is>
          <t>FamilyVilla</t>
        </is>
      </c>
      <c r="AJ136" t="inlineStr">
        <is>
          <t>TopTier</t>
        </is>
      </c>
      <c r="AK136" t="inlineStr">
        <is>
          <t>Family-villa resilient</t>
        </is>
      </c>
      <c r="AL136" t="inlineStr">
        <is>
          <t>Villa/townhouse demand remains relatively firmer, though growth should be slower than the post-2020 surge.</t>
        </is>
      </c>
      <c r="AM136" s="9" t="n">
        <v>7</v>
      </c>
      <c r="AN136" s="9" t="n">
        <v>6.25</v>
      </c>
      <c r="AO136" s="10" t="n">
        <v>0.55</v>
      </c>
      <c r="AP136" s="13" t="n">
        <v>0</v>
      </c>
      <c r="AQ136" s="13" t="n">
        <v>0.015</v>
      </c>
      <c r="AR136" s="13" t="n">
        <v>0</v>
      </c>
      <c r="AS136" s="13" t="n">
        <v>0.025</v>
      </c>
      <c r="AT136" s="13" t="n">
        <v>0.005</v>
      </c>
      <c r="AU136" s="13" t="n">
        <v>0.0025</v>
      </c>
      <c r="AV136" s="13" t="n">
        <v>-0.005</v>
      </c>
      <c r="AW136" s="13" t="n">
        <v>0.05350000000000001</v>
      </c>
      <c r="AX136" s="13" t="n">
        <v>0.0275</v>
      </c>
      <c r="AY136" s="12" t="n">
        <v>2656927</v>
      </c>
      <c r="AZ136" s="12" t="n">
        <v>2739100</v>
      </c>
      <c r="BA136" s="12" t="n">
        <v>2821273</v>
      </c>
      <c r="BB136" s="12" t="n">
        <v>2732252</v>
      </c>
      <c r="BC136" s="12" t="n">
        <v>2814425</v>
      </c>
      <c r="BD136" s="12" t="n">
        <v>2896598</v>
      </c>
      <c r="BE136" s="12" t="n">
        <v>2891822</v>
      </c>
      <c r="BF136" t="inlineStr">
        <is>
          <t>Frozen values from same rules-based model as formula sheet.</t>
        </is>
      </c>
      <c r="BG136" t="inlineStr">
        <is>
          <t>2026-03-17</t>
        </is>
      </c>
      <c r="BH136" t="inlineStr">
        <is>
          <t>DLD / Digital Dubai / CBUAE / Savills / Knight Frank-Moody’s / Reuters</t>
        </is>
      </c>
    </row>
    <row r="137">
      <c r="A137" t="n">
        <v>136</v>
      </c>
      <c r="B137" t="inlineStr">
        <is>
          <t>Mudon Al Ranim Phase 6</t>
        </is>
      </c>
      <c r="C137" t="inlineStr">
        <is>
          <t>Dubai Properties</t>
        </is>
      </c>
      <c r="D137" t="inlineStr">
        <is>
          <t>Mudon</t>
        </is>
      </c>
      <c r="E137" t="inlineStr">
        <is>
          <t>Townhouses</t>
        </is>
      </c>
      <c r="F137" t="inlineStr">
        <is>
          <t>Park View</t>
        </is>
      </c>
      <c r="G137" t="inlineStr">
        <is>
          <t>2.6M</t>
        </is>
      </c>
      <c r="H137" t="inlineStr">
        <is>
          <t>1300</t>
        </is>
      </c>
      <c r="I137" t="inlineStr">
        <is>
          <t>12</t>
        </is>
      </c>
      <c r="J137" t="inlineStr">
        <is>
          <t>60/40</t>
        </is>
      </c>
      <c r="K137" t="inlineStr">
        <is>
          <t>2024</t>
        </is>
      </c>
      <c r="L137" t="inlineStr">
        <is>
          <t>6.0-6.5</t>
        </is>
      </c>
      <c r="M137" t="inlineStr">
        <is>
          <t>6-8</t>
        </is>
      </c>
      <c r="N137" t="inlineStr">
        <is>
          <t>12.0-14.5</t>
        </is>
      </c>
      <c r="O137" t="inlineStr">
        <is>
          <t>Jebel Ali School</t>
        </is>
      </c>
      <c r="P137" t="inlineStr">
        <is>
          <t>Saudi German Hospital</t>
        </is>
      </c>
      <c r="Q137" t="inlineStr">
        <is>
          <t>Mudon Community Ctr</t>
        </is>
      </c>
      <c r="R137" t="inlineStr">
        <is>
          <t>Al Qudra Rd</t>
        </is>
      </c>
      <c r="S137" t="inlineStr">
        <is>
          <t>25</t>
        </is>
      </c>
      <c r="T137" t="inlineStr">
        <is>
          <t>20</t>
        </is>
      </c>
      <c r="U137" t="inlineStr">
        <is>
          <t>30</t>
        </is>
      </c>
      <c r="V137" t="inlineStr">
        <is>
          <t>25</t>
        </is>
      </c>
      <c r="W137" t="n">
        <v>2</v>
      </c>
      <c r="X137" s="12" t="n">
        <v>2600000</v>
      </c>
      <c r="Y137" s="12" t="n">
        <v>2600000</v>
      </c>
      <c r="Z137" s="9" t="n">
        <v>6</v>
      </c>
      <c r="AA137" s="9" t="n">
        <v>6.5</v>
      </c>
      <c r="AB137" s="9" t="n">
        <v>6</v>
      </c>
      <c r="AC137" s="9" t="n">
        <v>8</v>
      </c>
      <c r="AD137" s="9" t="n">
        <v>12</v>
      </c>
      <c r="AE137" s="9" t="n">
        <v>14.5</v>
      </c>
      <c r="AF137" t="n">
        <v>2024</v>
      </c>
      <c r="AH137" t="inlineStr">
        <is>
          <t>Townhouse</t>
        </is>
      </c>
      <c r="AI137" t="inlineStr">
        <is>
          <t>FamilyVilla</t>
        </is>
      </c>
      <c r="AJ137" t="inlineStr">
        <is>
          <t>TopTier</t>
        </is>
      </c>
      <c r="AK137" t="inlineStr">
        <is>
          <t>Family-villa resilient</t>
        </is>
      </c>
      <c r="AL137" t="inlineStr">
        <is>
          <t>Villa/townhouse demand remains relatively firmer, though growth should be slower than the post-2020 surge.</t>
        </is>
      </c>
      <c r="AM137" s="9" t="n">
        <v>7</v>
      </c>
      <c r="AN137" s="9" t="n">
        <v>6.25</v>
      </c>
      <c r="AO137" s="10" t="n">
        <v>0.55</v>
      </c>
      <c r="AP137" s="13" t="n">
        <v>0</v>
      </c>
      <c r="AQ137" s="13" t="n">
        <v>0.015</v>
      </c>
      <c r="AR137" s="13" t="n">
        <v>0</v>
      </c>
      <c r="AS137" s="13" t="n">
        <v>0.025</v>
      </c>
      <c r="AT137" s="13" t="n">
        <v>0.005</v>
      </c>
      <c r="AU137" s="13" t="n">
        <v>0.0025</v>
      </c>
      <c r="AV137" s="13" t="n">
        <v>-0.005</v>
      </c>
      <c r="AW137" s="13" t="n">
        <v>0.05350000000000001</v>
      </c>
      <c r="AX137" s="13" t="n">
        <v>0.0275</v>
      </c>
      <c r="AY137" s="12" t="n">
        <v>2656927</v>
      </c>
      <c r="AZ137" s="12" t="n">
        <v>2739100</v>
      </c>
      <c r="BA137" s="12" t="n">
        <v>2821273</v>
      </c>
      <c r="BB137" s="12" t="n">
        <v>2732252</v>
      </c>
      <c r="BC137" s="12" t="n">
        <v>2814425</v>
      </c>
      <c r="BD137" s="12" t="n">
        <v>2896598</v>
      </c>
      <c r="BE137" s="12" t="n">
        <v>2891822</v>
      </c>
      <c r="BF137" t="inlineStr">
        <is>
          <t>Frozen values from same rules-based model as formula sheet.</t>
        </is>
      </c>
      <c r="BG137" t="inlineStr">
        <is>
          <t>2026-03-17</t>
        </is>
      </c>
      <c r="BH137" t="inlineStr">
        <is>
          <t>DLD / Digital Dubai / CBUAE / Savills / Knight Frank-Moody’s / Reuters</t>
        </is>
      </c>
    </row>
    <row r="138">
      <c r="A138" t="n">
        <v>137</v>
      </c>
      <c r="B138" t="inlineStr">
        <is>
          <t>Mudon Al Ranim Phase 7</t>
        </is>
      </c>
      <c r="C138" t="inlineStr">
        <is>
          <t>Dubai Properties</t>
        </is>
      </c>
      <c r="D138" t="inlineStr">
        <is>
          <t>Mudon</t>
        </is>
      </c>
      <c r="E138" t="inlineStr">
        <is>
          <t>Townhouses</t>
        </is>
      </c>
      <c r="F138" t="inlineStr">
        <is>
          <t>Park View</t>
        </is>
      </c>
      <c r="G138" t="inlineStr">
        <is>
          <t>2.7M</t>
        </is>
      </c>
      <c r="H138" t="inlineStr">
        <is>
          <t>1350</t>
        </is>
      </c>
      <c r="I138" t="inlineStr">
        <is>
          <t>12</t>
        </is>
      </c>
      <c r="J138" t="inlineStr">
        <is>
          <t>60/40</t>
        </is>
      </c>
      <c r="K138" t="inlineStr">
        <is>
          <t>2024</t>
        </is>
      </c>
      <c r="L138" t="inlineStr">
        <is>
          <t>6.0-6.5</t>
        </is>
      </c>
      <c r="M138" t="inlineStr">
        <is>
          <t>6-8</t>
        </is>
      </c>
      <c r="N138" t="inlineStr">
        <is>
          <t>12.0-14.5</t>
        </is>
      </c>
      <c r="O138" t="inlineStr">
        <is>
          <t>Jebel Ali School</t>
        </is>
      </c>
      <c r="P138" t="inlineStr">
        <is>
          <t>Saudi German Hospital</t>
        </is>
      </c>
      <c r="Q138" t="inlineStr">
        <is>
          <t>Mudon Community Ctr</t>
        </is>
      </c>
      <c r="R138" t="inlineStr">
        <is>
          <t>Al Qudra Rd</t>
        </is>
      </c>
      <c r="S138" t="inlineStr">
        <is>
          <t>25</t>
        </is>
      </c>
      <c r="T138" t="inlineStr">
        <is>
          <t>20</t>
        </is>
      </c>
      <c r="U138" t="inlineStr">
        <is>
          <t>30</t>
        </is>
      </c>
      <c r="V138" t="inlineStr">
        <is>
          <t>25</t>
        </is>
      </c>
      <c r="W138" t="n">
        <v>2</v>
      </c>
      <c r="X138" s="12" t="n">
        <v>2700000</v>
      </c>
      <c r="Y138" s="12" t="n">
        <v>2700000</v>
      </c>
      <c r="Z138" s="9" t="n">
        <v>6</v>
      </c>
      <c r="AA138" s="9" t="n">
        <v>6.5</v>
      </c>
      <c r="AB138" s="9" t="n">
        <v>6</v>
      </c>
      <c r="AC138" s="9" t="n">
        <v>8</v>
      </c>
      <c r="AD138" s="9" t="n">
        <v>12</v>
      </c>
      <c r="AE138" s="9" t="n">
        <v>14.5</v>
      </c>
      <c r="AF138" t="n">
        <v>2024</v>
      </c>
      <c r="AH138" t="inlineStr">
        <is>
          <t>Townhouse</t>
        </is>
      </c>
      <c r="AI138" t="inlineStr">
        <is>
          <t>FamilyVilla</t>
        </is>
      </c>
      <c r="AJ138" t="inlineStr">
        <is>
          <t>TopTier</t>
        </is>
      </c>
      <c r="AK138" t="inlineStr">
        <is>
          <t>Family-villa resilient</t>
        </is>
      </c>
      <c r="AL138" t="inlineStr">
        <is>
          <t>Villa/townhouse demand remains relatively firmer, though growth should be slower than the post-2020 surge.</t>
        </is>
      </c>
      <c r="AM138" s="9" t="n">
        <v>7</v>
      </c>
      <c r="AN138" s="9" t="n">
        <v>6.25</v>
      </c>
      <c r="AO138" s="10" t="n">
        <v>0.55</v>
      </c>
      <c r="AP138" s="13" t="n">
        <v>0</v>
      </c>
      <c r="AQ138" s="13" t="n">
        <v>0.015</v>
      </c>
      <c r="AR138" s="13" t="n">
        <v>0</v>
      </c>
      <c r="AS138" s="13" t="n">
        <v>0.025</v>
      </c>
      <c r="AT138" s="13" t="n">
        <v>0.005</v>
      </c>
      <c r="AU138" s="13" t="n">
        <v>0.0025</v>
      </c>
      <c r="AV138" s="13" t="n">
        <v>-0.005</v>
      </c>
      <c r="AW138" s="13" t="n">
        <v>0.05350000000000001</v>
      </c>
      <c r="AX138" s="13" t="n">
        <v>0.0275</v>
      </c>
      <c r="AY138" s="12" t="n">
        <v>2759116</v>
      </c>
      <c r="AZ138" s="12" t="n">
        <v>2844450</v>
      </c>
      <c r="BA138" s="12" t="n">
        <v>2929784</v>
      </c>
      <c r="BB138" s="12" t="n">
        <v>2837339</v>
      </c>
      <c r="BC138" s="12" t="n">
        <v>2922672</v>
      </c>
      <c r="BD138" s="12" t="n">
        <v>3008006</v>
      </c>
      <c r="BE138" s="12" t="n">
        <v>3003046</v>
      </c>
      <c r="BF138" t="inlineStr">
        <is>
          <t>Frozen values from same rules-based model as formula sheet.</t>
        </is>
      </c>
      <c r="BG138" t="inlineStr">
        <is>
          <t>2026-03-17</t>
        </is>
      </c>
      <c r="BH138" t="inlineStr">
        <is>
          <t>DLD / Digital Dubai / CBUAE / Savills / Knight Frank-Moody’s / Reuters</t>
        </is>
      </c>
    </row>
    <row r="139">
      <c r="A139" t="n">
        <v>138</v>
      </c>
      <c r="B139" t="inlineStr">
        <is>
          <t>Mudon Al Ranim Phase 8</t>
        </is>
      </c>
      <c r="C139" t="inlineStr">
        <is>
          <t>Dubai Properties</t>
        </is>
      </c>
      <c r="D139" t="inlineStr">
        <is>
          <t>Mudon</t>
        </is>
      </c>
      <c r="E139" t="inlineStr">
        <is>
          <t>Townhouses</t>
        </is>
      </c>
      <c r="F139" t="inlineStr">
        <is>
          <t>Park View</t>
        </is>
      </c>
      <c r="G139" t="inlineStr">
        <is>
          <t>2.8M</t>
        </is>
      </c>
      <c r="H139" t="inlineStr">
        <is>
          <t>1350</t>
        </is>
      </c>
      <c r="I139" t="inlineStr">
        <is>
          <t>12</t>
        </is>
      </c>
      <c r="J139" t="inlineStr">
        <is>
          <t>60/40</t>
        </is>
      </c>
      <c r="K139" t="inlineStr">
        <is>
          <t>2024</t>
        </is>
      </c>
      <c r="L139" t="inlineStr">
        <is>
          <t>6.0-6.5</t>
        </is>
      </c>
      <c r="M139" t="inlineStr">
        <is>
          <t>6-8</t>
        </is>
      </c>
      <c r="N139" t="inlineStr">
        <is>
          <t>12.0-14.5</t>
        </is>
      </c>
      <c r="O139" t="inlineStr">
        <is>
          <t>Jebel Ali School</t>
        </is>
      </c>
      <c r="P139" t="inlineStr">
        <is>
          <t>Saudi German Hospital</t>
        </is>
      </c>
      <c r="Q139" t="inlineStr">
        <is>
          <t>Mudon Community Ctr</t>
        </is>
      </c>
      <c r="R139" t="inlineStr">
        <is>
          <t>Al Qudra Rd</t>
        </is>
      </c>
      <c r="S139" t="inlineStr">
        <is>
          <t>25</t>
        </is>
      </c>
      <c r="T139" t="inlineStr">
        <is>
          <t>20</t>
        </is>
      </c>
      <c r="U139" t="inlineStr">
        <is>
          <t>30</t>
        </is>
      </c>
      <c r="V139" t="inlineStr">
        <is>
          <t>25</t>
        </is>
      </c>
      <c r="W139" t="n">
        <v>2</v>
      </c>
      <c r="X139" s="12" t="n">
        <v>2800000</v>
      </c>
      <c r="Y139" s="12" t="n">
        <v>2800000</v>
      </c>
      <c r="Z139" s="9" t="n">
        <v>6</v>
      </c>
      <c r="AA139" s="9" t="n">
        <v>6.5</v>
      </c>
      <c r="AB139" s="9" t="n">
        <v>6</v>
      </c>
      <c r="AC139" s="9" t="n">
        <v>8</v>
      </c>
      <c r="AD139" s="9" t="n">
        <v>12</v>
      </c>
      <c r="AE139" s="9" t="n">
        <v>14.5</v>
      </c>
      <c r="AF139" t="n">
        <v>2024</v>
      </c>
      <c r="AH139" t="inlineStr">
        <is>
          <t>Townhouse</t>
        </is>
      </c>
      <c r="AI139" t="inlineStr">
        <is>
          <t>FamilyVilla</t>
        </is>
      </c>
      <c r="AJ139" t="inlineStr">
        <is>
          <t>TopTier</t>
        </is>
      </c>
      <c r="AK139" t="inlineStr">
        <is>
          <t>Family-villa resilient</t>
        </is>
      </c>
      <c r="AL139" t="inlineStr">
        <is>
          <t>Villa/townhouse demand remains relatively firmer, though growth should be slower than the post-2020 surge.</t>
        </is>
      </c>
      <c r="AM139" s="9" t="n">
        <v>7</v>
      </c>
      <c r="AN139" s="9" t="n">
        <v>6.25</v>
      </c>
      <c r="AO139" s="10" t="n">
        <v>0.55</v>
      </c>
      <c r="AP139" s="13" t="n">
        <v>0</v>
      </c>
      <c r="AQ139" s="13" t="n">
        <v>0.015</v>
      </c>
      <c r="AR139" s="13" t="n">
        <v>0</v>
      </c>
      <c r="AS139" s="13" t="n">
        <v>0.025</v>
      </c>
      <c r="AT139" s="13" t="n">
        <v>0.005</v>
      </c>
      <c r="AU139" s="13" t="n">
        <v>0.0025</v>
      </c>
      <c r="AV139" s="13" t="n">
        <v>-0.005</v>
      </c>
      <c r="AW139" s="13" t="n">
        <v>0.05350000000000001</v>
      </c>
      <c r="AX139" s="13" t="n">
        <v>0.0275</v>
      </c>
      <c r="AY139" s="12" t="n">
        <v>2861306</v>
      </c>
      <c r="AZ139" s="12" t="n">
        <v>2949800</v>
      </c>
      <c r="BA139" s="12" t="n">
        <v>3038294</v>
      </c>
      <c r="BB139" s="12" t="n">
        <v>2942426</v>
      </c>
      <c r="BC139" s="12" t="n">
        <v>3030920</v>
      </c>
      <c r="BD139" s="12" t="n">
        <v>3119414</v>
      </c>
      <c r="BE139" s="12" t="n">
        <v>3114270</v>
      </c>
      <c r="BF139" t="inlineStr">
        <is>
          <t>Frozen values from same rules-based model as formula sheet.</t>
        </is>
      </c>
      <c r="BG139" t="inlineStr">
        <is>
          <t>2026-03-17</t>
        </is>
      </c>
      <c r="BH139" t="inlineStr">
        <is>
          <t>DLD / Digital Dubai / CBUAE / Savills / Knight Frank-Moody’s / Reuters</t>
        </is>
      </c>
    </row>
    <row r="140">
      <c r="A140" t="n">
        <v>139</v>
      </c>
      <c r="B140" t="inlineStr">
        <is>
          <t>Mudon Views</t>
        </is>
      </c>
      <c r="C140" t="inlineStr">
        <is>
          <t>Dubai Properties</t>
        </is>
      </c>
      <c r="D140" t="inlineStr">
        <is>
          <t>Mudon</t>
        </is>
      </c>
      <c r="E140" t="inlineStr">
        <is>
          <t>Apartments</t>
        </is>
      </c>
      <c r="F140" t="inlineStr">
        <is>
          <t>Golf / Park</t>
        </is>
      </c>
      <c r="G140" t="inlineStr">
        <is>
          <t>Resale (1.2M+)</t>
        </is>
      </c>
      <c r="H140" t="inlineStr">
        <is>
          <t>1100</t>
        </is>
      </c>
      <c r="I140" t="inlineStr">
        <is>
          <t>15</t>
        </is>
      </c>
      <c r="J140" t="inlineStr">
        <is>
          <t>Completed</t>
        </is>
      </c>
      <c r="K140" t="inlineStr">
        <is>
          <t>2017</t>
        </is>
      </c>
      <c r="L140" t="inlineStr">
        <is>
          <t>7.0-7.5</t>
        </is>
      </c>
      <c r="M140" t="inlineStr">
        <is>
          <t>4-6</t>
        </is>
      </c>
      <c r="N140" t="inlineStr">
        <is>
          <t>11.0-13.5</t>
        </is>
      </c>
      <c r="O140" t="inlineStr">
        <is>
          <t>Jebel Ali School</t>
        </is>
      </c>
      <c r="P140" t="inlineStr">
        <is>
          <t>Saudi German Hospital</t>
        </is>
      </c>
      <c r="Q140" t="inlineStr">
        <is>
          <t>Mudon Community Ctr</t>
        </is>
      </c>
      <c r="R140" t="inlineStr">
        <is>
          <t>Al Qudra Rd</t>
        </is>
      </c>
      <c r="S140" t="inlineStr">
        <is>
          <t>25</t>
        </is>
      </c>
      <c r="T140" t="inlineStr">
        <is>
          <t>20</t>
        </is>
      </c>
      <c r="U140" t="inlineStr">
        <is>
          <t>30</t>
        </is>
      </c>
      <c r="V140" t="inlineStr">
        <is>
          <t>25</t>
        </is>
      </c>
      <c r="W140" t="n">
        <v>2</v>
      </c>
      <c r="X140" s="12" t="n">
        <v>1200000</v>
      </c>
      <c r="Y140" s="12" t="n">
        <v>1200000</v>
      </c>
      <c r="Z140" s="9" t="n">
        <v>7</v>
      </c>
      <c r="AA140" s="9" t="n">
        <v>7.5</v>
      </c>
      <c r="AB140" s="9" t="n">
        <v>4</v>
      </c>
      <c r="AC140" s="9" t="n">
        <v>6</v>
      </c>
      <c r="AD140" s="9" t="n">
        <v>11</v>
      </c>
      <c r="AE140" s="9" t="n">
        <v>13.5</v>
      </c>
      <c r="AF140" t="n">
        <v>2017</v>
      </c>
      <c r="AH140" t="inlineStr">
        <is>
          <t>Apartment</t>
        </is>
      </c>
      <c r="AI140" t="inlineStr">
        <is>
          <t>MainstreamSelective</t>
        </is>
      </c>
      <c r="AJ140" t="inlineStr">
        <is>
          <t>TopTier</t>
        </is>
      </c>
      <c r="AK140" t="inlineStr">
        <is>
          <t>Balanced / selective</t>
        </is>
      </c>
      <c r="AL140" t="inlineStr">
        <is>
          <t>Market remains active but increasingly differentiated by developer, micro-location, livability, and pricing discipline.</t>
        </is>
      </c>
      <c r="AM140" s="9" t="n">
        <v>5</v>
      </c>
      <c r="AN140" s="9" t="n">
        <v>7.25</v>
      </c>
      <c r="AO140" s="10" t="n">
        <v>0.55</v>
      </c>
      <c r="AP140" s="13" t="n">
        <v>0</v>
      </c>
      <c r="AQ140" s="13" t="n">
        <v>0</v>
      </c>
      <c r="AR140" s="13" t="n">
        <v>0</v>
      </c>
      <c r="AS140" s="13" t="n">
        <v>0.01</v>
      </c>
      <c r="AT140" s="13" t="n">
        <v>0.005</v>
      </c>
      <c r="AU140" s="13" t="n">
        <v>0.0025</v>
      </c>
      <c r="AV140" s="13" t="n">
        <v>-0.005</v>
      </c>
      <c r="AW140" s="13" t="n">
        <v>0.0275</v>
      </c>
      <c r="AX140" s="13" t="n">
        <v>0.0125</v>
      </c>
      <c r="AY140" s="12" t="n">
        <v>1196010</v>
      </c>
      <c r="AZ140" s="12" t="n">
        <v>1233000</v>
      </c>
      <c r="BA140" s="12" t="n">
        <v>1269990</v>
      </c>
      <c r="BB140" s="12" t="n">
        <v>1211422</v>
      </c>
      <c r="BC140" s="12" t="n">
        <v>1248412</v>
      </c>
      <c r="BD140" s="12" t="n">
        <v>1285402</v>
      </c>
      <c r="BE140" s="12" t="n">
        <v>1264018</v>
      </c>
      <c r="BF140" t="inlineStr">
        <is>
          <t>Frozen values from same rules-based model as formula sheet.</t>
        </is>
      </c>
      <c r="BG140" t="inlineStr">
        <is>
          <t>2026-03-17</t>
        </is>
      </c>
      <c r="BH140" t="inlineStr">
        <is>
          <t>DLD / Digital Dubai / CBUAE / Savills / Knight Frank-Moody’s / Reuters</t>
        </is>
      </c>
    </row>
    <row r="141">
      <c r="A141" t="n">
        <v>140</v>
      </c>
      <c r="B141" t="inlineStr">
        <is>
          <t>Rahat</t>
        </is>
      </c>
      <c r="C141" t="inlineStr">
        <is>
          <t>Dubai Properties</t>
        </is>
      </c>
      <c r="D141" t="inlineStr">
        <is>
          <t>Mudon</t>
        </is>
      </c>
      <c r="E141" t="inlineStr">
        <is>
          <t>Villas</t>
        </is>
      </c>
      <c r="F141" t="inlineStr">
        <is>
          <t>Gated</t>
        </is>
      </c>
      <c r="G141" t="inlineStr">
        <is>
          <t>Resale (4M+)</t>
        </is>
      </c>
      <c r="H141" t="inlineStr">
        <is>
          <t>1000</t>
        </is>
      </c>
      <c r="I141" t="inlineStr">
        <is>
          <t>12</t>
        </is>
      </c>
      <c r="J141" t="inlineStr">
        <is>
          <t>Completed</t>
        </is>
      </c>
      <c r="K141" t="inlineStr">
        <is>
          <t>2015</t>
        </is>
      </c>
      <c r="L141" t="inlineStr">
        <is>
          <t>5.5-6.0</t>
        </is>
      </c>
      <c r="M141" t="inlineStr">
        <is>
          <t>5-7</t>
        </is>
      </c>
      <c r="N141" t="inlineStr">
        <is>
          <t>10.5-13.0</t>
        </is>
      </c>
      <c r="O141" t="inlineStr">
        <is>
          <t>Jebel Ali School</t>
        </is>
      </c>
      <c r="P141" t="inlineStr">
        <is>
          <t>Saudi German Hospital</t>
        </is>
      </c>
      <c r="Q141" t="inlineStr">
        <is>
          <t>Mudon Community Ctr</t>
        </is>
      </c>
      <c r="R141" t="inlineStr">
        <is>
          <t>Al Qudra Rd</t>
        </is>
      </c>
      <c r="S141" t="inlineStr">
        <is>
          <t>25</t>
        </is>
      </c>
      <c r="T141" t="inlineStr">
        <is>
          <t>20</t>
        </is>
      </c>
      <c r="U141" t="inlineStr">
        <is>
          <t>30</t>
        </is>
      </c>
      <c r="V141" t="inlineStr">
        <is>
          <t>25</t>
        </is>
      </c>
      <c r="W141" t="n">
        <v>2</v>
      </c>
      <c r="X141" s="12" t="n">
        <v>4000000</v>
      </c>
      <c r="Y141" s="12" t="n">
        <v>4000000</v>
      </c>
      <c r="Z141" s="9" t="n">
        <v>5.5</v>
      </c>
      <c r="AA141" s="9" t="n">
        <v>6</v>
      </c>
      <c r="AB141" s="9" t="n">
        <v>5</v>
      </c>
      <c r="AC141" s="9" t="n">
        <v>7</v>
      </c>
      <c r="AD141" s="9" t="n">
        <v>10.5</v>
      </c>
      <c r="AE141" s="9" t="n">
        <v>13</v>
      </c>
      <c r="AF141" t="n">
        <v>2015</v>
      </c>
      <c r="AH141" t="inlineStr">
        <is>
          <t>Villa</t>
        </is>
      </c>
      <c r="AI141" t="inlineStr">
        <is>
          <t>FamilyVilla</t>
        </is>
      </c>
      <c r="AJ141" t="inlineStr">
        <is>
          <t>TopTier</t>
        </is>
      </c>
      <c r="AK141" t="inlineStr">
        <is>
          <t>Family-villa resilient</t>
        </is>
      </c>
      <c r="AL141" t="inlineStr">
        <is>
          <t>Villa/townhouse demand remains relatively firmer, though growth should be slower than the post-2020 surge.</t>
        </is>
      </c>
      <c r="AM141" s="9" t="n">
        <v>6</v>
      </c>
      <c r="AN141" s="9" t="n">
        <v>5.75</v>
      </c>
      <c r="AO141" s="10" t="n">
        <v>0.55</v>
      </c>
      <c r="AP141" s="13" t="n">
        <v>0</v>
      </c>
      <c r="AQ141" s="13" t="n">
        <v>0.015</v>
      </c>
      <c r="AR141" s="13" t="n">
        <v>0</v>
      </c>
      <c r="AS141" s="13" t="n">
        <v>0.025</v>
      </c>
      <c r="AT141" s="13" t="n">
        <v>0.005</v>
      </c>
      <c r="AU141" s="13" t="n">
        <v>0</v>
      </c>
      <c r="AV141" s="13" t="n">
        <v>-0.005</v>
      </c>
      <c r="AW141" s="13" t="n">
        <v>0.048</v>
      </c>
      <c r="AX141" s="13" t="n">
        <v>0.025</v>
      </c>
      <c r="AY141" s="12" t="n">
        <v>4066240</v>
      </c>
      <c r="AZ141" s="12" t="n">
        <v>4192000</v>
      </c>
      <c r="BA141" s="12" t="n">
        <v>4317760</v>
      </c>
      <c r="BB141" s="12" t="n">
        <v>4171040</v>
      </c>
      <c r="BC141" s="12" t="n">
        <v>4296800</v>
      </c>
      <c r="BD141" s="12" t="n">
        <v>4422560</v>
      </c>
      <c r="BE141" s="12" t="n">
        <v>4404220</v>
      </c>
      <c r="BF141" t="inlineStr">
        <is>
          <t>Frozen values from same rules-based model as formula sheet.</t>
        </is>
      </c>
      <c r="BG141" t="inlineStr">
        <is>
          <t>2026-03-17</t>
        </is>
      </c>
      <c r="BH141" t="inlineStr">
        <is>
          <t>DLD / Digital Dubai / CBUAE / Savills / Knight Frank-Moody’s / Reuters</t>
        </is>
      </c>
    </row>
    <row r="142">
      <c r="A142" t="n">
        <v>141</v>
      </c>
      <c r="B142" t="inlineStr">
        <is>
          <t>Naseem</t>
        </is>
      </c>
      <c r="C142" t="inlineStr">
        <is>
          <t>Dubai Properties</t>
        </is>
      </c>
      <c r="D142" t="inlineStr">
        <is>
          <t>Mudon</t>
        </is>
      </c>
      <c r="E142" t="inlineStr">
        <is>
          <t>Townhouses</t>
        </is>
      </c>
      <c r="F142" t="inlineStr">
        <is>
          <t>Gated</t>
        </is>
      </c>
      <c r="G142" t="inlineStr">
        <is>
          <t>Resale (2.5M+)</t>
        </is>
      </c>
      <c r="H142" t="inlineStr">
        <is>
          <t>1000</t>
        </is>
      </c>
      <c r="I142" t="inlineStr">
        <is>
          <t>12</t>
        </is>
      </c>
      <c r="J142" t="inlineStr">
        <is>
          <t>Completed</t>
        </is>
      </c>
      <c r="K142" t="inlineStr">
        <is>
          <t>2016</t>
        </is>
      </c>
      <c r="L142" t="inlineStr">
        <is>
          <t>6.0-6.5</t>
        </is>
      </c>
      <c r="M142" t="inlineStr">
        <is>
          <t>5-7</t>
        </is>
      </c>
      <c r="N142" t="inlineStr">
        <is>
          <t>11.0-13.5</t>
        </is>
      </c>
      <c r="O142" t="inlineStr">
        <is>
          <t>Jebel Ali School</t>
        </is>
      </c>
      <c r="P142" t="inlineStr">
        <is>
          <t>Saudi German Hospital</t>
        </is>
      </c>
      <c r="Q142" t="inlineStr">
        <is>
          <t>Mudon Community Ctr</t>
        </is>
      </c>
      <c r="R142" t="inlineStr">
        <is>
          <t>Al Qudra Rd</t>
        </is>
      </c>
      <c r="S142" t="inlineStr">
        <is>
          <t>25</t>
        </is>
      </c>
      <c r="T142" t="inlineStr">
        <is>
          <t>20</t>
        </is>
      </c>
      <c r="U142" t="inlineStr">
        <is>
          <t>30</t>
        </is>
      </c>
      <c r="V142" t="inlineStr">
        <is>
          <t>25</t>
        </is>
      </c>
      <c r="W142" t="n">
        <v>2</v>
      </c>
      <c r="X142" s="12" t="n">
        <v>2500000</v>
      </c>
      <c r="Y142" s="12" t="n">
        <v>2500000</v>
      </c>
      <c r="Z142" s="9" t="n">
        <v>6</v>
      </c>
      <c r="AA142" s="9" t="n">
        <v>6.5</v>
      </c>
      <c r="AB142" s="9" t="n">
        <v>5</v>
      </c>
      <c r="AC142" s="9" t="n">
        <v>7</v>
      </c>
      <c r="AD142" s="9" t="n">
        <v>11</v>
      </c>
      <c r="AE142" s="9" t="n">
        <v>13.5</v>
      </c>
      <c r="AF142" t="n">
        <v>2016</v>
      </c>
      <c r="AH142" t="inlineStr">
        <is>
          <t>Townhouse</t>
        </is>
      </c>
      <c r="AI142" t="inlineStr">
        <is>
          <t>FamilyVilla</t>
        </is>
      </c>
      <c r="AJ142" t="inlineStr">
        <is>
          <t>TopTier</t>
        </is>
      </c>
      <c r="AK142" t="inlineStr">
        <is>
          <t>Family-villa resilient</t>
        </is>
      </c>
      <c r="AL142" t="inlineStr">
        <is>
          <t>Villa/townhouse demand remains relatively firmer, though growth should be slower than the post-2020 surge.</t>
        </is>
      </c>
      <c r="AM142" s="9" t="n">
        <v>6</v>
      </c>
      <c r="AN142" s="9" t="n">
        <v>6.25</v>
      </c>
      <c r="AO142" s="10" t="n">
        <v>0.55</v>
      </c>
      <c r="AP142" s="13" t="n">
        <v>0</v>
      </c>
      <c r="AQ142" s="13" t="n">
        <v>0.015</v>
      </c>
      <c r="AR142" s="13" t="n">
        <v>0</v>
      </c>
      <c r="AS142" s="13" t="n">
        <v>0.025</v>
      </c>
      <c r="AT142" s="13" t="n">
        <v>0.005</v>
      </c>
      <c r="AU142" s="13" t="n">
        <v>0.0025</v>
      </c>
      <c r="AV142" s="13" t="n">
        <v>-0.005</v>
      </c>
      <c r="AW142" s="13" t="n">
        <v>0.048</v>
      </c>
      <c r="AX142" s="13" t="n">
        <v>0.0275</v>
      </c>
      <c r="AY142" s="12" t="n">
        <v>2541400</v>
      </c>
      <c r="AZ142" s="12" t="n">
        <v>2620000</v>
      </c>
      <c r="BA142" s="12" t="n">
        <v>2698600</v>
      </c>
      <c r="BB142" s="12" t="n">
        <v>2613450</v>
      </c>
      <c r="BC142" s="12" t="n">
        <v>2692050</v>
      </c>
      <c r="BD142" s="12" t="n">
        <v>2770650</v>
      </c>
      <c r="BE142" s="12" t="n">
        <v>2766081</v>
      </c>
      <c r="BF142" t="inlineStr">
        <is>
          <t>Frozen values from same rules-based model as formula sheet.</t>
        </is>
      </c>
      <c r="BG142" t="inlineStr">
        <is>
          <t>2026-03-17</t>
        </is>
      </c>
      <c r="BH142" t="inlineStr">
        <is>
          <t>DLD / Digital Dubai / CBUAE / Savills / Knight Frank-Moody’s / Reuters</t>
        </is>
      </c>
    </row>
    <row r="143">
      <c r="A143" t="n">
        <v>142</v>
      </c>
      <c r="B143" t="inlineStr">
        <is>
          <t>Villanova (Master Community)</t>
        </is>
      </c>
      <c r="C143" t="inlineStr">
        <is>
          <t>Dubai Properties</t>
        </is>
      </c>
      <c r="D143" t="inlineStr">
        <is>
          <t>Dubailand</t>
        </is>
      </c>
      <c r="E143" t="inlineStr">
        <is>
          <t>Townhouses &amp; Villas</t>
        </is>
      </c>
      <c r="F143" t="inlineStr">
        <is>
          <t>Family / Gated</t>
        </is>
      </c>
      <c r="I143" t="inlineStr">
        <is>
          <t>12</t>
        </is>
      </c>
      <c r="J143" t="inlineStr">
        <is>
          <t>Varies</t>
        </is>
      </c>
      <c r="K143" t="inlineStr">
        <is>
          <t>Ongoing</t>
        </is>
      </c>
      <c r="L143" t="inlineStr">
        <is>
          <t>6.0-6.5</t>
        </is>
      </c>
      <c r="M143" t="inlineStr">
        <is>
          <t>5-7</t>
        </is>
      </c>
      <c r="N143" t="inlineStr">
        <is>
          <t>11.0-13.5</t>
        </is>
      </c>
      <c r="O143" t="inlineStr">
        <is>
          <t>GEMS FirstPoint</t>
        </is>
      </c>
      <c r="P143" t="inlineStr">
        <is>
          <t>Saudi German Hospital</t>
        </is>
      </c>
      <c r="Q143" t="inlineStr">
        <is>
          <t>Villanova Marketplace</t>
        </is>
      </c>
      <c r="R143" t="inlineStr">
        <is>
          <t>Al Ain Rd / E611</t>
        </is>
      </c>
      <c r="S143" t="inlineStr">
        <is>
          <t>25</t>
        </is>
      </c>
      <c r="T143" t="inlineStr">
        <is>
          <t>30</t>
        </is>
      </c>
      <c r="U143" t="inlineStr">
        <is>
          <t>25</t>
        </is>
      </c>
      <c r="V143" t="inlineStr">
        <is>
          <t>30</t>
        </is>
      </c>
      <c r="W143" t="n">
        <v>2</v>
      </c>
      <c r="X143" s="12" t="n"/>
      <c r="Y143" s="12" t="n"/>
      <c r="Z143" s="9" t="n">
        <v>6</v>
      </c>
      <c r="AA143" s="9" t="n">
        <v>6.5</v>
      </c>
      <c r="AB143" s="9" t="n">
        <v>5</v>
      </c>
      <c r="AC143" s="9" t="n">
        <v>7</v>
      </c>
      <c r="AD143" s="9" t="n">
        <v>11</v>
      </c>
      <c r="AE143" s="9" t="n">
        <v>13.5</v>
      </c>
      <c r="AH143" t="inlineStr">
        <is>
          <t>Villa/Townhouse</t>
        </is>
      </c>
      <c r="AI143" t="inlineStr">
        <is>
          <t>MainstreamSelective</t>
        </is>
      </c>
      <c r="AJ143" t="inlineStr">
        <is>
          <t>TopTier</t>
        </is>
      </c>
      <c r="AK143" t="inlineStr">
        <is>
          <t>Family-villa resilient</t>
        </is>
      </c>
      <c r="AL143" t="inlineStr">
        <is>
          <t>Villa/townhouse demand remains relatively firmer, though growth should be slower than the post-2020 surge.</t>
        </is>
      </c>
      <c r="AM143" s="9" t="n">
        <v>6</v>
      </c>
      <c r="AN143" s="9" t="n">
        <v>6.25</v>
      </c>
      <c r="AO143" s="10" t="n">
        <v>0.25</v>
      </c>
      <c r="AP143" s="13" t="n">
        <v>0</v>
      </c>
      <c r="AQ143" s="13" t="n">
        <v>0.015</v>
      </c>
      <c r="AR143" s="13" t="n">
        <v>0</v>
      </c>
      <c r="AS143" s="13" t="n">
        <v>0.025</v>
      </c>
      <c r="AT143" s="13" t="n">
        <v>0.005</v>
      </c>
      <c r="AU143" s="13" t="n">
        <v>0.0025</v>
      </c>
      <c r="AV143" s="13" t="n">
        <v>-0.005</v>
      </c>
      <c r="AW143" s="13" t="n">
        <v>0.03</v>
      </c>
      <c r="AX143" s="13" t="n">
        <v>0.0275</v>
      </c>
      <c r="AY143" s="12" t="n"/>
      <c r="AZ143" s="12" t="n"/>
      <c r="BA143" s="12" t="n"/>
      <c r="BB143" s="12" t="n"/>
      <c r="BC143" s="12" t="n"/>
      <c r="BD143" s="12" t="n"/>
      <c r="BE143" s="12" t="n"/>
      <c r="BF143" t="inlineStr">
        <is>
          <t>Frozen values from same rules-based model as formula sheet.</t>
        </is>
      </c>
      <c r="BG143" t="inlineStr">
        <is>
          <t>2026-03-17</t>
        </is>
      </c>
      <c r="BH143" t="inlineStr">
        <is>
          <t>DLD / Digital Dubai / CBUAE / Savills / Knight Frank-Moody’s / Reuters</t>
        </is>
      </c>
    </row>
    <row r="144">
      <c r="A144" t="n">
        <v>143</v>
      </c>
      <c r="B144" t="inlineStr">
        <is>
          <t>La Violeta</t>
        </is>
      </c>
      <c r="C144" t="inlineStr">
        <is>
          <t>Dubai Properties</t>
        </is>
      </c>
      <c r="D144" t="inlineStr">
        <is>
          <t>Villanova</t>
        </is>
      </c>
      <c r="E144" t="inlineStr">
        <is>
          <t>Townhouses</t>
        </is>
      </c>
      <c r="F144" t="inlineStr">
        <is>
          <t>Family</t>
        </is>
      </c>
      <c r="G144" t="inlineStr">
        <is>
          <t>1.8M</t>
        </is>
      </c>
      <c r="H144" t="inlineStr">
        <is>
          <t>1100</t>
        </is>
      </c>
      <c r="I144" t="inlineStr">
        <is>
          <t>12</t>
        </is>
      </c>
      <c r="J144" t="inlineStr">
        <is>
          <t>60/40</t>
        </is>
      </c>
      <c r="K144" t="inlineStr">
        <is>
          <t>2022</t>
        </is>
      </c>
      <c r="L144" t="inlineStr">
        <is>
          <t>6.0-6.5</t>
        </is>
      </c>
      <c r="M144" t="inlineStr">
        <is>
          <t>6-8</t>
        </is>
      </c>
      <c r="N144" t="inlineStr">
        <is>
          <t>12.0-14.5</t>
        </is>
      </c>
      <c r="O144" t="inlineStr">
        <is>
          <t>GEMS FirstPoint</t>
        </is>
      </c>
      <c r="P144" t="inlineStr">
        <is>
          <t>Saudi German Hospital</t>
        </is>
      </c>
      <c r="Q144" t="inlineStr">
        <is>
          <t>Villanova Marketplace</t>
        </is>
      </c>
      <c r="R144" t="inlineStr">
        <is>
          <t>Al Ain Rd / E611</t>
        </is>
      </c>
      <c r="S144" t="inlineStr">
        <is>
          <t>25</t>
        </is>
      </c>
      <c r="T144" t="inlineStr">
        <is>
          <t>30</t>
        </is>
      </c>
      <c r="U144" t="inlineStr">
        <is>
          <t>25</t>
        </is>
      </c>
      <c r="V144" t="inlineStr">
        <is>
          <t>30</t>
        </is>
      </c>
      <c r="W144" t="n">
        <v>2</v>
      </c>
      <c r="X144" s="12" t="n">
        <v>1800000</v>
      </c>
      <c r="Y144" s="12" t="n">
        <v>1800000</v>
      </c>
      <c r="Z144" s="9" t="n">
        <v>6</v>
      </c>
      <c r="AA144" s="9" t="n">
        <v>6.5</v>
      </c>
      <c r="AB144" s="9" t="n">
        <v>6</v>
      </c>
      <c r="AC144" s="9" t="n">
        <v>8</v>
      </c>
      <c r="AD144" s="9" t="n">
        <v>12</v>
      </c>
      <c r="AE144" s="9" t="n">
        <v>14.5</v>
      </c>
      <c r="AF144" t="n">
        <v>2022</v>
      </c>
      <c r="AH144" t="inlineStr">
        <is>
          <t>Townhouse</t>
        </is>
      </c>
      <c r="AI144" t="inlineStr">
        <is>
          <t>MainstreamSelective</t>
        </is>
      </c>
      <c r="AJ144" t="inlineStr">
        <is>
          <t>TopTier</t>
        </is>
      </c>
      <c r="AK144" t="inlineStr">
        <is>
          <t>Family-villa resilient</t>
        </is>
      </c>
      <c r="AL144" t="inlineStr">
        <is>
          <t>Villa/townhouse demand remains relatively firmer, though growth should be slower than the post-2020 surge.</t>
        </is>
      </c>
      <c r="AM144" s="9" t="n">
        <v>7</v>
      </c>
      <c r="AN144" s="9" t="n">
        <v>6.25</v>
      </c>
      <c r="AO144" s="10" t="n">
        <v>0.55</v>
      </c>
      <c r="AP144" s="13" t="n">
        <v>0</v>
      </c>
      <c r="AQ144" s="13" t="n">
        <v>0.015</v>
      </c>
      <c r="AR144" s="13" t="n">
        <v>0</v>
      </c>
      <c r="AS144" s="13" t="n">
        <v>0.025</v>
      </c>
      <c r="AT144" s="13" t="n">
        <v>0.005</v>
      </c>
      <c r="AU144" s="13" t="n">
        <v>0.0025</v>
      </c>
      <c r="AV144" s="13" t="n">
        <v>-0.005</v>
      </c>
      <c r="AW144" s="13" t="n">
        <v>0.05350000000000001</v>
      </c>
      <c r="AX144" s="13" t="n">
        <v>0.0275</v>
      </c>
      <c r="AY144" s="12" t="n">
        <v>1839411</v>
      </c>
      <c r="AZ144" s="12" t="n">
        <v>1896300</v>
      </c>
      <c r="BA144" s="12" t="n">
        <v>1953189</v>
      </c>
      <c r="BB144" s="12" t="n">
        <v>1891559</v>
      </c>
      <c r="BC144" s="12" t="n">
        <v>1948448</v>
      </c>
      <c r="BD144" s="12" t="n">
        <v>2005337</v>
      </c>
      <c r="BE144" s="12" t="n">
        <v>2002031</v>
      </c>
      <c r="BF144" t="inlineStr">
        <is>
          <t>Frozen values from same rules-based model as formula sheet.</t>
        </is>
      </c>
      <c r="BG144" t="inlineStr">
        <is>
          <t>2026-03-17</t>
        </is>
      </c>
      <c r="BH144" t="inlineStr">
        <is>
          <t>DLD / Digital Dubai / CBUAE / Savills / Knight Frank-Moody’s / Reuters</t>
        </is>
      </c>
    </row>
    <row r="145">
      <c r="A145" t="n">
        <v>144</v>
      </c>
      <c r="B145" t="inlineStr">
        <is>
          <t>Amaranta</t>
        </is>
      </c>
      <c r="C145" t="inlineStr">
        <is>
          <t>Dubai Properties</t>
        </is>
      </c>
      <c r="D145" t="inlineStr">
        <is>
          <t>Villanova</t>
        </is>
      </c>
      <c r="E145" t="inlineStr">
        <is>
          <t>Townhouses</t>
        </is>
      </c>
      <c r="F145" t="inlineStr">
        <is>
          <t>Family</t>
        </is>
      </c>
      <c r="G145" t="inlineStr">
        <is>
          <t>Resale (1.6M+)</t>
        </is>
      </c>
      <c r="H145" t="inlineStr">
        <is>
          <t>1000</t>
        </is>
      </c>
      <c r="I145" t="inlineStr">
        <is>
          <t>12</t>
        </is>
      </c>
      <c r="J145" t="inlineStr">
        <is>
          <t>Completed</t>
        </is>
      </c>
      <c r="K145" t="inlineStr">
        <is>
          <t>2017</t>
        </is>
      </c>
      <c r="L145" t="inlineStr">
        <is>
          <t>6.5-7.0</t>
        </is>
      </c>
      <c r="M145" t="inlineStr">
        <is>
          <t>5-7</t>
        </is>
      </c>
      <c r="N145" t="inlineStr">
        <is>
          <t>11.5-14.0</t>
        </is>
      </c>
      <c r="O145" t="inlineStr">
        <is>
          <t>GEMS FirstPoint</t>
        </is>
      </c>
      <c r="P145" t="inlineStr">
        <is>
          <t>Saudi German Hospital</t>
        </is>
      </c>
      <c r="Q145" t="inlineStr">
        <is>
          <t>Villanova Marketplace</t>
        </is>
      </c>
      <c r="R145" t="inlineStr">
        <is>
          <t>Al Ain Rd / E611</t>
        </is>
      </c>
      <c r="S145" t="inlineStr">
        <is>
          <t>25</t>
        </is>
      </c>
      <c r="T145" t="inlineStr">
        <is>
          <t>30</t>
        </is>
      </c>
      <c r="U145" t="inlineStr">
        <is>
          <t>25</t>
        </is>
      </c>
      <c r="V145" t="inlineStr">
        <is>
          <t>30</t>
        </is>
      </c>
      <c r="W145" t="n">
        <v>2</v>
      </c>
      <c r="X145" s="12" t="n">
        <v>1600000</v>
      </c>
      <c r="Y145" s="12" t="n">
        <v>1600000</v>
      </c>
      <c r="Z145" s="9" t="n">
        <v>6.5</v>
      </c>
      <c r="AA145" s="9" t="n">
        <v>7</v>
      </c>
      <c r="AB145" s="9" t="n">
        <v>5</v>
      </c>
      <c r="AC145" s="9" t="n">
        <v>7</v>
      </c>
      <c r="AD145" s="9" t="n">
        <v>11.5</v>
      </c>
      <c r="AE145" s="9" t="n">
        <v>14</v>
      </c>
      <c r="AF145" t="n">
        <v>2017</v>
      </c>
      <c r="AH145" t="inlineStr">
        <is>
          <t>Townhouse</t>
        </is>
      </c>
      <c r="AI145" t="inlineStr">
        <is>
          <t>MainstreamSelective</t>
        </is>
      </c>
      <c r="AJ145" t="inlineStr">
        <is>
          <t>TopTier</t>
        </is>
      </c>
      <c r="AK145" t="inlineStr">
        <is>
          <t>Family-villa resilient</t>
        </is>
      </c>
      <c r="AL145" t="inlineStr">
        <is>
          <t>Villa/townhouse demand remains relatively firmer, though growth should be slower than the post-2020 surge.</t>
        </is>
      </c>
      <c r="AM145" s="9" t="n">
        <v>6</v>
      </c>
      <c r="AN145" s="9" t="n">
        <v>6.75</v>
      </c>
      <c r="AO145" s="10" t="n">
        <v>0.55</v>
      </c>
      <c r="AP145" s="13" t="n">
        <v>0</v>
      </c>
      <c r="AQ145" s="13" t="n">
        <v>0.015</v>
      </c>
      <c r="AR145" s="13" t="n">
        <v>0</v>
      </c>
      <c r="AS145" s="13" t="n">
        <v>0.025</v>
      </c>
      <c r="AT145" s="13" t="n">
        <v>0.005</v>
      </c>
      <c r="AU145" s="13" t="n">
        <v>0.0025</v>
      </c>
      <c r="AV145" s="13" t="n">
        <v>-0.005</v>
      </c>
      <c r="AW145" s="13" t="n">
        <v>0.048</v>
      </c>
      <c r="AX145" s="13" t="n">
        <v>0.0275</v>
      </c>
      <c r="AY145" s="12" t="n">
        <v>1626496</v>
      </c>
      <c r="AZ145" s="12" t="n">
        <v>1676800</v>
      </c>
      <c r="BA145" s="12" t="n">
        <v>1727104</v>
      </c>
      <c r="BB145" s="12" t="n">
        <v>1672608</v>
      </c>
      <c r="BC145" s="12" t="n">
        <v>1722912</v>
      </c>
      <c r="BD145" s="12" t="n">
        <v>1773216</v>
      </c>
      <c r="BE145" s="12" t="n">
        <v>1770292</v>
      </c>
      <c r="BF145" t="inlineStr">
        <is>
          <t>Frozen values from same rules-based model as formula sheet.</t>
        </is>
      </c>
      <c r="BG145" t="inlineStr">
        <is>
          <t>2026-03-17</t>
        </is>
      </c>
      <c r="BH145" t="inlineStr">
        <is>
          <t>DLD / Digital Dubai / CBUAE / Savills / Knight Frank-Moody’s / Reuters</t>
        </is>
      </c>
    </row>
    <row r="146">
      <c r="A146" t="n">
        <v>145</v>
      </c>
      <c r="B146" t="inlineStr">
        <is>
          <t>La Rosa Phase 1</t>
        </is>
      </c>
      <c r="C146" t="inlineStr">
        <is>
          <t>Dubai Properties</t>
        </is>
      </c>
      <c r="D146" t="inlineStr">
        <is>
          <t>Villanova</t>
        </is>
      </c>
      <c r="E146" t="inlineStr">
        <is>
          <t>Townhouses</t>
        </is>
      </c>
      <c r="F146" t="inlineStr">
        <is>
          <t>Family</t>
        </is>
      </c>
      <c r="G146" t="inlineStr">
        <is>
          <t>Resale (1.7M+)</t>
        </is>
      </c>
      <c r="H146" t="inlineStr">
        <is>
          <t>1050</t>
        </is>
      </c>
      <c r="I146" t="inlineStr">
        <is>
          <t>12</t>
        </is>
      </c>
      <c r="J146" t="inlineStr">
        <is>
          <t>Completed</t>
        </is>
      </c>
      <c r="K146" t="inlineStr">
        <is>
          <t>2019</t>
        </is>
      </c>
      <c r="L146" t="inlineStr">
        <is>
          <t>6.5-7.0</t>
        </is>
      </c>
      <c r="M146" t="inlineStr">
        <is>
          <t>5-7</t>
        </is>
      </c>
      <c r="N146" t="inlineStr">
        <is>
          <t>11.5-14.0</t>
        </is>
      </c>
      <c r="O146" t="inlineStr">
        <is>
          <t>GEMS FirstPoint</t>
        </is>
      </c>
      <c r="P146" t="inlineStr">
        <is>
          <t>Saudi German Hospital</t>
        </is>
      </c>
      <c r="Q146" t="inlineStr">
        <is>
          <t>Villanova Marketplace</t>
        </is>
      </c>
      <c r="R146" t="inlineStr">
        <is>
          <t>Al Ain Rd / E611</t>
        </is>
      </c>
      <c r="S146" t="inlineStr">
        <is>
          <t>25</t>
        </is>
      </c>
      <c r="T146" t="inlineStr">
        <is>
          <t>30</t>
        </is>
      </c>
      <c r="U146" t="inlineStr">
        <is>
          <t>25</t>
        </is>
      </c>
      <c r="V146" t="inlineStr">
        <is>
          <t>30</t>
        </is>
      </c>
      <c r="W146" t="n">
        <v>2</v>
      </c>
      <c r="X146" s="12" t="n">
        <v>1700000</v>
      </c>
      <c r="Y146" s="12" t="n">
        <v>1700000</v>
      </c>
      <c r="Z146" s="9" t="n">
        <v>6.5</v>
      </c>
      <c r="AA146" s="9" t="n">
        <v>7</v>
      </c>
      <c r="AB146" s="9" t="n">
        <v>5</v>
      </c>
      <c r="AC146" s="9" t="n">
        <v>7</v>
      </c>
      <c r="AD146" s="9" t="n">
        <v>11.5</v>
      </c>
      <c r="AE146" s="9" t="n">
        <v>14</v>
      </c>
      <c r="AF146" t="n">
        <v>2019</v>
      </c>
      <c r="AH146" t="inlineStr">
        <is>
          <t>Townhouse</t>
        </is>
      </c>
      <c r="AI146" t="inlineStr">
        <is>
          <t>MainstreamSelective</t>
        </is>
      </c>
      <c r="AJ146" t="inlineStr">
        <is>
          <t>TopTier</t>
        </is>
      </c>
      <c r="AK146" t="inlineStr">
        <is>
          <t>Family-villa resilient</t>
        </is>
      </c>
      <c r="AL146" t="inlineStr">
        <is>
          <t>Villa/townhouse demand remains relatively firmer, though growth should be slower than the post-2020 surge.</t>
        </is>
      </c>
      <c r="AM146" s="9" t="n">
        <v>6</v>
      </c>
      <c r="AN146" s="9" t="n">
        <v>6.75</v>
      </c>
      <c r="AO146" s="10" t="n">
        <v>0.55</v>
      </c>
      <c r="AP146" s="13" t="n">
        <v>0</v>
      </c>
      <c r="AQ146" s="13" t="n">
        <v>0.015</v>
      </c>
      <c r="AR146" s="13" t="n">
        <v>0</v>
      </c>
      <c r="AS146" s="13" t="n">
        <v>0.025</v>
      </c>
      <c r="AT146" s="13" t="n">
        <v>0.005</v>
      </c>
      <c r="AU146" s="13" t="n">
        <v>0.0025</v>
      </c>
      <c r="AV146" s="13" t="n">
        <v>-0.005</v>
      </c>
      <c r="AW146" s="13" t="n">
        <v>0.048</v>
      </c>
      <c r="AX146" s="13" t="n">
        <v>0.0275</v>
      </c>
      <c r="AY146" s="12" t="n">
        <v>1728152</v>
      </c>
      <c r="AZ146" s="12" t="n">
        <v>1781600</v>
      </c>
      <c r="BA146" s="12" t="n">
        <v>1835048</v>
      </c>
      <c r="BB146" s="12" t="n">
        <v>1777146</v>
      </c>
      <c r="BC146" s="12" t="n">
        <v>1830594</v>
      </c>
      <c r="BD146" s="12" t="n">
        <v>1884042</v>
      </c>
      <c r="BE146" s="12" t="n">
        <v>1880935</v>
      </c>
      <c r="BF146" t="inlineStr">
        <is>
          <t>Frozen values from same rules-based model as formula sheet.</t>
        </is>
      </c>
      <c r="BG146" t="inlineStr">
        <is>
          <t>2026-03-17</t>
        </is>
      </c>
      <c r="BH146" t="inlineStr">
        <is>
          <t>DLD / Digital Dubai / CBUAE / Savills / Knight Frank-Moody’s / Reuters</t>
        </is>
      </c>
    </row>
    <row r="147">
      <c r="A147" t="n">
        <v>146</v>
      </c>
      <c r="B147" t="inlineStr">
        <is>
          <t>La Rosa Phase 2</t>
        </is>
      </c>
      <c r="C147" t="inlineStr">
        <is>
          <t>Dubai Properties</t>
        </is>
      </c>
      <c r="D147" t="inlineStr">
        <is>
          <t>Villanova</t>
        </is>
      </c>
      <c r="E147" t="inlineStr">
        <is>
          <t>Townhouses</t>
        </is>
      </c>
      <c r="F147" t="inlineStr">
        <is>
          <t>Family</t>
        </is>
      </c>
      <c r="G147" t="inlineStr">
        <is>
          <t>Resale (1.75M+)</t>
        </is>
      </c>
      <c r="H147" t="inlineStr">
        <is>
          <t>1050</t>
        </is>
      </c>
      <c r="I147" t="inlineStr">
        <is>
          <t>12</t>
        </is>
      </c>
      <c r="J147" t="inlineStr">
        <is>
          <t>Completed</t>
        </is>
      </c>
      <c r="K147" t="inlineStr">
        <is>
          <t>2019</t>
        </is>
      </c>
      <c r="L147" t="inlineStr">
        <is>
          <t>6.5-7.0</t>
        </is>
      </c>
      <c r="M147" t="inlineStr">
        <is>
          <t>5-7</t>
        </is>
      </c>
      <c r="N147" t="inlineStr">
        <is>
          <t>11.5-14.0</t>
        </is>
      </c>
      <c r="O147" t="inlineStr">
        <is>
          <t>GEMS FirstPoint</t>
        </is>
      </c>
      <c r="P147" t="inlineStr">
        <is>
          <t>Saudi German Hospital</t>
        </is>
      </c>
      <c r="Q147" t="inlineStr">
        <is>
          <t>Villanova Marketplace</t>
        </is>
      </c>
      <c r="R147" t="inlineStr">
        <is>
          <t>Al Ain Rd / E611</t>
        </is>
      </c>
      <c r="S147" t="inlineStr">
        <is>
          <t>25</t>
        </is>
      </c>
      <c r="T147" t="inlineStr">
        <is>
          <t>30</t>
        </is>
      </c>
      <c r="U147" t="inlineStr">
        <is>
          <t>25</t>
        </is>
      </c>
      <c r="V147" t="inlineStr">
        <is>
          <t>30</t>
        </is>
      </c>
      <c r="W147" t="n">
        <v>2</v>
      </c>
      <c r="X147" s="12" t="n">
        <v>1750000</v>
      </c>
      <c r="Y147" s="12" t="n">
        <v>1750000</v>
      </c>
      <c r="Z147" s="9" t="n">
        <v>6.5</v>
      </c>
      <c r="AA147" s="9" t="n">
        <v>7</v>
      </c>
      <c r="AB147" s="9" t="n">
        <v>5</v>
      </c>
      <c r="AC147" s="9" t="n">
        <v>7</v>
      </c>
      <c r="AD147" s="9" t="n">
        <v>11.5</v>
      </c>
      <c r="AE147" s="9" t="n">
        <v>14</v>
      </c>
      <c r="AF147" t="n">
        <v>2019</v>
      </c>
      <c r="AH147" t="inlineStr">
        <is>
          <t>Townhouse</t>
        </is>
      </c>
      <c r="AI147" t="inlineStr">
        <is>
          <t>MainstreamSelective</t>
        </is>
      </c>
      <c r="AJ147" t="inlineStr">
        <is>
          <t>TopTier</t>
        </is>
      </c>
      <c r="AK147" t="inlineStr">
        <is>
          <t>Family-villa resilient</t>
        </is>
      </c>
      <c r="AL147" t="inlineStr">
        <is>
          <t>Villa/townhouse demand remains relatively firmer, though growth should be slower than the post-2020 surge.</t>
        </is>
      </c>
      <c r="AM147" s="9" t="n">
        <v>6</v>
      </c>
      <c r="AN147" s="9" t="n">
        <v>6.75</v>
      </c>
      <c r="AO147" s="10" t="n">
        <v>0.55</v>
      </c>
      <c r="AP147" s="13" t="n">
        <v>0</v>
      </c>
      <c r="AQ147" s="13" t="n">
        <v>0.015</v>
      </c>
      <c r="AR147" s="13" t="n">
        <v>0</v>
      </c>
      <c r="AS147" s="13" t="n">
        <v>0.025</v>
      </c>
      <c r="AT147" s="13" t="n">
        <v>0.005</v>
      </c>
      <c r="AU147" s="13" t="n">
        <v>0.0025</v>
      </c>
      <c r="AV147" s="13" t="n">
        <v>-0.005</v>
      </c>
      <c r="AW147" s="13" t="n">
        <v>0.048</v>
      </c>
      <c r="AX147" s="13" t="n">
        <v>0.0275</v>
      </c>
      <c r="AY147" s="12" t="n">
        <v>1778980</v>
      </c>
      <c r="AZ147" s="12" t="n">
        <v>1834000</v>
      </c>
      <c r="BA147" s="12" t="n">
        <v>1889020</v>
      </c>
      <c r="BB147" s="12" t="n">
        <v>1829415</v>
      </c>
      <c r="BC147" s="12" t="n">
        <v>1884435</v>
      </c>
      <c r="BD147" s="12" t="n">
        <v>1939455</v>
      </c>
      <c r="BE147" s="12" t="n">
        <v>1936257</v>
      </c>
      <c r="BF147" t="inlineStr">
        <is>
          <t>Frozen values from same rules-based model as formula sheet.</t>
        </is>
      </c>
      <c r="BG147" t="inlineStr">
        <is>
          <t>2026-03-17</t>
        </is>
      </c>
      <c r="BH147" t="inlineStr">
        <is>
          <t>DLD / Digital Dubai / CBUAE / Savills / Knight Frank-Moody’s / Reuters</t>
        </is>
      </c>
    </row>
    <row r="148">
      <c r="A148" t="n">
        <v>147</v>
      </c>
      <c r="B148" t="inlineStr">
        <is>
          <t>La Rosa Phase 3</t>
        </is>
      </c>
      <c r="C148" t="inlineStr">
        <is>
          <t>Dubai Properties</t>
        </is>
      </c>
      <c r="D148" t="inlineStr">
        <is>
          <t>Villanova</t>
        </is>
      </c>
      <c r="E148" t="inlineStr">
        <is>
          <t>Townhouses</t>
        </is>
      </c>
      <c r="F148" t="inlineStr">
        <is>
          <t>Family</t>
        </is>
      </c>
      <c r="G148" t="inlineStr">
        <is>
          <t>Resale (1.8M+)</t>
        </is>
      </c>
      <c r="H148" t="inlineStr">
        <is>
          <t>1050</t>
        </is>
      </c>
      <c r="I148" t="inlineStr">
        <is>
          <t>12</t>
        </is>
      </c>
      <c r="J148" t="inlineStr">
        <is>
          <t>Completed</t>
        </is>
      </c>
      <c r="K148" t="inlineStr">
        <is>
          <t>2020</t>
        </is>
      </c>
      <c r="L148" t="inlineStr">
        <is>
          <t>6.5-7.0</t>
        </is>
      </c>
      <c r="M148" t="inlineStr">
        <is>
          <t>5-7</t>
        </is>
      </c>
      <c r="N148" t="inlineStr">
        <is>
          <t>11.5-14.0</t>
        </is>
      </c>
      <c r="O148" t="inlineStr">
        <is>
          <t>GEMS FirstPoint</t>
        </is>
      </c>
      <c r="P148" t="inlineStr">
        <is>
          <t>Saudi German Hospital</t>
        </is>
      </c>
      <c r="Q148" t="inlineStr">
        <is>
          <t>Villanova Marketplace</t>
        </is>
      </c>
      <c r="R148" t="inlineStr">
        <is>
          <t>Al Ain Rd / E611</t>
        </is>
      </c>
      <c r="S148" t="inlineStr">
        <is>
          <t>25</t>
        </is>
      </c>
      <c r="T148" t="inlineStr">
        <is>
          <t>30</t>
        </is>
      </c>
      <c r="U148" t="inlineStr">
        <is>
          <t>25</t>
        </is>
      </c>
      <c r="V148" t="inlineStr">
        <is>
          <t>30</t>
        </is>
      </c>
      <c r="W148" t="n">
        <v>2</v>
      </c>
      <c r="X148" s="12" t="n">
        <v>1800000</v>
      </c>
      <c r="Y148" s="12" t="n">
        <v>1800000</v>
      </c>
      <c r="Z148" s="9" t="n">
        <v>6.5</v>
      </c>
      <c r="AA148" s="9" t="n">
        <v>7</v>
      </c>
      <c r="AB148" s="9" t="n">
        <v>5</v>
      </c>
      <c r="AC148" s="9" t="n">
        <v>7</v>
      </c>
      <c r="AD148" s="9" t="n">
        <v>11.5</v>
      </c>
      <c r="AE148" s="9" t="n">
        <v>14</v>
      </c>
      <c r="AF148" t="n">
        <v>2020</v>
      </c>
      <c r="AH148" t="inlineStr">
        <is>
          <t>Townhouse</t>
        </is>
      </c>
      <c r="AI148" t="inlineStr">
        <is>
          <t>MainstreamSelective</t>
        </is>
      </c>
      <c r="AJ148" t="inlineStr">
        <is>
          <t>TopTier</t>
        </is>
      </c>
      <c r="AK148" t="inlineStr">
        <is>
          <t>Family-villa resilient</t>
        </is>
      </c>
      <c r="AL148" t="inlineStr">
        <is>
          <t>Villa/townhouse demand remains relatively firmer, though growth should be slower than the post-2020 surge.</t>
        </is>
      </c>
      <c r="AM148" s="9" t="n">
        <v>6</v>
      </c>
      <c r="AN148" s="9" t="n">
        <v>6.75</v>
      </c>
      <c r="AO148" s="10" t="n">
        <v>0.55</v>
      </c>
      <c r="AP148" s="13" t="n">
        <v>0</v>
      </c>
      <c r="AQ148" s="13" t="n">
        <v>0.015</v>
      </c>
      <c r="AR148" s="13" t="n">
        <v>0</v>
      </c>
      <c r="AS148" s="13" t="n">
        <v>0.025</v>
      </c>
      <c r="AT148" s="13" t="n">
        <v>0.005</v>
      </c>
      <c r="AU148" s="13" t="n">
        <v>0.0025</v>
      </c>
      <c r="AV148" s="13" t="n">
        <v>-0.005</v>
      </c>
      <c r="AW148" s="13" t="n">
        <v>0.048</v>
      </c>
      <c r="AX148" s="13" t="n">
        <v>0.0275</v>
      </c>
      <c r="AY148" s="12" t="n">
        <v>1829808</v>
      </c>
      <c r="AZ148" s="12" t="n">
        <v>1886400</v>
      </c>
      <c r="BA148" s="12" t="n">
        <v>1942992</v>
      </c>
      <c r="BB148" s="12" t="n">
        <v>1881684</v>
      </c>
      <c r="BC148" s="12" t="n">
        <v>1938276</v>
      </c>
      <c r="BD148" s="12" t="n">
        <v>1994868</v>
      </c>
      <c r="BE148" s="12" t="n">
        <v>1991579</v>
      </c>
      <c r="BF148" t="inlineStr">
        <is>
          <t>Frozen values from same rules-based model as formula sheet.</t>
        </is>
      </c>
      <c r="BG148" t="inlineStr">
        <is>
          <t>2026-03-17</t>
        </is>
      </c>
      <c r="BH148" t="inlineStr">
        <is>
          <t>DLD / Digital Dubai / CBUAE / Savills / Knight Frank-Moody’s / Reuters</t>
        </is>
      </c>
    </row>
    <row r="149">
      <c r="A149" t="n">
        <v>148</v>
      </c>
      <c r="B149" t="inlineStr">
        <is>
          <t>La Rosa Phase 4</t>
        </is>
      </c>
      <c r="C149" t="inlineStr">
        <is>
          <t>Dubai Properties</t>
        </is>
      </c>
      <c r="D149" t="inlineStr">
        <is>
          <t>Villanova</t>
        </is>
      </c>
      <c r="E149" t="inlineStr">
        <is>
          <t>Townhouses</t>
        </is>
      </c>
      <c r="F149" t="inlineStr">
        <is>
          <t>Family</t>
        </is>
      </c>
      <c r="G149" t="inlineStr">
        <is>
          <t>Resale (1.85M+)</t>
        </is>
      </c>
      <c r="H149" t="inlineStr">
        <is>
          <t>1100</t>
        </is>
      </c>
      <c r="I149" t="inlineStr">
        <is>
          <t>12</t>
        </is>
      </c>
      <c r="J149" t="inlineStr">
        <is>
          <t>Completed</t>
        </is>
      </c>
      <c r="K149" t="inlineStr">
        <is>
          <t>2021</t>
        </is>
      </c>
      <c r="L149" t="inlineStr">
        <is>
          <t>6.5-7.0</t>
        </is>
      </c>
      <c r="M149" t="inlineStr">
        <is>
          <t>5-7</t>
        </is>
      </c>
      <c r="N149" t="inlineStr">
        <is>
          <t>11.5-14.0</t>
        </is>
      </c>
      <c r="O149" t="inlineStr">
        <is>
          <t>GEMS FirstPoint</t>
        </is>
      </c>
      <c r="P149" t="inlineStr">
        <is>
          <t>Saudi German Hospital</t>
        </is>
      </c>
      <c r="Q149" t="inlineStr">
        <is>
          <t>Villanova Marketplace</t>
        </is>
      </c>
      <c r="R149" t="inlineStr">
        <is>
          <t>Al Ain Rd / E611</t>
        </is>
      </c>
      <c r="S149" t="inlineStr">
        <is>
          <t>25</t>
        </is>
      </c>
      <c r="T149" t="inlineStr">
        <is>
          <t>30</t>
        </is>
      </c>
      <c r="U149" t="inlineStr">
        <is>
          <t>25</t>
        </is>
      </c>
      <c r="V149" t="inlineStr">
        <is>
          <t>30</t>
        </is>
      </c>
      <c r="W149" t="n">
        <v>2</v>
      </c>
      <c r="X149" s="12" t="n">
        <v>1850000</v>
      </c>
      <c r="Y149" s="12" t="n">
        <v>1850000</v>
      </c>
      <c r="Z149" s="9" t="n">
        <v>6.5</v>
      </c>
      <c r="AA149" s="9" t="n">
        <v>7</v>
      </c>
      <c r="AB149" s="9" t="n">
        <v>5</v>
      </c>
      <c r="AC149" s="9" t="n">
        <v>7</v>
      </c>
      <c r="AD149" s="9" t="n">
        <v>11.5</v>
      </c>
      <c r="AE149" s="9" t="n">
        <v>14</v>
      </c>
      <c r="AF149" t="n">
        <v>2021</v>
      </c>
      <c r="AH149" t="inlineStr">
        <is>
          <t>Townhouse</t>
        </is>
      </c>
      <c r="AI149" t="inlineStr">
        <is>
          <t>MainstreamSelective</t>
        </is>
      </c>
      <c r="AJ149" t="inlineStr">
        <is>
          <t>TopTier</t>
        </is>
      </c>
      <c r="AK149" t="inlineStr">
        <is>
          <t>Family-villa resilient</t>
        </is>
      </c>
      <c r="AL149" t="inlineStr">
        <is>
          <t>Villa/townhouse demand remains relatively firmer, though growth should be slower than the post-2020 surge.</t>
        </is>
      </c>
      <c r="AM149" s="9" t="n">
        <v>6</v>
      </c>
      <c r="AN149" s="9" t="n">
        <v>6.75</v>
      </c>
      <c r="AO149" s="10" t="n">
        <v>0.55</v>
      </c>
      <c r="AP149" s="13" t="n">
        <v>0</v>
      </c>
      <c r="AQ149" s="13" t="n">
        <v>0.015</v>
      </c>
      <c r="AR149" s="13" t="n">
        <v>0</v>
      </c>
      <c r="AS149" s="13" t="n">
        <v>0.025</v>
      </c>
      <c r="AT149" s="13" t="n">
        <v>0.005</v>
      </c>
      <c r="AU149" s="13" t="n">
        <v>0.0025</v>
      </c>
      <c r="AV149" s="13" t="n">
        <v>-0.005</v>
      </c>
      <c r="AW149" s="13" t="n">
        <v>0.048</v>
      </c>
      <c r="AX149" s="13" t="n">
        <v>0.0275</v>
      </c>
      <c r="AY149" s="12" t="n">
        <v>1880636</v>
      </c>
      <c r="AZ149" s="12" t="n">
        <v>1938800</v>
      </c>
      <c r="BA149" s="12" t="n">
        <v>1996964</v>
      </c>
      <c r="BB149" s="12" t="n">
        <v>1933953</v>
      </c>
      <c r="BC149" s="12" t="n">
        <v>1992117</v>
      </c>
      <c r="BD149" s="12" t="n">
        <v>2050281</v>
      </c>
      <c r="BE149" s="12" t="n">
        <v>2046900</v>
      </c>
      <c r="BF149" t="inlineStr">
        <is>
          <t>Frozen values from same rules-based model as formula sheet.</t>
        </is>
      </c>
      <c r="BG149" t="inlineStr">
        <is>
          <t>2026-03-17</t>
        </is>
      </c>
      <c r="BH149" t="inlineStr">
        <is>
          <t>DLD / Digital Dubai / CBUAE / Savills / Knight Frank-Moody’s / Reuters</t>
        </is>
      </c>
    </row>
    <row r="150">
      <c r="A150" t="n">
        <v>149</v>
      </c>
      <c r="B150" t="inlineStr">
        <is>
          <t>La Rosa Phase 5</t>
        </is>
      </c>
      <c r="C150" t="inlineStr">
        <is>
          <t>Dubai Properties</t>
        </is>
      </c>
      <c r="D150" t="inlineStr">
        <is>
          <t>Villanova</t>
        </is>
      </c>
      <c r="E150" t="inlineStr">
        <is>
          <t>Townhouses</t>
        </is>
      </c>
      <c r="F150" t="inlineStr">
        <is>
          <t>Family</t>
        </is>
      </c>
      <c r="G150" t="inlineStr">
        <is>
          <t>Resale (1.9M+)</t>
        </is>
      </c>
      <c r="H150" t="inlineStr">
        <is>
          <t>1100</t>
        </is>
      </c>
      <c r="I150" t="inlineStr">
        <is>
          <t>12</t>
        </is>
      </c>
      <c r="J150" t="inlineStr">
        <is>
          <t>Completed</t>
        </is>
      </c>
      <c r="K150" t="inlineStr">
        <is>
          <t>2021</t>
        </is>
      </c>
      <c r="L150" t="inlineStr">
        <is>
          <t>6.5-7.0</t>
        </is>
      </c>
      <c r="M150" t="inlineStr">
        <is>
          <t>5-7</t>
        </is>
      </c>
      <c r="N150" t="inlineStr">
        <is>
          <t>11.5-14.0</t>
        </is>
      </c>
      <c r="O150" t="inlineStr">
        <is>
          <t>GEMS FirstPoint</t>
        </is>
      </c>
      <c r="P150" t="inlineStr">
        <is>
          <t>Saudi German Hospital</t>
        </is>
      </c>
      <c r="Q150" t="inlineStr">
        <is>
          <t>Villanova Marketplace</t>
        </is>
      </c>
      <c r="R150" t="inlineStr">
        <is>
          <t>Al Ain Rd / E611</t>
        </is>
      </c>
      <c r="S150" t="inlineStr">
        <is>
          <t>25</t>
        </is>
      </c>
      <c r="T150" t="inlineStr">
        <is>
          <t>30</t>
        </is>
      </c>
      <c r="U150" t="inlineStr">
        <is>
          <t>25</t>
        </is>
      </c>
      <c r="V150" t="inlineStr">
        <is>
          <t>30</t>
        </is>
      </c>
      <c r="W150" t="n">
        <v>2</v>
      </c>
      <c r="X150" s="12" t="n">
        <v>1900000</v>
      </c>
      <c r="Y150" s="12" t="n">
        <v>1900000</v>
      </c>
      <c r="Z150" s="9" t="n">
        <v>6.5</v>
      </c>
      <c r="AA150" s="9" t="n">
        <v>7</v>
      </c>
      <c r="AB150" s="9" t="n">
        <v>5</v>
      </c>
      <c r="AC150" s="9" t="n">
        <v>7</v>
      </c>
      <c r="AD150" s="9" t="n">
        <v>11.5</v>
      </c>
      <c r="AE150" s="9" t="n">
        <v>14</v>
      </c>
      <c r="AF150" t="n">
        <v>2021</v>
      </c>
      <c r="AH150" t="inlineStr">
        <is>
          <t>Townhouse</t>
        </is>
      </c>
      <c r="AI150" t="inlineStr">
        <is>
          <t>MainstreamSelective</t>
        </is>
      </c>
      <c r="AJ150" t="inlineStr">
        <is>
          <t>TopTier</t>
        </is>
      </c>
      <c r="AK150" t="inlineStr">
        <is>
          <t>Family-villa resilient</t>
        </is>
      </c>
      <c r="AL150" t="inlineStr">
        <is>
          <t>Villa/townhouse demand remains relatively firmer, though growth should be slower than the post-2020 surge.</t>
        </is>
      </c>
      <c r="AM150" s="9" t="n">
        <v>6</v>
      </c>
      <c r="AN150" s="9" t="n">
        <v>6.75</v>
      </c>
      <c r="AO150" s="10" t="n">
        <v>0.55</v>
      </c>
      <c r="AP150" s="13" t="n">
        <v>0</v>
      </c>
      <c r="AQ150" s="13" t="n">
        <v>0.015</v>
      </c>
      <c r="AR150" s="13" t="n">
        <v>0</v>
      </c>
      <c r="AS150" s="13" t="n">
        <v>0.025</v>
      </c>
      <c r="AT150" s="13" t="n">
        <v>0.005</v>
      </c>
      <c r="AU150" s="13" t="n">
        <v>0.0025</v>
      </c>
      <c r="AV150" s="13" t="n">
        <v>-0.005</v>
      </c>
      <c r="AW150" s="13" t="n">
        <v>0.048</v>
      </c>
      <c r="AX150" s="13" t="n">
        <v>0.0275</v>
      </c>
      <c r="AY150" s="12" t="n">
        <v>1931464</v>
      </c>
      <c r="AZ150" s="12" t="n">
        <v>1991200</v>
      </c>
      <c r="BA150" s="12" t="n">
        <v>2050936</v>
      </c>
      <c r="BB150" s="12" t="n">
        <v>1986222</v>
      </c>
      <c r="BC150" s="12" t="n">
        <v>2045958</v>
      </c>
      <c r="BD150" s="12" t="n">
        <v>2105694</v>
      </c>
      <c r="BE150" s="12" t="n">
        <v>2102222</v>
      </c>
      <c r="BF150" t="inlineStr">
        <is>
          <t>Frozen values from same rules-based model as formula sheet.</t>
        </is>
      </c>
      <c r="BG150" t="inlineStr">
        <is>
          <t>2026-03-17</t>
        </is>
      </c>
      <c r="BH150" t="inlineStr">
        <is>
          <t>DLD / Digital Dubai / CBUAE / Savills / Knight Frank-Moody’s / Reuters</t>
        </is>
      </c>
    </row>
    <row r="151">
      <c r="A151" t="n">
        <v>150</v>
      </c>
      <c r="B151" t="inlineStr">
        <is>
          <t>La Rosa Phase 6</t>
        </is>
      </c>
      <c r="C151" t="inlineStr">
        <is>
          <t>Dubai Properties</t>
        </is>
      </c>
      <c r="D151" t="inlineStr">
        <is>
          <t>Villanova</t>
        </is>
      </c>
      <c r="E151" t="inlineStr">
        <is>
          <t>Townhouses</t>
        </is>
      </c>
      <c r="F151" t="inlineStr">
        <is>
          <t>Family</t>
        </is>
      </c>
      <c r="G151" t="inlineStr">
        <is>
          <t>2.0M</t>
        </is>
      </c>
      <c r="H151" t="inlineStr">
        <is>
          <t>1150</t>
        </is>
      </c>
      <c r="I151" t="inlineStr">
        <is>
          <t>12</t>
        </is>
      </c>
      <c r="J151" t="inlineStr">
        <is>
          <t>50/50</t>
        </is>
      </c>
      <c r="K151" t="inlineStr">
        <is>
          <t>2022</t>
        </is>
      </c>
      <c r="L151" t="inlineStr">
        <is>
          <t>6.0-6.5</t>
        </is>
      </c>
      <c r="M151" t="inlineStr">
        <is>
          <t>5-7</t>
        </is>
      </c>
      <c r="N151" t="inlineStr">
        <is>
          <t>11.0-13.5</t>
        </is>
      </c>
      <c r="O151" t="inlineStr">
        <is>
          <t>GEMS FirstPoint</t>
        </is>
      </c>
      <c r="P151" t="inlineStr">
        <is>
          <t>Saudi German Hospital</t>
        </is>
      </c>
      <c r="Q151" t="inlineStr">
        <is>
          <t>Villanova Marketplace</t>
        </is>
      </c>
      <c r="R151" t="inlineStr">
        <is>
          <t>Al Ain Rd / E611</t>
        </is>
      </c>
      <c r="S151" t="inlineStr">
        <is>
          <t>25</t>
        </is>
      </c>
      <c r="T151" t="inlineStr">
        <is>
          <t>30</t>
        </is>
      </c>
      <c r="U151" t="inlineStr">
        <is>
          <t>25</t>
        </is>
      </c>
      <c r="V151" t="inlineStr">
        <is>
          <t>30</t>
        </is>
      </c>
      <c r="W151" t="n">
        <v>2</v>
      </c>
      <c r="X151" s="12" t="n">
        <v>2000000</v>
      </c>
      <c r="Y151" s="12" t="n">
        <v>2000000</v>
      </c>
      <c r="Z151" s="9" t="n">
        <v>6</v>
      </c>
      <c r="AA151" s="9" t="n">
        <v>6.5</v>
      </c>
      <c r="AB151" s="9" t="n">
        <v>5</v>
      </c>
      <c r="AC151" s="9" t="n">
        <v>7</v>
      </c>
      <c r="AD151" s="9" t="n">
        <v>11</v>
      </c>
      <c r="AE151" s="9" t="n">
        <v>13.5</v>
      </c>
      <c r="AF151" t="n">
        <v>2022</v>
      </c>
      <c r="AH151" t="inlineStr">
        <is>
          <t>Townhouse</t>
        </is>
      </c>
      <c r="AI151" t="inlineStr">
        <is>
          <t>MainstreamSelective</t>
        </is>
      </c>
      <c r="AJ151" t="inlineStr">
        <is>
          <t>TopTier</t>
        </is>
      </c>
      <c r="AK151" t="inlineStr">
        <is>
          <t>Family-villa resilient</t>
        </is>
      </c>
      <c r="AL151" t="inlineStr">
        <is>
          <t>Villa/townhouse demand remains relatively firmer, though growth should be slower than the post-2020 surge.</t>
        </is>
      </c>
      <c r="AM151" s="9" t="n">
        <v>6</v>
      </c>
      <c r="AN151" s="9" t="n">
        <v>6.25</v>
      </c>
      <c r="AO151" s="10" t="n">
        <v>0.55</v>
      </c>
      <c r="AP151" s="13" t="n">
        <v>0</v>
      </c>
      <c r="AQ151" s="13" t="n">
        <v>0.015</v>
      </c>
      <c r="AR151" s="13" t="n">
        <v>0</v>
      </c>
      <c r="AS151" s="13" t="n">
        <v>0.025</v>
      </c>
      <c r="AT151" s="13" t="n">
        <v>0.005</v>
      </c>
      <c r="AU151" s="13" t="n">
        <v>0.0025</v>
      </c>
      <c r="AV151" s="13" t="n">
        <v>-0.005</v>
      </c>
      <c r="AW151" s="13" t="n">
        <v>0.048</v>
      </c>
      <c r="AX151" s="13" t="n">
        <v>0.0275</v>
      </c>
      <c r="AY151" s="12" t="n">
        <v>2033120</v>
      </c>
      <c r="AZ151" s="12" t="n">
        <v>2096000</v>
      </c>
      <c r="BA151" s="12" t="n">
        <v>2158880</v>
      </c>
      <c r="BB151" s="12" t="n">
        <v>2090760</v>
      </c>
      <c r="BC151" s="12" t="n">
        <v>2153640</v>
      </c>
      <c r="BD151" s="12" t="n">
        <v>2216520</v>
      </c>
      <c r="BE151" s="12" t="n">
        <v>2212865</v>
      </c>
      <c r="BF151" t="inlineStr">
        <is>
          <t>Frozen values from same rules-based model as formula sheet.</t>
        </is>
      </c>
      <c r="BG151" t="inlineStr">
        <is>
          <t>2026-03-17</t>
        </is>
      </c>
      <c r="BH151" t="inlineStr">
        <is>
          <t>DLD / Digital Dubai / CBUAE / Savills / Knight Frank-Moody’s / Reuters</t>
        </is>
      </c>
    </row>
    <row r="152">
      <c r="A152" t="n">
        <v>151</v>
      </c>
      <c r="B152" t="inlineStr">
        <is>
          <t>Jumeirah Beach Residence (JBR)</t>
        </is>
      </c>
      <c r="C152" t="inlineStr">
        <is>
          <t>Dubai Properties</t>
        </is>
      </c>
      <c r="D152" t="inlineStr">
        <is>
          <t>Marina/Beach</t>
        </is>
      </c>
      <c r="E152" t="inlineStr">
        <is>
          <t>Apartments</t>
        </is>
      </c>
      <c r="F152" t="inlineStr">
        <is>
          <t>Beachfront / High-Rise</t>
        </is>
      </c>
      <c r="I152" t="inlineStr">
        <is>
          <t>25</t>
        </is>
      </c>
      <c r="J152" t="inlineStr">
        <is>
          <t>Completed</t>
        </is>
      </c>
      <c r="K152" t="inlineStr">
        <is>
          <t>2007</t>
        </is>
      </c>
      <c r="L152" t="inlineStr">
        <is>
          <t>5.5-6.5</t>
        </is>
      </c>
      <c r="M152" t="inlineStr">
        <is>
          <t>5-7</t>
        </is>
      </c>
      <c r="N152" t="inlineStr">
        <is>
          <t>10.5-13.5</t>
        </is>
      </c>
      <c r="O152" t="inlineStr">
        <is>
          <t>Emirates Intl School</t>
        </is>
      </c>
      <c r="P152" t="inlineStr">
        <is>
          <t>Emirates Hospital</t>
        </is>
      </c>
      <c r="Q152" t="inlineStr">
        <is>
          <t>Dubai Marina Mall</t>
        </is>
      </c>
      <c r="R152" t="inlineStr">
        <is>
          <t>Sheikh Zayed E11</t>
        </is>
      </c>
      <c r="S152" t="inlineStr">
        <is>
          <t>20</t>
        </is>
      </c>
      <c r="T152" t="inlineStr">
        <is>
          <t>2</t>
        </is>
      </c>
      <c r="U152" t="inlineStr">
        <is>
          <t>25</t>
        </is>
      </c>
      <c r="V152" t="inlineStr">
        <is>
          <t>30</t>
        </is>
      </c>
      <c r="W152" t="n">
        <v>2</v>
      </c>
      <c r="X152" s="12" t="n"/>
      <c r="Y152" s="12" t="n"/>
      <c r="Z152" s="9" t="n">
        <v>5.5</v>
      </c>
      <c r="AA152" s="9" t="n">
        <v>6.5</v>
      </c>
      <c r="AB152" s="9" t="n">
        <v>5</v>
      </c>
      <c r="AC152" s="9" t="n">
        <v>7</v>
      </c>
      <c r="AD152" s="9" t="n">
        <v>10.5</v>
      </c>
      <c r="AE152" s="9" t="n">
        <v>13.5</v>
      </c>
      <c r="AF152" t="n">
        <v>2007</v>
      </c>
      <c r="AH152" t="inlineStr">
        <is>
          <t>Apartment</t>
        </is>
      </c>
      <c r="AI152" t="inlineStr">
        <is>
          <t>MainstreamSelective</t>
        </is>
      </c>
      <c r="AJ152" t="inlineStr">
        <is>
          <t>TopTier</t>
        </is>
      </c>
      <c r="AK152" t="inlineStr">
        <is>
          <t>Balanced / selective</t>
        </is>
      </c>
      <c r="AL152" t="inlineStr">
        <is>
          <t>Market remains active but increasingly differentiated by developer, micro-location, livability, and pricing discipline.</t>
        </is>
      </c>
      <c r="AM152" s="9" t="n">
        <v>6</v>
      </c>
      <c r="AN152" s="9" t="n">
        <v>6</v>
      </c>
      <c r="AO152" s="10" t="n">
        <v>0.55</v>
      </c>
      <c r="AP152" s="13" t="n">
        <v>0</v>
      </c>
      <c r="AQ152" s="13" t="n">
        <v>0</v>
      </c>
      <c r="AR152" s="13" t="n">
        <v>0</v>
      </c>
      <c r="AS152" s="13" t="n">
        <v>0.01</v>
      </c>
      <c r="AT152" s="13" t="n">
        <v>0.005</v>
      </c>
      <c r="AU152" s="13" t="n">
        <v>0</v>
      </c>
      <c r="AV152" s="13" t="n">
        <v>-0.005</v>
      </c>
      <c r="AW152" s="13" t="n">
        <v>0.033</v>
      </c>
      <c r="AX152" s="13" t="n">
        <v>0.009999999999999998</v>
      </c>
      <c r="AY152" s="12" t="n"/>
      <c r="AZ152" s="12" t="n"/>
      <c r="BA152" s="12" t="n"/>
      <c r="BB152" s="12" t="n"/>
      <c r="BC152" s="12" t="n"/>
      <c r="BD152" s="12" t="n"/>
      <c r="BE152" s="12" t="n"/>
      <c r="BF152" t="inlineStr">
        <is>
          <t>Frozen values from same rules-based model as formula sheet.</t>
        </is>
      </c>
      <c r="BG152" t="inlineStr">
        <is>
          <t>2026-03-17</t>
        </is>
      </c>
      <c r="BH152" t="inlineStr">
        <is>
          <t>DLD / Digital Dubai / CBUAE / Savills / Knight Frank-Moody’s / Reuters</t>
        </is>
      </c>
    </row>
    <row r="153">
      <c r="A153" t="n">
        <v>152</v>
      </c>
      <c r="B153" t="inlineStr">
        <is>
          <t>1/JBR</t>
        </is>
      </c>
      <c r="C153" t="inlineStr">
        <is>
          <t>Dubai Properties</t>
        </is>
      </c>
      <c r="D153" t="inlineStr">
        <is>
          <t>JBR</t>
        </is>
      </c>
      <c r="E153" t="inlineStr">
        <is>
          <t>Luxury Apts</t>
        </is>
      </c>
      <c r="F153" t="inlineStr">
        <is>
          <t>Ultra-Luxury / Beach</t>
        </is>
      </c>
      <c r="G153" t="inlineStr">
        <is>
          <t>Resale (6M+)</t>
        </is>
      </c>
      <c r="H153" t="inlineStr">
        <is>
          <t>3500</t>
        </is>
      </c>
      <c r="I153" t="inlineStr">
        <is>
          <t>30</t>
        </is>
      </c>
      <c r="J153" t="inlineStr">
        <is>
          <t>Completed</t>
        </is>
      </c>
      <c r="K153" t="inlineStr">
        <is>
          <t>2019</t>
        </is>
      </c>
      <c r="L153" t="inlineStr">
        <is>
          <t>4.5-5.0</t>
        </is>
      </c>
      <c r="M153" t="inlineStr">
        <is>
          <t>6-8</t>
        </is>
      </c>
      <c r="N153" t="inlineStr">
        <is>
          <t>10.5-13.0</t>
        </is>
      </c>
      <c r="O153" t="inlineStr">
        <is>
          <t>Emirates Intl School</t>
        </is>
      </c>
      <c r="P153" t="inlineStr">
        <is>
          <t>Emirates Hospital</t>
        </is>
      </c>
      <c r="Q153" t="inlineStr">
        <is>
          <t>Dubai Marina Mall</t>
        </is>
      </c>
      <c r="R153" t="inlineStr">
        <is>
          <t>Sheikh Zayed E11</t>
        </is>
      </c>
      <c r="S153" t="inlineStr">
        <is>
          <t>20</t>
        </is>
      </c>
      <c r="T153" t="inlineStr">
        <is>
          <t>2</t>
        </is>
      </c>
      <c r="U153" t="inlineStr">
        <is>
          <t>25</t>
        </is>
      </c>
      <c r="V153" t="inlineStr">
        <is>
          <t>30</t>
        </is>
      </c>
      <c r="W153" t="n">
        <v>2</v>
      </c>
      <c r="X153" s="12" t="n">
        <v>6000000</v>
      </c>
      <c r="Y153" s="12" t="n">
        <v>6000000</v>
      </c>
      <c r="Z153" s="9" t="n">
        <v>4.5</v>
      </c>
      <c r="AA153" s="9" t="n">
        <v>5</v>
      </c>
      <c r="AB153" s="9" t="n">
        <v>6</v>
      </c>
      <c r="AC153" s="9" t="n">
        <v>8</v>
      </c>
      <c r="AD153" s="9" t="n">
        <v>10.5</v>
      </c>
      <c r="AE153" s="9" t="n">
        <v>13</v>
      </c>
      <c r="AF153" t="n">
        <v>2019</v>
      </c>
      <c r="AH153" t="inlineStr">
        <is>
          <t>Apartment</t>
        </is>
      </c>
      <c r="AI153" t="inlineStr">
        <is>
          <t>MainstreamSelective</t>
        </is>
      </c>
      <c r="AJ153" t="inlineStr">
        <is>
          <t>TopTier</t>
        </is>
      </c>
      <c r="AK153" t="inlineStr">
        <is>
          <t>Balanced / selective</t>
        </is>
      </c>
      <c r="AL153" t="inlineStr">
        <is>
          <t>Market remains active but increasingly differentiated by developer, micro-location, livability, and pricing discipline.</t>
        </is>
      </c>
      <c r="AM153" s="9" t="n">
        <v>7</v>
      </c>
      <c r="AN153" s="9" t="n">
        <v>4.75</v>
      </c>
      <c r="AO153" s="10" t="n">
        <v>0.55</v>
      </c>
      <c r="AP153" s="13" t="n">
        <v>0</v>
      </c>
      <c r="AQ153" s="13" t="n">
        <v>0</v>
      </c>
      <c r="AR153" s="13" t="n">
        <v>0</v>
      </c>
      <c r="AS153" s="13" t="n">
        <v>0.01</v>
      </c>
      <c r="AT153" s="13" t="n">
        <v>0.005</v>
      </c>
      <c r="AU153" s="13" t="n">
        <v>0</v>
      </c>
      <c r="AV153" s="13" t="n">
        <v>-0.005</v>
      </c>
      <c r="AW153" s="13" t="n">
        <v>0.03850000000000001</v>
      </c>
      <c r="AX153" s="13" t="n">
        <v>0.009999999999999998</v>
      </c>
      <c r="AY153" s="12" t="n">
        <v>6044070</v>
      </c>
      <c r="AZ153" s="12" t="n">
        <v>6231000</v>
      </c>
      <c r="BA153" s="12" t="n">
        <v>6417930</v>
      </c>
      <c r="BB153" s="12" t="n">
        <v>6106380</v>
      </c>
      <c r="BC153" s="12" t="n">
        <v>6293310</v>
      </c>
      <c r="BD153" s="12" t="n">
        <v>6480240</v>
      </c>
      <c r="BE153" s="12" t="n">
        <v>6356243</v>
      </c>
      <c r="BF153" t="inlineStr">
        <is>
          <t>Frozen values from same rules-based model as formula sheet.</t>
        </is>
      </c>
      <c r="BG153" t="inlineStr">
        <is>
          <t>2026-03-17</t>
        </is>
      </c>
      <c r="BH153" t="inlineStr">
        <is>
          <t>DLD / Digital Dubai / CBUAE / Savills / Knight Frank-Moody’s / Reuters</t>
        </is>
      </c>
    </row>
    <row r="154">
      <c r="A154" t="n">
        <v>153</v>
      </c>
      <c r="B154" t="inlineStr">
        <is>
          <t>La Vie</t>
        </is>
      </c>
      <c r="C154" t="inlineStr">
        <is>
          <t>Dubai Properties</t>
        </is>
      </c>
      <c r="D154" t="inlineStr">
        <is>
          <t>JBR</t>
        </is>
      </c>
      <c r="E154" t="inlineStr">
        <is>
          <t>Apartments</t>
        </is>
      </c>
      <c r="F154" t="inlineStr">
        <is>
          <t>Beachfront</t>
        </is>
      </c>
      <c r="G154" t="inlineStr">
        <is>
          <t>Resale (3M+)</t>
        </is>
      </c>
      <c r="H154" t="inlineStr">
        <is>
          <t>3200</t>
        </is>
      </c>
      <c r="I154" t="inlineStr">
        <is>
          <t>25</t>
        </is>
      </c>
      <c r="J154" t="inlineStr">
        <is>
          <t>Completed</t>
        </is>
      </c>
      <c r="K154" t="inlineStr">
        <is>
          <t>2019</t>
        </is>
      </c>
      <c r="L154" t="inlineStr">
        <is>
          <t>5.0-5.5</t>
        </is>
      </c>
      <c r="M154" t="inlineStr">
        <is>
          <t>6-8</t>
        </is>
      </c>
      <c r="N154" t="inlineStr">
        <is>
          <t>11.0-13.5</t>
        </is>
      </c>
      <c r="O154" t="inlineStr">
        <is>
          <t>Emirates Intl School</t>
        </is>
      </c>
      <c r="P154" t="inlineStr">
        <is>
          <t>Emirates Hospital</t>
        </is>
      </c>
      <c r="Q154" t="inlineStr">
        <is>
          <t>Dubai Marina Mall</t>
        </is>
      </c>
      <c r="R154" t="inlineStr">
        <is>
          <t>Sheikh Zayed E11</t>
        </is>
      </c>
      <c r="S154" t="inlineStr">
        <is>
          <t>20</t>
        </is>
      </c>
      <c r="T154" t="inlineStr">
        <is>
          <t>2</t>
        </is>
      </c>
      <c r="U154" t="inlineStr">
        <is>
          <t>25</t>
        </is>
      </c>
      <c r="V154" t="inlineStr">
        <is>
          <t>30</t>
        </is>
      </c>
      <c r="W154" t="n">
        <v>2</v>
      </c>
      <c r="X154" s="12" t="n">
        <v>3000000</v>
      </c>
      <c r="Y154" s="12" t="n">
        <v>3000000</v>
      </c>
      <c r="Z154" s="9" t="n">
        <v>5</v>
      </c>
      <c r="AA154" s="9" t="n">
        <v>5.5</v>
      </c>
      <c r="AB154" s="9" t="n">
        <v>6</v>
      </c>
      <c r="AC154" s="9" t="n">
        <v>8</v>
      </c>
      <c r="AD154" s="9" t="n">
        <v>11</v>
      </c>
      <c r="AE154" s="9" t="n">
        <v>13.5</v>
      </c>
      <c r="AF154" t="n">
        <v>2019</v>
      </c>
      <c r="AH154" t="inlineStr">
        <is>
          <t>Apartment</t>
        </is>
      </c>
      <c r="AI154" t="inlineStr">
        <is>
          <t>MainstreamSelective</t>
        </is>
      </c>
      <c r="AJ154" t="inlineStr">
        <is>
          <t>TopTier</t>
        </is>
      </c>
      <c r="AK154" t="inlineStr">
        <is>
          <t>Balanced / selective</t>
        </is>
      </c>
      <c r="AL154" t="inlineStr">
        <is>
          <t>Market remains active but increasingly differentiated by developer, micro-location, livability, and pricing discipline.</t>
        </is>
      </c>
      <c r="AM154" s="9" t="n">
        <v>7</v>
      </c>
      <c r="AN154" s="9" t="n">
        <v>5.25</v>
      </c>
      <c r="AO154" s="10" t="n">
        <v>0.55</v>
      </c>
      <c r="AP154" s="13" t="n">
        <v>0</v>
      </c>
      <c r="AQ154" s="13" t="n">
        <v>0</v>
      </c>
      <c r="AR154" s="13" t="n">
        <v>0</v>
      </c>
      <c r="AS154" s="13" t="n">
        <v>0.01</v>
      </c>
      <c r="AT154" s="13" t="n">
        <v>0.005</v>
      </c>
      <c r="AU154" s="13" t="n">
        <v>0</v>
      </c>
      <c r="AV154" s="13" t="n">
        <v>-0.005</v>
      </c>
      <c r="AW154" s="13" t="n">
        <v>0.03850000000000001</v>
      </c>
      <c r="AX154" s="13" t="n">
        <v>0.009999999999999998</v>
      </c>
      <c r="AY154" s="12" t="n">
        <v>3022035</v>
      </c>
      <c r="AZ154" s="12" t="n">
        <v>3115500</v>
      </c>
      <c r="BA154" s="12" t="n">
        <v>3208965</v>
      </c>
      <c r="BB154" s="12" t="n">
        <v>3053190</v>
      </c>
      <c r="BC154" s="12" t="n">
        <v>3146655</v>
      </c>
      <c r="BD154" s="12" t="n">
        <v>3240120</v>
      </c>
      <c r="BE154" s="12" t="n">
        <v>3178122</v>
      </c>
      <c r="BF154" t="inlineStr">
        <is>
          <t>Frozen values from same rules-based model as formula sheet.</t>
        </is>
      </c>
      <c r="BG154" t="inlineStr">
        <is>
          <t>2026-03-17</t>
        </is>
      </c>
      <c r="BH154" t="inlineStr">
        <is>
          <t>DLD / Digital Dubai / CBUAE / Savills / Knight Frank-Moody’s / Reuters</t>
        </is>
      </c>
    </row>
    <row r="155">
      <c r="A155" t="n">
        <v>154</v>
      </c>
      <c r="B155" t="inlineStr">
        <is>
          <t>Riverside (Marasi Business Bay)</t>
        </is>
      </c>
      <c r="C155" t="inlineStr">
        <is>
          <t>Dubai Properties</t>
        </is>
      </c>
      <c r="D155" t="inlineStr">
        <is>
          <t>Business Bay</t>
        </is>
      </c>
      <c r="E155" t="inlineStr">
        <is>
          <t>Apartments</t>
        </is>
      </c>
      <c r="F155" t="inlineStr">
        <is>
          <t>Canal / City</t>
        </is>
      </c>
      <c r="G155" t="inlineStr">
        <is>
          <t>Resale (2M+)</t>
        </is>
      </c>
      <c r="H155" t="inlineStr">
        <is>
          <t>2000</t>
        </is>
      </c>
      <c r="I155" t="inlineStr">
        <is>
          <t>25</t>
        </is>
      </c>
      <c r="J155" t="inlineStr">
        <is>
          <t>Completed</t>
        </is>
      </c>
      <c r="K155" t="inlineStr">
        <is>
          <t>2017</t>
        </is>
      </c>
      <c r="L155" t="inlineStr">
        <is>
          <t>6.0-6.5</t>
        </is>
      </c>
      <c r="M155" t="inlineStr">
        <is>
          <t>5-7</t>
        </is>
      </c>
      <c r="N155" t="inlineStr">
        <is>
          <t>11.0-13.5</t>
        </is>
      </c>
      <c r="O155" t="inlineStr">
        <is>
          <t>Hartland Intl</t>
        </is>
      </c>
      <c r="P155" t="inlineStr">
        <is>
          <t>Emirates Hospital BB</t>
        </is>
      </c>
      <c r="Q155" t="inlineStr">
        <is>
          <t>Dubai Mall</t>
        </is>
      </c>
      <c r="R155" t="inlineStr">
        <is>
          <t>Al Khail E44</t>
        </is>
      </c>
      <c r="S155" t="inlineStr">
        <is>
          <t>5</t>
        </is>
      </c>
      <c r="T155" t="inlineStr">
        <is>
          <t>20</t>
        </is>
      </c>
      <c r="U155" t="inlineStr">
        <is>
          <t>15</t>
        </is>
      </c>
      <c r="V155" t="inlineStr">
        <is>
          <t>35</t>
        </is>
      </c>
      <c r="W155" t="n">
        <v>2</v>
      </c>
      <c r="X155" s="12" t="n">
        <v>2000000</v>
      </c>
      <c r="Y155" s="12" t="n">
        <v>2000000</v>
      </c>
      <c r="Z155" s="9" t="n">
        <v>6</v>
      </c>
      <c r="AA155" s="9" t="n">
        <v>6.5</v>
      </c>
      <c r="AB155" s="9" t="n">
        <v>5</v>
      </c>
      <c r="AC155" s="9" t="n">
        <v>7</v>
      </c>
      <c r="AD155" s="9" t="n">
        <v>11</v>
      </c>
      <c r="AE155" s="9" t="n">
        <v>13.5</v>
      </c>
      <c r="AF155" t="n">
        <v>2017</v>
      </c>
      <c r="AH155" t="inlineStr">
        <is>
          <t>Apartment</t>
        </is>
      </c>
      <c r="AI155" t="inlineStr">
        <is>
          <t>Prime</t>
        </is>
      </c>
      <c r="AJ155" t="inlineStr">
        <is>
          <t>TopTier</t>
        </is>
      </c>
      <c r="AK155" t="inlineStr">
        <is>
          <t>Prime resilient / selective</t>
        </is>
      </c>
      <c r="AL155" t="inlineStr">
        <is>
          <t>Better support from quality, branding, and scarcer prime stock; still entry-price sensitive.</t>
        </is>
      </c>
      <c r="AM155" s="9" t="n">
        <v>6</v>
      </c>
      <c r="AN155" s="9" t="n">
        <v>6.25</v>
      </c>
      <c r="AO155" s="10" t="n">
        <v>0.55</v>
      </c>
      <c r="AP155" s="13" t="n">
        <v>0.02</v>
      </c>
      <c r="AQ155" s="13" t="n">
        <v>0</v>
      </c>
      <c r="AR155" s="13" t="n">
        <v>0</v>
      </c>
      <c r="AS155" s="13" t="n">
        <v>0.03</v>
      </c>
      <c r="AT155" s="13" t="n">
        <v>0.005</v>
      </c>
      <c r="AU155" s="13" t="n">
        <v>0.0025</v>
      </c>
      <c r="AV155" s="13" t="n">
        <v>-0.005</v>
      </c>
      <c r="AW155" s="13" t="n">
        <v>0.05300000000000001</v>
      </c>
      <c r="AX155" s="13" t="n">
        <v>0.0325</v>
      </c>
      <c r="AY155" s="12" t="n">
        <v>2042820</v>
      </c>
      <c r="AZ155" s="12" t="n">
        <v>2106000</v>
      </c>
      <c r="BA155" s="12" t="n">
        <v>2169180</v>
      </c>
      <c r="BB155" s="12" t="n">
        <v>2111265</v>
      </c>
      <c r="BC155" s="12" t="n">
        <v>2174445</v>
      </c>
      <c r="BD155" s="12" t="n">
        <v>2237625</v>
      </c>
      <c r="BE155" s="12" t="n">
        <v>2245114</v>
      </c>
      <c r="BF155" t="inlineStr">
        <is>
          <t>Frozen values from same rules-based model as formula sheet.</t>
        </is>
      </c>
      <c r="BG155" t="inlineStr">
        <is>
          <t>2026-03-17</t>
        </is>
      </c>
      <c r="BH155" t="inlineStr">
        <is>
          <t>DLD / Digital Dubai / CBUAE / Savills / Knight Frank-Moody’s / Reuters</t>
        </is>
      </c>
    </row>
    <row r="156">
      <c r="A156" t="n">
        <v>155</v>
      </c>
      <c r="B156" t="inlineStr">
        <is>
          <t>Bellevue Towers</t>
        </is>
      </c>
      <c r="C156" t="inlineStr">
        <is>
          <t>Dubai Properties</t>
        </is>
      </c>
      <c r="D156" t="inlineStr">
        <is>
          <t>Downtown Dubai</t>
        </is>
      </c>
      <c r="E156" t="inlineStr">
        <is>
          <t>Apartments</t>
        </is>
      </c>
      <c r="F156" t="inlineStr">
        <is>
          <t>City Centre</t>
        </is>
      </c>
      <c r="G156" t="inlineStr">
        <is>
          <t>Resale (1.8M+)</t>
        </is>
      </c>
      <c r="H156" t="inlineStr">
        <is>
          <t>1800</t>
        </is>
      </c>
      <c r="I156" t="inlineStr">
        <is>
          <t>22</t>
        </is>
      </c>
      <c r="J156" t="inlineStr">
        <is>
          <t>Completed</t>
        </is>
      </c>
      <c r="K156" t="inlineStr">
        <is>
          <t>2019</t>
        </is>
      </c>
      <c r="L156" t="inlineStr">
        <is>
          <t>6.0-6.5</t>
        </is>
      </c>
      <c r="M156" t="inlineStr">
        <is>
          <t>5-7</t>
        </is>
      </c>
      <c r="N156" t="inlineStr">
        <is>
          <t>11.0-13.5</t>
        </is>
      </c>
      <c r="O156" t="inlineStr">
        <is>
          <t>Hartland Intl</t>
        </is>
      </c>
      <c r="P156" t="inlineStr">
        <is>
          <t>Emirates Hospital BB</t>
        </is>
      </c>
      <c r="Q156" t="inlineStr">
        <is>
          <t>Dubai Mall</t>
        </is>
      </c>
      <c r="R156" t="inlineStr">
        <is>
          <t>Financial Ctr Rd</t>
        </is>
      </c>
      <c r="S156" t="inlineStr">
        <is>
          <t>5</t>
        </is>
      </c>
      <c r="T156" t="inlineStr">
        <is>
          <t>20</t>
        </is>
      </c>
      <c r="U156" t="inlineStr">
        <is>
          <t>15</t>
        </is>
      </c>
      <c r="V156" t="inlineStr">
        <is>
          <t>35</t>
        </is>
      </c>
      <c r="W156" t="n">
        <v>2</v>
      </c>
      <c r="X156" s="12" t="n">
        <v>1800000</v>
      </c>
      <c r="Y156" s="12" t="n">
        <v>1800000</v>
      </c>
      <c r="Z156" s="9" t="n">
        <v>6</v>
      </c>
      <c r="AA156" s="9" t="n">
        <v>6.5</v>
      </c>
      <c r="AB156" s="9" t="n">
        <v>5</v>
      </c>
      <c r="AC156" s="9" t="n">
        <v>7</v>
      </c>
      <c r="AD156" s="9" t="n">
        <v>11</v>
      </c>
      <c r="AE156" s="9" t="n">
        <v>13.5</v>
      </c>
      <c r="AF156" t="n">
        <v>2019</v>
      </c>
      <c r="AH156" t="inlineStr">
        <is>
          <t>Apartment</t>
        </is>
      </c>
      <c r="AI156" t="inlineStr">
        <is>
          <t>Prime</t>
        </is>
      </c>
      <c r="AJ156" t="inlineStr">
        <is>
          <t>TopTier</t>
        </is>
      </c>
      <c r="AK156" t="inlineStr">
        <is>
          <t>Prime resilient / selective</t>
        </is>
      </c>
      <c r="AL156" t="inlineStr">
        <is>
          <t>Better support from quality, branding, and scarcer prime stock; still entry-price sensitive.</t>
        </is>
      </c>
      <c r="AM156" s="9" t="n">
        <v>6</v>
      </c>
      <c r="AN156" s="9" t="n">
        <v>6.25</v>
      </c>
      <c r="AO156" s="10" t="n">
        <v>0.55</v>
      </c>
      <c r="AP156" s="13" t="n">
        <v>0.02</v>
      </c>
      <c r="AQ156" s="13" t="n">
        <v>0</v>
      </c>
      <c r="AR156" s="13" t="n">
        <v>0</v>
      </c>
      <c r="AS156" s="13" t="n">
        <v>0.03</v>
      </c>
      <c r="AT156" s="13" t="n">
        <v>0.005</v>
      </c>
      <c r="AU156" s="13" t="n">
        <v>0.0025</v>
      </c>
      <c r="AV156" s="13" t="n">
        <v>-0.005</v>
      </c>
      <c r="AW156" s="13" t="n">
        <v>0.05300000000000001</v>
      </c>
      <c r="AX156" s="13" t="n">
        <v>0.0325</v>
      </c>
      <c r="AY156" s="12" t="n">
        <v>1838538</v>
      </c>
      <c r="AZ156" s="12" t="n">
        <v>1895400</v>
      </c>
      <c r="BA156" s="12" t="n">
        <v>1952262</v>
      </c>
      <c r="BB156" s="12" t="n">
        <v>1900138</v>
      </c>
      <c r="BC156" s="12" t="n">
        <v>1957000</v>
      </c>
      <c r="BD156" s="12" t="n">
        <v>2013862</v>
      </c>
      <c r="BE156" s="12" t="n">
        <v>2020603</v>
      </c>
      <c r="BF156" t="inlineStr">
        <is>
          <t>Frozen values from same rules-based model as formula sheet.</t>
        </is>
      </c>
      <c r="BG156" t="inlineStr">
        <is>
          <t>2026-03-17</t>
        </is>
      </c>
      <c r="BH156" t="inlineStr">
        <is>
          <t>DLD / Digital Dubai / CBUAE / Savills / Knight Frank-Moody’s / Reuters</t>
        </is>
      </c>
    </row>
    <row r="157">
      <c r="A157" t="n">
        <v>156</v>
      </c>
      <c r="B157" t="inlineStr">
        <is>
          <t>Executive Towers</t>
        </is>
      </c>
      <c r="C157" t="inlineStr">
        <is>
          <t>Dubai Properties</t>
        </is>
      </c>
      <c r="D157" t="inlineStr">
        <is>
          <t>Business Bay</t>
        </is>
      </c>
      <c r="E157" t="inlineStr">
        <is>
          <t>Apartments</t>
        </is>
      </c>
      <c r="F157" t="inlineStr">
        <is>
          <t>City / Commercial</t>
        </is>
      </c>
      <c r="G157" t="inlineStr">
        <is>
          <t>Resale (1.5M+)</t>
        </is>
      </c>
      <c r="H157" t="inlineStr">
        <is>
          <t>1200</t>
        </is>
      </c>
      <c r="I157" t="inlineStr">
        <is>
          <t>20</t>
        </is>
      </c>
      <c r="J157" t="inlineStr">
        <is>
          <t>Completed</t>
        </is>
      </c>
      <c r="K157" t="inlineStr">
        <is>
          <t>2008</t>
        </is>
      </c>
      <c r="L157" t="inlineStr">
        <is>
          <t>6.5-7.5</t>
        </is>
      </c>
      <c r="M157" t="inlineStr">
        <is>
          <t>4-6</t>
        </is>
      </c>
      <c r="N157" t="inlineStr">
        <is>
          <t>10.5-13.5</t>
        </is>
      </c>
      <c r="O157" t="inlineStr">
        <is>
          <t>Hartland Intl</t>
        </is>
      </c>
      <c r="P157" t="inlineStr">
        <is>
          <t>Emirates Hospital BB</t>
        </is>
      </c>
      <c r="Q157" t="inlineStr">
        <is>
          <t>Bay Avenue</t>
        </is>
      </c>
      <c r="R157" t="inlineStr">
        <is>
          <t>Sheikh Zayed E11</t>
        </is>
      </c>
      <c r="S157" t="inlineStr">
        <is>
          <t>5</t>
        </is>
      </c>
      <c r="T157" t="inlineStr">
        <is>
          <t>20</t>
        </is>
      </c>
      <c r="U157" t="inlineStr">
        <is>
          <t>15</t>
        </is>
      </c>
      <c r="V157" t="inlineStr">
        <is>
          <t>35</t>
        </is>
      </c>
      <c r="W157" t="n">
        <v>2</v>
      </c>
      <c r="X157" s="12" t="n">
        <v>1500000</v>
      </c>
      <c r="Y157" s="12" t="n">
        <v>1500000</v>
      </c>
      <c r="Z157" s="9" t="n">
        <v>6.5</v>
      </c>
      <c r="AA157" s="9" t="n">
        <v>7.5</v>
      </c>
      <c r="AB157" s="9" t="n">
        <v>4</v>
      </c>
      <c r="AC157" s="9" t="n">
        <v>6</v>
      </c>
      <c r="AD157" s="9" t="n">
        <v>10.5</v>
      </c>
      <c r="AE157" s="9" t="n">
        <v>13.5</v>
      </c>
      <c r="AF157" t="n">
        <v>2008</v>
      </c>
      <c r="AH157" t="inlineStr">
        <is>
          <t>Apartment</t>
        </is>
      </c>
      <c r="AI157" t="inlineStr">
        <is>
          <t>Prime</t>
        </is>
      </c>
      <c r="AJ157" t="inlineStr">
        <is>
          <t>TopTier</t>
        </is>
      </c>
      <c r="AK157" t="inlineStr">
        <is>
          <t>Prime resilient / selective</t>
        </is>
      </c>
      <c r="AL157" t="inlineStr">
        <is>
          <t>Better support from quality, branding, and scarcer prime stock; still entry-price sensitive.</t>
        </is>
      </c>
      <c r="AM157" s="9" t="n">
        <v>5</v>
      </c>
      <c r="AN157" s="9" t="n">
        <v>7</v>
      </c>
      <c r="AO157" s="10" t="n">
        <v>0.55</v>
      </c>
      <c r="AP157" s="13" t="n">
        <v>0.02</v>
      </c>
      <c r="AQ157" s="13" t="n">
        <v>0</v>
      </c>
      <c r="AR157" s="13" t="n">
        <v>0</v>
      </c>
      <c r="AS157" s="13" t="n">
        <v>0.03</v>
      </c>
      <c r="AT157" s="13" t="n">
        <v>0.005</v>
      </c>
      <c r="AU157" s="13" t="n">
        <v>0.0025</v>
      </c>
      <c r="AV157" s="13" t="n">
        <v>-0.005</v>
      </c>
      <c r="AW157" s="13" t="n">
        <v>0.0475</v>
      </c>
      <c r="AX157" s="13" t="n">
        <v>0.0325</v>
      </c>
      <c r="AY157" s="12" t="n">
        <v>1524112</v>
      </c>
      <c r="AZ157" s="12" t="n">
        <v>1571250</v>
      </c>
      <c r="BA157" s="12" t="n">
        <v>1618388</v>
      </c>
      <c r="BB157" s="12" t="n">
        <v>1575178</v>
      </c>
      <c r="BC157" s="12" t="n">
        <v>1622316</v>
      </c>
      <c r="BD157" s="12" t="n">
        <v>1669453</v>
      </c>
      <c r="BE157" s="12" t="n">
        <v>1675041</v>
      </c>
      <c r="BF157" t="inlineStr">
        <is>
          <t>Frozen values from same rules-based model as formula sheet.</t>
        </is>
      </c>
      <c r="BG157" t="inlineStr">
        <is>
          <t>2026-03-17</t>
        </is>
      </c>
      <c r="BH157" t="inlineStr">
        <is>
          <t>DLD / Digital Dubai / CBUAE / Savills / Knight Frank-Moody’s / Reuters</t>
        </is>
      </c>
    </row>
    <row r="158">
      <c r="A158" t="n">
        <v>157</v>
      </c>
      <c r="B158" t="inlineStr">
        <is>
          <t>Bay Square</t>
        </is>
      </c>
      <c r="C158" t="inlineStr">
        <is>
          <t>Dubai Properties</t>
        </is>
      </c>
      <c r="D158" t="inlineStr">
        <is>
          <t>Business Bay</t>
        </is>
      </c>
      <c r="E158" t="inlineStr">
        <is>
          <t>Mixed Use</t>
        </is>
      </c>
      <c r="F158" t="inlineStr">
        <is>
          <t>City / Office</t>
        </is>
      </c>
      <c r="G158" t="inlineStr">
        <is>
          <t>Resale</t>
        </is>
      </c>
      <c r="H158" t="inlineStr">
        <is>
          <t>1300</t>
        </is>
      </c>
      <c r="I158" t="inlineStr">
        <is>
          <t>22</t>
        </is>
      </c>
      <c r="J158" t="inlineStr">
        <is>
          <t>Completed</t>
        </is>
      </c>
      <c r="K158" t="inlineStr">
        <is>
          <t>2010</t>
        </is>
      </c>
      <c r="L158" t="inlineStr">
        <is>
          <t>7.0-7.5</t>
        </is>
      </c>
      <c r="M158" t="inlineStr">
        <is>
          <t>4-6</t>
        </is>
      </c>
      <c r="N158" t="inlineStr">
        <is>
          <t>11.0-13.5</t>
        </is>
      </c>
      <c r="O158" t="inlineStr">
        <is>
          <t>Hartland Intl</t>
        </is>
      </c>
      <c r="P158" t="inlineStr">
        <is>
          <t>Emirates Hospital BB</t>
        </is>
      </c>
      <c r="Q158" t="inlineStr">
        <is>
          <t>Dubai Mall</t>
        </is>
      </c>
      <c r="R158" t="inlineStr">
        <is>
          <t>Al Khail E44</t>
        </is>
      </c>
      <c r="S158" t="inlineStr">
        <is>
          <t>5</t>
        </is>
      </c>
      <c r="T158" t="inlineStr">
        <is>
          <t>20</t>
        </is>
      </c>
      <c r="U158" t="inlineStr">
        <is>
          <t>15</t>
        </is>
      </c>
      <c r="V158" t="inlineStr">
        <is>
          <t>35</t>
        </is>
      </c>
      <c r="W158" t="n">
        <v>2</v>
      </c>
      <c r="X158" s="12" t="n"/>
      <c r="Y158" s="12" t="n"/>
      <c r="Z158" s="9" t="n">
        <v>7</v>
      </c>
      <c r="AA158" s="9" t="n">
        <v>7.5</v>
      </c>
      <c r="AB158" s="9" t="n">
        <v>4</v>
      </c>
      <c r="AC158" s="9" t="n">
        <v>6</v>
      </c>
      <c r="AD158" s="9" t="n">
        <v>11</v>
      </c>
      <c r="AE158" s="9" t="n">
        <v>13.5</v>
      </c>
      <c r="AF158" t="n">
        <v>2010</v>
      </c>
      <c r="AH158" t="inlineStr">
        <is>
          <t>Mixed/Other</t>
        </is>
      </c>
      <c r="AI158" t="inlineStr">
        <is>
          <t>Prime</t>
        </is>
      </c>
      <c r="AJ158" t="inlineStr">
        <is>
          <t>TopTier</t>
        </is>
      </c>
      <c r="AK158" t="inlineStr">
        <is>
          <t>Prime resilient / selective</t>
        </is>
      </c>
      <c r="AL158" t="inlineStr">
        <is>
          <t>Better support from quality, branding, and scarcer prime stock; still entry-price sensitive.</t>
        </is>
      </c>
      <c r="AM158" s="9" t="n">
        <v>5</v>
      </c>
      <c r="AN158" s="9" t="n">
        <v>7.25</v>
      </c>
      <c r="AO158" s="10" t="n">
        <v>0.55</v>
      </c>
      <c r="AP158" s="13" t="n">
        <v>0.02</v>
      </c>
      <c r="AQ158" s="13" t="n">
        <v>0</v>
      </c>
      <c r="AR158" s="13" t="n">
        <v>0</v>
      </c>
      <c r="AS158" s="13" t="n">
        <v>0.03</v>
      </c>
      <c r="AT158" s="13" t="n">
        <v>0.005</v>
      </c>
      <c r="AU158" s="13" t="n">
        <v>0.0025</v>
      </c>
      <c r="AV158" s="13" t="n">
        <v>-0.005</v>
      </c>
      <c r="AW158" s="13" t="n">
        <v>0.0475</v>
      </c>
      <c r="AX158" s="13" t="n">
        <v>0.0325</v>
      </c>
      <c r="AY158" s="12" t="n"/>
      <c r="AZ158" s="12" t="n"/>
      <c r="BA158" s="12" t="n"/>
      <c r="BB158" s="12" t="n"/>
      <c r="BC158" s="12" t="n"/>
      <c r="BD158" s="12" t="n"/>
      <c r="BE158" s="12" t="n"/>
      <c r="BF158" t="inlineStr">
        <is>
          <t>Frozen values from same rules-based model as formula sheet.</t>
        </is>
      </c>
      <c r="BG158" t="inlineStr">
        <is>
          <t>2026-03-17</t>
        </is>
      </c>
      <c r="BH158" t="inlineStr">
        <is>
          <t>DLD / Digital Dubai / CBUAE / Savills / Knight Frank-Moody’s / Reuters</t>
        </is>
      </c>
    </row>
    <row r="159">
      <c r="A159" t="n">
        <v>158</v>
      </c>
      <c r="B159" t="inlineStr">
        <is>
          <t>Serena: Bella Casa</t>
        </is>
      </c>
      <c r="C159" t="inlineStr">
        <is>
          <t>Dubai Properties</t>
        </is>
      </c>
      <c r="D159" t="inlineStr">
        <is>
          <t>Dubailand</t>
        </is>
      </c>
      <c r="E159" t="inlineStr">
        <is>
          <t>Townhouses</t>
        </is>
      </c>
      <c r="F159" t="inlineStr">
        <is>
          <t>Budget / Family</t>
        </is>
      </c>
      <c r="G159" t="inlineStr">
        <is>
          <t>Resale (1.6M+)</t>
        </is>
      </c>
      <c r="H159" t="inlineStr">
        <is>
          <t>950</t>
        </is>
      </c>
      <c r="I159" t="inlineStr">
        <is>
          <t>10</t>
        </is>
      </c>
      <c r="J159" t="inlineStr">
        <is>
          <t>Completed</t>
        </is>
      </c>
      <c r="K159" t="inlineStr">
        <is>
          <t>2016</t>
        </is>
      </c>
      <c r="L159" t="inlineStr">
        <is>
          <t>6.5-7.0</t>
        </is>
      </c>
      <c r="M159" t="inlineStr">
        <is>
          <t>5-7</t>
        </is>
      </c>
      <c r="N159" t="inlineStr">
        <is>
          <t>11.5-14.0</t>
        </is>
      </c>
      <c r="O159" t="inlineStr">
        <is>
          <t>Ranches Primary</t>
        </is>
      </c>
      <c r="P159" t="inlineStr">
        <is>
          <t>Saudi German Hospital</t>
        </is>
      </c>
      <c r="Q159" t="inlineStr">
        <is>
          <t>Serena Marketplace</t>
        </is>
      </c>
      <c r="R159" t="inlineStr">
        <is>
          <t>Al Qudra Rd</t>
        </is>
      </c>
      <c r="S159" t="inlineStr">
        <is>
          <t>25</t>
        </is>
      </c>
      <c r="T159" t="inlineStr">
        <is>
          <t>25</t>
        </is>
      </c>
      <c r="U159" t="inlineStr">
        <is>
          <t>30</t>
        </is>
      </c>
      <c r="V159" t="inlineStr">
        <is>
          <t>25</t>
        </is>
      </c>
      <c r="W159" t="n">
        <v>2</v>
      </c>
      <c r="X159" s="12" t="n">
        <v>1600000</v>
      </c>
      <c r="Y159" s="12" t="n">
        <v>1600000</v>
      </c>
      <c r="Z159" s="9" t="n">
        <v>6.5</v>
      </c>
      <c r="AA159" s="9" t="n">
        <v>7</v>
      </c>
      <c r="AB159" s="9" t="n">
        <v>5</v>
      </c>
      <c r="AC159" s="9" t="n">
        <v>7</v>
      </c>
      <c r="AD159" s="9" t="n">
        <v>11.5</v>
      </c>
      <c r="AE159" s="9" t="n">
        <v>14</v>
      </c>
      <c r="AF159" t="n">
        <v>2016</v>
      </c>
      <c r="AH159" t="inlineStr">
        <is>
          <t>Townhouse</t>
        </is>
      </c>
      <c r="AI159" t="inlineStr">
        <is>
          <t>MainstreamSelective</t>
        </is>
      </c>
      <c r="AJ159" t="inlineStr">
        <is>
          <t>TopTier</t>
        </is>
      </c>
      <c r="AK159" t="inlineStr">
        <is>
          <t>Family-villa resilient</t>
        </is>
      </c>
      <c r="AL159" t="inlineStr">
        <is>
          <t>Villa/townhouse demand remains relatively firmer, though growth should be slower than the post-2020 surge.</t>
        </is>
      </c>
      <c r="AM159" s="9" t="n">
        <v>6</v>
      </c>
      <c r="AN159" s="9" t="n">
        <v>6.75</v>
      </c>
      <c r="AO159" s="10" t="n">
        <v>0.55</v>
      </c>
      <c r="AP159" s="13" t="n">
        <v>0</v>
      </c>
      <c r="AQ159" s="13" t="n">
        <v>0.015</v>
      </c>
      <c r="AR159" s="13" t="n">
        <v>0</v>
      </c>
      <c r="AS159" s="13" t="n">
        <v>0.025</v>
      </c>
      <c r="AT159" s="13" t="n">
        <v>0.005</v>
      </c>
      <c r="AU159" s="13" t="n">
        <v>0.0025</v>
      </c>
      <c r="AV159" s="13" t="n">
        <v>-0.005</v>
      </c>
      <c r="AW159" s="13" t="n">
        <v>0.048</v>
      </c>
      <c r="AX159" s="13" t="n">
        <v>0.0275</v>
      </c>
      <c r="AY159" s="12" t="n">
        <v>1626496</v>
      </c>
      <c r="AZ159" s="12" t="n">
        <v>1676800</v>
      </c>
      <c r="BA159" s="12" t="n">
        <v>1727104</v>
      </c>
      <c r="BB159" s="12" t="n">
        <v>1672608</v>
      </c>
      <c r="BC159" s="12" t="n">
        <v>1722912</v>
      </c>
      <c r="BD159" s="12" t="n">
        <v>1773216</v>
      </c>
      <c r="BE159" s="12" t="n">
        <v>1770292</v>
      </c>
      <c r="BF159" t="inlineStr">
        <is>
          <t>Frozen values from same rules-based model as formula sheet.</t>
        </is>
      </c>
      <c r="BG159" t="inlineStr">
        <is>
          <t>2026-03-17</t>
        </is>
      </c>
      <c r="BH159" t="inlineStr">
        <is>
          <t>DLD / Digital Dubai / CBUAE / Savills / Knight Frank-Moody’s / Reuters</t>
        </is>
      </c>
    </row>
    <row r="160">
      <c r="A160" t="n">
        <v>159</v>
      </c>
      <c r="B160" t="inlineStr">
        <is>
          <t>Serena: Casa Dora</t>
        </is>
      </c>
      <c r="C160" t="inlineStr">
        <is>
          <t>Dubai Properties</t>
        </is>
      </c>
      <c r="D160" t="inlineStr">
        <is>
          <t>Dubailand</t>
        </is>
      </c>
      <c r="E160" t="inlineStr">
        <is>
          <t>Townhouses</t>
        </is>
      </c>
      <c r="F160" t="inlineStr">
        <is>
          <t>Budget / Family</t>
        </is>
      </c>
      <c r="G160" t="inlineStr">
        <is>
          <t>Resale (1.6M+)</t>
        </is>
      </c>
      <c r="H160" t="inlineStr">
        <is>
          <t>950</t>
        </is>
      </c>
      <c r="I160" t="inlineStr">
        <is>
          <t>10</t>
        </is>
      </c>
      <c r="J160" t="inlineStr">
        <is>
          <t>Completed</t>
        </is>
      </c>
      <c r="K160" t="inlineStr">
        <is>
          <t>2016</t>
        </is>
      </c>
      <c r="L160" t="inlineStr">
        <is>
          <t>6.5-7.0</t>
        </is>
      </c>
      <c r="M160" t="inlineStr">
        <is>
          <t>5-7</t>
        </is>
      </c>
      <c r="N160" t="inlineStr">
        <is>
          <t>11.5-14.0</t>
        </is>
      </c>
      <c r="O160" t="inlineStr">
        <is>
          <t>Ranches Primary</t>
        </is>
      </c>
      <c r="P160" t="inlineStr">
        <is>
          <t>Saudi German Hospital</t>
        </is>
      </c>
      <c r="Q160" t="inlineStr">
        <is>
          <t>Serena Marketplace</t>
        </is>
      </c>
      <c r="R160" t="inlineStr">
        <is>
          <t>Al Qudra Rd</t>
        </is>
      </c>
      <c r="S160" t="inlineStr">
        <is>
          <t>25</t>
        </is>
      </c>
      <c r="T160" t="inlineStr">
        <is>
          <t>25</t>
        </is>
      </c>
      <c r="U160" t="inlineStr">
        <is>
          <t>30</t>
        </is>
      </c>
      <c r="V160" t="inlineStr">
        <is>
          <t>25</t>
        </is>
      </c>
      <c r="W160" t="n">
        <v>2</v>
      </c>
      <c r="X160" s="12" t="n">
        <v>1600000</v>
      </c>
      <c r="Y160" s="12" t="n">
        <v>1600000</v>
      </c>
      <c r="Z160" s="9" t="n">
        <v>6.5</v>
      </c>
      <c r="AA160" s="9" t="n">
        <v>7</v>
      </c>
      <c r="AB160" s="9" t="n">
        <v>5</v>
      </c>
      <c r="AC160" s="9" t="n">
        <v>7</v>
      </c>
      <c r="AD160" s="9" t="n">
        <v>11.5</v>
      </c>
      <c r="AE160" s="9" t="n">
        <v>14</v>
      </c>
      <c r="AF160" t="n">
        <v>2016</v>
      </c>
      <c r="AH160" t="inlineStr">
        <is>
          <t>Townhouse</t>
        </is>
      </c>
      <c r="AI160" t="inlineStr">
        <is>
          <t>MainstreamSelective</t>
        </is>
      </c>
      <c r="AJ160" t="inlineStr">
        <is>
          <t>TopTier</t>
        </is>
      </c>
      <c r="AK160" t="inlineStr">
        <is>
          <t>Family-villa resilient</t>
        </is>
      </c>
      <c r="AL160" t="inlineStr">
        <is>
          <t>Villa/townhouse demand remains relatively firmer, though growth should be slower than the post-2020 surge.</t>
        </is>
      </c>
      <c r="AM160" s="9" t="n">
        <v>6</v>
      </c>
      <c r="AN160" s="9" t="n">
        <v>6.75</v>
      </c>
      <c r="AO160" s="10" t="n">
        <v>0.55</v>
      </c>
      <c r="AP160" s="13" t="n">
        <v>0</v>
      </c>
      <c r="AQ160" s="13" t="n">
        <v>0.015</v>
      </c>
      <c r="AR160" s="13" t="n">
        <v>0</v>
      </c>
      <c r="AS160" s="13" t="n">
        <v>0.025</v>
      </c>
      <c r="AT160" s="13" t="n">
        <v>0.005</v>
      </c>
      <c r="AU160" s="13" t="n">
        <v>0.0025</v>
      </c>
      <c r="AV160" s="13" t="n">
        <v>-0.005</v>
      </c>
      <c r="AW160" s="13" t="n">
        <v>0.048</v>
      </c>
      <c r="AX160" s="13" t="n">
        <v>0.0275</v>
      </c>
      <c r="AY160" s="12" t="n">
        <v>1626496</v>
      </c>
      <c r="AZ160" s="12" t="n">
        <v>1676800</v>
      </c>
      <c r="BA160" s="12" t="n">
        <v>1727104</v>
      </c>
      <c r="BB160" s="12" t="n">
        <v>1672608</v>
      </c>
      <c r="BC160" s="12" t="n">
        <v>1722912</v>
      </c>
      <c r="BD160" s="12" t="n">
        <v>1773216</v>
      </c>
      <c r="BE160" s="12" t="n">
        <v>1770292</v>
      </c>
      <c r="BF160" t="inlineStr">
        <is>
          <t>Frozen values from same rules-based model as formula sheet.</t>
        </is>
      </c>
      <c r="BG160" t="inlineStr">
        <is>
          <t>2026-03-17</t>
        </is>
      </c>
      <c r="BH160" t="inlineStr">
        <is>
          <t>DLD / Digital Dubai / CBUAE / Savills / Knight Frank-Moody’s / Reuters</t>
        </is>
      </c>
    </row>
    <row r="161">
      <c r="A161" t="n">
        <v>160</v>
      </c>
      <c r="B161" t="inlineStr">
        <is>
          <t>Serena: Casa Viva</t>
        </is>
      </c>
      <c r="C161" t="inlineStr">
        <is>
          <t>Dubai Properties</t>
        </is>
      </c>
      <c r="D161" t="inlineStr">
        <is>
          <t>Dubailand</t>
        </is>
      </c>
      <c r="E161" t="inlineStr">
        <is>
          <t>Townhouses</t>
        </is>
      </c>
      <c r="F161" t="inlineStr">
        <is>
          <t>Budget / Family</t>
        </is>
      </c>
      <c r="G161" t="inlineStr">
        <is>
          <t>Resale (1.7M+)</t>
        </is>
      </c>
      <c r="H161" t="inlineStr">
        <is>
          <t>950</t>
        </is>
      </c>
      <c r="I161" t="inlineStr">
        <is>
          <t>10</t>
        </is>
      </c>
      <c r="J161" t="inlineStr">
        <is>
          <t>Completed</t>
        </is>
      </c>
      <c r="K161" t="inlineStr">
        <is>
          <t>2017</t>
        </is>
      </c>
      <c r="L161" t="inlineStr">
        <is>
          <t>6.5-7.0</t>
        </is>
      </c>
      <c r="M161" t="inlineStr">
        <is>
          <t>5-7</t>
        </is>
      </c>
      <c r="N161" t="inlineStr">
        <is>
          <t>11.5-14.0</t>
        </is>
      </c>
      <c r="O161" t="inlineStr">
        <is>
          <t>Ranches Primary</t>
        </is>
      </c>
      <c r="P161" t="inlineStr">
        <is>
          <t>Saudi German Hospital</t>
        </is>
      </c>
      <c r="Q161" t="inlineStr">
        <is>
          <t>Serena Marketplace</t>
        </is>
      </c>
      <c r="R161" t="inlineStr">
        <is>
          <t>Al Qudra Rd</t>
        </is>
      </c>
      <c r="S161" t="inlineStr">
        <is>
          <t>25</t>
        </is>
      </c>
      <c r="T161" t="inlineStr">
        <is>
          <t>25</t>
        </is>
      </c>
      <c r="U161" t="inlineStr">
        <is>
          <t>30</t>
        </is>
      </c>
      <c r="V161" t="inlineStr">
        <is>
          <t>25</t>
        </is>
      </c>
      <c r="W161" t="n">
        <v>2</v>
      </c>
      <c r="X161" s="12" t="n">
        <v>1700000</v>
      </c>
      <c r="Y161" s="12" t="n">
        <v>1700000</v>
      </c>
      <c r="Z161" s="9" t="n">
        <v>6.5</v>
      </c>
      <c r="AA161" s="9" t="n">
        <v>7</v>
      </c>
      <c r="AB161" s="9" t="n">
        <v>5</v>
      </c>
      <c r="AC161" s="9" t="n">
        <v>7</v>
      </c>
      <c r="AD161" s="9" t="n">
        <v>11.5</v>
      </c>
      <c r="AE161" s="9" t="n">
        <v>14</v>
      </c>
      <c r="AF161" t="n">
        <v>2017</v>
      </c>
      <c r="AH161" t="inlineStr">
        <is>
          <t>Townhouse</t>
        </is>
      </c>
      <c r="AI161" t="inlineStr">
        <is>
          <t>MainstreamSelective</t>
        </is>
      </c>
      <c r="AJ161" t="inlineStr">
        <is>
          <t>TopTier</t>
        </is>
      </c>
      <c r="AK161" t="inlineStr">
        <is>
          <t>Family-villa resilient</t>
        </is>
      </c>
      <c r="AL161" t="inlineStr">
        <is>
          <t>Villa/townhouse demand remains relatively firmer, though growth should be slower than the post-2020 surge.</t>
        </is>
      </c>
      <c r="AM161" s="9" t="n">
        <v>6</v>
      </c>
      <c r="AN161" s="9" t="n">
        <v>6.75</v>
      </c>
      <c r="AO161" s="10" t="n">
        <v>0.55</v>
      </c>
      <c r="AP161" s="13" t="n">
        <v>0</v>
      </c>
      <c r="AQ161" s="13" t="n">
        <v>0.015</v>
      </c>
      <c r="AR161" s="13" t="n">
        <v>0</v>
      </c>
      <c r="AS161" s="13" t="n">
        <v>0.025</v>
      </c>
      <c r="AT161" s="13" t="n">
        <v>0.005</v>
      </c>
      <c r="AU161" s="13" t="n">
        <v>0.0025</v>
      </c>
      <c r="AV161" s="13" t="n">
        <v>-0.005</v>
      </c>
      <c r="AW161" s="13" t="n">
        <v>0.048</v>
      </c>
      <c r="AX161" s="13" t="n">
        <v>0.0275</v>
      </c>
      <c r="AY161" s="12" t="n">
        <v>1728152</v>
      </c>
      <c r="AZ161" s="12" t="n">
        <v>1781600</v>
      </c>
      <c r="BA161" s="12" t="n">
        <v>1835048</v>
      </c>
      <c r="BB161" s="12" t="n">
        <v>1777146</v>
      </c>
      <c r="BC161" s="12" t="n">
        <v>1830594</v>
      </c>
      <c r="BD161" s="12" t="n">
        <v>1884042</v>
      </c>
      <c r="BE161" s="12" t="n">
        <v>1880935</v>
      </c>
      <c r="BF161" t="inlineStr">
        <is>
          <t>Frozen values from same rules-based model as formula sheet.</t>
        </is>
      </c>
      <c r="BG161" t="inlineStr">
        <is>
          <t>2026-03-17</t>
        </is>
      </c>
      <c r="BH161" t="inlineStr">
        <is>
          <t>DLD / Digital Dubai / CBUAE / Savills / Knight Frank-Moody’s / Reuters</t>
        </is>
      </c>
    </row>
    <row r="162">
      <c r="A162" t="n">
        <v>161</v>
      </c>
      <c r="B162" t="inlineStr">
        <is>
          <t>Remraam</t>
        </is>
      </c>
      <c r="C162" t="inlineStr">
        <is>
          <t>Dubai Properties</t>
        </is>
      </c>
      <c r="D162" t="inlineStr">
        <is>
          <t>Dubailand</t>
        </is>
      </c>
      <c r="E162" t="inlineStr">
        <is>
          <t>Apartments</t>
        </is>
      </c>
      <c r="F162" t="inlineStr">
        <is>
          <t>Budget / Community</t>
        </is>
      </c>
      <c r="G162" t="inlineStr">
        <is>
          <t>Resale (600k+)</t>
        </is>
      </c>
      <c r="H162" t="inlineStr">
        <is>
          <t>700</t>
        </is>
      </c>
      <c r="I162" t="inlineStr">
        <is>
          <t>12</t>
        </is>
      </c>
      <c r="J162" t="inlineStr">
        <is>
          <t>Completed</t>
        </is>
      </c>
      <c r="K162" t="inlineStr">
        <is>
          <t>2009</t>
        </is>
      </c>
      <c r="L162" t="inlineStr">
        <is>
          <t>7.5-8.0</t>
        </is>
      </c>
      <c r="M162" t="inlineStr">
        <is>
          <t>4-6</t>
        </is>
      </c>
      <c r="N162" t="inlineStr">
        <is>
          <t>11.5-14.0</t>
        </is>
      </c>
      <c r="O162" t="inlineStr">
        <is>
          <t>South View School</t>
        </is>
      </c>
      <c r="P162" t="inlineStr">
        <is>
          <t>NMC Royal DIP</t>
        </is>
      </c>
      <c r="Q162" t="inlineStr">
        <is>
          <t>Remraam Centre</t>
        </is>
      </c>
      <c r="R162" t="inlineStr">
        <is>
          <t>Hessa St / E611</t>
        </is>
      </c>
      <c r="S162" t="inlineStr">
        <is>
          <t>30</t>
        </is>
      </c>
      <c r="T162" t="inlineStr">
        <is>
          <t>20</t>
        </is>
      </c>
      <c r="U162" t="inlineStr">
        <is>
          <t>35</t>
        </is>
      </c>
      <c r="V162" t="inlineStr">
        <is>
          <t>20</t>
        </is>
      </c>
      <c r="W162" t="n">
        <v>2</v>
      </c>
      <c r="X162" s="12" t="n">
        <v>600000</v>
      </c>
      <c r="Y162" s="12" t="n">
        <v>600000</v>
      </c>
      <c r="Z162" s="9" t="n">
        <v>7.5</v>
      </c>
      <c r="AA162" s="9" t="n">
        <v>8</v>
      </c>
      <c r="AB162" s="9" t="n">
        <v>4</v>
      </c>
      <c r="AC162" s="9" t="n">
        <v>6</v>
      </c>
      <c r="AD162" s="9" t="n">
        <v>11.5</v>
      </c>
      <c r="AE162" s="9" t="n">
        <v>14</v>
      </c>
      <c r="AF162" t="n">
        <v>2009</v>
      </c>
      <c r="AH162" t="inlineStr">
        <is>
          <t>Apartment</t>
        </is>
      </c>
      <c r="AI162" t="inlineStr">
        <is>
          <t>SupplySensitiveApartment</t>
        </is>
      </c>
      <c r="AJ162" t="inlineStr">
        <is>
          <t>TopTier</t>
        </is>
      </c>
      <c r="AK162" t="inlineStr">
        <is>
          <t>Supply-sensitive / selective</t>
        </is>
      </c>
      <c r="AL162" t="inlineStr">
        <is>
          <t>Higher delivery risk in more price-sensitive apartment clusters; building selection and exit liquidity matter.</t>
        </is>
      </c>
      <c r="AM162" s="9" t="n">
        <v>5</v>
      </c>
      <c r="AN162" s="9" t="n">
        <v>7.75</v>
      </c>
      <c r="AO162" s="10" t="n">
        <v>0.55</v>
      </c>
      <c r="AP162" s="13" t="n">
        <v>0</v>
      </c>
      <c r="AQ162" s="13" t="n">
        <v>0</v>
      </c>
      <c r="AR162" s="13" t="n">
        <v>-0.01</v>
      </c>
      <c r="AS162" s="13" t="n">
        <v>-0.01</v>
      </c>
      <c r="AT162" s="13" t="n">
        <v>0.005</v>
      </c>
      <c r="AU162" s="13" t="n">
        <v>0.0025</v>
      </c>
      <c r="AV162" s="13" t="n">
        <v>-0.005</v>
      </c>
      <c r="AW162" s="13" t="n">
        <v>0.0175</v>
      </c>
      <c r="AX162" s="13" t="n">
        <v>-0.0075</v>
      </c>
      <c r="AY162" s="12" t="n">
        <v>592185</v>
      </c>
      <c r="AZ162" s="12" t="n">
        <v>610500</v>
      </c>
      <c r="BA162" s="12" t="n">
        <v>628815</v>
      </c>
      <c r="BB162" s="12" t="n">
        <v>587606</v>
      </c>
      <c r="BC162" s="12" t="n">
        <v>605921</v>
      </c>
      <c r="BD162" s="12" t="n">
        <v>624236</v>
      </c>
      <c r="BE162" s="12" t="n">
        <v>601377</v>
      </c>
      <c r="BF162" t="inlineStr">
        <is>
          <t>Frozen values from same rules-based model as formula sheet.</t>
        </is>
      </c>
      <c r="BG162" t="inlineStr">
        <is>
          <t>2026-03-17</t>
        </is>
      </c>
      <c r="BH162" t="inlineStr">
        <is>
          <t>DLD / Digital Dubai / CBUAE / Savills / Knight Frank-Moody’s / Reuters</t>
        </is>
      </c>
    </row>
    <row r="163">
      <c r="A163" t="n">
        <v>162</v>
      </c>
      <c r="B163" t="inlineStr">
        <is>
          <t>Layan</t>
        </is>
      </c>
      <c r="C163" t="inlineStr">
        <is>
          <t>Dubai Properties</t>
        </is>
      </c>
      <c r="D163" t="inlineStr">
        <is>
          <t>Dubailand</t>
        </is>
      </c>
      <c r="E163" t="inlineStr">
        <is>
          <t>Villas &amp; Apts</t>
        </is>
      </c>
      <c r="F163" t="inlineStr">
        <is>
          <t>Gated / Quiet</t>
        </is>
      </c>
      <c r="G163" t="inlineStr">
        <is>
          <t>Resale (2.5M+)</t>
        </is>
      </c>
      <c r="H163" t="inlineStr">
        <is>
          <t>850</t>
        </is>
      </c>
      <c r="I163" t="inlineStr">
        <is>
          <t>12</t>
        </is>
      </c>
      <c r="J163" t="inlineStr">
        <is>
          <t>Completed</t>
        </is>
      </c>
      <c r="K163" t="inlineStr">
        <is>
          <t>2008</t>
        </is>
      </c>
      <c r="L163" t="inlineStr">
        <is>
          <t>6.0-6.5</t>
        </is>
      </c>
      <c r="M163" t="inlineStr">
        <is>
          <t>4-6</t>
        </is>
      </c>
      <c r="N163" t="inlineStr">
        <is>
          <t>10.0-12.5</t>
        </is>
      </c>
      <c r="O163" t="inlineStr">
        <is>
          <t>Ranches Primary</t>
        </is>
      </c>
      <c r="P163" t="inlineStr">
        <is>
          <t>Saudi German Hospital</t>
        </is>
      </c>
      <c r="Q163" t="inlineStr">
        <is>
          <t>The Ranches Souk</t>
        </is>
      </c>
      <c r="R163" t="inlineStr">
        <is>
          <t>Al Qudra Rd</t>
        </is>
      </c>
      <c r="S163" t="inlineStr">
        <is>
          <t>25</t>
        </is>
      </c>
      <c r="T163" t="inlineStr">
        <is>
          <t>25</t>
        </is>
      </c>
      <c r="U163" t="inlineStr">
        <is>
          <t>30</t>
        </is>
      </c>
      <c r="V163" t="inlineStr">
        <is>
          <t>25</t>
        </is>
      </c>
      <c r="W163" t="n">
        <v>2</v>
      </c>
      <c r="X163" s="12" t="n">
        <v>2500000</v>
      </c>
      <c r="Y163" s="12" t="n">
        <v>2500000</v>
      </c>
      <c r="Z163" s="9" t="n">
        <v>6</v>
      </c>
      <c r="AA163" s="9" t="n">
        <v>6.5</v>
      </c>
      <c r="AB163" s="9" t="n">
        <v>4</v>
      </c>
      <c r="AC163" s="9" t="n">
        <v>6</v>
      </c>
      <c r="AD163" s="9" t="n">
        <v>10</v>
      </c>
      <c r="AE163" s="9" t="n">
        <v>12.5</v>
      </c>
      <c r="AF163" t="n">
        <v>2008</v>
      </c>
      <c r="AH163" t="inlineStr">
        <is>
          <t>Villa</t>
        </is>
      </c>
      <c r="AI163" t="inlineStr">
        <is>
          <t>MainstreamSelective</t>
        </is>
      </c>
      <c r="AJ163" t="inlineStr">
        <is>
          <t>TopTier</t>
        </is>
      </c>
      <c r="AK163" t="inlineStr">
        <is>
          <t>Family-villa resilient</t>
        </is>
      </c>
      <c r="AL163" t="inlineStr">
        <is>
          <t>Villa/townhouse demand remains relatively firmer, though growth should be slower than the post-2020 surge.</t>
        </is>
      </c>
      <c r="AM163" s="9" t="n">
        <v>5</v>
      </c>
      <c r="AN163" s="9" t="n">
        <v>6.25</v>
      </c>
      <c r="AO163" s="10" t="n">
        <v>0.55</v>
      </c>
      <c r="AP163" s="13" t="n">
        <v>0</v>
      </c>
      <c r="AQ163" s="13" t="n">
        <v>0.015</v>
      </c>
      <c r="AR163" s="13" t="n">
        <v>0</v>
      </c>
      <c r="AS163" s="13" t="n">
        <v>0.025</v>
      </c>
      <c r="AT163" s="13" t="n">
        <v>0.005</v>
      </c>
      <c r="AU163" s="13" t="n">
        <v>0.0025</v>
      </c>
      <c r="AV163" s="13" t="n">
        <v>-0.005</v>
      </c>
      <c r="AW163" s="13" t="n">
        <v>0.0425</v>
      </c>
      <c r="AX163" s="13" t="n">
        <v>0.0275</v>
      </c>
      <c r="AY163" s="12" t="n">
        <v>2528062</v>
      </c>
      <c r="AZ163" s="12" t="n">
        <v>2606250</v>
      </c>
      <c r="BA163" s="12" t="n">
        <v>2684438</v>
      </c>
      <c r="BB163" s="12" t="n">
        <v>2599734</v>
      </c>
      <c r="BC163" s="12" t="n">
        <v>2677922</v>
      </c>
      <c r="BD163" s="12" t="n">
        <v>2756109</v>
      </c>
      <c r="BE163" s="12" t="n">
        <v>2751565</v>
      </c>
      <c r="BF163" t="inlineStr">
        <is>
          <t>Frozen values from same rules-based model as formula sheet.</t>
        </is>
      </c>
      <c r="BG163" t="inlineStr">
        <is>
          <t>2026-03-17</t>
        </is>
      </c>
      <c r="BH163" t="inlineStr">
        <is>
          <t>DLD / Digital Dubai / CBUAE / Savills / Knight Frank-Moody’s / Reuters</t>
        </is>
      </c>
    </row>
    <row r="164">
      <c r="A164" t="n">
        <v>163</v>
      </c>
      <c r="B164" t="inlineStr">
        <is>
          <t>The Villa</t>
        </is>
      </c>
      <c r="C164" t="inlineStr">
        <is>
          <t>Dubai Properties</t>
        </is>
      </c>
      <c r="D164" t="inlineStr">
        <is>
          <t>Dubailand</t>
        </is>
      </c>
      <c r="E164" t="inlineStr">
        <is>
          <t>Villas</t>
        </is>
      </c>
      <c r="F164" t="inlineStr">
        <is>
          <t>Spanish Style</t>
        </is>
      </c>
      <c r="G164" t="inlineStr">
        <is>
          <t>Resale (4.5M+)</t>
        </is>
      </c>
      <c r="H164" t="inlineStr">
        <is>
          <t>900</t>
        </is>
      </c>
      <c r="I164" t="inlineStr">
        <is>
          <t>10</t>
        </is>
      </c>
      <c r="J164" t="inlineStr">
        <is>
          <t>Completed</t>
        </is>
      </c>
      <c r="K164" t="inlineStr">
        <is>
          <t>2009</t>
        </is>
      </c>
      <c r="L164" t="inlineStr">
        <is>
          <t>5.5-6.0</t>
        </is>
      </c>
      <c r="M164" t="inlineStr">
        <is>
          <t>5-7</t>
        </is>
      </c>
      <c r="N164" t="inlineStr">
        <is>
          <t>10.5-13.0</t>
        </is>
      </c>
      <c r="O164" t="inlineStr">
        <is>
          <t>GEMS FirstPoint</t>
        </is>
      </c>
      <c r="P164" t="inlineStr">
        <is>
          <t>Fakeeh University Hosp</t>
        </is>
      </c>
      <c r="Q164" t="inlineStr">
        <is>
          <t>The Villa Centro</t>
        </is>
      </c>
      <c r="R164" t="inlineStr">
        <is>
          <t>Al Ain Rd / E611</t>
        </is>
      </c>
      <c r="S164" t="inlineStr">
        <is>
          <t>25</t>
        </is>
      </c>
      <c r="T164" t="inlineStr">
        <is>
          <t>30</t>
        </is>
      </c>
      <c r="U164" t="inlineStr">
        <is>
          <t>25</t>
        </is>
      </c>
      <c r="V164" t="inlineStr">
        <is>
          <t>30</t>
        </is>
      </c>
      <c r="W164" t="n">
        <v>2</v>
      </c>
      <c r="X164" s="12" t="n">
        <v>4500000</v>
      </c>
      <c r="Y164" s="12" t="n">
        <v>4500000</v>
      </c>
      <c r="Z164" s="9" t="n">
        <v>5.5</v>
      </c>
      <c r="AA164" s="9" t="n">
        <v>6</v>
      </c>
      <c r="AB164" s="9" t="n">
        <v>5</v>
      </c>
      <c r="AC164" s="9" t="n">
        <v>7</v>
      </c>
      <c r="AD164" s="9" t="n">
        <v>10.5</v>
      </c>
      <c r="AE164" s="9" t="n">
        <v>13</v>
      </c>
      <c r="AF164" t="n">
        <v>2009</v>
      </c>
      <c r="AH164" t="inlineStr">
        <is>
          <t>Villa</t>
        </is>
      </c>
      <c r="AI164" t="inlineStr">
        <is>
          <t>MainstreamSelective</t>
        </is>
      </c>
      <c r="AJ164" t="inlineStr">
        <is>
          <t>TopTier</t>
        </is>
      </c>
      <c r="AK164" t="inlineStr">
        <is>
          <t>Family-villa resilient</t>
        </is>
      </c>
      <c r="AL164" t="inlineStr">
        <is>
          <t>Villa/townhouse demand remains relatively firmer, though growth should be slower than the post-2020 surge.</t>
        </is>
      </c>
      <c r="AM164" s="9" t="n">
        <v>6</v>
      </c>
      <c r="AN164" s="9" t="n">
        <v>5.75</v>
      </c>
      <c r="AO164" s="10" t="n">
        <v>0.55</v>
      </c>
      <c r="AP164" s="13" t="n">
        <v>0</v>
      </c>
      <c r="AQ164" s="13" t="n">
        <v>0.015</v>
      </c>
      <c r="AR164" s="13" t="n">
        <v>0</v>
      </c>
      <c r="AS164" s="13" t="n">
        <v>0.025</v>
      </c>
      <c r="AT164" s="13" t="n">
        <v>0.005</v>
      </c>
      <c r="AU164" s="13" t="n">
        <v>0</v>
      </c>
      <c r="AV164" s="13" t="n">
        <v>-0.005</v>
      </c>
      <c r="AW164" s="13" t="n">
        <v>0.048</v>
      </c>
      <c r="AX164" s="13" t="n">
        <v>0.025</v>
      </c>
      <c r="AY164" s="12" t="n">
        <v>4574520</v>
      </c>
      <c r="AZ164" s="12" t="n">
        <v>4716000</v>
      </c>
      <c r="BA164" s="12" t="n">
        <v>4857480</v>
      </c>
      <c r="BB164" s="12" t="n">
        <v>4692420</v>
      </c>
      <c r="BC164" s="12" t="n">
        <v>4833900</v>
      </c>
      <c r="BD164" s="12" t="n">
        <v>4975380</v>
      </c>
      <c r="BE164" s="12" t="n">
        <v>4954748</v>
      </c>
      <c r="BF164" t="inlineStr">
        <is>
          <t>Frozen values from same rules-based model as formula sheet.</t>
        </is>
      </c>
      <c r="BG164" t="inlineStr">
        <is>
          <t>2026-03-17</t>
        </is>
      </c>
      <c r="BH164" t="inlineStr">
        <is>
          <t>DLD / Digital Dubai / CBUAE / Savills / Knight Frank-Moody’s / Reuters</t>
        </is>
      </c>
    </row>
    <row r="165">
      <c r="A165" t="n">
        <v>164</v>
      </c>
      <c r="B165" t="inlineStr">
        <is>
          <t>Manazel Al Khor</t>
        </is>
      </c>
      <c r="C165" t="inlineStr">
        <is>
          <t>Dubai Properties</t>
        </is>
      </c>
      <c r="D165" t="inlineStr">
        <is>
          <t>Culture Village</t>
        </is>
      </c>
      <c r="E165" t="inlineStr">
        <is>
          <t>Apartments</t>
        </is>
      </c>
      <c r="F165" t="inlineStr">
        <is>
          <t>Creek / Traditional</t>
        </is>
      </c>
      <c r="G165" t="inlineStr">
        <is>
          <t>Resale (2M+)</t>
        </is>
      </c>
      <c r="H165" t="inlineStr">
        <is>
          <t>1500</t>
        </is>
      </c>
      <c r="I165" t="inlineStr">
        <is>
          <t>18</t>
        </is>
      </c>
      <c r="J165" t="inlineStr">
        <is>
          <t>Completed</t>
        </is>
      </c>
      <c r="K165" t="inlineStr">
        <is>
          <t>2016</t>
        </is>
      </c>
      <c r="L165" t="inlineStr">
        <is>
          <t>5.5-6.0</t>
        </is>
      </c>
      <c r="M165" t="inlineStr">
        <is>
          <t>5-7</t>
        </is>
      </c>
      <c r="N165" t="inlineStr">
        <is>
          <t>10.5-13.0</t>
        </is>
      </c>
      <c r="O165" t="inlineStr">
        <is>
          <t>Swiss Intl School</t>
        </is>
      </c>
      <c r="P165" t="inlineStr">
        <is>
          <t>American Hospital</t>
        </is>
      </c>
      <c r="Q165" t="inlineStr">
        <is>
          <t>Dubai Festival City</t>
        </is>
      </c>
      <c r="R165" t="inlineStr">
        <is>
          <t>Ras Al Khor / E44</t>
        </is>
      </c>
      <c r="S165" t="inlineStr">
        <is>
          <t>12</t>
        </is>
      </c>
      <c r="T165" t="inlineStr">
        <is>
          <t>25</t>
        </is>
      </c>
      <c r="U165" t="inlineStr">
        <is>
          <t>10</t>
        </is>
      </c>
      <c r="V165" t="inlineStr">
        <is>
          <t>40</t>
        </is>
      </c>
      <c r="W165" t="n">
        <v>2</v>
      </c>
      <c r="X165" s="12" t="n">
        <v>2000000</v>
      </c>
      <c r="Y165" s="12" t="n">
        <v>2000000</v>
      </c>
      <c r="Z165" s="9" t="n">
        <v>5.5</v>
      </c>
      <c r="AA165" s="9" t="n">
        <v>6</v>
      </c>
      <c r="AB165" s="9" t="n">
        <v>5</v>
      </c>
      <c r="AC165" s="9" t="n">
        <v>7</v>
      </c>
      <c r="AD165" s="9" t="n">
        <v>10.5</v>
      </c>
      <c r="AE165" s="9" t="n">
        <v>13</v>
      </c>
      <c r="AF165" t="n">
        <v>2016</v>
      </c>
      <c r="AH165" t="inlineStr">
        <is>
          <t>Apartment</t>
        </is>
      </c>
      <c r="AI165" t="inlineStr">
        <is>
          <t>MainstreamSelective</t>
        </is>
      </c>
      <c r="AJ165" t="inlineStr">
        <is>
          <t>TopTier</t>
        </is>
      </c>
      <c r="AK165" t="inlineStr">
        <is>
          <t>Balanced / selective</t>
        </is>
      </c>
      <c r="AL165" t="inlineStr">
        <is>
          <t>Market remains active but increasingly differentiated by developer, micro-location, livability, and pricing discipline.</t>
        </is>
      </c>
      <c r="AM165" s="9" t="n">
        <v>6</v>
      </c>
      <c r="AN165" s="9" t="n">
        <v>5.75</v>
      </c>
      <c r="AO165" s="10" t="n">
        <v>0.55</v>
      </c>
      <c r="AP165" s="13" t="n">
        <v>0</v>
      </c>
      <c r="AQ165" s="13" t="n">
        <v>0</v>
      </c>
      <c r="AR165" s="13" t="n">
        <v>0</v>
      </c>
      <c r="AS165" s="13" t="n">
        <v>0.01</v>
      </c>
      <c r="AT165" s="13" t="n">
        <v>0.005</v>
      </c>
      <c r="AU165" s="13" t="n">
        <v>0</v>
      </c>
      <c r="AV165" s="13" t="n">
        <v>-0.005</v>
      </c>
      <c r="AW165" s="13" t="n">
        <v>0.033</v>
      </c>
      <c r="AX165" s="13" t="n">
        <v>0.009999999999999998</v>
      </c>
      <c r="AY165" s="12" t="n">
        <v>2004020</v>
      </c>
      <c r="AZ165" s="12" t="n">
        <v>2066000</v>
      </c>
      <c r="BA165" s="12" t="n">
        <v>2127980</v>
      </c>
      <c r="BB165" s="12" t="n">
        <v>2024680</v>
      </c>
      <c r="BC165" s="12" t="n">
        <v>2086660</v>
      </c>
      <c r="BD165" s="12" t="n">
        <v>2148640</v>
      </c>
      <c r="BE165" s="12" t="n">
        <v>2107527</v>
      </c>
      <c r="BF165" t="inlineStr">
        <is>
          <t>Frozen values from same rules-based model as formula sheet.</t>
        </is>
      </c>
      <c r="BG165" t="inlineStr">
        <is>
          <t>2026-03-17</t>
        </is>
      </c>
      <c r="BH165" t="inlineStr">
        <is>
          <t>DLD / Digital Dubai / CBUAE / Savills / Knight Frank-Moody’s / Reuters</t>
        </is>
      </c>
    </row>
    <row r="166">
      <c r="A166" t="n">
        <v>165</v>
      </c>
      <c r="B166" t="inlineStr">
        <is>
          <t>Dubai Wharf</t>
        </is>
      </c>
      <c r="C166" t="inlineStr">
        <is>
          <t>Dubai Properties</t>
        </is>
      </c>
      <c r="D166" t="inlineStr">
        <is>
          <t>Culture Village</t>
        </is>
      </c>
      <c r="E166" t="inlineStr">
        <is>
          <t>Apartments</t>
        </is>
      </c>
      <c r="F166" t="inlineStr">
        <is>
          <t>Creek / Modern</t>
        </is>
      </c>
      <c r="G166" t="inlineStr">
        <is>
          <t>Resale (1.5M+)</t>
        </is>
      </c>
      <c r="H166" t="inlineStr">
        <is>
          <t>1300</t>
        </is>
      </c>
      <c r="I166" t="inlineStr">
        <is>
          <t>18</t>
        </is>
      </c>
      <c r="J166" t="inlineStr">
        <is>
          <t>Completed</t>
        </is>
      </c>
      <c r="K166" t="inlineStr">
        <is>
          <t>2017</t>
        </is>
      </c>
      <c r="L166" t="inlineStr">
        <is>
          <t>6.0-6.5</t>
        </is>
      </c>
      <c r="M166" t="inlineStr">
        <is>
          <t>5-7</t>
        </is>
      </c>
      <c r="N166" t="inlineStr">
        <is>
          <t>11.0-13.5</t>
        </is>
      </c>
      <c r="O166" t="inlineStr">
        <is>
          <t>Swiss Intl School</t>
        </is>
      </c>
      <c r="P166" t="inlineStr">
        <is>
          <t>American Hospital</t>
        </is>
      </c>
      <c r="Q166" t="inlineStr">
        <is>
          <t>Dubai Festival City</t>
        </is>
      </c>
      <c r="R166" t="inlineStr">
        <is>
          <t>Ras Al Khor / E44</t>
        </is>
      </c>
      <c r="S166" t="inlineStr">
        <is>
          <t>12</t>
        </is>
      </c>
      <c r="T166" t="inlineStr">
        <is>
          <t>25</t>
        </is>
      </c>
      <c r="U166" t="inlineStr">
        <is>
          <t>10</t>
        </is>
      </c>
      <c r="V166" t="inlineStr">
        <is>
          <t>40</t>
        </is>
      </c>
      <c r="W166" t="n">
        <v>2</v>
      </c>
      <c r="X166" s="12" t="n">
        <v>1500000</v>
      </c>
      <c r="Y166" s="12" t="n">
        <v>1500000</v>
      </c>
      <c r="Z166" s="9" t="n">
        <v>6</v>
      </c>
      <c r="AA166" s="9" t="n">
        <v>6.5</v>
      </c>
      <c r="AB166" s="9" t="n">
        <v>5</v>
      </c>
      <c r="AC166" s="9" t="n">
        <v>7</v>
      </c>
      <c r="AD166" s="9" t="n">
        <v>11</v>
      </c>
      <c r="AE166" s="9" t="n">
        <v>13.5</v>
      </c>
      <c r="AF166" t="n">
        <v>2017</v>
      </c>
      <c r="AH166" t="inlineStr">
        <is>
          <t>Apartment</t>
        </is>
      </c>
      <c r="AI166" t="inlineStr">
        <is>
          <t>MainstreamSelective</t>
        </is>
      </c>
      <c r="AJ166" t="inlineStr">
        <is>
          <t>TopTier</t>
        </is>
      </c>
      <c r="AK166" t="inlineStr">
        <is>
          <t>Balanced / selective</t>
        </is>
      </c>
      <c r="AL166" t="inlineStr">
        <is>
          <t>Market remains active but increasingly differentiated by developer, micro-location, livability, and pricing discipline.</t>
        </is>
      </c>
      <c r="AM166" s="9" t="n">
        <v>6</v>
      </c>
      <c r="AN166" s="9" t="n">
        <v>6.25</v>
      </c>
      <c r="AO166" s="10" t="n">
        <v>0.55</v>
      </c>
      <c r="AP166" s="13" t="n">
        <v>0</v>
      </c>
      <c r="AQ166" s="13" t="n">
        <v>0</v>
      </c>
      <c r="AR166" s="13" t="n">
        <v>0</v>
      </c>
      <c r="AS166" s="13" t="n">
        <v>0.01</v>
      </c>
      <c r="AT166" s="13" t="n">
        <v>0.005</v>
      </c>
      <c r="AU166" s="13" t="n">
        <v>0.0025</v>
      </c>
      <c r="AV166" s="13" t="n">
        <v>-0.005</v>
      </c>
      <c r="AW166" s="13" t="n">
        <v>0.033</v>
      </c>
      <c r="AX166" s="13" t="n">
        <v>0.0125</v>
      </c>
      <c r="AY166" s="12" t="n">
        <v>1503015</v>
      </c>
      <c r="AZ166" s="12" t="n">
        <v>1549500</v>
      </c>
      <c r="BA166" s="12" t="n">
        <v>1595985</v>
      </c>
      <c r="BB166" s="12" t="n">
        <v>1522384</v>
      </c>
      <c r="BC166" s="12" t="n">
        <v>1568869</v>
      </c>
      <c r="BD166" s="12" t="n">
        <v>1615354</v>
      </c>
      <c r="BE166" s="12" t="n">
        <v>1588480</v>
      </c>
      <c r="BF166" t="inlineStr">
        <is>
          <t>Frozen values from same rules-based model as formula sheet.</t>
        </is>
      </c>
      <c r="BG166" t="inlineStr">
        <is>
          <t>2026-03-17</t>
        </is>
      </c>
      <c r="BH166" t="inlineStr">
        <is>
          <t>DLD / Digital Dubai / CBUAE / Savills / Knight Frank-Moody’s / Reuters</t>
        </is>
      </c>
    </row>
    <row r="167">
      <c r="A167" t="n">
        <v>166</v>
      </c>
      <c r="B167" t="inlineStr">
        <is>
          <t>Haven (Master Community)</t>
        </is>
      </c>
      <c r="C167" t="inlineStr">
        <is>
          <t>Aldar Properties</t>
        </is>
      </c>
      <c r="D167" t="inlineStr">
        <is>
          <t>Dubailand (Opp Al Habtoor)</t>
        </is>
      </c>
      <c r="E167" t="inlineStr">
        <is>
          <t>Villas &amp; Townhouses</t>
        </is>
      </c>
      <c r="F167" t="inlineStr">
        <is>
          <t>Wellness / Green</t>
        </is>
      </c>
      <c r="G167" t="inlineStr">
        <is>
          <t>2.5M</t>
        </is>
      </c>
      <c r="H167" t="inlineStr">
        <is>
          <t>1400</t>
        </is>
      </c>
      <c r="I167" t="inlineStr">
        <is>
          <t>15</t>
        </is>
      </c>
      <c r="J167" t="inlineStr">
        <is>
          <t>60/40</t>
        </is>
      </c>
      <c r="K167" t="inlineStr">
        <is>
          <t>2023</t>
        </is>
      </c>
      <c r="L167" t="inlineStr">
        <is>
          <t>6.0-6.5</t>
        </is>
      </c>
      <c r="M167" t="inlineStr">
        <is>
          <t>10-12</t>
        </is>
      </c>
      <c r="N167" t="inlineStr">
        <is>
          <t>16.0-18.5</t>
        </is>
      </c>
      <c r="O167" t="inlineStr">
        <is>
          <t>GEMS Metropole</t>
        </is>
      </c>
      <c r="P167" t="inlineStr">
        <is>
          <t>Mediclinic Parkview</t>
        </is>
      </c>
      <c r="Q167" t="inlineStr">
        <is>
          <t>Cityland Mall</t>
        </is>
      </c>
      <c r="R167" t="inlineStr">
        <is>
          <t>E611 / Al Ain Rd</t>
        </is>
      </c>
      <c r="S167" t="inlineStr">
        <is>
          <t>20</t>
        </is>
      </c>
      <c r="T167" t="inlineStr">
        <is>
          <t>25</t>
        </is>
      </c>
      <c r="U167" t="inlineStr">
        <is>
          <t>25</t>
        </is>
      </c>
      <c r="V167" t="inlineStr">
        <is>
          <t>30</t>
        </is>
      </c>
      <c r="W167" t="n">
        <v>2</v>
      </c>
      <c r="X167" s="12" t="n">
        <v>2500000</v>
      </c>
      <c r="Y167" s="12" t="n">
        <v>2500000</v>
      </c>
      <c r="Z167" s="9" t="n">
        <v>6</v>
      </c>
      <c r="AA167" s="9" t="n">
        <v>6.5</v>
      </c>
      <c r="AB167" s="9" t="n">
        <v>10</v>
      </c>
      <c r="AC167" s="9" t="n">
        <v>12</v>
      </c>
      <c r="AD167" s="9" t="n">
        <v>16</v>
      </c>
      <c r="AE167" s="9" t="n">
        <v>18.5</v>
      </c>
      <c r="AF167" t="n">
        <v>2023</v>
      </c>
      <c r="AH167" t="inlineStr">
        <is>
          <t>Villa/Townhouse</t>
        </is>
      </c>
      <c r="AI167" t="inlineStr">
        <is>
          <t>MainstreamSelective</t>
        </is>
      </c>
      <c r="AJ167" t="inlineStr">
        <is>
          <t>Established</t>
        </is>
      </c>
      <c r="AK167" t="inlineStr">
        <is>
          <t>Family-villa resilient</t>
        </is>
      </c>
      <c r="AL167" t="inlineStr">
        <is>
          <t>Villa/townhouse demand remains relatively firmer, though growth should be slower than the post-2020 surge.</t>
        </is>
      </c>
      <c r="AM167" s="9" t="n">
        <v>11</v>
      </c>
      <c r="AN167" s="9" t="n">
        <v>6.25</v>
      </c>
      <c r="AO167" s="10" t="n">
        <v>0.55</v>
      </c>
      <c r="AP167" s="13" t="n">
        <v>0</v>
      </c>
      <c r="AQ167" s="13" t="n">
        <v>0.015</v>
      </c>
      <c r="AR167" s="13" t="n">
        <v>0</v>
      </c>
      <c r="AS167" s="13" t="n">
        <v>0.025</v>
      </c>
      <c r="AT167" s="13" t="n">
        <v>0</v>
      </c>
      <c r="AU167" s="13" t="n">
        <v>0.0025</v>
      </c>
      <c r="AV167" s="13" t="n">
        <v>-0.005</v>
      </c>
      <c r="AW167" s="13" t="n">
        <v>0.07550000000000001</v>
      </c>
      <c r="AX167" s="13" t="n">
        <v>0.0225</v>
      </c>
      <c r="AY167" s="12" t="n">
        <v>2608088</v>
      </c>
      <c r="AZ167" s="12" t="n">
        <v>2688750</v>
      </c>
      <c r="BA167" s="12" t="n">
        <v>2769412</v>
      </c>
      <c r="BB167" s="12" t="n">
        <v>2668584</v>
      </c>
      <c r="BC167" s="12" t="n">
        <v>2749247</v>
      </c>
      <c r="BD167" s="12" t="n">
        <v>2829909</v>
      </c>
      <c r="BE167" s="12" t="n">
        <v>2811105</v>
      </c>
      <c r="BF167" t="inlineStr">
        <is>
          <t>Frozen values from same rules-based model as formula sheet.</t>
        </is>
      </c>
      <c r="BG167" t="inlineStr">
        <is>
          <t>2026-03-17</t>
        </is>
      </c>
      <c r="BH167" t="inlineStr">
        <is>
          <t>DLD / Digital Dubai / CBUAE / Savills / Knight Frank-Moody’s / Reuters</t>
        </is>
      </c>
    </row>
    <row r="168">
      <c r="A168" t="n">
        <v>167</v>
      </c>
      <c r="B168" t="inlineStr">
        <is>
          <t>Verdes by Haven</t>
        </is>
      </c>
      <c r="C168" t="inlineStr">
        <is>
          <t>Aldar Properties</t>
        </is>
      </c>
      <c r="D168" t="inlineStr">
        <is>
          <t>Haven Community</t>
        </is>
      </c>
      <c r="E168" t="inlineStr">
        <is>
          <t>Apartments</t>
        </is>
      </c>
      <c r="F168" t="inlineStr">
        <is>
          <t>Wellness / Green</t>
        </is>
      </c>
      <c r="G168" t="inlineStr">
        <is>
          <t>1.6M</t>
        </is>
      </c>
      <c r="H168" t="inlineStr">
        <is>
          <t>1600</t>
        </is>
      </c>
      <c r="I168" t="inlineStr">
        <is>
          <t>18</t>
        </is>
      </c>
      <c r="J168" t="inlineStr">
        <is>
          <t>60/40</t>
        </is>
      </c>
      <c r="K168" t="inlineStr">
        <is>
          <t>2024</t>
        </is>
      </c>
      <c r="L168" t="inlineStr">
        <is>
          <t>6.5-7.0</t>
        </is>
      </c>
      <c r="M168" t="inlineStr">
        <is>
          <t>10-12</t>
        </is>
      </c>
      <c r="N168" t="inlineStr">
        <is>
          <t>16.5-19.0</t>
        </is>
      </c>
      <c r="O168" t="inlineStr">
        <is>
          <t>GEMS Metropole</t>
        </is>
      </c>
      <c r="P168" t="inlineStr">
        <is>
          <t>Mediclinic Parkview</t>
        </is>
      </c>
      <c r="Q168" t="inlineStr">
        <is>
          <t>Cityland Mall</t>
        </is>
      </c>
      <c r="R168" t="inlineStr">
        <is>
          <t>E611 / Al Ain Rd</t>
        </is>
      </c>
      <c r="S168" t="inlineStr">
        <is>
          <t>20</t>
        </is>
      </c>
      <c r="T168" t="inlineStr">
        <is>
          <t>25</t>
        </is>
      </c>
      <c r="U168" t="inlineStr">
        <is>
          <t>25</t>
        </is>
      </c>
      <c r="V168" t="inlineStr">
        <is>
          <t>30</t>
        </is>
      </c>
      <c r="W168" t="n">
        <v>2</v>
      </c>
      <c r="X168" s="12" t="n">
        <v>1600000</v>
      </c>
      <c r="Y168" s="12" t="n">
        <v>1600000</v>
      </c>
      <c r="Z168" s="9" t="n">
        <v>6.5</v>
      </c>
      <c r="AA168" s="9" t="n">
        <v>7</v>
      </c>
      <c r="AB168" s="9" t="n">
        <v>10</v>
      </c>
      <c r="AC168" s="9" t="n">
        <v>12</v>
      </c>
      <c r="AD168" s="9" t="n">
        <v>16.5</v>
      </c>
      <c r="AE168" s="9" t="n">
        <v>19</v>
      </c>
      <c r="AF168" t="n">
        <v>2024</v>
      </c>
      <c r="AH168" t="inlineStr">
        <is>
          <t>Apartment</t>
        </is>
      </c>
      <c r="AI168" t="inlineStr">
        <is>
          <t>MainstreamSelective</t>
        </is>
      </c>
      <c r="AJ168" t="inlineStr">
        <is>
          <t>Established</t>
        </is>
      </c>
      <c r="AK168" t="inlineStr">
        <is>
          <t>Balanced / selective</t>
        </is>
      </c>
      <c r="AL168" t="inlineStr">
        <is>
          <t>Market remains active but increasingly differentiated by developer, micro-location, livability, and pricing discipline.</t>
        </is>
      </c>
      <c r="AM168" s="9" t="n">
        <v>11</v>
      </c>
      <c r="AN168" s="9" t="n">
        <v>6.75</v>
      </c>
      <c r="AO168" s="10" t="n">
        <v>0.55</v>
      </c>
      <c r="AP168" s="13" t="n">
        <v>0</v>
      </c>
      <c r="AQ168" s="13" t="n">
        <v>0</v>
      </c>
      <c r="AR168" s="13" t="n">
        <v>0</v>
      </c>
      <c r="AS168" s="13" t="n">
        <v>0.01</v>
      </c>
      <c r="AT168" s="13" t="n">
        <v>0</v>
      </c>
      <c r="AU168" s="13" t="n">
        <v>0.0025</v>
      </c>
      <c r="AV168" s="13" t="n">
        <v>-0.005</v>
      </c>
      <c r="AW168" s="13" t="n">
        <v>0.06050000000000001</v>
      </c>
      <c r="AX168" s="13" t="n">
        <v>0.007500000000000001</v>
      </c>
      <c r="AY168" s="12" t="n">
        <v>1645896</v>
      </c>
      <c r="AZ168" s="12" t="n">
        <v>1696800</v>
      </c>
      <c r="BA168" s="12" t="n">
        <v>1747704</v>
      </c>
      <c r="BB168" s="12" t="n">
        <v>1658622</v>
      </c>
      <c r="BC168" s="12" t="n">
        <v>1709526</v>
      </c>
      <c r="BD168" s="12" t="n">
        <v>1760430</v>
      </c>
      <c r="BE168" s="12" t="n">
        <v>1722347</v>
      </c>
      <c r="BF168" t="inlineStr">
        <is>
          <t>Frozen values from same rules-based model as formula sheet.</t>
        </is>
      </c>
      <c r="BG168" t="inlineStr">
        <is>
          <t>2026-03-17</t>
        </is>
      </c>
      <c r="BH168" t="inlineStr">
        <is>
          <t>DLD / Digital Dubai / CBUAE / Savills / Knight Frank-Moody’s / Reuters</t>
        </is>
      </c>
    </row>
    <row r="169">
      <c r="A169" t="n">
        <v>168</v>
      </c>
      <c r="B169" t="inlineStr">
        <is>
          <t>Athlon (Master Community)</t>
        </is>
      </c>
      <c r="C169" t="inlineStr">
        <is>
          <t>Aldar Properties</t>
        </is>
      </c>
      <c r="D169" t="inlineStr">
        <is>
          <t>Dubailand (Near Global Vill)</t>
        </is>
      </c>
      <c r="E169" t="inlineStr">
        <is>
          <t>Villas &amp; Townhouses</t>
        </is>
      </c>
      <c r="F169" t="inlineStr">
        <is>
          <t>Active / Sports</t>
        </is>
      </c>
      <c r="G169" t="inlineStr">
        <is>
          <t>2.8M (TH) / 4.6M (Villa)</t>
        </is>
      </c>
      <c r="H169" t="inlineStr">
        <is>
          <t>1300-1500</t>
        </is>
      </c>
      <c r="I169" t="inlineStr">
        <is>
          <t>15</t>
        </is>
      </c>
      <c r="J169" t="inlineStr">
        <is>
          <t>5/55/40</t>
        </is>
      </c>
      <c r="K169" t="inlineStr">
        <is>
          <t>2024</t>
        </is>
      </c>
      <c r="L169" t="inlineStr">
        <is>
          <t>6.0-6.5</t>
        </is>
      </c>
      <c r="M169" t="inlineStr">
        <is>
          <t>10-12</t>
        </is>
      </c>
      <c r="N169" t="inlineStr">
        <is>
          <t>16.0-18.5</t>
        </is>
      </c>
      <c r="O169" t="inlineStr">
        <is>
          <t>GEMS Winchester</t>
        </is>
      </c>
      <c r="P169" t="inlineStr">
        <is>
          <t>Fakeeh University Hosp</t>
        </is>
      </c>
      <c r="Q169" t="inlineStr">
        <is>
          <t>Global Village</t>
        </is>
      </c>
      <c r="R169" t="inlineStr">
        <is>
          <t>E611 / Sheikh Zayed Bin Hamdan</t>
        </is>
      </c>
      <c r="S169" t="inlineStr">
        <is>
          <t>20</t>
        </is>
      </c>
      <c r="T169" t="inlineStr">
        <is>
          <t>25</t>
        </is>
      </c>
      <c r="U169" t="inlineStr">
        <is>
          <t>25</t>
        </is>
      </c>
      <c r="V169" t="inlineStr">
        <is>
          <t>30</t>
        </is>
      </c>
      <c r="W169" t="n">
        <v>2</v>
      </c>
      <c r="X169" s="12" t="n">
        <v>2800000</v>
      </c>
      <c r="Y169" s="12" t="n">
        <v>4600000</v>
      </c>
      <c r="Z169" s="9" t="n">
        <v>6</v>
      </c>
      <c r="AA169" s="9" t="n">
        <v>6.5</v>
      </c>
      <c r="AB169" s="9" t="n">
        <v>10</v>
      </c>
      <c r="AC169" s="9" t="n">
        <v>12</v>
      </c>
      <c r="AD169" s="9" t="n">
        <v>16</v>
      </c>
      <c r="AE169" s="9" t="n">
        <v>18.5</v>
      </c>
      <c r="AF169" t="n">
        <v>2024</v>
      </c>
      <c r="AH169" t="inlineStr">
        <is>
          <t>Villa/Townhouse</t>
        </is>
      </c>
      <c r="AI169" t="inlineStr">
        <is>
          <t>MainstreamSelective</t>
        </is>
      </c>
      <c r="AJ169" t="inlineStr">
        <is>
          <t>Established</t>
        </is>
      </c>
      <c r="AK169" t="inlineStr">
        <is>
          <t>Family-villa resilient</t>
        </is>
      </c>
      <c r="AL169" t="inlineStr">
        <is>
          <t>Villa/townhouse demand remains relatively firmer, though growth should be slower than the post-2020 surge.</t>
        </is>
      </c>
      <c r="AM169" s="9" t="n">
        <v>11</v>
      </c>
      <c r="AN169" s="9" t="n">
        <v>6.25</v>
      </c>
      <c r="AO169" s="10" t="n">
        <v>0.55</v>
      </c>
      <c r="AP169" s="13" t="n">
        <v>0</v>
      </c>
      <c r="AQ169" s="13" t="n">
        <v>0.015</v>
      </c>
      <c r="AR169" s="13" t="n">
        <v>0</v>
      </c>
      <c r="AS169" s="13" t="n">
        <v>0.025</v>
      </c>
      <c r="AT169" s="13" t="n">
        <v>0</v>
      </c>
      <c r="AU169" s="13" t="n">
        <v>0.0025</v>
      </c>
      <c r="AV169" s="13" t="n">
        <v>-0.005</v>
      </c>
      <c r="AW169" s="13" t="n">
        <v>0.07550000000000001</v>
      </c>
      <c r="AX169" s="13" t="n">
        <v>0.0225</v>
      </c>
      <c r="AY169" s="12" t="n">
        <v>2921058</v>
      </c>
      <c r="AZ169" s="12" t="n">
        <v>3011400</v>
      </c>
      <c r="BA169" s="12" t="n">
        <v>3101742</v>
      </c>
      <c r="BB169" s="12" t="n">
        <v>2988814</v>
      </c>
      <c r="BC169" s="12" t="n">
        <v>3079156</v>
      </c>
      <c r="BD169" s="12" t="n">
        <v>3169498</v>
      </c>
      <c r="BE169" s="12" t="n">
        <v>3148438</v>
      </c>
      <c r="BF169" t="inlineStr">
        <is>
          <t>Frozen values from same rules-based model as formula sheet.</t>
        </is>
      </c>
      <c r="BG169" t="inlineStr">
        <is>
          <t>2026-03-17</t>
        </is>
      </c>
      <c r="BH169" t="inlineStr">
        <is>
          <t>DLD / Digital Dubai / CBUAE / Savills / Knight Frank-Moody’s / Reuters</t>
        </is>
      </c>
    </row>
    <row r="170">
      <c r="A170" t="n">
        <v>169</v>
      </c>
      <c r="B170" t="inlineStr">
        <is>
          <t>Rise by Athlon</t>
        </is>
      </c>
      <c r="C170" t="inlineStr">
        <is>
          <t>Aldar Properties</t>
        </is>
      </c>
      <c r="D170" t="inlineStr">
        <is>
          <t>Athlon Community</t>
        </is>
      </c>
      <c r="E170" t="inlineStr">
        <is>
          <t>Apartments/TH</t>
        </is>
      </c>
      <c r="F170" t="inlineStr">
        <is>
          <t>Active / Sports</t>
        </is>
      </c>
      <c r="G170" t="inlineStr">
        <is>
          <t>1.35M</t>
        </is>
      </c>
      <c r="H170" t="inlineStr">
        <is>
          <t>1400</t>
        </is>
      </c>
      <c r="I170" t="inlineStr">
        <is>
          <t>15</t>
        </is>
      </c>
      <c r="J170" t="inlineStr">
        <is>
          <t>5/55/40</t>
        </is>
      </c>
      <c r="K170" t="inlineStr">
        <is>
          <t>2024</t>
        </is>
      </c>
      <c r="L170" t="inlineStr">
        <is>
          <t>6.5-7.0</t>
        </is>
      </c>
      <c r="M170" t="inlineStr">
        <is>
          <t>10-12</t>
        </is>
      </c>
      <c r="N170" t="inlineStr">
        <is>
          <t>16.5-19.0</t>
        </is>
      </c>
      <c r="O170" t="inlineStr">
        <is>
          <t>GEMS Winchester</t>
        </is>
      </c>
      <c r="P170" t="inlineStr">
        <is>
          <t>Fakeeh University Hosp</t>
        </is>
      </c>
      <c r="Q170" t="inlineStr">
        <is>
          <t>Global Village</t>
        </is>
      </c>
      <c r="R170" t="inlineStr">
        <is>
          <t>E611 / Sheikh Zayed Bin Hamdan</t>
        </is>
      </c>
      <c r="S170" t="inlineStr">
        <is>
          <t>20</t>
        </is>
      </c>
      <c r="T170" t="inlineStr">
        <is>
          <t>25</t>
        </is>
      </c>
      <c r="U170" t="inlineStr">
        <is>
          <t>25</t>
        </is>
      </c>
      <c r="V170" t="inlineStr">
        <is>
          <t>30</t>
        </is>
      </c>
      <c r="W170" t="n">
        <v>2</v>
      </c>
      <c r="X170" s="12" t="n">
        <v>1350000</v>
      </c>
      <c r="Y170" s="12" t="n">
        <v>1350000</v>
      </c>
      <c r="Z170" s="9" t="n">
        <v>6.5</v>
      </c>
      <c r="AA170" s="9" t="n">
        <v>7</v>
      </c>
      <c r="AB170" s="9" t="n">
        <v>10</v>
      </c>
      <c r="AC170" s="9" t="n">
        <v>12</v>
      </c>
      <c r="AD170" s="9" t="n">
        <v>16.5</v>
      </c>
      <c r="AE170" s="9" t="n">
        <v>19</v>
      </c>
      <c r="AF170" t="n">
        <v>2024</v>
      </c>
      <c r="AH170" t="inlineStr">
        <is>
          <t>Apartment</t>
        </is>
      </c>
      <c r="AI170" t="inlineStr">
        <is>
          <t>MainstreamSelective</t>
        </is>
      </c>
      <c r="AJ170" t="inlineStr">
        <is>
          <t>Established</t>
        </is>
      </c>
      <c r="AK170" t="inlineStr">
        <is>
          <t>Balanced / selective</t>
        </is>
      </c>
      <c r="AL170" t="inlineStr">
        <is>
          <t>Market remains active but increasingly differentiated by developer, micro-location, livability, and pricing discipline.</t>
        </is>
      </c>
      <c r="AM170" s="9" t="n">
        <v>11</v>
      </c>
      <c r="AN170" s="9" t="n">
        <v>6.75</v>
      </c>
      <c r="AO170" s="10" t="n">
        <v>0.55</v>
      </c>
      <c r="AP170" s="13" t="n">
        <v>0</v>
      </c>
      <c r="AQ170" s="13" t="n">
        <v>0</v>
      </c>
      <c r="AR170" s="13" t="n">
        <v>0</v>
      </c>
      <c r="AS170" s="13" t="n">
        <v>0.01</v>
      </c>
      <c r="AT170" s="13" t="n">
        <v>0</v>
      </c>
      <c r="AU170" s="13" t="n">
        <v>0.0025</v>
      </c>
      <c r="AV170" s="13" t="n">
        <v>-0.005</v>
      </c>
      <c r="AW170" s="13" t="n">
        <v>0.06050000000000001</v>
      </c>
      <c r="AX170" s="13" t="n">
        <v>0.007500000000000001</v>
      </c>
      <c r="AY170" s="12" t="n">
        <v>1388725</v>
      </c>
      <c r="AZ170" s="12" t="n">
        <v>1431675</v>
      </c>
      <c r="BA170" s="12" t="n">
        <v>1474625</v>
      </c>
      <c r="BB170" s="12" t="n">
        <v>1399462</v>
      </c>
      <c r="BC170" s="12" t="n">
        <v>1442413</v>
      </c>
      <c r="BD170" s="12" t="n">
        <v>1485363</v>
      </c>
      <c r="BE170" s="12" t="n">
        <v>1453231</v>
      </c>
      <c r="BF170" t="inlineStr">
        <is>
          <t>Frozen values from same rules-based model as formula sheet.</t>
        </is>
      </c>
      <c r="BG170" t="inlineStr">
        <is>
          <t>2026-03-17</t>
        </is>
      </c>
      <c r="BH170" t="inlineStr">
        <is>
          <t>DLD / Digital Dubai / CBUAE / Savills / Knight Frank-Moody’s / Reuters</t>
        </is>
      </c>
    </row>
    <row r="171">
      <c r="A171" t="n">
        <v>170</v>
      </c>
      <c r="B171" t="inlineStr">
        <is>
          <t>The Wilds</t>
        </is>
      </c>
      <c r="C171" t="inlineStr">
        <is>
          <t>Aldar Properties</t>
        </is>
      </c>
      <c r="D171" t="inlineStr">
        <is>
          <t>Athlon Community</t>
        </is>
      </c>
      <c r="E171" t="inlineStr">
        <is>
          <t>Villas</t>
        </is>
      </c>
      <c r="F171" t="inlineStr">
        <is>
          <t>Nature / Sports</t>
        </is>
      </c>
      <c r="G171" t="inlineStr">
        <is>
          <t>3.9M</t>
        </is>
      </c>
      <c r="H171" t="inlineStr">
        <is>
          <t>1500</t>
        </is>
      </c>
      <c r="I171" t="inlineStr">
        <is>
          <t>15</t>
        </is>
      </c>
      <c r="J171" t="inlineStr">
        <is>
          <t>50/50</t>
        </is>
      </c>
      <c r="K171" t="inlineStr">
        <is>
          <t>2024</t>
        </is>
      </c>
      <c r="L171" t="inlineStr">
        <is>
          <t>6.0-6.5</t>
        </is>
      </c>
      <c r="M171" t="inlineStr">
        <is>
          <t>10-12</t>
        </is>
      </c>
      <c r="N171" t="inlineStr">
        <is>
          <t>16.0-18.5</t>
        </is>
      </c>
      <c r="O171" t="inlineStr">
        <is>
          <t>GEMS Winchester</t>
        </is>
      </c>
      <c r="P171" t="inlineStr">
        <is>
          <t>Fakeeh University Hosp</t>
        </is>
      </c>
      <c r="Q171" t="inlineStr">
        <is>
          <t>Global Village</t>
        </is>
      </c>
      <c r="R171" t="inlineStr">
        <is>
          <t>E611 / Sheikh Zayed Bin Hamdan</t>
        </is>
      </c>
      <c r="S171" t="inlineStr">
        <is>
          <t>20</t>
        </is>
      </c>
      <c r="T171" t="inlineStr">
        <is>
          <t>25</t>
        </is>
      </c>
      <c r="U171" t="inlineStr">
        <is>
          <t>25</t>
        </is>
      </c>
      <c r="V171" t="inlineStr">
        <is>
          <t>30</t>
        </is>
      </c>
      <c r="W171" t="n">
        <v>2</v>
      </c>
      <c r="X171" s="12" t="n">
        <v>3900000</v>
      </c>
      <c r="Y171" s="12" t="n">
        <v>3900000</v>
      </c>
      <c r="Z171" s="9" t="n">
        <v>6</v>
      </c>
      <c r="AA171" s="9" t="n">
        <v>6.5</v>
      </c>
      <c r="AB171" s="9" t="n">
        <v>10</v>
      </c>
      <c r="AC171" s="9" t="n">
        <v>12</v>
      </c>
      <c r="AD171" s="9" t="n">
        <v>16</v>
      </c>
      <c r="AE171" s="9" t="n">
        <v>18.5</v>
      </c>
      <c r="AF171" t="n">
        <v>2024</v>
      </c>
      <c r="AH171" t="inlineStr">
        <is>
          <t>Villa</t>
        </is>
      </c>
      <c r="AI171" t="inlineStr">
        <is>
          <t>MainstreamSelective</t>
        </is>
      </c>
      <c r="AJ171" t="inlineStr">
        <is>
          <t>Established</t>
        </is>
      </c>
      <c r="AK171" t="inlineStr">
        <is>
          <t>Family-villa resilient</t>
        </is>
      </c>
      <c r="AL171" t="inlineStr">
        <is>
          <t>Villa/townhouse demand remains relatively firmer, though growth should be slower than the post-2020 surge.</t>
        </is>
      </c>
      <c r="AM171" s="9" t="n">
        <v>11</v>
      </c>
      <c r="AN171" s="9" t="n">
        <v>6.25</v>
      </c>
      <c r="AO171" s="10" t="n">
        <v>0.55</v>
      </c>
      <c r="AP171" s="13" t="n">
        <v>0</v>
      </c>
      <c r="AQ171" s="13" t="n">
        <v>0.015</v>
      </c>
      <c r="AR171" s="13" t="n">
        <v>0</v>
      </c>
      <c r="AS171" s="13" t="n">
        <v>0.025</v>
      </c>
      <c r="AT171" s="13" t="n">
        <v>0</v>
      </c>
      <c r="AU171" s="13" t="n">
        <v>0.0025</v>
      </c>
      <c r="AV171" s="13" t="n">
        <v>-0.005</v>
      </c>
      <c r="AW171" s="13" t="n">
        <v>0.07550000000000001</v>
      </c>
      <c r="AX171" s="13" t="n">
        <v>0.0225</v>
      </c>
      <c r="AY171" s="12" t="n">
        <v>4068616</v>
      </c>
      <c r="AZ171" s="12" t="n">
        <v>4194450</v>
      </c>
      <c r="BA171" s="12" t="n">
        <v>4320284</v>
      </c>
      <c r="BB171" s="12" t="n">
        <v>4162992</v>
      </c>
      <c r="BC171" s="12" t="n">
        <v>4288825</v>
      </c>
      <c r="BD171" s="12" t="n">
        <v>4414659</v>
      </c>
      <c r="BE171" s="12" t="n">
        <v>4385324</v>
      </c>
      <c r="BF171" t="inlineStr">
        <is>
          <t>Frozen values from same rules-based model as formula sheet.</t>
        </is>
      </c>
      <c r="BG171" t="inlineStr">
        <is>
          <t>2026-03-17</t>
        </is>
      </c>
      <c r="BH171" t="inlineStr">
        <is>
          <t>DLD / Digital Dubai / CBUAE / Savills / Knight Frank-Moody’s / Reuters</t>
        </is>
      </c>
    </row>
    <row r="172">
      <c r="A172" t="n">
        <v>171</v>
      </c>
      <c r="B172" t="inlineStr">
        <is>
          <t>Nikki Beach Residences RAK</t>
        </is>
      </c>
      <c r="C172" t="inlineStr">
        <is>
          <t>Aldar Properties</t>
        </is>
      </c>
      <c r="D172" t="inlineStr">
        <is>
          <t>Ras Al Khaimah (Marjan)</t>
        </is>
      </c>
      <c r="E172" t="inlineStr">
        <is>
          <t>Apartments</t>
        </is>
      </c>
      <c r="F172" t="inlineStr">
        <is>
          <t>Beach / Resort</t>
        </is>
      </c>
      <c r="G172" t="inlineStr">
        <is>
          <t>2.0M</t>
        </is>
      </c>
      <c r="H172" t="inlineStr">
        <is>
          <t>2200</t>
        </is>
      </c>
      <c r="I172" t="inlineStr">
        <is>
          <t>TBA</t>
        </is>
      </c>
      <c r="J172" t="inlineStr">
        <is>
          <t>60/40</t>
        </is>
      </c>
      <c r="K172" t="inlineStr">
        <is>
          <t>2023</t>
        </is>
      </c>
      <c r="L172" t="inlineStr">
        <is>
          <t>6.5-7.5</t>
        </is>
      </c>
      <c r="M172" t="inlineStr">
        <is>
          <t>10-15</t>
        </is>
      </c>
      <c r="N172" t="inlineStr">
        <is>
          <t>16.5-22.5</t>
        </is>
      </c>
      <c r="O172" t="inlineStr">
        <is>
          <t>RAK Academy</t>
        </is>
      </c>
      <c r="P172" t="inlineStr">
        <is>
          <t>RAK Hospital</t>
        </is>
      </c>
      <c r="Q172" t="inlineStr">
        <is>
          <t>Al Hamra Mall</t>
        </is>
      </c>
      <c r="R172" t="inlineStr">
        <is>
          <t>E11 (RAK)</t>
        </is>
      </c>
      <c r="S172" t="inlineStr">
        <is>
          <t>60+</t>
        </is>
      </c>
      <c r="T172" t="inlineStr">
        <is>
          <t>60+</t>
        </is>
      </c>
      <c r="U172" t="inlineStr">
        <is>
          <t>50</t>
        </is>
      </c>
      <c r="V172" t="inlineStr">
        <is>
          <t>60+</t>
        </is>
      </c>
      <c r="W172" t="n">
        <v>2</v>
      </c>
      <c r="X172" s="12" t="n">
        <v>2000000</v>
      </c>
      <c r="Y172" s="12" t="n">
        <v>2000000</v>
      </c>
      <c r="Z172" s="9" t="n">
        <v>6.5</v>
      </c>
      <c r="AA172" s="9" t="n">
        <v>7.5</v>
      </c>
      <c r="AB172" s="9" t="n">
        <v>10</v>
      </c>
      <c r="AC172" s="9" t="n">
        <v>15</v>
      </c>
      <c r="AD172" s="9" t="n">
        <v>16.5</v>
      </c>
      <c r="AE172" s="9" t="n">
        <v>22.5</v>
      </c>
      <c r="AF172" t="n">
        <v>2023</v>
      </c>
      <c r="AH172" t="inlineStr">
        <is>
          <t>Apartment</t>
        </is>
      </c>
      <c r="AI172" t="inlineStr">
        <is>
          <t>MainstreamSelective</t>
        </is>
      </c>
      <c r="AJ172" t="inlineStr">
        <is>
          <t>Established</t>
        </is>
      </c>
      <c r="AK172" t="inlineStr">
        <is>
          <t>Balanced / selective</t>
        </is>
      </c>
      <c r="AL172" t="inlineStr">
        <is>
          <t>Market remains active but increasingly differentiated by developer, micro-location, livability, and pricing discipline.</t>
        </is>
      </c>
      <c r="AM172" s="9" t="n">
        <v>12.5</v>
      </c>
      <c r="AN172" s="9" t="n">
        <v>7</v>
      </c>
      <c r="AO172" s="10" t="n">
        <v>0.55</v>
      </c>
      <c r="AP172" s="13" t="n">
        <v>0</v>
      </c>
      <c r="AQ172" s="13" t="n">
        <v>0</v>
      </c>
      <c r="AR172" s="13" t="n">
        <v>0</v>
      </c>
      <c r="AS172" s="13" t="n">
        <v>0.01</v>
      </c>
      <c r="AT172" s="13" t="n">
        <v>0</v>
      </c>
      <c r="AU172" s="13" t="n">
        <v>0.0025</v>
      </c>
      <c r="AV172" s="13" t="n">
        <v>-0.005</v>
      </c>
      <c r="AW172" s="13" t="n">
        <v>0.06875000000000001</v>
      </c>
      <c r="AX172" s="13" t="n">
        <v>0.007500000000000001</v>
      </c>
      <c r="AY172" s="12" t="n">
        <v>2073375</v>
      </c>
      <c r="AZ172" s="12" t="n">
        <v>2137500</v>
      </c>
      <c r="BA172" s="12" t="n">
        <v>2201625</v>
      </c>
      <c r="BB172" s="12" t="n">
        <v>2089406</v>
      </c>
      <c r="BC172" s="12" t="n">
        <v>2153531</v>
      </c>
      <c r="BD172" s="12" t="n">
        <v>2217656</v>
      </c>
      <c r="BE172" s="12" t="n">
        <v>2169683</v>
      </c>
      <c r="BF172" t="inlineStr">
        <is>
          <t>Frozen values from same rules-based model as formula sheet.</t>
        </is>
      </c>
      <c r="BG172" t="inlineStr">
        <is>
          <t>2026-03-17</t>
        </is>
      </c>
      <c r="BH172" t="inlineStr">
        <is>
          <t>DLD / Digital Dubai / CBUAE / Savills / Knight Frank-Moody’s / Reuters</t>
        </is>
      </c>
    </row>
    <row r="173">
      <c r="A173" t="n">
        <v>172</v>
      </c>
      <c r="B173" t="inlineStr">
        <is>
          <t>Rosso Bay (Dubai Marketed)</t>
        </is>
      </c>
      <c r="C173" t="inlineStr">
        <is>
          <t>Aldar Properties</t>
        </is>
      </c>
      <c r="D173" t="inlineStr">
        <is>
          <t>Ras Al Khaimah (Marjan)</t>
        </is>
      </c>
      <c r="E173" t="inlineStr">
        <is>
          <t>Apartments</t>
        </is>
      </c>
      <c r="F173" t="inlineStr">
        <is>
          <t>Beach / Resort</t>
        </is>
      </c>
      <c r="G173" t="inlineStr">
        <is>
          <t>1.8M</t>
        </is>
      </c>
      <c r="H173" t="inlineStr">
        <is>
          <t>2000</t>
        </is>
      </c>
      <c r="I173" t="inlineStr">
        <is>
          <t>TBA</t>
        </is>
      </c>
      <c r="J173" t="inlineStr">
        <is>
          <t>60/40</t>
        </is>
      </c>
      <c r="K173" t="inlineStr">
        <is>
          <t>2023</t>
        </is>
      </c>
      <c r="L173" t="inlineStr">
        <is>
          <t>6.5-7.5</t>
        </is>
      </c>
      <c r="M173" t="inlineStr">
        <is>
          <t>10-15</t>
        </is>
      </c>
      <c r="N173" t="inlineStr">
        <is>
          <t>16.5-22.5</t>
        </is>
      </c>
      <c r="O173" t="inlineStr">
        <is>
          <t>RAK Academy</t>
        </is>
      </c>
      <c r="P173" t="inlineStr">
        <is>
          <t>RAK Hospital</t>
        </is>
      </c>
      <c r="Q173" t="inlineStr">
        <is>
          <t>Al Hamra Mall</t>
        </is>
      </c>
      <c r="R173" t="inlineStr">
        <is>
          <t>E11 (RAK)</t>
        </is>
      </c>
      <c r="S173" t="inlineStr">
        <is>
          <t>60+</t>
        </is>
      </c>
      <c r="T173" t="inlineStr">
        <is>
          <t>60+</t>
        </is>
      </c>
      <c r="U173" t="inlineStr">
        <is>
          <t>50</t>
        </is>
      </c>
      <c r="V173" t="inlineStr">
        <is>
          <t>60+</t>
        </is>
      </c>
      <c r="W173" t="n">
        <v>2</v>
      </c>
      <c r="X173" s="12" t="n">
        <v>1800000</v>
      </c>
      <c r="Y173" s="12" t="n">
        <v>1800000</v>
      </c>
      <c r="Z173" s="9" t="n">
        <v>6.5</v>
      </c>
      <c r="AA173" s="9" t="n">
        <v>7.5</v>
      </c>
      <c r="AB173" s="9" t="n">
        <v>10</v>
      </c>
      <c r="AC173" s="9" t="n">
        <v>15</v>
      </c>
      <c r="AD173" s="9" t="n">
        <v>16.5</v>
      </c>
      <c r="AE173" s="9" t="n">
        <v>22.5</v>
      </c>
      <c r="AF173" t="n">
        <v>2023</v>
      </c>
      <c r="AH173" t="inlineStr">
        <is>
          <t>Apartment</t>
        </is>
      </c>
      <c r="AI173" t="inlineStr">
        <is>
          <t>MainstreamSelective</t>
        </is>
      </c>
      <c r="AJ173" t="inlineStr">
        <is>
          <t>Established</t>
        </is>
      </c>
      <c r="AK173" t="inlineStr">
        <is>
          <t>Balanced / selective</t>
        </is>
      </c>
      <c r="AL173" t="inlineStr">
        <is>
          <t>Market remains active but increasingly differentiated by developer, micro-location, livability, and pricing discipline.</t>
        </is>
      </c>
      <c r="AM173" s="9" t="n">
        <v>12.5</v>
      </c>
      <c r="AN173" s="9" t="n">
        <v>7</v>
      </c>
      <c r="AO173" s="10" t="n">
        <v>0.55</v>
      </c>
      <c r="AP173" s="13" t="n">
        <v>0</v>
      </c>
      <c r="AQ173" s="13" t="n">
        <v>0</v>
      </c>
      <c r="AR173" s="13" t="n">
        <v>0</v>
      </c>
      <c r="AS173" s="13" t="n">
        <v>0.01</v>
      </c>
      <c r="AT173" s="13" t="n">
        <v>0</v>
      </c>
      <c r="AU173" s="13" t="n">
        <v>0.0025</v>
      </c>
      <c r="AV173" s="13" t="n">
        <v>-0.005</v>
      </c>
      <c r="AW173" s="13" t="n">
        <v>0.06875000000000001</v>
      </c>
      <c r="AX173" s="13" t="n">
        <v>0.007500000000000001</v>
      </c>
      <c r="AY173" s="12" t="n">
        <v>1866038</v>
      </c>
      <c r="AZ173" s="12" t="n">
        <v>1923750</v>
      </c>
      <c r="BA173" s="12" t="n">
        <v>1981462</v>
      </c>
      <c r="BB173" s="12" t="n">
        <v>1880466</v>
      </c>
      <c r="BC173" s="12" t="n">
        <v>1938178</v>
      </c>
      <c r="BD173" s="12" t="n">
        <v>1995891</v>
      </c>
      <c r="BE173" s="12" t="n">
        <v>1952714</v>
      </c>
      <c r="BF173" t="inlineStr">
        <is>
          <t>Frozen values from same rules-based model as formula sheet.</t>
        </is>
      </c>
      <c r="BG173" t="inlineStr">
        <is>
          <t>2026-03-17</t>
        </is>
      </c>
      <c r="BH173" t="inlineStr">
        <is>
          <t>DLD / Digital Dubai / CBUAE / Savills / Knight Frank-Moody’s / Reuters</t>
        </is>
      </c>
    </row>
    <row r="174">
      <c r="A174" t="n">
        <v>173</v>
      </c>
      <c r="B174" t="inlineStr">
        <is>
          <t>Sun City (Master Community)</t>
        </is>
      </c>
      <c r="C174" t="inlineStr">
        <is>
          <t>DAMAC Properties</t>
        </is>
      </c>
      <c r="D174" t="inlineStr">
        <is>
          <t>Dubailand (Cherrywoods)</t>
        </is>
      </c>
      <c r="E174" t="inlineStr">
        <is>
          <t>Townhouses (4/5 Bed)</t>
        </is>
      </c>
      <c r="F174" t="inlineStr">
        <is>
          <t>Wellness / Nature</t>
        </is>
      </c>
      <c r="G174" t="inlineStr">
        <is>
          <t>2.25M</t>
        </is>
      </c>
      <c r="H174" t="inlineStr">
        <is>
          <t>1000</t>
        </is>
      </c>
      <c r="I174" t="inlineStr">
        <is>
          <t>TBA</t>
        </is>
      </c>
      <c r="J174" t="inlineStr">
        <is>
          <t>75/25</t>
        </is>
      </c>
      <c r="K174" t="inlineStr">
        <is>
          <t>2024</t>
        </is>
      </c>
      <c r="L174" t="inlineStr">
        <is>
          <t>6.5-7.0</t>
        </is>
      </c>
      <c r="M174" t="inlineStr">
        <is>
          <t>12-15</t>
        </is>
      </c>
      <c r="N174" t="inlineStr">
        <is>
          <t>18.5-22.0</t>
        </is>
      </c>
      <c r="O174" t="inlineStr">
        <is>
          <t>Ranches Primary</t>
        </is>
      </c>
      <c r="P174" t="inlineStr">
        <is>
          <t>King's College Hospital</t>
        </is>
      </c>
      <c r="Q174" t="inlineStr">
        <is>
          <t>Dubai Hills Mall</t>
        </is>
      </c>
      <c r="R174" t="inlineStr">
        <is>
          <t>Al Qudra Rd</t>
        </is>
      </c>
      <c r="S174" t="inlineStr">
        <is>
          <t>25</t>
        </is>
      </c>
      <c r="T174" t="inlineStr">
        <is>
          <t>20</t>
        </is>
      </c>
      <c r="U174" t="inlineStr">
        <is>
          <t>30</t>
        </is>
      </c>
      <c r="V174" t="inlineStr">
        <is>
          <t>25</t>
        </is>
      </c>
      <c r="W174" t="n">
        <v>2</v>
      </c>
      <c r="X174" s="12" t="n">
        <v>2250000</v>
      </c>
      <c r="Y174" s="12" t="n">
        <v>2250000</v>
      </c>
      <c r="Z174" s="9" t="n">
        <v>6.5</v>
      </c>
      <c r="AA174" s="9" t="n">
        <v>7</v>
      </c>
      <c r="AB174" s="9" t="n">
        <v>12</v>
      </c>
      <c r="AC174" s="9" t="n">
        <v>15</v>
      </c>
      <c r="AD174" s="9" t="n">
        <v>18.5</v>
      </c>
      <c r="AE174" s="9" t="n">
        <v>22</v>
      </c>
      <c r="AF174" t="n">
        <v>2024</v>
      </c>
      <c r="AH174" t="inlineStr">
        <is>
          <t>Townhouse</t>
        </is>
      </c>
      <c r="AI174" t="inlineStr">
        <is>
          <t>MainstreamSelective</t>
        </is>
      </c>
      <c r="AJ174" t="inlineStr">
        <is>
          <t>TopTier</t>
        </is>
      </c>
      <c r="AK174" t="inlineStr">
        <is>
          <t>Family-villa resilient</t>
        </is>
      </c>
      <c r="AL174" t="inlineStr">
        <is>
          <t>Villa/townhouse demand remains relatively firmer, though growth should be slower than the post-2020 surge.</t>
        </is>
      </c>
      <c r="AM174" s="9" t="n">
        <v>13.5</v>
      </c>
      <c r="AN174" s="9" t="n">
        <v>6.75</v>
      </c>
      <c r="AO174" s="10" t="n">
        <v>0.55</v>
      </c>
      <c r="AP174" s="13" t="n">
        <v>0</v>
      </c>
      <c r="AQ174" s="13" t="n">
        <v>0.015</v>
      </c>
      <c r="AR174" s="13" t="n">
        <v>0</v>
      </c>
      <c r="AS174" s="13" t="n">
        <v>0.025</v>
      </c>
      <c r="AT174" s="13" t="n">
        <v>0.005</v>
      </c>
      <c r="AU174" s="13" t="n">
        <v>0.0025</v>
      </c>
      <c r="AV174" s="13" t="n">
        <v>-0.005</v>
      </c>
      <c r="AW174" s="13" t="n">
        <v>0.08925000000000001</v>
      </c>
      <c r="AX174" s="13" t="n">
        <v>0.0275</v>
      </c>
      <c r="AY174" s="12" t="n">
        <v>2377288</v>
      </c>
      <c r="AZ174" s="12" t="n">
        <v>2450812</v>
      </c>
      <c r="BA174" s="12" t="n">
        <v>2524336</v>
      </c>
      <c r="BB174" s="12" t="n">
        <v>2444685</v>
      </c>
      <c r="BC174" s="12" t="n">
        <v>2518209</v>
      </c>
      <c r="BD174" s="12" t="n">
        <v>2591734</v>
      </c>
      <c r="BE174" s="12" t="n">
        <v>2587460</v>
      </c>
      <c r="BF174" t="inlineStr">
        <is>
          <t>Frozen values from same rules-based model as formula sheet.</t>
        </is>
      </c>
      <c r="BG174" t="inlineStr">
        <is>
          <t>2026-03-17</t>
        </is>
      </c>
      <c r="BH174" t="inlineStr">
        <is>
          <t>DLD / Digital Dubai / CBUAE / Savills / Knight Frank-Moody’s / Reuters</t>
        </is>
      </c>
    </row>
    <row r="175">
      <c r="A175" t="n">
        <v>174</v>
      </c>
      <c r="B175" t="inlineStr">
        <is>
          <t>Cherrywoods District</t>
        </is>
      </c>
      <c r="C175" t="inlineStr">
        <is>
          <t>DAMAC Properties</t>
        </is>
      </c>
      <c r="D175" t="inlineStr">
        <is>
          <t>Dubailand</t>
        </is>
      </c>
      <c r="E175" t="inlineStr">
        <is>
          <t>Townhouses</t>
        </is>
      </c>
      <c r="F175" t="inlineStr">
        <is>
          <t>Gated</t>
        </is>
      </c>
      <c r="G175" t="inlineStr">
        <is>
          <t>Resale</t>
        </is>
      </c>
      <c r="H175" t="inlineStr">
        <is>
          <t>1100</t>
        </is>
      </c>
      <c r="I175" t="inlineStr">
        <is>
          <t>TBA</t>
        </is>
      </c>
      <c r="J175" t="inlineStr">
        <is>
          <t>Completed</t>
        </is>
      </c>
      <c r="K175" t="inlineStr">
        <is>
          <t>2021</t>
        </is>
      </c>
      <c r="L175" t="inlineStr">
        <is>
          <t>6.5-7.0</t>
        </is>
      </c>
      <c r="M175" t="inlineStr">
        <is>
          <t>6-8</t>
        </is>
      </c>
      <c r="N175" t="inlineStr">
        <is>
          <t>12.5-15.0</t>
        </is>
      </c>
      <c r="O175" t="inlineStr">
        <is>
          <t>Ranches Primary</t>
        </is>
      </c>
      <c r="P175" t="inlineStr">
        <is>
          <t>King's College Hospital</t>
        </is>
      </c>
      <c r="Q175" t="inlineStr">
        <is>
          <t>Dubai Hills Mall</t>
        </is>
      </c>
      <c r="R175" t="inlineStr">
        <is>
          <t>Al Qudra Rd</t>
        </is>
      </c>
      <c r="S175" t="inlineStr">
        <is>
          <t>25</t>
        </is>
      </c>
      <c r="T175" t="inlineStr">
        <is>
          <t>20</t>
        </is>
      </c>
      <c r="U175" t="inlineStr">
        <is>
          <t>30</t>
        </is>
      </c>
      <c r="V175" t="inlineStr">
        <is>
          <t>25</t>
        </is>
      </c>
      <c r="W175" t="n">
        <v>2</v>
      </c>
      <c r="X175" s="12" t="n"/>
      <c r="Y175" s="12" t="n"/>
      <c r="Z175" s="9" t="n">
        <v>6.5</v>
      </c>
      <c r="AA175" s="9" t="n">
        <v>7</v>
      </c>
      <c r="AB175" s="9" t="n">
        <v>6</v>
      </c>
      <c r="AC175" s="9" t="n">
        <v>8</v>
      </c>
      <c r="AD175" s="9" t="n">
        <v>12.5</v>
      </c>
      <c r="AE175" s="9" t="n">
        <v>15</v>
      </c>
      <c r="AF175" t="n">
        <v>2021</v>
      </c>
      <c r="AH175" t="inlineStr">
        <is>
          <t>Townhouse</t>
        </is>
      </c>
      <c r="AI175" t="inlineStr">
        <is>
          <t>MainstreamSelective</t>
        </is>
      </c>
      <c r="AJ175" t="inlineStr">
        <is>
          <t>TopTier</t>
        </is>
      </c>
      <c r="AK175" t="inlineStr">
        <is>
          <t>Family-villa resilient</t>
        </is>
      </c>
      <c r="AL175" t="inlineStr">
        <is>
          <t>Villa/townhouse demand remains relatively firmer, though growth should be slower than the post-2020 surge.</t>
        </is>
      </c>
      <c r="AM175" s="9" t="n">
        <v>7</v>
      </c>
      <c r="AN175" s="9" t="n">
        <v>6.75</v>
      </c>
      <c r="AO175" s="10" t="n">
        <v>0.55</v>
      </c>
      <c r="AP175" s="13" t="n">
        <v>0</v>
      </c>
      <c r="AQ175" s="13" t="n">
        <v>0.015</v>
      </c>
      <c r="AR175" s="13" t="n">
        <v>0</v>
      </c>
      <c r="AS175" s="13" t="n">
        <v>0.025</v>
      </c>
      <c r="AT175" s="13" t="n">
        <v>0.005</v>
      </c>
      <c r="AU175" s="13" t="n">
        <v>0.0025</v>
      </c>
      <c r="AV175" s="13" t="n">
        <v>-0.005</v>
      </c>
      <c r="AW175" s="13" t="n">
        <v>0.05350000000000001</v>
      </c>
      <c r="AX175" s="13" t="n">
        <v>0.0275</v>
      </c>
      <c r="AY175" s="12" t="n"/>
      <c r="AZ175" s="12" t="n"/>
      <c r="BA175" s="12" t="n"/>
      <c r="BB175" s="12" t="n"/>
      <c r="BC175" s="12" t="n"/>
      <c r="BD175" s="12" t="n"/>
      <c r="BE175" s="12" t="n"/>
      <c r="BF175" t="inlineStr">
        <is>
          <t>Frozen values from same rules-based model as formula sheet.</t>
        </is>
      </c>
      <c r="BG175" t="inlineStr">
        <is>
          <t>2026-03-17</t>
        </is>
      </c>
      <c r="BH175" t="inlineStr">
        <is>
          <t>DLD / Digital Dubai / CBUAE / Savills / Knight Frank-Moody’s / Reuters</t>
        </is>
      </c>
    </row>
    <row r="176">
      <c r="A176" t="n">
        <v>175</v>
      </c>
      <c r="B176" t="inlineStr">
        <is>
          <t>DAMAC Lagoons (Master Community)</t>
        </is>
      </c>
      <c r="C176" t="inlineStr">
        <is>
          <t>DAMAC Properties</t>
        </is>
      </c>
      <c r="D176" t="inlineStr">
        <is>
          <t>Hessa Street</t>
        </is>
      </c>
      <c r="E176" t="inlineStr">
        <is>
          <t>Townhouses &amp; Villas</t>
        </is>
      </c>
      <c r="F176" t="inlineStr">
        <is>
          <t>Water / Lagoon</t>
        </is>
      </c>
      <c r="I176" t="inlineStr">
        <is>
          <t>12-15</t>
        </is>
      </c>
      <c r="J176" t="inlineStr">
        <is>
          <t>Varies</t>
        </is>
      </c>
      <c r="K176" t="inlineStr">
        <is>
          <t>2021-2025</t>
        </is>
      </c>
      <c r="L176" t="inlineStr">
        <is>
          <t>6.0-7.0</t>
        </is>
      </c>
      <c r="M176" t="inlineStr">
        <is>
          <t>8-12</t>
        </is>
      </c>
      <c r="N176" t="inlineStr">
        <is>
          <t>14.0-19.0</t>
        </is>
      </c>
      <c r="O176" t="inlineStr">
        <is>
          <t>Royal Grammar</t>
        </is>
      </c>
      <c r="P176" t="inlineStr">
        <is>
          <t>Mediclinic Parkview</t>
        </is>
      </c>
      <c r="Q176" t="inlineStr">
        <is>
          <t>First Avenue Mall</t>
        </is>
      </c>
      <c r="R176" t="inlineStr">
        <is>
          <t>Hessa St / E611</t>
        </is>
      </c>
      <c r="S176" t="inlineStr">
        <is>
          <t>25</t>
        </is>
      </c>
      <c r="T176" t="inlineStr">
        <is>
          <t>20</t>
        </is>
      </c>
      <c r="U176" t="inlineStr">
        <is>
          <t>30</t>
        </is>
      </c>
      <c r="V176" t="inlineStr">
        <is>
          <t>25</t>
        </is>
      </c>
      <c r="W176" t="n">
        <v>2</v>
      </c>
      <c r="X176" s="12" t="n"/>
      <c r="Y176" s="12" t="n"/>
      <c r="Z176" s="9" t="n">
        <v>6</v>
      </c>
      <c r="AA176" s="9" t="n">
        <v>7</v>
      </c>
      <c r="AB176" s="9" t="n">
        <v>8</v>
      </c>
      <c r="AC176" s="9" t="n">
        <v>12</v>
      </c>
      <c r="AD176" s="9" t="n">
        <v>14</v>
      </c>
      <c r="AE176" s="9" t="n">
        <v>19</v>
      </c>
      <c r="AF176" t="n">
        <v>2021</v>
      </c>
      <c r="AH176" t="inlineStr">
        <is>
          <t>Villa/Townhouse</t>
        </is>
      </c>
      <c r="AI176" t="inlineStr">
        <is>
          <t>MainstreamSelective</t>
        </is>
      </c>
      <c r="AJ176" t="inlineStr">
        <is>
          <t>TopTier</t>
        </is>
      </c>
      <c r="AK176" t="inlineStr">
        <is>
          <t>Family-villa resilient</t>
        </is>
      </c>
      <c r="AL176" t="inlineStr">
        <is>
          <t>Villa/townhouse demand remains relatively firmer, though growth should be slower than the post-2020 surge.</t>
        </is>
      </c>
      <c r="AM176" s="9" t="n">
        <v>10</v>
      </c>
      <c r="AN176" s="9" t="n">
        <v>6.5</v>
      </c>
      <c r="AO176" s="10" t="n">
        <v>0.55</v>
      </c>
      <c r="AP176" s="13" t="n">
        <v>0</v>
      </c>
      <c r="AQ176" s="13" t="n">
        <v>0.015</v>
      </c>
      <c r="AR176" s="13" t="n">
        <v>0</v>
      </c>
      <c r="AS176" s="13" t="n">
        <v>0.025</v>
      </c>
      <c r="AT176" s="13" t="n">
        <v>0.005</v>
      </c>
      <c r="AU176" s="13" t="n">
        <v>0.0025</v>
      </c>
      <c r="AV176" s="13" t="n">
        <v>-0.005</v>
      </c>
      <c r="AW176" s="13" t="n">
        <v>0.07000000000000001</v>
      </c>
      <c r="AX176" s="13" t="n">
        <v>0.0275</v>
      </c>
      <c r="AY176" s="12" t="n"/>
      <c r="AZ176" s="12" t="n"/>
      <c r="BA176" s="12" t="n"/>
      <c r="BB176" s="12" t="n"/>
      <c r="BC176" s="12" t="n"/>
      <c r="BD176" s="12" t="n"/>
      <c r="BE176" s="12" t="n"/>
      <c r="BF176" t="inlineStr">
        <is>
          <t>Frozen values from same rules-based model as formula sheet.</t>
        </is>
      </c>
      <c r="BG176" t="inlineStr">
        <is>
          <t>2026-03-17</t>
        </is>
      </c>
      <c r="BH176" t="inlineStr">
        <is>
          <t>DLD / Digital Dubai / CBUAE / Savills / Knight Frank-Moody’s / Reuters</t>
        </is>
      </c>
    </row>
    <row r="177">
      <c r="A177" t="n">
        <v>176</v>
      </c>
      <c r="B177" t="inlineStr">
        <is>
          <t>Venice</t>
        </is>
      </c>
      <c r="C177" t="inlineStr">
        <is>
          <t>DAMAC Properties</t>
        </is>
      </c>
      <c r="D177" t="inlineStr">
        <is>
          <t>DAMAC Lagoons</t>
        </is>
      </c>
      <c r="E177" t="inlineStr">
        <is>
          <t>Villas (Large)</t>
        </is>
      </c>
      <c r="F177" t="inlineStr">
        <is>
          <t>Water / Luxury</t>
        </is>
      </c>
      <c r="G177" t="inlineStr">
        <is>
          <t>5.5M</t>
        </is>
      </c>
      <c r="H177" t="inlineStr">
        <is>
          <t>1400</t>
        </is>
      </c>
      <c r="I177" t="inlineStr">
        <is>
          <t>15</t>
        </is>
      </c>
      <c r="J177" t="inlineStr">
        <is>
          <t>80/20</t>
        </is>
      </c>
      <c r="K177" t="inlineStr">
        <is>
          <t>2022</t>
        </is>
      </c>
      <c r="L177" t="inlineStr">
        <is>
          <t>5.5-6.0</t>
        </is>
      </c>
      <c r="M177" t="inlineStr">
        <is>
          <t>8-12</t>
        </is>
      </c>
      <c r="N177" t="inlineStr">
        <is>
          <t>13.5-18.0</t>
        </is>
      </c>
      <c r="O177" t="inlineStr">
        <is>
          <t>Royal Grammar</t>
        </is>
      </c>
      <c r="P177" t="inlineStr">
        <is>
          <t>Mediclinic Parkview</t>
        </is>
      </c>
      <c r="Q177" t="inlineStr">
        <is>
          <t>First Avenue Mall</t>
        </is>
      </c>
      <c r="R177" t="inlineStr">
        <is>
          <t>Hessa St / E611</t>
        </is>
      </c>
      <c r="S177" t="inlineStr">
        <is>
          <t>25</t>
        </is>
      </c>
      <c r="T177" t="inlineStr">
        <is>
          <t>20</t>
        </is>
      </c>
      <c r="U177" t="inlineStr">
        <is>
          <t>30</t>
        </is>
      </c>
      <c r="V177" t="inlineStr">
        <is>
          <t>25</t>
        </is>
      </c>
      <c r="W177" t="n">
        <v>2</v>
      </c>
      <c r="X177" s="12" t="n">
        <v>5500000</v>
      </c>
      <c r="Y177" s="12" t="n">
        <v>5500000</v>
      </c>
      <c r="Z177" s="9" t="n">
        <v>5.5</v>
      </c>
      <c r="AA177" s="9" t="n">
        <v>6</v>
      </c>
      <c r="AB177" s="9" t="n">
        <v>8</v>
      </c>
      <c r="AC177" s="9" t="n">
        <v>12</v>
      </c>
      <c r="AD177" s="9" t="n">
        <v>13.5</v>
      </c>
      <c r="AE177" s="9" t="n">
        <v>18</v>
      </c>
      <c r="AF177" t="n">
        <v>2022</v>
      </c>
      <c r="AH177" t="inlineStr">
        <is>
          <t>Villa</t>
        </is>
      </c>
      <c r="AI177" t="inlineStr">
        <is>
          <t>FamilyVilla</t>
        </is>
      </c>
      <c r="AJ177" t="inlineStr">
        <is>
          <t>TopTier</t>
        </is>
      </c>
      <c r="AK177" t="inlineStr">
        <is>
          <t>Family-villa resilient</t>
        </is>
      </c>
      <c r="AL177" t="inlineStr">
        <is>
          <t>Villa/townhouse demand remains relatively firmer, though growth should be slower than the post-2020 surge.</t>
        </is>
      </c>
      <c r="AM177" s="9" t="n">
        <v>10</v>
      </c>
      <c r="AN177" s="9" t="n">
        <v>5.75</v>
      </c>
      <c r="AO177" s="10" t="n">
        <v>0.55</v>
      </c>
      <c r="AP177" s="13" t="n">
        <v>0</v>
      </c>
      <c r="AQ177" s="13" t="n">
        <v>0.015</v>
      </c>
      <c r="AR177" s="13" t="n">
        <v>0</v>
      </c>
      <c r="AS177" s="13" t="n">
        <v>0.025</v>
      </c>
      <c r="AT177" s="13" t="n">
        <v>0.005</v>
      </c>
      <c r="AU177" s="13" t="n">
        <v>0</v>
      </c>
      <c r="AV177" s="13" t="n">
        <v>-0.005</v>
      </c>
      <c r="AW177" s="13" t="n">
        <v>0.07000000000000001</v>
      </c>
      <c r="AX177" s="13" t="n">
        <v>0.025</v>
      </c>
      <c r="AY177" s="12" t="n">
        <v>5708450</v>
      </c>
      <c r="AZ177" s="12" t="n">
        <v>5885000</v>
      </c>
      <c r="BA177" s="12" t="n">
        <v>6061550</v>
      </c>
      <c r="BB177" s="12" t="n">
        <v>5855575</v>
      </c>
      <c r="BC177" s="12" t="n">
        <v>6032125</v>
      </c>
      <c r="BD177" s="12" t="n">
        <v>6208675</v>
      </c>
      <c r="BE177" s="12" t="n">
        <v>6182928</v>
      </c>
      <c r="BF177" t="inlineStr">
        <is>
          <t>Frozen values from same rules-based model as formula sheet.</t>
        </is>
      </c>
      <c r="BG177" t="inlineStr">
        <is>
          <t>2026-03-17</t>
        </is>
      </c>
      <c r="BH177" t="inlineStr">
        <is>
          <t>DLD / Digital Dubai / CBUAE / Savills / Knight Frank-Moody’s / Reuters</t>
        </is>
      </c>
    </row>
    <row r="178">
      <c r="A178" t="n">
        <v>177</v>
      </c>
      <c r="B178" t="inlineStr">
        <is>
          <t>Morocco</t>
        </is>
      </c>
      <c r="C178" t="inlineStr">
        <is>
          <t>DAMAC Properties</t>
        </is>
      </c>
      <c r="D178" t="inlineStr">
        <is>
          <t>DAMAC Lagoons</t>
        </is>
      </c>
      <c r="E178" t="inlineStr">
        <is>
          <t>Townhouses &amp; Villas</t>
        </is>
      </c>
      <c r="F178" t="inlineStr">
        <is>
          <t>Water / Style</t>
        </is>
      </c>
      <c r="G178" t="inlineStr">
        <is>
          <t>2.8M</t>
        </is>
      </c>
      <c r="H178" t="inlineStr">
        <is>
          <t>1200</t>
        </is>
      </c>
      <c r="I178" t="inlineStr">
        <is>
          <t>15</t>
        </is>
      </c>
      <c r="J178" t="inlineStr">
        <is>
          <t>80/20</t>
        </is>
      </c>
      <c r="K178" t="inlineStr">
        <is>
          <t>2023</t>
        </is>
      </c>
      <c r="L178" t="inlineStr">
        <is>
          <t>6.0-6.5</t>
        </is>
      </c>
      <c r="M178" t="inlineStr">
        <is>
          <t>8-12</t>
        </is>
      </c>
      <c r="N178" t="inlineStr">
        <is>
          <t>14.0-18.5</t>
        </is>
      </c>
      <c r="O178" t="inlineStr">
        <is>
          <t>Royal Grammar</t>
        </is>
      </c>
      <c r="P178" t="inlineStr">
        <is>
          <t>Mediclinic Parkview</t>
        </is>
      </c>
      <c r="Q178" t="inlineStr">
        <is>
          <t>First Avenue Mall</t>
        </is>
      </c>
      <c r="R178" t="inlineStr">
        <is>
          <t>Hessa St / E611</t>
        </is>
      </c>
      <c r="S178" t="inlineStr">
        <is>
          <t>25</t>
        </is>
      </c>
      <c r="T178" t="inlineStr">
        <is>
          <t>20</t>
        </is>
      </c>
      <c r="U178" t="inlineStr">
        <is>
          <t>30</t>
        </is>
      </c>
      <c r="V178" t="inlineStr">
        <is>
          <t>25</t>
        </is>
      </c>
      <c r="W178" t="n">
        <v>2</v>
      </c>
      <c r="X178" s="12" t="n">
        <v>2800000</v>
      </c>
      <c r="Y178" s="12" t="n">
        <v>2800000</v>
      </c>
      <c r="Z178" s="9" t="n">
        <v>6</v>
      </c>
      <c r="AA178" s="9" t="n">
        <v>6.5</v>
      </c>
      <c r="AB178" s="9" t="n">
        <v>8</v>
      </c>
      <c r="AC178" s="9" t="n">
        <v>12</v>
      </c>
      <c r="AD178" s="9" t="n">
        <v>14</v>
      </c>
      <c r="AE178" s="9" t="n">
        <v>18.5</v>
      </c>
      <c r="AF178" t="n">
        <v>2023</v>
      </c>
      <c r="AH178" t="inlineStr">
        <is>
          <t>Villa/Townhouse</t>
        </is>
      </c>
      <c r="AI178" t="inlineStr">
        <is>
          <t>FamilyVilla</t>
        </is>
      </c>
      <c r="AJ178" t="inlineStr">
        <is>
          <t>TopTier</t>
        </is>
      </c>
      <c r="AK178" t="inlineStr">
        <is>
          <t>Family-villa resilient</t>
        </is>
      </c>
      <c r="AL178" t="inlineStr">
        <is>
          <t>Villa/townhouse demand remains relatively firmer, though growth should be slower than the post-2020 surge.</t>
        </is>
      </c>
      <c r="AM178" s="9" t="n">
        <v>10</v>
      </c>
      <c r="AN178" s="9" t="n">
        <v>6.25</v>
      </c>
      <c r="AO178" s="10" t="n">
        <v>0.55</v>
      </c>
      <c r="AP178" s="13" t="n">
        <v>0</v>
      </c>
      <c r="AQ178" s="13" t="n">
        <v>0.015</v>
      </c>
      <c r="AR178" s="13" t="n">
        <v>0</v>
      </c>
      <c r="AS178" s="13" t="n">
        <v>0.025</v>
      </c>
      <c r="AT178" s="13" t="n">
        <v>0.005</v>
      </c>
      <c r="AU178" s="13" t="n">
        <v>0.0025</v>
      </c>
      <c r="AV178" s="13" t="n">
        <v>-0.005</v>
      </c>
      <c r="AW178" s="13" t="n">
        <v>0.07000000000000001</v>
      </c>
      <c r="AX178" s="13" t="n">
        <v>0.0275</v>
      </c>
      <c r="AY178" s="12" t="n">
        <v>2906120</v>
      </c>
      <c r="AZ178" s="12" t="n">
        <v>2996000</v>
      </c>
      <c r="BA178" s="12" t="n">
        <v>3085880</v>
      </c>
      <c r="BB178" s="12" t="n">
        <v>2988510</v>
      </c>
      <c r="BC178" s="12" t="n">
        <v>3078390</v>
      </c>
      <c r="BD178" s="12" t="n">
        <v>3168270</v>
      </c>
      <c r="BE178" s="12" t="n">
        <v>3163046</v>
      </c>
      <c r="BF178" t="inlineStr">
        <is>
          <t>Frozen values from same rules-based model as formula sheet.</t>
        </is>
      </c>
      <c r="BG178" t="inlineStr">
        <is>
          <t>2026-03-17</t>
        </is>
      </c>
      <c r="BH178" t="inlineStr">
        <is>
          <t>DLD / Digital Dubai / CBUAE / Savills / Knight Frank-Moody’s / Reuters</t>
        </is>
      </c>
    </row>
    <row r="179">
      <c r="A179" t="n">
        <v>178</v>
      </c>
      <c r="B179" t="inlineStr">
        <is>
          <t>Mykonos</t>
        </is>
      </c>
      <c r="C179" t="inlineStr">
        <is>
          <t>DAMAC Properties</t>
        </is>
      </c>
      <c r="D179" t="inlineStr">
        <is>
          <t>DAMAC Lagoons</t>
        </is>
      </c>
      <c r="E179" t="inlineStr">
        <is>
          <t>Townhouses</t>
        </is>
      </c>
      <c r="F179" t="inlineStr">
        <is>
          <t>Water / Style</t>
        </is>
      </c>
      <c r="G179" t="inlineStr">
        <is>
          <t>2.5M</t>
        </is>
      </c>
      <c r="H179" t="inlineStr">
        <is>
          <t>1150</t>
        </is>
      </c>
      <c r="I179" t="inlineStr">
        <is>
          <t>15</t>
        </is>
      </c>
      <c r="J179" t="inlineStr">
        <is>
          <t>80/20</t>
        </is>
      </c>
      <c r="K179" t="inlineStr">
        <is>
          <t>2023</t>
        </is>
      </c>
      <c r="L179" t="inlineStr">
        <is>
          <t>6.0-6.5</t>
        </is>
      </c>
      <c r="M179" t="inlineStr">
        <is>
          <t>8-12</t>
        </is>
      </c>
      <c r="N179" t="inlineStr">
        <is>
          <t>14.0-18.5</t>
        </is>
      </c>
      <c r="O179" t="inlineStr">
        <is>
          <t>Royal Grammar</t>
        </is>
      </c>
      <c r="P179" t="inlineStr">
        <is>
          <t>Mediclinic Parkview</t>
        </is>
      </c>
      <c r="Q179" t="inlineStr">
        <is>
          <t>First Avenue Mall</t>
        </is>
      </c>
      <c r="R179" t="inlineStr">
        <is>
          <t>Hessa St / E611</t>
        </is>
      </c>
      <c r="S179" t="inlineStr">
        <is>
          <t>25</t>
        </is>
      </c>
      <c r="T179" t="inlineStr">
        <is>
          <t>20</t>
        </is>
      </c>
      <c r="U179" t="inlineStr">
        <is>
          <t>30</t>
        </is>
      </c>
      <c r="V179" t="inlineStr">
        <is>
          <t>25</t>
        </is>
      </c>
      <c r="W179" t="n">
        <v>2</v>
      </c>
      <c r="X179" s="12" t="n">
        <v>2500000</v>
      </c>
      <c r="Y179" s="12" t="n">
        <v>2500000</v>
      </c>
      <c r="Z179" s="9" t="n">
        <v>6</v>
      </c>
      <c r="AA179" s="9" t="n">
        <v>6.5</v>
      </c>
      <c r="AB179" s="9" t="n">
        <v>8</v>
      </c>
      <c r="AC179" s="9" t="n">
        <v>12</v>
      </c>
      <c r="AD179" s="9" t="n">
        <v>14</v>
      </c>
      <c r="AE179" s="9" t="n">
        <v>18.5</v>
      </c>
      <c r="AF179" t="n">
        <v>2023</v>
      </c>
      <c r="AH179" t="inlineStr">
        <is>
          <t>Townhouse</t>
        </is>
      </c>
      <c r="AI179" t="inlineStr">
        <is>
          <t>FamilyVilla</t>
        </is>
      </c>
      <c r="AJ179" t="inlineStr">
        <is>
          <t>TopTier</t>
        </is>
      </c>
      <c r="AK179" t="inlineStr">
        <is>
          <t>Family-villa resilient</t>
        </is>
      </c>
      <c r="AL179" t="inlineStr">
        <is>
          <t>Villa/townhouse demand remains relatively firmer, though growth should be slower than the post-2020 surge.</t>
        </is>
      </c>
      <c r="AM179" s="9" t="n">
        <v>10</v>
      </c>
      <c r="AN179" s="9" t="n">
        <v>6.25</v>
      </c>
      <c r="AO179" s="10" t="n">
        <v>0.55</v>
      </c>
      <c r="AP179" s="13" t="n">
        <v>0</v>
      </c>
      <c r="AQ179" s="13" t="n">
        <v>0.015</v>
      </c>
      <c r="AR179" s="13" t="n">
        <v>0</v>
      </c>
      <c r="AS179" s="13" t="n">
        <v>0.025</v>
      </c>
      <c r="AT179" s="13" t="n">
        <v>0.005</v>
      </c>
      <c r="AU179" s="13" t="n">
        <v>0.0025</v>
      </c>
      <c r="AV179" s="13" t="n">
        <v>-0.005</v>
      </c>
      <c r="AW179" s="13" t="n">
        <v>0.07000000000000001</v>
      </c>
      <c r="AX179" s="13" t="n">
        <v>0.0275</v>
      </c>
      <c r="AY179" s="12" t="n">
        <v>2594750</v>
      </c>
      <c r="AZ179" s="12" t="n">
        <v>2675000</v>
      </c>
      <c r="BA179" s="12" t="n">
        <v>2755250</v>
      </c>
      <c r="BB179" s="12" t="n">
        <v>2668312</v>
      </c>
      <c r="BC179" s="12" t="n">
        <v>2748562</v>
      </c>
      <c r="BD179" s="12" t="n">
        <v>2828813</v>
      </c>
      <c r="BE179" s="12" t="n">
        <v>2824148</v>
      </c>
      <c r="BF179" t="inlineStr">
        <is>
          <t>Frozen values from same rules-based model as formula sheet.</t>
        </is>
      </c>
      <c r="BG179" t="inlineStr">
        <is>
          <t>2026-03-17</t>
        </is>
      </c>
      <c r="BH179" t="inlineStr">
        <is>
          <t>DLD / Digital Dubai / CBUAE / Savills / Knight Frank-Moody’s / Reuters</t>
        </is>
      </c>
    </row>
    <row r="180">
      <c r="A180" t="n">
        <v>179</v>
      </c>
      <c r="B180" t="inlineStr">
        <is>
          <t>Santorini</t>
        </is>
      </c>
      <c r="C180" t="inlineStr">
        <is>
          <t>DAMAC Properties</t>
        </is>
      </c>
      <c r="D180" t="inlineStr">
        <is>
          <t>DAMAC Lagoons</t>
        </is>
      </c>
      <c r="E180" t="inlineStr">
        <is>
          <t>Townhouses</t>
        </is>
      </c>
      <c r="F180" t="inlineStr">
        <is>
          <t>Water / Style</t>
        </is>
      </c>
      <c r="G180" t="inlineStr">
        <is>
          <t>2.2M</t>
        </is>
      </c>
      <c r="H180" t="inlineStr">
        <is>
          <t>1100</t>
        </is>
      </c>
      <c r="I180" t="inlineStr">
        <is>
          <t>15</t>
        </is>
      </c>
      <c r="J180" t="inlineStr">
        <is>
          <t>80/20</t>
        </is>
      </c>
      <c r="K180" t="inlineStr">
        <is>
          <t>2021</t>
        </is>
      </c>
      <c r="L180" t="inlineStr">
        <is>
          <t>6.5-7.0</t>
        </is>
      </c>
      <c r="M180" t="inlineStr">
        <is>
          <t>8-12</t>
        </is>
      </c>
      <c r="N180" t="inlineStr">
        <is>
          <t>14.5-19.0</t>
        </is>
      </c>
      <c r="O180" t="inlineStr">
        <is>
          <t>Royal Grammar</t>
        </is>
      </c>
      <c r="P180" t="inlineStr">
        <is>
          <t>Mediclinic Parkview</t>
        </is>
      </c>
      <c r="Q180" t="inlineStr">
        <is>
          <t>First Avenue Mall</t>
        </is>
      </c>
      <c r="R180" t="inlineStr">
        <is>
          <t>Hessa St / E611</t>
        </is>
      </c>
      <c r="S180" t="inlineStr">
        <is>
          <t>25</t>
        </is>
      </c>
      <c r="T180" t="inlineStr">
        <is>
          <t>20</t>
        </is>
      </c>
      <c r="U180" t="inlineStr">
        <is>
          <t>30</t>
        </is>
      </c>
      <c r="V180" t="inlineStr">
        <is>
          <t>25</t>
        </is>
      </c>
      <c r="W180" t="n">
        <v>2</v>
      </c>
      <c r="X180" s="12" t="n">
        <v>2200000</v>
      </c>
      <c r="Y180" s="12" t="n">
        <v>2200000</v>
      </c>
      <c r="Z180" s="9" t="n">
        <v>6.5</v>
      </c>
      <c r="AA180" s="9" t="n">
        <v>7</v>
      </c>
      <c r="AB180" s="9" t="n">
        <v>8</v>
      </c>
      <c r="AC180" s="9" t="n">
        <v>12</v>
      </c>
      <c r="AD180" s="9" t="n">
        <v>14.5</v>
      </c>
      <c r="AE180" s="9" t="n">
        <v>19</v>
      </c>
      <c r="AF180" t="n">
        <v>2021</v>
      </c>
      <c r="AH180" t="inlineStr">
        <is>
          <t>Townhouse</t>
        </is>
      </c>
      <c r="AI180" t="inlineStr">
        <is>
          <t>FamilyVilla</t>
        </is>
      </c>
      <c r="AJ180" t="inlineStr">
        <is>
          <t>TopTier</t>
        </is>
      </c>
      <c r="AK180" t="inlineStr">
        <is>
          <t>Family-villa resilient</t>
        </is>
      </c>
      <c r="AL180" t="inlineStr">
        <is>
          <t>Villa/townhouse demand remains relatively firmer, though growth should be slower than the post-2020 surge.</t>
        </is>
      </c>
      <c r="AM180" s="9" t="n">
        <v>10</v>
      </c>
      <c r="AN180" s="9" t="n">
        <v>6.75</v>
      </c>
      <c r="AO180" s="10" t="n">
        <v>0.55</v>
      </c>
      <c r="AP180" s="13" t="n">
        <v>0</v>
      </c>
      <c r="AQ180" s="13" t="n">
        <v>0.015</v>
      </c>
      <c r="AR180" s="13" t="n">
        <v>0</v>
      </c>
      <c r="AS180" s="13" t="n">
        <v>0.025</v>
      </c>
      <c r="AT180" s="13" t="n">
        <v>0.005</v>
      </c>
      <c r="AU180" s="13" t="n">
        <v>0.0025</v>
      </c>
      <c r="AV180" s="13" t="n">
        <v>-0.005</v>
      </c>
      <c r="AW180" s="13" t="n">
        <v>0.07000000000000001</v>
      </c>
      <c r="AX180" s="13" t="n">
        <v>0.0275</v>
      </c>
      <c r="AY180" s="12" t="n">
        <v>2283380</v>
      </c>
      <c r="AZ180" s="12" t="n">
        <v>2354000</v>
      </c>
      <c r="BA180" s="12" t="n">
        <v>2424620</v>
      </c>
      <c r="BB180" s="12" t="n">
        <v>2348115</v>
      </c>
      <c r="BC180" s="12" t="n">
        <v>2418735</v>
      </c>
      <c r="BD180" s="12" t="n">
        <v>2489355</v>
      </c>
      <c r="BE180" s="12" t="n">
        <v>2485250</v>
      </c>
      <c r="BF180" t="inlineStr">
        <is>
          <t>Frozen values from same rules-based model as formula sheet.</t>
        </is>
      </c>
      <c r="BG180" t="inlineStr">
        <is>
          <t>2026-03-17</t>
        </is>
      </c>
      <c r="BH180" t="inlineStr">
        <is>
          <t>DLD / Digital Dubai / CBUAE / Savills / Knight Frank-Moody’s / Reuters</t>
        </is>
      </c>
    </row>
    <row r="181">
      <c r="A181" t="n">
        <v>180</v>
      </c>
      <c r="B181" t="inlineStr">
        <is>
          <t>Costa Brava</t>
        </is>
      </c>
      <c r="C181" t="inlineStr">
        <is>
          <t>DAMAC Properties</t>
        </is>
      </c>
      <c r="D181" t="inlineStr">
        <is>
          <t>DAMAC Lagoons</t>
        </is>
      </c>
      <c r="E181" t="inlineStr">
        <is>
          <t>Townhouses &amp; Villas</t>
        </is>
      </c>
      <c r="F181" t="inlineStr">
        <is>
          <t>Water / Style</t>
        </is>
      </c>
      <c r="G181" t="inlineStr">
        <is>
          <t>2.3M</t>
        </is>
      </c>
      <c r="H181" t="inlineStr">
        <is>
          <t>1100</t>
        </is>
      </c>
      <c r="I181" t="inlineStr">
        <is>
          <t>15</t>
        </is>
      </c>
      <c r="J181" t="inlineStr">
        <is>
          <t>80/20</t>
        </is>
      </c>
      <c r="K181" t="inlineStr">
        <is>
          <t>2022</t>
        </is>
      </c>
      <c r="L181" t="inlineStr">
        <is>
          <t>6.5-7.0</t>
        </is>
      </c>
      <c r="M181" t="inlineStr">
        <is>
          <t>8-12</t>
        </is>
      </c>
      <c r="N181" t="inlineStr">
        <is>
          <t>14.5-19.0</t>
        </is>
      </c>
      <c r="O181" t="inlineStr">
        <is>
          <t>Royal Grammar</t>
        </is>
      </c>
      <c r="P181" t="inlineStr">
        <is>
          <t>Mediclinic Parkview</t>
        </is>
      </c>
      <c r="Q181" t="inlineStr">
        <is>
          <t>First Avenue Mall</t>
        </is>
      </c>
      <c r="R181" t="inlineStr">
        <is>
          <t>Hessa St / E611</t>
        </is>
      </c>
      <c r="S181" t="inlineStr">
        <is>
          <t>25</t>
        </is>
      </c>
      <c r="T181" t="inlineStr">
        <is>
          <t>20</t>
        </is>
      </c>
      <c r="U181" t="inlineStr">
        <is>
          <t>30</t>
        </is>
      </c>
      <c r="V181" t="inlineStr">
        <is>
          <t>25</t>
        </is>
      </c>
      <c r="W181" t="n">
        <v>2</v>
      </c>
      <c r="X181" s="12" t="n">
        <v>2300000</v>
      </c>
      <c r="Y181" s="12" t="n">
        <v>2300000</v>
      </c>
      <c r="Z181" s="9" t="n">
        <v>6.5</v>
      </c>
      <c r="AA181" s="9" t="n">
        <v>7</v>
      </c>
      <c r="AB181" s="9" t="n">
        <v>8</v>
      </c>
      <c r="AC181" s="9" t="n">
        <v>12</v>
      </c>
      <c r="AD181" s="9" t="n">
        <v>14.5</v>
      </c>
      <c r="AE181" s="9" t="n">
        <v>19</v>
      </c>
      <c r="AF181" t="n">
        <v>2022</v>
      </c>
      <c r="AH181" t="inlineStr">
        <is>
          <t>Villa/Townhouse</t>
        </is>
      </c>
      <c r="AI181" t="inlineStr">
        <is>
          <t>FamilyVilla</t>
        </is>
      </c>
      <c r="AJ181" t="inlineStr">
        <is>
          <t>TopTier</t>
        </is>
      </c>
      <c r="AK181" t="inlineStr">
        <is>
          <t>Family-villa resilient</t>
        </is>
      </c>
      <c r="AL181" t="inlineStr">
        <is>
          <t>Villa/townhouse demand remains relatively firmer, though growth should be slower than the post-2020 surge.</t>
        </is>
      </c>
      <c r="AM181" s="9" t="n">
        <v>10</v>
      </c>
      <c r="AN181" s="9" t="n">
        <v>6.75</v>
      </c>
      <c r="AO181" s="10" t="n">
        <v>0.55</v>
      </c>
      <c r="AP181" s="13" t="n">
        <v>0</v>
      </c>
      <c r="AQ181" s="13" t="n">
        <v>0.015</v>
      </c>
      <c r="AR181" s="13" t="n">
        <v>0</v>
      </c>
      <c r="AS181" s="13" t="n">
        <v>0.025</v>
      </c>
      <c r="AT181" s="13" t="n">
        <v>0.005</v>
      </c>
      <c r="AU181" s="13" t="n">
        <v>0.0025</v>
      </c>
      <c r="AV181" s="13" t="n">
        <v>-0.005</v>
      </c>
      <c r="AW181" s="13" t="n">
        <v>0.07000000000000001</v>
      </c>
      <c r="AX181" s="13" t="n">
        <v>0.0275</v>
      </c>
      <c r="AY181" s="12" t="n">
        <v>2387170</v>
      </c>
      <c r="AZ181" s="12" t="n">
        <v>2461000</v>
      </c>
      <c r="BA181" s="12" t="n">
        <v>2534830</v>
      </c>
      <c r="BB181" s="12" t="n">
        <v>2454848</v>
      </c>
      <c r="BC181" s="12" t="n">
        <v>2528678</v>
      </c>
      <c r="BD181" s="12" t="n">
        <v>2602508</v>
      </c>
      <c r="BE181" s="12" t="n">
        <v>2598216</v>
      </c>
      <c r="BF181" t="inlineStr">
        <is>
          <t>Frozen values from same rules-based model as formula sheet.</t>
        </is>
      </c>
      <c r="BG181" t="inlineStr">
        <is>
          <t>2026-03-17</t>
        </is>
      </c>
      <c r="BH181" t="inlineStr">
        <is>
          <t>DLD / Digital Dubai / CBUAE / Savills / Knight Frank-Moody’s / Reuters</t>
        </is>
      </c>
    </row>
    <row r="182">
      <c r="A182" t="n">
        <v>181</v>
      </c>
      <c r="B182" t="inlineStr">
        <is>
          <t>Nice</t>
        </is>
      </c>
      <c r="C182" t="inlineStr">
        <is>
          <t>DAMAC Properties</t>
        </is>
      </c>
      <c r="D182" t="inlineStr">
        <is>
          <t>DAMAC Lagoons</t>
        </is>
      </c>
      <c r="E182" t="inlineStr">
        <is>
          <t>Townhouses</t>
        </is>
      </c>
      <c r="F182" t="inlineStr">
        <is>
          <t>Water / Style</t>
        </is>
      </c>
      <c r="G182" t="inlineStr">
        <is>
          <t>2.3M</t>
        </is>
      </c>
      <c r="H182" t="inlineStr">
        <is>
          <t>1100</t>
        </is>
      </c>
      <c r="I182" t="inlineStr">
        <is>
          <t>15</t>
        </is>
      </c>
      <c r="J182" t="inlineStr">
        <is>
          <t>80/20</t>
        </is>
      </c>
      <c r="K182" t="inlineStr">
        <is>
          <t>2022</t>
        </is>
      </c>
      <c r="L182" t="inlineStr">
        <is>
          <t>6.5-7.0</t>
        </is>
      </c>
      <c r="M182" t="inlineStr">
        <is>
          <t>8-12</t>
        </is>
      </c>
      <c r="N182" t="inlineStr">
        <is>
          <t>14.5-19.0</t>
        </is>
      </c>
      <c r="O182" t="inlineStr">
        <is>
          <t>Royal Grammar</t>
        </is>
      </c>
      <c r="P182" t="inlineStr">
        <is>
          <t>Mediclinic Parkview</t>
        </is>
      </c>
      <c r="Q182" t="inlineStr">
        <is>
          <t>First Avenue Mall</t>
        </is>
      </c>
      <c r="R182" t="inlineStr">
        <is>
          <t>Hessa St / E611</t>
        </is>
      </c>
      <c r="S182" t="inlineStr">
        <is>
          <t>25</t>
        </is>
      </c>
      <c r="T182" t="inlineStr">
        <is>
          <t>20</t>
        </is>
      </c>
      <c r="U182" t="inlineStr">
        <is>
          <t>30</t>
        </is>
      </c>
      <c r="V182" t="inlineStr">
        <is>
          <t>25</t>
        </is>
      </c>
      <c r="W182" t="n">
        <v>2</v>
      </c>
      <c r="X182" s="12" t="n">
        <v>2300000</v>
      </c>
      <c r="Y182" s="12" t="n">
        <v>2300000</v>
      </c>
      <c r="Z182" s="9" t="n">
        <v>6.5</v>
      </c>
      <c r="AA182" s="9" t="n">
        <v>7</v>
      </c>
      <c r="AB182" s="9" t="n">
        <v>8</v>
      </c>
      <c r="AC182" s="9" t="n">
        <v>12</v>
      </c>
      <c r="AD182" s="9" t="n">
        <v>14.5</v>
      </c>
      <c r="AE182" s="9" t="n">
        <v>19</v>
      </c>
      <c r="AF182" t="n">
        <v>2022</v>
      </c>
      <c r="AH182" t="inlineStr">
        <is>
          <t>Townhouse</t>
        </is>
      </c>
      <c r="AI182" t="inlineStr">
        <is>
          <t>FamilyVilla</t>
        </is>
      </c>
      <c r="AJ182" t="inlineStr">
        <is>
          <t>TopTier</t>
        </is>
      </c>
      <c r="AK182" t="inlineStr">
        <is>
          <t>Family-villa resilient</t>
        </is>
      </c>
      <c r="AL182" t="inlineStr">
        <is>
          <t>Villa/townhouse demand remains relatively firmer, though growth should be slower than the post-2020 surge.</t>
        </is>
      </c>
      <c r="AM182" s="9" t="n">
        <v>10</v>
      </c>
      <c r="AN182" s="9" t="n">
        <v>6.75</v>
      </c>
      <c r="AO182" s="10" t="n">
        <v>0.55</v>
      </c>
      <c r="AP182" s="13" t="n">
        <v>0</v>
      </c>
      <c r="AQ182" s="13" t="n">
        <v>0.015</v>
      </c>
      <c r="AR182" s="13" t="n">
        <v>0</v>
      </c>
      <c r="AS182" s="13" t="n">
        <v>0.025</v>
      </c>
      <c r="AT182" s="13" t="n">
        <v>0.005</v>
      </c>
      <c r="AU182" s="13" t="n">
        <v>0.0025</v>
      </c>
      <c r="AV182" s="13" t="n">
        <v>-0.005</v>
      </c>
      <c r="AW182" s="13" t="n">
        <v>0.07000000000000001</v>
      </c>
      <c r="AX182" s="13" t="n">
        <v>0.0275</v>
      </c>
      <c r="AY182" s="12" t="n">
        <v>2387170</v>
      </c>
      <c r="AZ182" s="12" t="n">
        <v>2461000</v>
      </c>
      <c r="BA182" s="12" t="n">
        <v>2534830</v>
      </c>
      <c r="BB182" s="12" t="n">
        <v>2454848</v>
      </c>
      <c r="BC182" s="12" t="n">
        <v>2528678</v>
      </c>
      <c r="BD182" s="12" t="n">
        <v>2602508</v>
      </c>
      <c r="BE182" s="12" t="n">
        <v>2598216</v>
      </c>
      <c r="BF182" t="inlineStr">
        <is>
          <t>Frozen values from same rules-based model as formula sheet.</t>
        </is>
      </c>
      <c r="BG182" t="inlineStr">
        <is>
          <t>2026-03-17</t>
        </is>
      </c>
      <c r="BH182" t="inlineStr">
        <is>
          <t>DLD / Digital Dubai / CBUAE / Savills / Knight Frank-Moody’s / Reuters</t>
        </is>
      </c>
    </row>
    <row r="183">
      <c r="A183" t="n">
        <v>182</v>
      </c>
      <c r="B183" t="inlineStr">
        <is>
          <t>Malta</t>
        </is>
      </c>
      <c r="C183" t="inlineStr">
        <is>
          <t>DAMAC Properties</t>
        </is>
      </c>
      <c r="D183" t="inlineStr">
        <is>
          <t>DAMAC Lagoons</t>
        </is>
      </c>
      <c r="E183" t="inlineStr">
        <is>
          <t>Townhouses</t>
        </is>
      </c>
      <c r="F183" t="inlineStr">
        <is>
          <t>Water / Learning</t>
        </is>
      </c>
      <c r="G183" t="inlineStr">
        <is>
          <t>2.4M</t>
        </is>
      </c>
      <c r="H183" t="inlineStr">
        <is>
          <t>1100</t>
        </is>
      </c>
      <c r="I183" t="inlineStr">
        <is>
          <t>15</t>
        </is>
      </c>
      <c r="J183" t="inlineStr">
        <is>
          <t>80/20</t>
        </is>
      </c>
      <c r="K183" t="inlineStr">
        <is>
          <t>2022</t>
        </is>
      </c>
      <c r="L183" t="inlineStr">
        <is>
          <t>6.5-7.0</t>
        </is>
      </c>
      <c r="M183" t="inlineStr">
        <is>
          <t>8-12</t>
        </is>
      </c>
      <c r="N183" t="inlineStr">
        <is>
          <t>14.5-19.0</t>
        </is>
      </c>
      <c r="O183" t="inlineStr">
        <is>
          <t>Royal Grammar</t>
        </is>
      </c>
      <c r="P183" t="inlineStr">
        <is>
          <t>Mediclinic Parkview</t>
        </is>
      </c>
      <c r="Q183" t="inlineStr">
        <is>
          <t>First Avenue Mall</t>
        </is>
      </c>
      <c r="R183" t="inlineStr">
        <is>
          <t>Hessa St / E611</t>
        </is>
      </c>
      <c r="S183" t="inlineStr">
        <is>
          <t>25</t>
        </is>
      </c>
      <c r="T183" t="inlineStr">
        <is>
          <t>20</t>
        </is>
      </c>
      <c r="U183" t="inlineStr">
        <is>
          <t>30</t>
        </is>
      </c>
      <c r="V183" t="inlineStr">
        <is>
          <t>25</t>
        </is>
      </c>
      <c r="W183" t="n">
        <v>2</v>
      </c>
      <c r="X183" s="12" t="n">
        <v>2400000</v>
      </c>
      <c r="Y183" s="12" t="n">
        <v>2400000</v>
      </c>
      <c r="Z183" s="9" t="n">
        <v>6.5</v>
      </c>
      <c r="AA183" s="9" t="n">
        <v>7</v>
      </c>
      <c r="AB183" s="9" t="n">
        <v>8</v>
      </c>
      <c r="AC183" s="9" t="n">
        <v>12</v>
      </c>
      <c r="AD183" s="9" t="n">
        <v>14.5</v>
      </c>
      <c r="AE183" s="9" t="n">
        <v>19</v>
      </c>
      <c r="AF183" t="n">
        <v>2022</v>
      </c>
      <c r="AH183" t="inlineStr">
        <is>
          <t>Townhouse</t>
        </is>
      </c>
      <c r="AI183" t="inlineStr">
        <is>
          <t>FamilyVilla</t>
        </is>
      </c>
      <c r="AJ183" t="inlineStr">
        <is>
          <t>TopTier</t>
        </is>
      </c>
      <c r="AK183" t="inlineStr">
        <is>
          <t>Family-villa resilient</t>
        </is>
      </c>
      <c r="AL183" t="inlineStr">
        <is>
          <t>Villa/townhouse demand remains relatively firmer, though growth should be slower than the post-2020 surge.</t>
        </is>
      </c>
      <c r="AM183" s="9" t="n">
        <v>10</v>
      </c>
      <c r="AN183" s="9" t="n">
        <v>6.75</v>
      </c>
      <c r="AO183" s="10" t="n">
        <v>0.55</v>
      </c>
      <c r="AP183" s="13" t="n">
        <v>0</v>
      </c>
      <c r="AQ183" s="13" t="n">
        <v>0.015</v>
      </c>
      <c r="AR183" s="13" t="n">
        <v>0</v>
      </c>
      <c r="AS183" s="13" t="n">
        <v>0.025</v>
      </c>
      <c r="AT183" s="13" t="n">
        <v>0.005</v>
      </c>
      <c r="AU183" s="13" t="n">
        <v>0.0025</v>
      </c>
      <c r="AV183" s="13" t="n">
        <v>-0.005</v>
      </c>
      <c r="AW183" s="13" t="n">
        <v>0.07000000000000001</v>
      </c>
      <c r="AX183" s="13" t="n">
        <v>0.0275</v>
      </c>
      <c r="AY183" s="12" t="n">
        <v>2490960</v>
      </c>
      <c r="AZ183" s="12" t="n">
        <v>2568000</v>
      </c>
      <c r="BA183" s="12" t="n">
        <v>2645040</v>
      </c>
      <c r="BB183" s="12" t="n">
        <v>2561580</v>
      </c>
      <c r="BC183" s="12" t="n">
        <v>2638620</v>
      </c>
      <c r="BD183" s="12" t="n">
        <v>2715660</v>
      </c>
      <c r="BE183" s="12" t="n">
        <v>2711182</v>
      </c>
      <c r="BF183" t="inlineStr">
        <is>
          <t>Frozen values from same rules-based model as formula sheet.</t>
        </is>
      </c>
      <c r="BG183" t="inlineStr">
        <is>
          <t>2026-03-17</t>
        </is>
      </c>
      <c r="BH183" t="inlineStr">
        <is>
          <t>DLD / Digital Dubai / CBUAE / Savills / Knight Frank-Moody’s / Reuters</t>
        </is>
      </c>
    </row>
    <row r="184">
      <c r="A184" t="n">
        <v>183</v>
      </c>
      <c r="B184" t="inlineStr">
        <is>
          <t>Portofino</t>
        </is>
      </c>
      <c r="C184" t="inlineStr">
        <is>
          <t>DAMAC Properties</t>
        </is>
      </c>
      <c r="D184" t="inlineStr">
        <is>
          <t>DAMAC Lagoons</t>
        </is>
      </c>
      <c r="E184" t="inlineStr">
        <is>
          <t>Townhouses</t>
        </is>
      </c>
      <c r="F184" t="inlineStr">
        <is>
          <t>Water / Work</t>
        </is>
      </c>
      <c r="G184" t="inlineStr">
        <is>
          <t>2.4M</t>
        </is>
      </c>
      <c r="H184" t="inlineStr">
        <is>
          <t>1100</t>
        </is>
      </c>
      <c r="I184" t="inlineStr">
        <is>
          <t>15</t>
        </is>
      </c>
      <c r="J184" t="inlineStr">
        <is>
          <t>80/20</t>
        </is>
      </c>
      <c r="K184" t="inlineStr">
        <is>
          <t>2022</t>
        </is>
      </c>
      <c r="L184" t="inlineStr">
        <is>
          <t>6.5-7.0</t>
        </is>
      </c>
      <c r="M184" t="inlineStr">
        <is>
          <t>8-12</t>
        </is>
      </c>
      <c r="N184" t="inlineStr">
        <is>
          <t>14.5-19.0</t>
        </is>
      </c>
      <c r="O184" t="inlineStr">
        <is>
          <t>Royal Grammar</t>
        </is>
      </c>
      <c r="P184" t="inlineStr">
        <is>
          <t>Mediclinic Parkview</t>
        </is>
      </c>
      <c r="Q184" t="inlineStr">
        <is>
          <t>First Avenue Mall</t>
        </is>
      </c>
      <c r="R184" t="inlineStr">
        <is>
          <t>Hessa St / E611</t>
        </is>
      </c>
      <c r="S184" t="inlineStr">
        <is>
          <t>25</t>
        </is>
      </c>
      <c r="T184" t="inlineStr">
        <is>
          <t>20</t>
        </is>
      </c>
      <c r="U184" t="inlineStr">
        <is>
          <t>30</t>
        </is>
      </c>
      <c r="V184" t="inlineStr">
        <is>
          <t>25</t>
        </is>
      </c>
      <c r="W184" t="n">
        <v>2</v>
      </c>
      <c r="X184" s="12" t="n">
        <v>2400000</v>
      </c>
      <c r="Y184" s="12" t="n">
        <v>2400000</v>
      </c>
      <c r="Z184" s="9" t="n">
        <v>6.5</v>
      </c>
      <c r="AA184" s="9" t="n">
        <v>7</v>
      </c>
      <c r="AB184" s="9" t="n">
        <v>8</v>
      </c>
      <c r="AC184" s="9" t="n">
        <v>12</v>
      </c>
      <c r="AD184" s="9" t="n">
        <v>14.5</v>
      </c>
      <c r="AE184" s="9" t="n">
        <v>19</v>
      </c>
      <c r="AF184" t="n">
        <v>2022</v>
      </c>
      <c r="AH184" t="inlineStr">
        <is>
          <t>Townhouse</t>
        </is>
      </c>
      <c r="AI184" t="inlineStr">
        <is>
          <t>FamilyVilla</t>
        </is>
      </c>
      <c r="AJ184" t="inlineStr">
        <is>
          <t>TopTier</t>
        </is>
      </c>
      <c r="AK184" t="inlineStr">
        <is>
          <t>Family-villa resilient</t>
        </is>
      </c>
      <c r="AL184" t="inlineStr">
        <is>
          <t>Villa/townhouse demand remains relatively firmer, though growth should be slower than the post-2020 surge.</t>
        </is>
      </c>
      <c r="AM184" s="9" t="n">
        <v>10</v>
      </c>
      <c r="AN184" s="9" t="n">
        <v>6.75</v>
      </c>
      <c r="AO184" s="10" t="n">
        <v>0.55</v>
      </c>
      <c r="AP184" s="13" t="n">
        <v>0</v>
      </c>
      <c r="AQ184" s="13" t="n">
        <v>0.015</v>
      </c>
      <c r="AR184" s="13" t="n">
        <v>0</v>
      </c>
      <c r="AS184" s="13" t="n">
        <v>0.025</v>
      </c>
      <c r="AT184" s="13" t="n">
        <v>0.005</v>
      </c>
      <c r="AU184" s="13" t="n">
        <v>0.0025</v>
      </c>
      <c r="AV184" s="13" t="n">
        <v>-0.005</v>
      </c>
      <c r="AW184" s="13" t="n">
        <v>0.07000000000000001</v>
      </c>
      <c r="AX184" s="13" t="n">
        <v>0.0275</v>
      </c>
      <c r="AY184" s="12" t="n">
        <v>2490960</v>
      </c>
      <c r="AZ184" s="12" t="n">
        <v>2568000</v>
      </c>
      <c r="BA184" s="12" t="n">
        <v>2645040</v>
      </c>
      <c r="BB184" s="12" t="n">
        <v>2561580</v>
      </c>
      <c r="BC184" s="12" t="n">
        <v>2638620</v>
      </c>
      <c r="BD184" s="12" t="n">
        <v>2715660</v>
      </c>
      <c r="BE184" s="12" t="n">
        <v>2711182</v>
      </c>
      <c r="BF184" t="inlineStr">
        <is>
          <t>Frozen values from same rules-based model as formula sheet.</t>
        </is>
      </c>
      <c r="BG184" t="inlineStr">
        <is>
          <t>2026-03-17</t>
        </is>
      </c>
      <c r="BH184" t="inlineStr">
        <is>
          <t>DLD / Digital Dubai / CBUAE / Savills / Knight Frank-Moody’s / Reuters</t>
        </is>
      </c>
    </row>
    <row r="185">
      <c r="A185" t="n">
        <v>184</v>
      </c>
      <c r="B185" t="inlineStr">
        <is>
          <t>Ibiza</t>
        </is>
      </c>
      <c r="C185" t="inlineStr">
        <is>
          <t>DAMAC Properties</t>
        </is>
      </c>
      <c r="D185" t="inlineStr">
        <is>
          <t>DAMAC Lagoons</t>
        </is>
      </c>
      <c r="E185" t="inlineStr">
        <is>
          <t>Townhouses</t>
        </is>
      </c>
      <c r="F185" t="inlineStr">
        <is>
          <t>Water / Party</t>
        </is>
      </c>
      <c r="G185" t="inlineStr">
        <is>
          <t>2.5M</t>
        </is>
      </c>
      <c r="H185" t="inlineStr">
        <is>
          <t>1150</t>
        </is>
      </c>
      <c r="I185" t="inlineStr">
        <is>
          <t>15</t>
        </is>
      </c>
      <c r="J185" t="inlineStr">
        <is>
          <t>80/20</t>
        </is>
      </c>
      <c r="K185" t="inlineStr">
        <is>
          <t>2023</t>
        </is>
      </c>
      <c r="L185" t="inlineStr">
        <is>
          <t>6.0-6.5</t>
        </is>
      </c>
      <c r="M185" t="inlineStr">
        <is>
          <t>8-12</t>
        </is>
      </c>
      <c r="N185" t="inlineStr">
        <is>
          <t>14.0-18.5</t>
        </is>
      </c>
      <c r="O185" t="inlineStr">
        <is>
          <t>Royal Grammar</t>
        </is>
      </c>
      <c r="P185" t="inlineStr">
        <is>
          <t>Mediclinic Parkview</t>
        </is>
      </c>
      <c r="Q185" t="inlineStr">
        <is>
          <t>First Avenue Mall</t>
        </is>
      </c>
      <c r="R185" t="inlineStr">
        <is>
          <t>Hessa St / E611</t>
        </is>
      </c>
      <c r="S185" t="inlineStr">
        <is>
          <t>25</t>
        </is>
      </c>
      <c r="T185" t="inlineStr">
        <is>
          <t>20</t>
        </is>
      </c>
      <c r="U185" t="inlineStr">
        <is>
          <t>30</t>
        </is>
      </c>
      <c r="V185" t="inlineStr">
        <is>
          <t>25</t>
        </is>
      </c>
      <c r="W185" t="n">
        <v>2</v>
      </c>
      <c r="X185" s="12" t="n">
        <v>2500000</v>
      </c>
      <c r="Y185" s="12" t="n">
        <v>2500000</v>
      </c>
      <c r="Z185" s="9" t="n">
        <v>6</v>
      </c>
      <c r="AA185" s="9" t="n">
        <v>6.5</v>
      </c>
      <c r="AB185" s="9" t="n">
        <v>8</v>
      </c>
      <c r="AC185" s="9" t="n">
        <v>12</v>
      </c>
      <c r="AD185" s="9" t="n">
        <v>14</v>
      </c>
      <c r="AE185" s="9" t="n">
        <v>18.5</v>
      </c>
      <c r="AF185" t="n">
        <v>2023</v>
      </c>
      <c r="AH185" t="inlineStr">
        <is>
          <t>Townhouse</t>
        </is>
      </c>
      <c r="AI185" t="inlineStr">
        <is>
          <t>FamilyVilla</t>
        </is>
      </c>
      <c r="AJ185" t="inlineStr">
        <is>
          <t>TopTier</t>
        </is>
      </c>
      <c r="AK185" t="inlineStr">
        <is>
          <t>Family-villa resilient</t>
        </is>
      </c>
      <c r="AL185" t="inlineStr">
        <is>
          <t>Villa/townhouse demand remains relatively firmer, though growth should be slower than the post-2020 surge.</t>
        </is>
      </c>
      <c r="AM185" s="9" t="n">
        <v>10</v>
      </c>
      <c r="AN185" s="9" t="n">
        <v>6.25</v>
      </c>
      <c r="AO185" s="10" t="n">
        <v>0.55</v>
      </c>
      <c r="AP185" s="13" t="n">
        <v>0</v>
      </c>
      <c r="AQ185" s="13" t="n">
        <v>0.015</v>
      </c>
      <c r="AR185" s="13" t="n">
        <v>0</v>
      </c>
      <c r="AS185" s="13" t="n">
        <v>0.025</v>
      </c>
      <c r="AT185" s="13" t="n">
        <v>0.005</v>
      </c>
      <c r="AU185" s="13" t="n">
        <v>0.0025</v>
      </c>
      <c r="AV185" s="13" t="n">
        <v>-0.005</v>
      </c>
      <c r="AW185" s="13" t="n">
        <v>0.07000000000000001</v>
      </c>
      <c r="AX185" s="13" t="n">
        <v>0.0275</v>
      </c>
      <c r="AY185" s="12" t="n">
        <v>2594750</v>
      </c>
      <c r="AZ185" s="12" t="n">
        <v>2675000</v>
      </c>
      <c r="BA185" s="12" t="n">
        <v>2755250</v>
      </c>
      <c r="BB185" s="12" t="n">
        <v>2668312</v>
      </c>
      <c r="BC185" s="12" t="n">
        <v>2748562</v>
      </c>
      <c r="BD185" s="12" t="n">
        <v>2828813</v>
      </c>
      <c r="BE185" s="12" t="n">
        <v>2824148</v>
      </c>
      <c r="BF185" t="inlineStr">
        <is>
          <t>Frozen values from same rules-based model as formula sheet.</t>
        </is>
      </c>
      <c r="BG185" t="inlineStr">
        <is>
          <t>2026-03-17</t>
        </is>
      </c>
      <c r="BH185" t="inlineStr">
        <is>
          <t>DLD / Digital Dubai / CBUAE / Savills / Knight Frank-Moody’s / Reuters</t>
        </is>
      </c>
    </row>
    <row r="186">
      <c r="A186" t="n">
        <v>185</v>
      </c>
      <c r="B186" t="inlineStr">
        <is>
          <t>Monte Carlo</t>
        </is>
      </c>
      <c r="C186" t="inlineStr">
        <is>
          <t>DAMAC Properties</t>
        </is>
      </c>
      <c r="D186" t="inlineStr">
        <is>
          <t>DAMAC Lagoons</t>
        </is>
      </c>
      <c r="E186" t="inlineStr">
        <is>
          <t>Townhouses</t>
        </is>
      </c>
      <c r="F186" t="inlineStr">
        <is>
          <t>Water / Luxury</t>
        </is>
      </c>
      <c r="G186" t="inlineStr">
        <is>
          <t>2.6M</t>
        </is>
      </c>
      <c r="H186" t="inlineStr">
        <is>
          <t>1200</t>
        </is>
      </c>
      <c r="I186" t="inlineStr">
        <is>
          <t>15</t>
        </is>
      </c>
      <c r="J186" t="inlineStr">
        <is>
          <t>80/20</t>
        </is>
      </c>
      <c r="K186" t="inlineStr">
        <is>
          <t>2023</t>
        </is>
      </c>
      <c r="L186" t="inlineStr">
        <is>
          <t>6.0-6.5</t>
        </is>
      </c>
      <c r="M186" t="inlineStr">
        <is>
          <t>8-12</t>
        </is>
      </c>
      <c r="N186" t="inlineStr">
        <is>
          <t>14.0-18.5</t>
        </is>
      </c>
      <c r="O186" t="inlineStr">
        <is>
          <t>Royal Grammar</t>
        </is>
      </c>
      <c r="P186" t="inlineStr">
        <is>
          <t>Mediclinic Parkview</t>
        </is>
      </c>
      <c r="Q186" t="inlineStr">
        <is>
          <t>First Avenue Mall</t>
        </is>
      </c>
      <c r="R186" t="inlineStr">
        <is>
          <t>Hessa St / E611</t>
        </is>
      </c>
      <c r="S186" t="inlineStr">
        <is>
          <t>25</t>
        </is>
      </c>
      <c r="T186" t="inlineStr">
        <is>
          <t>20</t>
        </is>
      </c>
      <c r="U186" t="inlineStr">
        <is>
          <t>30</t>
        </is>
      </c>
      <c r="V186" t="inlineStr">
        <is>
          <t>25</t>
        </is>
      </c>
      <c r="W186" t="n">
        <v>2</v>
      </c>
      <c r="X186" s="12" t="n">
        <v>2600000</v>
      </c>
      <c r="Y186" s="12" t="n">
        <v>2600000</v>
      </c>
      <c r="Z186" s="9" t="n">
        <v>6</v>
      </c>
      <c r="AA186" s="9" t="n">
        <v>6.5</v>
      </c>
      <c r="AB186" s="9" t="n">
        <v>8</v>
      </c>
      <c r="AC186" s="9" t="n">
        <v>12</v>
      </c>
      <c r="AD186" s="9" t="n">
        <v>14</v>
      </c>
      <c r="AE186" s="9" t="n">
        <v>18.5</v>
      </c>
      <c r="AF186" t="n">
        <v>2023</v>
      </c>
      <c r="AH186" t="inlineStr">
        <is>
          <t>Townhouse</t>
        </is>
      </c>
      <c r="AI186" t="inlineStr">
        <is>
          <t>FamilyVilla</t>
        </is>
      </c>
      <c r="AJ186" t="inlineStr">
        <is>
          <t>TopTier</t>
        </is>
      </c>
      <c r="AK186" t="inlineStr">
        <is>
          <t>Family-villa resilient</t>
        </is>
      </c>
      <c r="AL186" t="inlineStr">
        <is>
          <t>Villa/townhouse demand remains relatively firmer, though growth should be slower than the post-2020 surge.</t>
        </is>
      </c>
      <c r="AM186" s="9" t="n">
        <v>10</v>
      </c>
      <c r="AN186" s="9" t="n">
        <v>6.25</v>
      </c>
      <c r="AO186" s="10" t="n">
        <v>0.55</v>
      </c>
      <c r="AP186" s="13" t="n">
        <v>0</v>
      </c>
      <c r="AQ186" s="13" t="n">
        <v>0.015</v>
      </c>
      <c r="AR186" s="13" t="n">
        <v>0</v>
      </c>
      <c r="AS186" s="13" t="n">
        <v>0.025</v>
      </c>
      <c r="AT186" s="13" t="n">
        <v>0.005</v>
      </c>
      <c r="AU186" s="13" t="n">
        <v>0.0025</v>
      </c>
      <c r="AV186" s="13" t="n">
        <v>-0.005</v>
      </c>
      <c r="AW186" s="13" t="n">
        <v>0.07000000000000001</v>
      </c>
      <c r="AX186" s="13" t="n">
        <v>0.0275</v>
      </c>
      <c r="AY186" s="12" t="n">
        <v>2698540</v>
      </c>
      <c r="AZ186" s="12" t="n">
        <v>2782000</v>
      </c>
      <c r="BA186" s="12" t="n">
        <v>2865460</v>
      </c>
      <c r="BB186" s="12" t="n">
        <v>2775045</v>
      </c>
      <c r="BC186" s="12" t="n">
        <v>2858505</v>
      </c>
      <c r="BD186" s="12" t="n">
        <v>2941965</v>
      </c>
      <c r="BE186" s="12" t="n">
        <v>2937114</v>
      </c>
      <c r="BF186" t="inlineStr">
        <is>
          <t>Frozen values from same rules-based model as formula sheet.</t>
        </is>
      </c>
      <c r="BG186" t="inlineStr">
        <is>
          <t>2026-03-17</t>
        </is>
      </c>
      <c r="BH186" t="inlineStr">
        <is>
          <t>DLD / Digital Dubai / CBUAE / Savills / Knight Frank-Moody’s / Reuters</t>
        </is>
      </c>
    </row>
    <row r="187">
      <c r="A187" t="n">
        <v>186</v>
      </c>
      <c r="B187" t="inlineStr">
        <is>
          <t>Marbella</t>
        </is>
      </c>
      <c r="C187" t="inlineStr">
        <is>
          <t>DAMAC Properties</t>
        </is>
      </c>
      <c r="D187" t="inlineStr">
        <is>
          <t>DAMAC Lagoons</t>
        </is>
      </c>
      <c r="E187" t="inlineStr">
        <is>
          <t>Townhouses</t>
        </is>
      </c>
      <c r="F187" t="inlineStr">
        <is>
          <t>Water / Luxury</t>
        </is>
      </c>
      <c r="G187" t="inlineStr">
        <is>
          <t>2.7M</t>
        </is>
      </c>
      <c r="H187" t="inlineStr">
        <is>
          <t>1200</t>
        </is>
      </c>
      <c r="I187" t="inlineStr">
        <is>
          <t>15</t>
        </is>
      </c>
      <c r="J187" t="inlineStr">
        <is>
          <t>80/20</t>
        </is>
      </c>
      <c r="K187" t="inlineStr">
        <is>
          <t>2023</t>
        </is>
      </c>
      <c r="L187" t="inlineStr">
        <is>
          <t>6.0-6.5</t>
        </is>
      </c>
      <c r="M187" t="inlineStr">
        <is>
          <t>8-12</t>
        </is>
      </c>
      <c r="N187" t="inlineStr">
        <is>
          <t>14.0-18.5</t>
        </is>
      </c>
      <c r="O187" t="inlineStr">
        <is>
          <t>Royal Grammar</t>
        </is>
      </c>
      <c r="P187" t="inlineStr">
        <is>
          <t>Mediclinic Parkview</t>
        </is>
      </c>
      <c r="Q187" t="inlineStr">
        <is>
          <t>First Avenue Mall</t>
        </is>
      </c>
      <c r="R187" t="inlineStr">
        <is>
          <t>Hessa St / E611</t>
        </is>
      </c>
      <c r="S187" t="inlineStr">
        <is>
          <t>25</t>
        </is>
      </c>
      <c r="T187" t="inlineStr">
        <is>
          <t>20</t>
        </is>
      </c>
      <c r="U187" t="inlineStr">
        <is>
          <t>30</t>
        </is>
      </c>
      <c r="V187" t="inlineStr">
        <is>
          <t>25</t>
        </is>
      </c>
      <c r="W187" t="n">
        <v>2</v>
      </c>
      <c r="X187" s="12" t="n">
        <v>2700000</v>
      </c>
      <c r="Y187" s="12" t="n">
        <v>2700000</v>
      </c>
      <c r="Z187" s="9" t="n">
        <v>6</v>
      </c>
      <c r="AA187" s="9" t="n">
        <v>6.5</v>
      </c>
      <c r="AB187" s="9" t="n">
        <v>8</v>
      </c>
      <c r="AC187" s="9" t="n">
        <v>12</v>
      </c>
      <c r="AD187" s="9" t="n">
        <v>14</v>
      </c>
      <c r="AE187" s="9" t="n">
        <v>18.5</v>
      </c>
      <c r="AF187" t="n">
        <v>2023</v>
      </c>
      <c r="AH187" t="inlineStr">
        <is>
          <t>Townhouse</t>
        </is>
      </c>
      <c r="AI187" t="inlineStr">
        <is>
          <t>FamilyVilla</t>
        </is>
      </c>
      <c r="AJ187" t="inlineStr">
        <is>
          <t>TopTier</t>
        </is>
      </c>
      <c r="AK187" t="inlineStr">
        <is>
          <t>Family-villa resilient</t>
        </is>
      </c>
      <c r="AL187" t="inlineStr">
        <is>
          <t>Villa/townhouse demand remains relatively firmer, though growth should be slower than the post-2020 surge.</t>
        </is>
      </c>
      <c r="AM187" s="9" t="n">
        <v>10</v>
      </c>
      <c r="AN187" s="9" t="n">
        <v>6.25</v>
      </c>
      <c r="AO187" s="10" t="n">
        <v>0.55</v>
      </c>
      <c r="AP187" s="13" t="n">
        <v>0</v>
      </c>
      <c r="AQ187" s="13" t="n">
        <v>0.015</v>
      </c>
      <c r="AR187" s="13" t="n">
        <v>0</v>
      </c>
      <c r="AS187" s="13" t="n">
        <v>0.025</v>
      </c>
      <c r="AT187" s="13" t="n">
        <v>0.005</v>
      </c>
      <c r="AU187" s="13" t="n">
        <v>0.0025</v>
      </c>
      <c r="AV187" s="13" t="n">
        <v>-0.005</v>
      </c>
      <c r="AW187" s="13" t="n">
        <v>0.07000000000000001</v>
      </c>
      <c r="AX187" s="13" t="n">
        <v>0.0275</v>
      </c>
      <c r="AY187" s="12" t="n">
        <v>2802330</v>
      </c>
      <c r="AZ187" s="12" t="n">
        <v>2889000</v>
      </c>
      <c r="BA187" s="12" t="n">
        <v>2975670</v>
      </c>
      <c r="BB187" s="12" t="n">
        <v>2881778</v>
      </c>
      <c r="BC187" s="12" t="n">
        <v>2968448</v>
      </c>
      <c r="BD187" s="12" t="n">
        <v>3055118</v>
      </c>
      <c r="BE187" s="12" t="n">
        <v>3050080</v>
      </c>
      <c r="BF187" t="inlineStr">
        <is>
          <t>Frozen values from same rules-based model as formula sheet.</t>
        </is>
      </c>
      <c r="BG187" t="inlineStr">
        <is>
          <t>2026-03-17</t>
        </is>
      </c>
      <c r="BH187" t="inlineStr">
        <is>
          <t>DLD / Digital Dubai / CBUAE / Savills / Knight Frank-Moody’s / Reuters</t>
        </is>
      </c>
    </row>
    <row r="188">
      <c r="A188" t="n">
        <v>187</v>
      </c>
      <c r="B188" t="inlineStr">
        <is>
          <t>DAMAC Hills 2 (Master Community)</t>
        </is>
      </c>
      <c r="C188" t="inlineStr">
        <is>
          <t>DAMAC Properties</t>
        </is>
      </c>
      <c r="D188" t="inlineStr">
        <is>
          <t>Al Qudra Road</t>
        </is>
      </c>
      <c r="E188" t="inlineStr">
        <is>
          <t>Mixed</t>
        </is>
      </c>
      <c r="F188" t="inlineStr">
        <is>
          <t>Budget / Family</t>
        </is>
      </c>
      <c r="I188" t="inlineStr">
        <is>
          <t>8-10</t>
        </is>
      </c>
      <c r="J188" t="inlineStr">
        <is>
          <t>Varies</t>
        </is>
      </c>
      <c r="K188" t="inlineStr">
        <is>
          <t>Ongoing</t>
        </is>
      </c>
      <c r="L188" t="inlineStr">
        <is>
          <t>7.0-8.0</t>
        </is>
      </c>
      <c r="M188" t="inlineStr">
        <is>
          <t>6-9</t>
        </is>
      </c>
      <c r="N188" t="inlineStr">
        <is>
          <t>13.0-17.0</t>
        </is>
      </c>
      <c r="O188" t="inlineStr">
        <is>
          <t>The Aquila School</t>
        </is>
      </c>
      <c r="P188" t="inlineStr">
        <is>
          <t>Saudi German Hospital</t>
        </is>
      </c>
      <c r="Q188" t="inlineStr">
        <is>
          <t>Dubai Outlet Mall</t>
        </is>
      </c>
      <c r="R188" t="inlineStr">
        <is>
          <t>Al Qudra / E77</t>
        </is>
      </c>
      <c r="S188" t="inlineStr">
        <is>
          <t>35</t>
        </is>
      </c>
      <c r="T188" t="inlineStr">
        <is>
          <t>40</t>
        </is>
      </c>
      <c r="U188" t="inlineStr">
        <is>
          <t>40</t>
        </is>
      </c>
      <c r="V188" t="inlineStr">
        <is>
          <t>35</t>
        </is>
      </c>
      <c r="W188" t="n">
        <v>2</v>
      </c>
      <c r="X188" s="12" t="n"/>
      <c r="Y188" s="12" t="n"/>
      <c r="Z188" s="9" t="n">
        <v>7</v>
      </c>
      <c r="AA188" s="9" t="n">
        <v>8</v>
      </c>
      <c r="AB188" s="9" t="n">
        <v>6</v>
      </c>
      <c r="AC188" s="9" t="n">
        <v>9</v>
      </c>
      <c r="AD188" s="9" t="n">
        <v>13</v>
      </c>
      <c r="AE188" s="9" t="n">
        <v>17</v>
      </c>
      <c r="AH188" t="inlineStr">
        <is>
          <t>Mixed/Other</t>
        </is>
      </c>
      <c r="AI188" t="inlineStr">
        <is>
          <t>MainstreamSelective</t>
        </is>
      </c>
      <c r="AJ188" t="inlineStr">
        <is>
          <t>TopTier</t>
        </is>
      </c>
      <c r="AK188" t="inlineStr">
        <is>
          <t>Balanced / selective</t>
        </is>
      </c>
      <c r="AL188" t="inlineStr">
        <is>
          <t>Market remains active but increasingly differentiated by developer, micro-location, livability, and pricing discipline.</t>
        </is>
      </c>
      <c r="AM188" s="9" t="n">
        <v>7.5</v>
      </c>
      <c r="AN188" s="9" t="n">
        <v>7.5</v>
      </c>
      <c r="AO188" s="10" t="n">
        <v>0.25</v>
      </c>
      <c r="AP188" s="13" t="n">
        <v>0</v>
      </c>
      <c r="AQ188" s="13" t="n">
        <v>0</v>
      </c>
      <c r="AR188" s="13" t="n">
        <v>0</v>
      </c>
      <c r="AS188" s="13" t="n">
        <v>0.01</v>
      </c>
      <c r="AT188" s="13" t="n">
        <v>0.005</v>
      </c>
      <c r="AU188" s="13" t="n">
        <v>0.0025</v>
      </c>
      <c r="AV188" s="13" t="n">
        <v>-0.005</v>
      </c>
      <c r="AW188" s="13" t="n">
        <v>0.01875</v>
      </c>
      <c r="AX188" s="13" t="n">
        <v>0.0125</v>
      </c>
      <c r="AY188" s="12" t="n"/>
      <c r="AZ188" s="12" t="n"/>
      <c r="BA188" s="12" t="n"/>
      <c r="BB188" s="12" t="n"/>
      <c r="BC188" s="12" t="n"/>
      <c r="BD188" s="12" t="n"/>
      <c r="BE188" s="12" t="n"/>
      <c r="BF188" t="inlineStr">
        <is>
          <t>Frozen values from same rules-based model as formula sheet.</t>
        </is>
      </c>
      <c r="BG188" t="inlineStr">
        <is>
          <t>2026-03-17</t>
        </is>
      </c>
      <c r="BH188" t="inlineStr">
        <is>
          <t>DLD / Digital Dubai / CBUAE / Savills / Knight Frank-Moody’s / Reuters</t>
        </is>
      </c>
    </row>
    <row r="189">
      <c r="A189" t="n">
        <v>188</v>
      </c>
      <c r="B189" t="inlineStr">
        <is>
          <t>Violet Phase 1</t>
        </is>
      </c>
      <c r="C189" t="inlineStr">
        <is>
          <t>DAMAC Properties</t>
        </is>
      </c>
      <c r="D189" t="inlineStr">
        <is>
          <t>DAMAC Hills 2</t>
        </is>
      </c>
      <c r="E189" t="inlineStr">
        <is>
          <t>Townhouses</t>
        </is>
      </c>
      <c r="F189" t="inlineStr">
        <is>
          <t>Flower / Nature</t>
        </is>
      </c>
      <c r="G189" t="inlineStr">
        <is>
          <t>1.2M</t>
        </is>
      </c>
      <c r="H189" t="inlineStr">
        <is>
          <t>800</t>
        </is>
      </c>
      <c r="I189" t="inlineStr">
        <is>
          <t>10</t>
        </is>
      </c>
      <c r="J189" t="inlineStr">
        <is>
          <t>60/40</t>
        </is>
      </c>
      <c r="K189" t="inlineStr">
        <is>
          <t>2024</t>
        </is>
      </c>
      <c r="L189" t="inlineStr">
        <is>
          <t>7.0-7.5</t>
        </is>
      </c>
      <c r="M189" t="inlineStr">
        <is>
          <t>8-10</t>
        </is>
      </c>
      <c r="N189" t="inlineStr">
        <is>
          <t>15.0-17.5</t>
        </is>
      </c>
      <c r="O189" t="inlineStr">
        <is>
          <t>The Aquila School</t>
        </is>
      </c>
      <c r="P189" t="inlineStr">
        <is>
          <t>Saudi German Hospital</t>
        </is>
      </c>
      <c r="Q189" t="inlineStr">
        <is>
          <t>Dubai Outlet Mall</t>
        </is>
      </c>
      <c r="R189" t="inlineStr">
        <is>
          <t>Al Qudra / E77</t>
        </is>
      </c>
      <c r="S189" t="inlineStr">
        <is>
          <t>35</t>
        </is>
      </c>
      <c r="T189" t="inlineStr">
        <is>
          <t>40</t>
        </is>
      </c>
      <c r="U189" t="inlineStr">
        <is>
          <t>40</t>
        </is>
      </c>
      <c r="V189" t="inlineStr">
        <is>
          <t>35</t>
        </is>
      </c>
      <c r="W189" t="n">
        <v>2</v>
      </c>
      <c r="X189" s="12" t="n">
        <v>1200000</v>
      </c>
      <c r="Y189" s="12" t="n">
        <v>1200000</v>
      </c>
      <c r="Z189" s="9" t="n">
        <v>7</v>
      </c>
      <c r="AA189" s="9" t="n">
        <v>7.5</v>
      </c>
      <c r="AB189" s="9" t="n">
        <v>8</v>
      </c>
      <c r="AC189" s="9" t="n">
        <v>10</v>
      </c>
      <c r="AD189" s="9" t="n">
        <v>15</v>
      </c>
      <c r="AE189" s="9" t="n">
        <v>17.5</v>
      </c>
      <c r="AF189" t="n">
        <v>2024</v>
      </c>
      <c r="AH189" t="inlineStr">
        <is>
          <t>Townhouse</t>
        </is>
      </c>
      <c r="AI189" t="inlineStr">
        <is>
          <t>MainstreamSelective</t>
        </is>
      </c>
      <c r="AJ189" t="inlineStr">
        <is>
          <t>TopTier</t>
        </is>
      </c>
      <c r="AK189" t="inlineStr">
        <is>
          <t>Family-villa resilient</t>
        </is>
      </c>
      <c r="AL189" t="inlineStr">
        <is>
          <t>Villa/townhouse demand remains relatively firmer, though growth should be slower than the post-2020 surge.</t>
        </is>
      </c>
      <c r="AM189" s="9" t="n">
        <v>9</v>
      </c>
      <c r="AN189" s="9" t="n">
        <v>7.25</v>
      </c>
      <c r="AO189" s="10" t="n">
        <v>0.55</v>
      </c>
      <c r="AP189" s="13" t="n">
        <v>0</v>
      </c>
      <c r="AQ189" s="13" t="n">
        <v>0.015</v>
      </c>
      <c r="AR189" s="13" t="n">
        <v>0</v>
      </c>
      <c r="AS189" s="13" t="n">
        <v>0.025</v>
      </c>
      <c r="AT189" s="13" t="n">
        <v>0.005</v>
      </c>
      <c r="AU189" s="13" t="n">
        <v>0.0025</v>
      </c>
      <c r="AV189" s="13" t="n">
        <v>-0.005</v>
      </c>
      <c r="AW189" s="13" t="n">
        <v>0.0645</v>
      </c>
      <c r="AX189" s="13" t="n">
        <v>0.0275</v>
      </c>
      <c r="AY189" s="12" t="n">
        <v>1239078</v>
      </c>
      <c r="AZ189" s="12" t="n">
        <v>1277400</v>
      </c>
      <c r="BA189" s="12" t="n">
        <v>1315722</v>
      </c>
      <c r="BB189" s="12" t="n">
        <v>1274206</v>
      </c>
      <c r="BC189" s="12" t="n">
        <v>1312528</v>
      </c>
      <c r="BD189" s="12" t="n">
        <v>1350851</v>
      </c>
      <c r="BE189" s="12" t="n">
        <v>1348623</v>
      </c>
      <c r="BF189" t="inlineStr">
        <is>
          <t>Frozen values from same rules-based model as formula sheet.</t>
        </is>
      </c>
      <c r="BG189" t="inlineStr">
        <is>
          <t>2026-03-17</t>
        </is>
      </c>
      <c r="BH189" t="inlineStr">
        <is>
          <t>DLD / Digital Dubai / CBUAE / Savills / Knight Frank-Moody’s / Reuters</t>
        </is>
      </c>
    </row>
    <row r="190">
      <c r="A190" t="n">
        <v>189</v>
      </c>
      <c r="B190" t="inlineStr">
        <is>
          <t>Violet Phase 2</t>
        </is>
      </c>
      <c r="C190" t="inlineStr">
        <is>
          <t>DAMAC Properties</t>
        </is>
      </c>
      <c r="D190" t="inlineStr">
        <is>
          <t>DAMAC Hills 2</t>
        </is>
      </c>
      <c r="E190" t="inlineStr">
        <is>
          <t>Townhouses</t>
        </is>
      </c>
      <c r="F190" t="inlineStr">
        <is>
          <t>Flower / Nature</t>
        </is>
      </c>
      <c r="G190" t="inlineStr">
        <is>
          <t>1.3M</t>
        </is>
      </c>
      <c r="H190" t="inlineStr">
        <is>
          <t>850</t>
        </is>
      </c>
      <c r="I190" t="inlineStr">
        <is>
          <t>10</t>
        </is>
      </c>
      <c r="J190" t="inlineStr">
        <is>
          <t>60/40</t>
        </is>
      </c>
      <c r="K190" t="inlineStr">
        <is>
          <t>2024</t>
        </is>
      </c>
      <c r="L190" t="inlineStr">
        <is>
          <t>7.0-7.5</t>
        </is>
      </c>
      <c r="M190" t="inlineStr">
        <is>
          <t>8-10</t>
        </is>
      </c>
      <c r="N190" t="inlineStr">
        <is>
          <t>15.0-17.5</t>
        </is>
      </c>
      <c r="O190" t="inlineStr">
        <is>
          <t>The Aquila School</t>
        </is>
      </c>
      <c r="P190" t="inlineStr">
        <is>
          <t>Saudi German Hospital</t>
        </is>
      </c>
      <c r="Q190" t="inlineStr">
        <is>
          <t>Dubai Outlet Mall</t>
        </is>
      </c>
      <c r="R190" t="inlineStr">
        <is>
          <t>Al Qudra / E77</t>
        </is>
      </c>
      <c r="S190" t="inlineStr">
        <is>
          <t>35</t>
        </is>
      </c>
      <c r="T190" t="inlineStr">
        <is>
          <t>40</t>
        </is>
      </c>
      <c r="U190" t="inlineStr">
        <is>
          <t>40</t>
        </is>
      </c>
      <c r="V190" t="inlineStr">
        <is>
          <t>35</t>
        </is>
      </c>
      <c r="W190" t="n">
        <v>2</v>
      </c>
      <c r="X190" s="12" t="n">
        <v>1300000</v>
      </c>
      <c r="Y190" s="12" t="n">
        <v>1300000</v>
      </c>
      <c r="Z190" s="9" t="n">
        <v>7</v>
      </c>
      <c r="AA190" s="9" t="n">
        <v>7.5</v>
      </c>
      <c r="AB190" s="9" t="n">
        <v>8</v>
      </c>
      <c r="AC190" s="9" t="n">
        <v>10</v>
      </c>
      <c r="AD190" s="9" t="n">
        <v>15</v>
      </c>
      <c r="AE190" s="9" t="n">
        <v>17.5</v>
      </c>
      <c r="AF190" t="n">
        <v>2024</v>
      </c>
      <c r="AH190" t="inlineStr">
        <is>
          <t>Townhouse</t>
        </is>
      </c>
      <c r="AI190" t="inlineStr">
        <is>
          <t>MainstreamSelective</t>
        </is>
      </c>
      <c r="AJ190" t="inlineStr">
        <is>
          <t>TopTier</t>
        </is>
      </c>
      <c r="AK190" t="inlineStr">
        <is>
          <t>Family-villa resilient</t>
        </is>
      </c>
      <c r="AL190" t="inlineStr">
        <is>
          <t>Villa/townhouse demand remains relatively firmer, though growth should be slower than the post-2020 surge.</t>
        </is>
      </c>
      <c r="AM190" s="9" t="n">
        <v>9</v>
      </c>
      <c r="AN190" s="9" t="n">
        <v>7.25</v>
      </c>
      <c r="AO190" s="10" t="n">
        <v>0.55</v>
      </c>
      <c r="AP190" s="13" t="n">
        <v>0</v>
      </c>
      <c r="AQ190" s="13" t="n">
        <v>0.015</v>
      </c>
      <c r="AR190" s="13" t="n">
        <v>0</v>
      </c>
      <c r="AS190" s="13" t="n">
        <v>0.025</v>
      </c>
      <c r="AT190" s="13" t="n">
        <v>0.005</v>
      </c>
      <c r="AU190" s="13" t="n">
        <v>0.0025</v>
      </c>
      <c r="AV190" s="13" t="n">
        <v>-0.005</v>
      </c>
      <c r="AW190" s="13" t="n">
        <v>0.0645</v>
      </c>
      <c r="AX190" s="13" t="n">
        <v>0.0275</v>
      </c>
      <c r="AY190" s="12" t="n">
        <v>1342334</v>
      </c>
      <c r="AZ190" s="12" t="n">
        <v>1383850</v>
      </c>
      <c r="BA190" s="12" t="n">
        <v>1425366</v>
      </c>
      <c r="BB190" s="12" t="n">
        <v>1380390</v>
      </c>
      <c r="BC190" s="12" t="n">
        <v>1421906</v>
      </c>
      <c r="BD190" s="12" t="n">
        <v>1463421</v>
      </c>
      <c r="BE190" s="12" t="n">
        <v>1461008</v>
      </c>
      <c r="BF190" t="inlineStr">
        <is>
          <t>Frozen values from same rules-based model as formula sheet.</t>
        </is>
      </c>
      <c r="BG190" t="inlineStr">
        <is>
          <t>2026-03-17</t>
        </is>
      </c>
      <c r="BH190" t="inlineStr">
        <is>
          <t>DLD / Digital Dubai / CBUAE / Savills / Knight Frank-Moody’s / Reuters</t>
        </is>
      </c>
    </row>
    <row r="191">
      <c r="A191" t="n">
        <v>190</v>
      </c>
      <c r="B191" t="inlineStr">
        <is>
          <t>Violet Phase 3</t>
        </is>
      </c>
      <c r="C191" t="inlineStr">
        <is>
          <t>DAMAC Properties</t>
        </is>
      </c>
      <c r="D191" t="inlineStr">
        <is>
          <t>DAMAC Hills 2</t>
        </is>
      </c>
      <c r="E191" t="inlineStr">
        <is>
          <t>Townhouses</t>
        </is>
      </c>
      <c r="F191" t="inlineStr">
        <is>
          <t>Flower / Nature</t>
        </is>
      </c>
      <c r="G191" t="inlineStr">
        <is>
          <t>1.35M</t>
        </is>
      </c>
      <c r="H191" t="inlineStr">
        <is>
          <t>850</t>
        </is>
      </c>
      <c r="I191" t="inlineStr">
        <is>
          <t>10</t>
        </is>
      </c>
      <c r="J191" t="inlineStr">
        <is>
          <t>60/40</t>
        </is>
      </c>
      <c r="K191" t="inlineStr">
        <is>
          <t>2024</t>
        </is>
      </c>
      <c r="L191" t="inlineStr">
        <is>
          <t>7.0-7.5</t>
        </is>
      </c>
      <c r="M191" t="inlineStr">
        <is>
          <t>8-10</t>
        </is>
      </c>
      <c r="N191" t="inlineStr">
        <is>
          <t>15.0-17.5</t>
        </is>
      </c>
      <c r="O191" t="inlineStr">
        <is>
          <t>The Aquila School</t>
        </is>
      </c>
      <c r="P191" t="inlineStr">
        <is>
          <t>Saudi German Hospital</t>
        </is>
      </c>
      <c r="Q191" t="inlineStr">
        <is>
          <t>Dubai Outlet Mall</t>
        </is>
      </c>
      <c r="R191" t="inlineStr">
        <is>
          <t>Al Qudra / E77</t>
        </is>
      </c>
      <c r="S191" t="inlineStr">
        <is>
          <t>35</t>
        </is>
      </c>
      <c r="T191" t="inlineStr">
        <is>
          <t>40</t>
        </is>
      </c>
      <c r="U191" t="inlineStr">
        <is>
          <t>40</t>
        </is>
      </c>
      <c r="V191" t="inlineStr">
        <is>
          <t>35</t>
        </is>
      </c>
      <c r="W191" t="n">
        <v>2</v>
      </c>
      <c r="X191" s="12" t="n">
        <v>1350000</v>
      </c>
      <c r="Y191" s="12" t="n">
        <v>1350000</v>
      </c>
      <c r="Z191" s="9" t="n">
        <v>7</v>
      </c>
      <c r="AA191" s="9" t="n">
        <v>7.5</v>
      </c>
      <c r="AB191" s="9" t="n">
        <v>8</v>
      </c>
      <c r="AC191" s="9" t="n">
        <v>10</v>
      </c>
      <c r="AD191" s="9" t="n">
        <v>15</v>
      </c>
      <c r="AE191" s="9" t="n">
        <v>17.5</v>
      </c>
      <c r="AF191" t="n">
        <v>2024</v>
      </c>
      <c r="AH191" t="inlineStr">
        <is>
          <t>Townhouse</t>
        </is>
      </c>
      <c r="AI191" t="inlineStr">
        <is>
          <t>MainstreamSelective</t>
        </is>
      </c>
      <c r="AJ191" t="inlineStr">
        <is>
          <t>TopTier</t>
        </is>
      </c>
      <c r="AK191" t="inlineStr">
        <is>
          <t>Family-villa resilient</t>
        </is>
      </c>
      <c r="AL191" t="inlineStr">
        <is>
          <t>Villa/townhouse demand remains relatively firmer, though growth should be slower than the post-2020 surge.</t>
        </is>
      </c>
      <c r="AM191" s="9" t="n">
        <v>9</v>
      </c>
      <c r="AN191" s="9" t="n">
        <v>7.25</v>
      </c>
      <c r="AO191" s="10" t="n">
        <v>0.55</v>
      </c>
      <c r="AP191" s="13" t="n">
        <v>0</v>
      </c>
      <c r="AQ191" s="13" t="n">
        <v>0.015</v>
      </c>
      <c r="AR191" s="13" t="n">
        <v>0</v>
      </c>
      <c r="AS191" s="13" t="n">
        <v>0.025</v>
      </c>
      <c r="AT191" s="13" t="n">
        <v>0.005</v>
      </c>
      <c r="AU191" s="13" t="n">
        <v>0.0025</v>
      </c>
      <c r="AV191" s="13" t="n">
        <v>-0.005</v>
      </c>
      <c r="AW191" s="13" t="n">
        <v>0.0645</v>
      </c>
      <c r="AX191" s="13" t="n">
        <v>0.0275</v>
      </c>
      <c r="AY191" s="12" t="n">
        <v>1393963</v>
      </c>
      <c r="AZ191" s="12" t="n">
        <v>1437075</v>
      </c>
      <c r="BA191" s="12" t="n">
        <v>1480187</v>
      </c>
      <c r="BB191" s="12" t="n">
        <v>1433482</v>
      </c>
      <c r="BC191" s="12" t="n">
        <v>1476595</v>
      </c>
      <c r="BD191" s="12" t="n">
        <v>1519707</v>
      </c>
      <c r="BE191" s="12" t="n">
        <v>1517201</v>
      </c>
      <c r="BF191" t="inlineStr">
        <is>
          <t>Frozen values from same rules-based model as formula sheet.</t>
        </is>
      </c>
      <c r="BG191" t="inlineStr">
        <is>
          <t>2026-03-17</t>
        </is>
      </c>
      <c r="BH191" t="inlineStr">
        <is>
          <t>DLD / Digital Dubai / CBUAE / Savills / Knight Frank-Moody’s / Reuters</t>
        </is>
      </c>
    </row>
    <row r="192">
      <c r="A192" t="n">
        <v>191</v>
      </c>
      <c r="B192" t="inlineStr">
        <is>
          <t>Elo 1</t>
        </is>
      </c>
      <c r="C192" t="inlineStr">
        <is>
          <t>DAMAC Properties</t>
        </is>
      </c>
      <c r="D192" t="inlineStr">
        <is>
          <t>DAMAC Hills 2</t>
        </is>
      </c>
      <c r="E192" t="inlineStr">
        <is>
          <t>Apartments</t>
        </is>
      </c>
      <c r="F192" t="inlineStr">
        <is>
          <t>Budget / High-Rise</t>
        </is>
      </c>
      <c r="G192" t="inlineStr">
        <is>
          <t>600k</t>
        </is>
      </c>
      <c r="H192" t="inlineStr">
        <is>
          <t>900</t>
        </is>
      </c>
      <c r="I192" t="inlineStr">
        <is>
          <t>12</t>
        </is>
      </c>
      <c r="J192" t="inlineStr">
        <is>
          <t>70/30</t>
        </is>
      </c>
      <c r="K192" t="inlineStr">
        <is>
          <t>2024</t>
        </is>
      </c>
      <c r="L192" t="inlineStr">
        <is>
          <t>8.0-8.5</t>
        </is>
      </c>
      <c r="M192" t="inlineStr">
        <is>
          <t>6-9</t>
        </is>
      </c>
      <c r="N192" t="inlineStr">
        <is>
          <t>14.0-17.5</t>
        </is>
      </c>
      <c r="O192" t="inlineStr">
        <is>
          <t>The Aquila School</t>
        </is>
      </c>
      <c r="P192" t="inlineStr">
        <is>
          <t>Saudi German Hospital</t>
        </is>
      </c>
      <c r="Q192" t="inlineStr">
        <is>
          <t>Dubai Outlet Mall</t>
        </is>
      </c>
      <c r="R192" t="inlineStr">
        <is>
          <t>Al Qudra / E77</t>
        </is>
      </c>
      <c r="S192" t="inlineStr">
        <is>
          <t>35</t>
        </is>
      </c>
      <c r="T192" t="inlineStr">
        <is>
          <t>40</t>
        </is>
      </c>
      <c r="U192" t="inlineStr">
        <is>
          <t>40</t>
        </is>
      </c>
      <c r="V192" t="inlineStr">
        <is>
          <t>35</t>
        </is>
      </c>
      <c r="W192" t="n">
        <v>2</v>
      </c>
      <c r="X192" s="12" t="n">
        <v>600000</v>
      </c>
      <c r="Y192" s="12" t="n">
        <v>600000</v>
      </c>
      <c r="Z192" s="9" t="n">
        <v>8</v>
      </c>
      <c r="AA192" s="9" t="n">
        <v>8.5</v>
      </c>
      <c r="AB192" s="9" t="n">
        <v>6</v>
      </c>
      <c r="AC192" s="9" t="n">
        <v>9</v>
      </c>
      <c r="AD192" s="9" t="n">
        <v>14</v>
      </c>
      <c r="AE192" s="9" t="n">
        <v>17.5</v>
      </c>
      <c r="AF192" t="n">
        <v>2024</v>
      </c>
      <c r="AH192" t="inlineStr">
        <is>
          <t>Apartment</t>
        </is>
      </c>
      <c r="AI192" t="inlineStr">
        <is>
          <t>MainstreamSelective</t>
        </is>
      </c>
      <c r="AJ192" t="inlineStr">
        <is>
          <t>TopTier</t>
        </is>
      </c>
      <c r="AK192" t="inlineStr">
        <is>
          <t>Balanced / selective</t>
        </is>
      </c>
      <c r="AL192" t="inlineStr">
        <is>
          <t>Market remains active but increasingly differentiated by developer, micro-location, livability, and pricing discipline.</t>
        </is>
      </c>
      <c r="AM192" s="9" t="n">
        <v>7.5</v>
      </c>
      <c r="AN192" s="9" t="n">
        <v>8.25</v>
      </c>
      <c r="AO192" s="10" t="n">
        <v>0.55</v>
      </c>
      <c r="AP192" s="13" t="n">
        <v>0</v>
      </c>
      <c r="AQ192" s="13" t="n">
        <v>0</v>
      </c>
      <c r="AR192" s="13" t="n">
        <v>0</v>
      </c>
      <c r="AS192" s="13" t="n">
        <v>0.01</v>
      </c>
      <c r="AT192" s="13" t="n">
        <v>0.005</v>
      </c>
      <c r="AU192" s="13" t="n">
        <v>0.0025</v>
      </c>
      <c r="AV192" s="13" t="n">
        <v>-0.005</v>
      </c>
      <c r="AW192" s="13" t="n">
        <v>0.04125</v>
      </c>
      <c r="AX192" s="13" t="n">
        <v>0.0125</v>
      </c>
      <c r="AY192" s="12" t="n">
        <v>606008</v>
      </c>
      <c r="AZ192" s="12" t="n">
        <v>624750</v>
      </c>
      <c r="BA192" s="12" t="n">
        <v>643492</v>
      </c>
      <c r="BB192" s="12" t="n">
        <v>613817</v>
      </c>
      <c r="BC192" s="12" t="n">
        <v>632559</v>
      </c>
      <c r="BD192" s="12" t="n">
        <v>651302</v>
      </c>
      <c r="BE192" s="12" t="n">
        <v>640466</v>
      </c>
      <c r="BF192" t="inlineStr">
        <is>
          <t>Frozen values from same rules-based model as formula sheet.</t>
        </is>
      </c>
      <c r="BG192" t="inlineStr">
        <is>
          <t>2026-03-17</t>
        </is>
      </c>
      <c r="BH192" t="inlineStr">
        <is>
          <t>DLD / Digital Dubai / CBUAE / Savills / Knight Frank-Moody’s / Reuters</t>
        </is>
      </c>
    </row>
    <row r="193">
      <c r="A193" t="n">
        <v>192</v>
      </c>
      <c r="B193" t="inlineStr">
        <is>
          <t>Elo 2</t>
        </is>
      </c>
      <c r="C193" t="inlineStr">
        <is>
          <t>DAMAC Properties</t>
        </is>
      </c>
      <c r="D193" t="inlineStr">
        <is>
          <t>DAMAC Hills 2</t>
        </is>
      </c>
      <c r="E193" t="inlineStr">
        <is>
          <t>Apartments</t>
        </is>
      </c>
      <c r="F193" t="inlineStr">
        <is>
          <t>Budget / High-Rise</t>
        </is>
      </c>
      <c r="G193" t="inlineStr">
        <is>
          <t>620k</t>
        </is>
      </c>
      <c r="H193" t="inlineStr">
        <is>
          <t>900</t>
        </is>
      </c>
      <c r="I193" t="inlineStr">
        <is>
          <t>12</t>
        </is>
      </c>
      <c r="J193" t="inlineStr">
        <is>
          <t>70/30</t>
        </is>
      </c>
      <c r="K193" t="inlineStr">
        <is>
          <t>2024</t>
        </is>
      </c>
      <c r="L193" t="inlineStr">
        <is>
          <t>8.0-8.5</t>
        </is>
      </c>
      <c r="M193" t="inlineStr">
        <is>
          <t>6-9</t>
        </is>
      </c>
      <c r="N193" t="inlineStr">
        <is>
          <t>14.0-17.5</t>
        </is>
      </c>
      <c r="O193" t="inlineStr">
        <is>
          <t>The Aquila School</t>
        </is>
      </c>
      <c r="P193" t="inlineStr">
        <is>
          <t>Saudi German Hospital</t>
        </is>
      </c>
      <c r="Q193" t="inlineStr">
        <is>
          <t>Dubai Outlet Mall</t>
        </is>
      </c>
      <c r="R193" t="inlineStr">
        <is>
          <t>Al Qudra / E77</t>
        </is>
      </c>
      <c r="S193" t="inlineStr">
        <is>
          <t>35</t>
        </is>
      </c>
      <c r="T193" t="inlineStr">
        <is>
          <t>40</t>
        </is>
      </c>
      <c r="U193" t="inlineStr">
        <is>
          <t>40</t>
        </is>
      </c>
      <c r="V193" t="inlineStr">
        <is>
          <t>35</t>
        </is>
      </c>
      <c r="W193" t="n">
        <v>2</v>
      </c>
      <c r="X193" s="12" t="n">
        <v>620000</v>
      </c>
      <c r="Y193" s="12" t="n">
        <v>620000</v>
      </c>
      <c r="Z193" s="9" t="n">
        <v>8</v>
      </c>
      <c r="AA193" s="9" t="n">
        <v>8.5</v>
      </c>
      <c r="AB193" s="9" t="n">
        <v>6</v>
      </c>
      <c r="AC193" s="9" t="n">
        <v>9</v>
      </c>
      <c r="AD193" s="9" t="n">
        <v>14</v>
      </c>
      <c r="AE193" s="9" t="n">
        <v>17.5</v>
      </c>
      <c r="AF193" t="n">
        <v>2024</v>
      </c>
      <c r="AH193" t="inlineStr">
        <is>
          <t>Apartment</t>
        </is>
      </c>
      <c r="AI193" t="inlineStr">
        <is>
          <t>MainstreamSelective</t>
        </is>
      </c>
      <c r="AJ193" t="inlineStr">
        <is>
          <t>TopTier</t>
        </is>
      </c>
      <c r="AK193" t="inlineStr">
        <is>
          <t>Balanced / selective</t>
        </is>
      </c>
      <c r="AL193" t="inlineStr">
        <is>
          <t>Market remains active but increasingly differentiated by developer, micro-location, livability, and pricing discipline.</t>
        </is>
      </c>
      <c r="AM193" s="9" t="n">
        <v>7.5</v>
      </c>
      <c r="AN193" s="9" t="n">
        <v>8.25</v>
      </c>
      <c r="AO193" s="10" t="n">
        <v>0.55</v>
      </c>
      <c r="AP193" s="13" t="n">
        <v>0</v>
      </c>
      <c r="AQ193" s="13" t="n">
        <v>0</v>
      </c>
      <c r="AR193" s="13" t="n">
        <v>0</v>
      </c>
      <c r="AS193" s="13" t="n">
        <v>0.01</v>
      </c>
      <c r="AT193" s="13" t="n">
        <v>0.005</v>
      </c>
      <c r="AU193" s="13" t="n">
        <v>0.0025</v>
      </c>
      <c r="AV193" s="13" t="n">
        <v>-0.005</v>
      </c>
      <c r="AW193" s="13" t="n">
        <v>0.04125</v>
      </c>
      <c r="AX193" s="13" t="n">
        <v>0.0125</v>
      </c>
      <c r="AY193" s="12" t="n">
        <v>626208</v>
      </c>
      <c r="AZ193" s="12" t="n">
        <v>645575</v>
      </c>
      <c r="BA193" s="12" t="n">
        <v>664942</v>
      </c>
      <c r="BB193" s="12" t="n">
        <v>634277</v>
      </c>
      <c r="BC193" s="12" t="n">
        <v>653645</v>
      </c>
      <c r="BD193" s="12" t="n">
        <v>673012</v>
      </c>
      <c r="BE193" s="12" t="n">
        <v>661815</v>
      </c>
      <c r="BF193" t="inlineStr">
        <is>
          <t>Frozen values from same rules-based model as formula sheet.</t>
        </is>
      </c>
      <c r="BG193" t="inlineStr">
        <is>
          <t>2026-03-17</t>
        </is>
      </c>
      <c r="BH193" t="inlineStr">
        <is>
          <t>DLD / Digital Dubai / CBUAE / Savills / Knight Frank-Moody’s / Reuters</t>
        </is>
      </c>
    </row>
    <row r="194">
      <c r="A194" t="n">
        <v>193</v>
      </c>
      <c r="B194" t="inlineStr">
        <is>
          <t>Elo 3</t>
        </is>
      </c>
      <c r="C194" t="inlineStr">
        <is>
          <t>DAMAC Properties</t>
        </is>
      </c>
      <c r="D194" t="inlineStr">
        <is>
          <t>DAMAC Hills 2</t>
        </is>
      </c>
      <c r="E194" t="inlineStr">
        <is>
          <t>Apartments</t>
        </is>
      </c>
      <c r="F194" t="inlineStr">
        <is>
          <t>Budget / High-Rise</t>
        </is>
      </c>
      <c r="G194" t="inlineStr">
        <is>
          <t>650k</t>
        </is>
      </c>
      <c r="H194" t="inlineStr">
        <is>
          <t>900</t>
        </is>
      </c>
      <c r="I194" t="inlineStr">
        <is>
          <t>12</t>
        </is>
      </c>
      <c r="J194" t="inlineStr">
        <is>
          <t>70/30</t>
        </is>
      </c>
      <c r="K194" t="inlineStr">
        <is>
          <t>2024</t>
        </is>
      </c>
      <c r="L194" t="inlineStr">
        <is>
          <t>8.0-8.5</t>
        </is>
      </c>
      <c r="M194" t="inlineStr">
        <is>
          <t>6-9</t>
        </is>
      </c>
      <c r="N194" t="inlineStr">
        <is>
          <t>14.0-17.5</t>
        </is>
      </c>
      <c r="O194" t="inlineStr">
        <is>
          <t>The Aquila School</t>
        </is>
      </c>
      <c r="P194" t="inlineStr">
        <is>
          <t>Saudi German Hospital</t>
        </is>
      </c>
      <c r="Q194" t="inlineStr">
        <is>
          <t>Dubai Outlet Mall</t>
        </is>
      </c>
      <c r="R194" t="inlineStr">
        <is>
          <t>Al Qudra / E77</t>
        </is>
      </c>
      <c r="S194" t="inlineStr">
        <is>
          <t>35</t>
        </is>
      </c>
      <c r="T194" t="inlineStr">
        <is>
          <t>40</t>
        </is>
      </c>
      <c r="U194" t="inlineStr">
        <is>
          <t>40</t>
        </is>
      </c>
      <c r="V194" t="inlineStr">
        <is>
          <t>35</t>
        </is>
      </c>
      <c r="W194" t="n">
        <v>2</v>
      </c>
      <c r="X194" s="12" t="n">
        <v>650000</v>
      </c>
      <c r="Y194" s="12" t="n">
        <v>650000</v>
      </c>
      <c r="Z194" s="9" t="n">
        <v>8</v>
      </c>
      <c r="AA194" s="9" t="n">
        <v>8.5</v>
      </c>
      <c r="AB194" s="9" t="n">
        <v>6</v>
      </c>
      <c r="AC194" s="9" t="n">
        <v>9</v>
      </c>
      <c r="AD194" s="9" t="n">
        <v>14</v>
      </c>
      <c r="AE194" s="9" t="n">
        <v>17.5</v>
      </c>
      <c r="AF194" t="n">
        <v>2024</v>
      </c>
      <c r="AH194" t="inlineStr">
        <is>
          <t>Apartment</t>
        </is>
      </c>
      <c r="AI194" t="inlineStr">
        <is>
          <t>MainstreamSelective</t>
        </is>
      </c>
      <c r="AJ194" t="inlineStr">
        <is>
          <t>TopTier</t>
        </is>
      </c>
      <c r="AK194" t="inlineStr">
        <is>
          <t>Balanced / selective</t>
        </is>
      </c>
      <c r="AL194" t="inlineStr">
        <is>
          <t>Market remains active but increasingly differentiated by developer, micro-location, livability, and pricing discipline.</t>
        </is>
      </c>
      <c r="AM194" s="9" t="n">
        <v>7.5</v>
      </c>
      <c r="AN194" s="9" t="n">
        <v>8.25</v>
      </c>
      <c r="AO194" s="10" t="n">
        <v>0.55</v>
      </c>
      <c r="AP194" s="13" t="n">
        <v>0</v>
      </c>
      <c r="AQ194" s="13" t="n">
        <v>0</v>
      </c>
      <c r="AR194" s="13" t="n">
        <v>0</v>
      </c>
      <c r="AS194" s="13" t="n">
        <v>0.01</v>
      </c>
      <c r="AT194" s="13" t="n">
        <v>0.005</v>
      </c>
      <c r="AU194" s="13" t="n">
        <v>0.0025</v>
      </c>
      <c r="AV194" s="13" t="n">
        <v>-0.005</v>
      </c>
      <c r="AW194" s="13" t="n">
        <v>0.04125</v>
      </c>
      <c r="AX194" s="13" t="n">
        <v>0.0125</v>
      </c>
      <c r="AY194" s="12" t="n">
        <v>656508</v>
      </c>
      <c r="AZ194" s="12" t="n">
        <v>676812</v>
      </c>
      <c r="BA194" s="12" t="n">
        <v>697116</v>
      </c>
      <c r="BB194" s="12" t="n">
        <v>664968</v>
      </c>
      <c r="BC194" s="12" t="n">
        <v>685272</v>
      </c>
      <c r="BD194" s="12" t="n">
        <v>705577</v>
      </c>
      <c r="BE194" s="12" t="n">
        <v>693838</v>
      </c>
      <c r="BF194" t="inlineStr">
        <is>
          <t>Frozen values from same rules-based model as formula sheet.</t>
        </is>
      </c>
      <c r="BG194" t="inlineStr">
        <is>
          <t>2026-03-17</t>
        </is>
      </c>
      <c r="BH194" t="inlineStr">
        <is>
          <t>DLD / Digital Dubai / CBUAE / Savills / Knight Frank-Moody’s / Reuters</t>
        </is>
      </c>
    </row>
    <row r="195">
      <c r="A195" t="n">
        <v>194</v>
      </c>
      <c r="B195" t="inlineStr">
        <is>
          <t>Park Greens</t>
        </is>
      </c>
      <c r="C195" t="inlineStr">
        <is>
          <t>DAMAC Properties</t>
        </is>
      </c>
      <c r="D195" t="inlineStr">
        <is>
          <t>DAMAC Hills 2</t>
        </is>
      </c>
      <c r="E195" t="inlineStr">
        <is>
          <t>Twin Villas</t>
        </is>
      </c>
      <c r="F195" t="inlineStr">
        <is>
          <t>Green / Park</t>
        </is>
      </c>
      <c r="G195" t="inlineStr">
        <is>
          <t>2.8M</t>
        </is>
      </c>
      <c r="H195" t="inlineStr">
        <is>
          <t>1100</t>
        </is>
      </c>
      <c r="I195" t="inlineStr">
        <is>
          <t>10</t>
        </is>
      </c>
      <c r="J195" t="inlineStr">
        <is>
          <t>70/30</t>
        </is>
      </c>
      <c r="K195" t="inlineStr">
        <is>
          <t>2023</t>
        </is>
      </c>
      <c r="L195" t="inlineStr">
        <is>
          <t>6.0-6.5</t>
        </is>
      </c>
      <c r="M195" t="inlineStr">
        <is>
          <t>8-10</t>
        </is>
      </c>
      <c r="N195" t="inlineStr">
        <is>
          <t>14.0-16.5</t>
        </is>
      </c>
      <c r="O195" t="inlineStr">
        <is>
          <t>The Aquila School</t>
        </is>
      </c>
      <c r="P195" t="inlineStr">
        <is>
          <t>Saudi German Hospital</t>
        </is>
      </c>
      <c r="Q195" t="inlineStr">
        <is>
          <t>Dubai Outlet Mall</t>
        </is>
      </c>
      <c r="R195" t="inlineStr">
        <is>
          <t>Al Qudra / E77</t>
        </is>
      </c>
      <c r="S195" t="inlineStr">
        <is>
          <t>35</t>
        </is>
      </c>
      <c r="T195" t="inlineStr">
        <is>
          <t>40</t>
        </is>
      </c>
      <c r="U195" t="inlineStr">
        <is>
          <t>40</t>
        </is>
      </c>
      <c r="V195" t="inlineStr">
        <is>
          <t>35</t>
        </is>
      </c>
      <c r="W195" t="n">
        <v>2</v>
      </c>
      <c r="X195" s="12" t="n">
        <v>2800000</v>
      </c>
      <c r="Y195" s="12" t="n">
        <v>2800000</v>
      </c>
      <c r="Z195" s="9" t="n">
        <v>6</v>
      </c>
      <c r="AA195" s="9" t="n">
        <v>6.5</v>
      </c>
      <c r="AB195" s="9" t="n">
        <v>8</v>
      </c>
      <c r="AC195" s="9" t="n">
        <v>10</v>
      </c>
      <c r="AD195" s="9" t="n">
        <v>14</v>
      </c>
      <c r="AE195" s="9" t="n">
        <v>16.5</v>
      </c>
      <c r="AF195" t="n">
        <v>2023</v>
      </c>
      <c r="AH195" t="inlineStr">
        <is>
          <t>Villa</t>
        </is>
      </c>
      <c r="AI195" t="inlineStr">
        <is>
          <t>MainstreamSelective</t>
        </is>
      </c>
      <c r="AJ195" t="inlineStr">
        <is>
          <t>TopTier</t>
        </is>
      </c>
      <c r="AK195" t="inlineStr">
        <is>
          <t>Family-villa resilient</t>
        </is>
      </c>
      <c r="AL195" t="inlineStr">
        <is>
          <t>Villa/townhouse demand remains relatively firmer, though growth should be slower than the post-2020 surge.</t>
        </is>
      </c>
      <c r="AM195" s="9" t="n">
        <v>9</v>
      </c>
      <c r="AN195" s="9" t="n">
        <v>6.25</v>
      </c>
      <c r="AO195" s="10" t="n">
        <v>0.55</v>
      </c>
      <c r="AP195" s="13" t="n">
        <v>0</v>
      </c>
      <c r="AQ195" s="13" t="n">
        <v>0.015</v>
      </c>
      <c r="AR195" s="13" t="n">
        <v>0</v>
      </c>
      <c r="AS195" s="13" t="n">
        <v>0.025</v>
      </c>
      <c r="AT195" s="13" t="n">
        <v>0.005</v>
      </c>
      <c r="AU195" s="13" t="n">
        <v>0.0025</v>
      </c>
      <c r="AV195" s="13" t="n">
        <v>-0.005</v>
      </c>
      <c r="AW195" s="13" t="n">
        <v>0.0645</v>
      </c>
      <c r="AX195" s="13" t="n">
        <v>0.0275</v>
      </c>
      <c r="AY195" s="12" t="n">
        <v>2891182</v>
      </c>
      <c r="AZ195" s="12" t="n">
        <v>2980600</v>
      </c>
      <c r="BA195" s="12" t="n">
        <v>3070018</v>
      </c>
      <c r="BB195" s="12" t="n">
        <v>2973148</v>
      </c>
      <c r="BC195" s="12" t="n">
        <v>3062567</v>
      </c>
      <c r="BD195" s="12" t="n">
        <v>3151985</v>
      </c>
      <c r="BE195" s="12" t="n">
        <v>3146787</v>
      </c>
      <c r="BF195" t="inlineStr">
        <is>
          <t>Frozen values from same rules-based model as formula sheet.</t>
        </is>
      </c>
      <c r="BG195" t="inlineStr">
        <is>
          <t>2026-03-17</t>
        </is>
      </c>
      <c r="BH195" t="inlineStr">
        <is>
          <t>DLD / Digital Dubai / CBUAE / Savills / Knight Frank-Moody’s / Reuters</t>
        </is>
      </c>
    </row>
    <row r="196">
      <c r="A196" t="n">
        <v>195</v>
      </c>
      <c r="B196" t="inlineStr">
        <is>
          <t>Verona</t>
        </is>
      </c>
      <c r="C196" t="inlineStr">
        <is>
          <t>DAMAC Properties</t>
        </is>
      </c>
      <c r="D196" t="inlineStr">
        <is>
          <t>DAMAC Hills 2</t>
        </is>
      </c>
      <c r="E196" t="inlineStr">
        <is>
          <t>Townhouses</t>
        </is>
      </c>
      <c r="F196" t="inlineStr">
        <is>
          <t>Classic</t>
        </is>
      </c>
      <c r="G196" t="inlineStr">
        <is>
          <t>1.8M</t>
        </is>
      </c>
      <c r="H196" t="inlineStr">
        <is>
          <t>900</t>
        </is>
      </c>
      <c r="I196" t="inlineStr">
        <is>
          <t>10</t>
        </is>
      </c>
      <c r="J196" t="inlineStr">
        <is>
          <t>70/30</t>
        </is>
      </c>
      <c r="K196" t="inlineStr">
        <is>
          <t>2023</t>
        </is>
      </c>
      <c r="L196" t="inlineStr">
        <is>
          <t>6.5-7.0</t>
        </is>
      </c>
      <c r="M196" t="inlineStr">
        <is>
          <t>6-8</t>
        </is>
      </c>
      <c r="N196" t="inlineStr">
        <is>
          <t>12.5-15.0</t>
        </is>
      </c>
      <c r="O196" t="inlineStr">
        <is>
          <t>The Aquila School</t>
        </is>
      </c>
      <c r="P196" t="inlineStr">
        <is>
          <t>Saudi German Hospital</t>
        </is>
      </c>
      <c r="Q196" t="inlineStr">
        <is>
          <t>Dubai Outlet Mall</t>
        </is>
      </c>
      <c r="R196" t="inlineStr">
        <is>
          <t>Al Qudra / E77</t>
        </is>
      </c>
      <c r="S196" t="inlineStr">
        <is>
          <t>35</t>
        </is>
      </c>
      <c r="T196" t="inlineStr">
        <is>
          <t>40</t>
        </is>
      </c>
      <c r="U196" t="inlineStr">
        <is>
          <t>40</t>
        </is>
      </c>
      <c r="V196" t="inlineStr">
        <is>
          <t>35</t>
        </is>
      </c>
      <c r="W196" t="n">
        <v>2</v>
      </c>
      <c r="X196" s="12" t="n">
        <v>1800000</v>
      </c>
      <c r="Y196" s="12" t="n">
        <v>1800000</v>
      </c>
      <c r="Z196" s="9" t="n">
        <v>6.5</v>
      </c>
      <c r="AA196" s="9" t="n">
        <v>7</v>
      </c>
      <c r="AB196" s="9" t="n">
        <v>6</v>
      </c>
      <c r="AC196" s="9" t="n">
        <v>8</v>
      </c>
      <c r="AD196" s="9" t="n">
        <v>12.5</v>
      </c>
      <c r="AE196" s="9" t="n">
        <v>15</v>
      </c>
      <c r="AF196" t="n">
        <v>2023</v>
      </c>
      <c r="AH196" t="inlineStr">
        <is>
          <t>Townhouse</t>
        </is>
      </c>
      <c r="AI196" t="inlineStr">
        <is>
          <t>MainstreamSelective</t>
        </is>
      </c>
      <c r="AJ196" t="inlineStr">
        <is>
          <t>TopTier</t>
        </is>
      </c>
      <c r="AK196" t="inlineStr">
        <is>
          <t>Family-villa resilient</t>
        </is>
      </c>
      <c r="AL196" t="inlineStr">
        <is>
          <t>Villa/townhouse demand remains relatively firmer, though growth should be slower than the post-2020 surge.</t>
        </is>
      </c>
      <c r="AM196" s="9" t="n">
        <v>7</v>
      </c>
      <c r="AN196" s="9" t="n">
        <v>6.75</v>
      </c>
      <c r="AO196" s="10" t="n">
        <v>0.55</v>
      </c>
      <c r="AP196" s="13" t="n">
        <v>0</v>
      </c>
      <c r="AQ196" s="13" t="n">
        <v>0.015</v>
      </c>
      <c r="AR196" s="13" t="n">
        <v>0</v>
      </c>
      <c r="AS196" s="13" t="n">
        <v>0.025</v>
      </c>
      <c r="AT196" s="13" t="n">
        <v>0.005</v>
      </c>
      <c r="AU196" s="13" t="n">
        <v>0.0025</v>
      </c>
      <c r="AV196" s="13" t="n">
        <v>-0.005</v>
      </c>
      <c r="AW196" s="13" t="n">
        <v>0.05350000000000001</v>
      </c>
      <c r="AX196" s="13" t="n">
        <v>0.0275</v>
      </c>
      <c r="AY196" s="12" t="n">
        <v>1839411</v>
      </c>
      <c r="AZ196" s="12" t="n">
        <v>1896300</v>
      </c>
      <c r="BA196" s="12" t="n">
        <v>1953189</v>
      </c>
      <c r="BB196" s="12" t="n">
        <v>1891559</v>
      </c>
      <c r="BC196" s="12" t="n">
        <v>1948448</v>
      </c>
      <c r="BD196" s="12" t="n">
        <v>2005337</v>
      </c>
      <c r="BE196" s="12" t="n">
        <v>2002031</v>
      </c>
      <c r="BF196" t="inlineStr">
        <is>
          <t>Frozen values from same rules-based model as formula sheet.</t>
        </is>
      </c>
      <c r="BG196" t="inlineStr">
        <is>
          <t>2026-03-17</t>
        </is>
      </c>
      <c r="BH196" t="inlineStr">
        <is>
          <t>DLD / Digital Dubai / CBUAE / Savills / Knight Frank-Moody’s / Reuters</t>
        </is>
      </c>
    </row>
    <row r="197">
      <c r="A197" t="n">
        <v>196</v>
      </c>
      <c r="B197" t="inlineStr">
        <is>
          <t>Natura</t>
        </is>
      </c>
      <c r="C197" t="inlineStr">
        <is>
          <t>DAMAC Properties</t>
        </is>
      </c>
      <c r="D197" t="inlineStr">
        <is>
          <t>DAMAC Hills 2</t>
        </is>
      </c>
      <c r="E197" t="inlineStr">
        <is>
          <t>Townhouses</t>
        </is>
      </c>
      <c r="F197" t="inlineStr">
        <is>
          <t>Nature</t>
        </is>
      </c>
      <c r="G197" t="inlineStr">
        <is>
          <t>1.9M</t>
        </is>
      </c>
      <c r="H197" t="inlineStr">
        <is>
          <t>950</t>
        </is>
      </c>
      <c r="I197" t="inlineStr">
        <is>
          <t>10</t>
        </is>
      </c>
      <c r="J197" t="inlineStr">
        <is>
          <t>70/30</t>
        </is>
      </c>
      <c r="K197" t="inlineStr">
        <is>
          <t>2024</t>
        </is>
      </c>
      <c r="L197" t="inlineStr">
        <is>
          <t>6.5-7.0</t>
        </is>
      </c>
      <c r="M197" t="inlineStr">
        <is>
          <t>8-10</t>
        </is>
      </c>
      <c r="N197" t="inlineStr">
        <is>
          <t>14.5-17.0</t>
        </is>
      </c>
      <c r="O197" t="inlineStr">
        <is>
          <t>The Aquila School</t>
        </is>
      </c>
      <c r="P197" t="inlineStr">
        <is>
          <t>Saudi German Hospital</t>
        </is>
      </c>
      <c r="Q197" t="inlineStr">
        <is>
          <t>Dubai Outlet Mall</t>
        </is>
      </c>
      <c r="R197" t="inlineStr">
        <is>
          <t>Al Qudra / E77</t>
        </is>
      </c>
      <c r="S197" t="inlineStr">
        <is>
          <t>35</t>
        </is>
      </c>
      <c r="T197" t="inlineStr">
        <is>
          <t>40</t>
        </is>
      </c>
      <c r="U197" t="inlineStr">
        <is>
          <t>40</t>
        </is>
      </c>
      <c r="V197" t="inlineStr">
        <is>
          <t>35</t>
        </is>
      </c>
      <c r="W197" t="n">
        <v>2</v>
      </c>
      <c r="X197" s="12" t="n">
        <v>1900000</v>
      </c>
      <c r="Y197" s="12" t="n">
        <v>1900000</v>
      </c>
      <c r="Z197" s="9" t="n">
        <v>6.5</v>
      </c>
      <c r="AA197" s="9" t="n">
        <v>7</v>
      </c>
      <c r="AB197" s="9" t="n">
        <v>8</v>
      </c>
      <c r="AC197" s="9" t="n">
        <v>10</v>
      </c>
      <c r="AD197" s="9" t="n">
        <v>14.5</v>
      </c>
      <c r="AE197" s="9" t="n">
        <v>17</v>
      </c>
      <c r="AF197" t="n">
        <v>2024</v>
      </c>
      <c r="AH197" t="inlineStr">
        <is>
          <t>Townhouse</t>
        </is>
      </c>
      <c r="AI197" t="inlineStr">
        <is>
          <t>MainstreamSelective</t>
        </is>
      </c>
      <c r="AJ197" t="inlineStr">
        <is>
          <t>TopTier</t>
        </is>
      </c>
      <c r="AK197" t="inlineStr">
        <is>
          <t>Family-villa resilient</t>
        </is>
      </c>
      <c r="AL197" t="inlineStr">
        <is>
          <t>Villa/townhouse demand remains relatively firmer, though growth should be slower than the post-2020 surge.</t>
        </is>
      </c>
      <c r="AM197" s="9" t="n">
        <v>9</v>
      </c>
      <c r="AN197" s="9" t="n">
        <v>6.75</v>
      </c>
      <c r="AO197" s="10" t="n">
        <v>0.55</v>
      </c>
      <c r="AP197" s="13" t="n">
        <v>0</v>
      </c>
      <c r="AQ197" s="13" t="n">
        <v>0.015</v>
      </c>
      <c r="AR197" s="13" t="n">
        <v>0</v>
      </c>
      <c r="AS197" s="13" t="n">
        <v>0.025</v>
      </c>
      <c r="AT197" s="13" t="n">
        <v>0.005</v>
      </c>
      <c r="AU197" s="13" t="n">
        <v>0.0025</v>
      </c>
      <c r="AV197" s="13" t="n">
        <v>-0.005</v>
      </c>
      <c r="AW197" s="13" t="n">
        <v>0.0645</v>
      </c>
      <c r="AX197" s="13" t="n">
        <v>0.0275</v>
      </c>
      <c r="AY197" s="12" t="n">
        <v>1961874</v>
      </c>
      <c r="AZ197" s="12" t="n">
        <v>2022550</v>
      </c>
      <c r="BA197" s="12" t="n">
        <v>2083226</v>
      </c>
      <c r="BB197" s="12" t="n">
        <v>2017494</v>
      </c>
      <c r="BC197" s="12" t="n">
        <v>2078170</v>
      </c>
      <c r="BD197" s="12" t="n">
        <v>2138847</v>
      </c>
      <c r="BE197" s="12" t="n">
        <v>2135320</v>
      </c>
      <c r="BF197" t="inlineStr">
        <is>
          <t>Frozen values from same rules-based model as formula sheet.</t>
        </is>
      </c>
      <c r="BG197" t="inlineStr">
        <is>
          <t>2026-03-17</t>
        </is>
      </c>
      <c r="BH197" t="inlineStr">
        <is>
          <t>DLD / Digital Dubai / CBUAE / Savills / Knight Frank-Moody’s / Reuters</t>
        </is>
      </c>
    </row>
    <row r="198">
      <c r="A198" t="n">
        <v>197</v>
      </c>
      <c r="B198" t="inlineStr">
        <is>
          <t>DAMAC Riverside</t>
        </is>
      </c>
      <c r="C198" t="inlineStr">
        <is>
          <t>DAMAC Properties</t>
        </is>
      </c>
      <c r="D198" t="inlineStr">
        <is>
          <t>Dubai Investment Park</t>
        </is>
      </c>
      <c r="E198" t="inlineStr">
        <is>
          <t>Townhouses &amp; Villas</t>
        </is>
      </c>
      <c r="F198" t="inlineStr">
        <is>
          <t>Water / Serene</t>
        </is>
      </c>
      <c r="I198" t="inlineStr">
        <is>
          <t>TBA</t>
        </is>
      </c>
      <c r="J198" t="inlineStr">
        <is>
          <t>70/30</t>
        </is>
      </c>
      <c r="K198" t="inlineStr">
        <is>
          <t>2024</t>
        </is>
      </c>
      <c r="L198" t="inlineStr">
        <is>
          <t>6.0-6.5</t>
        </is>
      </c>
      <c r="M198" t="inlineStr">
        <is>
          <t>10-15</t>
        </is>
      </c>
      <c r="N198" t="inlineStr">
        <is>
          <t>16.0-21.5</t>
        </is>
      </c>
      <c r="O198" t="inlineStr">
        <is>
          <t>Greenfield Intl</t>
        </is>
      </c>
      <c r="P198" t="inlineStr">
        <is>
          <t>NMC Royal DIP</t>
        </is>
      </c>
      <c r="Q198" t="inlineStr">
        <is>
          <t>Damac Mall</t>
        </is>
      </c>
      <c r="R198" t="inlineStr">
        <is>
          <t>Yalayis St / E611</t>
        </is>
      </c>
      <c r="S198" t="inlineStr">
        <is>
          <t>25</t>
        </is>
      </c>
      <c r="T198" t="inlineStr">
        <is>
          <t>20</t>
        </is>
      </c>
      <c r="U198" t="inlineStr">
        <is>
          <t>35</t>
        </is>
      </c>
      <c r="V198" t="inlineStr">
        <is>
          <t>15</t>
        </is>
      </c>
      <c r="W198" t="n">
        <v>2</v>
      </c>
      <c r="X198" s="12" t="n"/>
      <c r="Y198" s="12" t="n"/>
      <c r="Z198" s="9" t="n">
        <v>6</v>
      </c>
      <c r="AA198" s="9" t="n">
        <v>6.5</v>
      </c>
      <c r="AB198" s="9" t="n">
        <v>10</v>
      </c>
      <c r="AC198" s="9" t="n">
        <v>15</v>
      </c>
      <c r="AD198" s="9" t="n">
        <v>16</v>
      </c>
      <c r="AE198" s="9" t="n">
        <v>21.5</v>
      </c>
      <c r="AF198" t="n">
        <v>2024</v>
      </c>
      <c r="AH198" t="inlineStr">
        <is>
          <t>Villa/Townhouse</t>
        </is>
      </c>
      <c r="AI198" t="inlineStr">
        <is>
          <t>MainstreamSelective</t>
        </is>
      </c>
      <c r="AJ198" t="inlineStr">
        <is>
          <t>TopTier</t>
        </is>
      </c>
      <c r="AK198" t="inlineStr">
        <is>
          <t>Family-villa resilient</t>
        </is>
      </c>
      <c r="AL198" t="inlineStr">
        <is>
          <t>Villa/townhouse demand remains relatively firmer, though growth should be slower than the post-2020 surge.</t>
        </is>
      </c>
      <c r="AM198" s="9" t="n">
        <v>12.5</v>
      </c>
      <c r="AN198" s="9" t="n">
        <v>6.25</v>
      </c>
      <c r="AO198" s="10" t="n">
        <v>0.55</v>
      </c>
      <c r="AP198" s="13" t="n">
        <v>0</v>
      </c>
      <c r="AQ198" s="13" t="n">
        <v>0.015</v>
      </c>
      <c r="AR198" s="13" t="n">
        <v>0</v>
      </c>
      <c r="AS198" s="13" t="n">
        <v>0.025</v>
      </c>
      <c r="AT198" s="13" t="n">
        <v>0.005</v>
      </c>
      <c r="AU198" s="13" t="n">
        <v>0.0025</v>
      </c>
      <c r="AV198" s="13" t="n">
        <v>-0.005</v>
      </c>
      <c r="AW198" s="13" t="n">
        <v>0.08375</v>
      </c>
      <c r="AX198" s="13" t="n">
        <v>0.0275</v>
      </c>
      <c r="AY198" s="12" t="n"/>
      <c r="AZ198" s="12" t="n"/>
      <c r="BA198" s="12" t="n"/>
      <c r="BB198" s="12" t="n"/>
      <c r="BC198" s="12" t="n"/>
      <c r="BD198" s="12" t="n"/>
      <c r="BE198" s="12" t="n"/>
      <c r="BF198" t="inlineStr">
        <is>
          <t>Frozen values from same rules-based model as formula sheet.</t>
        </is>
      </c>
      <c r="BG198" t="inlineStr">
        <is>
          <t>2026-03-17</t>
        </is>
      </c>
      <c r="BH198" t="inlineStr">
        <is>
          <t>DLD / Digital Dubai / CBUAE / Savills / Knight Frank-Moody’s / Reuters</t>
        </is>
      </c>
    </row>
    <row r="199">
      <c r="A199" t="n">
        <v>198</v>
      </c>
      <c r="B199" t="inlineStr">
        <is>
          <t>Water Vein</t>
        </is>
      </c>
      <c r="C199" t="inlineStr">
        <is>
          <t>DAMAC Properties</t>
        </is>
      </c>
      <c r="D199" t="inlineStr">
        <is>
          <t>DAMAC Riverside</t>
        </is>
      </c>
      <c r="E199" t="inlineStr">
        <is>
          <t>Townhouses</t>
        </is>
      </c>
      <c r="F199" t="inlineStr">
        <is>
          <t>Waterfront</t>
        </is>
      </c>
      <c r="G199" t="inlineStr">
        <is>
          <t>2.5M</t>
        </is>
      </c>
      <c r="H199" t="inlineStr">
        <is>
          <t>1200</t>
        </is>
      </c>
      <c r="I199" t="inlineStr">
        <is>
          <t>TBA</t>
        </is>
      </c>
      <c r="J199" t="inlineStr">
        <is>
          <t>70/30</t>
        </is>
      </c>
      <c r="K199" t="inlineStr">
        <is>
          <t>2024</t>
        </is>
      </c>
      <c r="L199" t="inlineStr">
        <is>
          <t>6.0-6.5</t>
        </is>
      </c>
      <c r="M199" t="inlineStr">
        <is>
          <t>10-15</t>
        </is>
      </c>
      <c r="N199" t="inlineStr">
        <is>
          <t>16.0-21.5</t>
        </is>
      </c>
      <c r="O199" t="inlineStr">
        <is>
          <t>Greenfield Intl</t>
        </is>
      </c>
      <c r="P199" t="inlineStr">
        <is>
          <t>NMC Royal DIP</t>
        </is>
      </c>
      <c r="Q199" t="inlineStr">
        <is>
          <t>Damac Mall</t>
        </is>
      </c>
      <c r="R199" t="inlineStr">
        <is>
          <t>Yalayis St / E611</t>
        </is>
      </c>
      <c r="S199" t="inlineStr">
        <is>
          <t>25</t>
        </is>
      </c>
      <c r="T199" t="inlineStr">
        <is>
          <t>20</t>
        </is>
      </c>
      <c r="U199" t="inlineStr">
        <is>
          <t>35</t>
        </is>
      </c>
      <c r="V199" t="inlineStr">
        <is>
          <t>15</t>
        </is>
      </c>
      <c r="W199" t="n">
        <v>2</v>
      </c>
      <c r="X199" s="12" t="n">
        <v>2500000</v>
      </c>
      <c r="Y199" s="12" t="n">
        <v>2500000</v>
      </c>
      <c r="Z199" s="9" t="n">
        <v>6</v>
      </c>
      <c r="AA199" s="9" t="n">
        <v>6.5</v>
      </c>
      <c r="AB199" s="9" t="n">
        <v>10</v>
      </c>
      <c r="AC199" s="9" t="n">
        <v>15</v>
      </c>
      <c r="AD199" s="9" t="n">
        <v>16</v>
      </c>
      <c r="AE199" s="9" t="n">
        <v>21.5</v>
      </c>
      <c r="AF199" t="n">
        <v>2024</v>
      </c>
      <c r="AH199" t="inlineStr">
        <is>
          <t>Townhouse</t>
        </is>
      </c>
      <c r="AI199" t="inlineStr">
        <is>
          <t>MainstreamSelective</t>
        </is>
      </c>
      <c r="AJ199" t="inlineStr">
        <is>
          <t>TopTier</t>
        </is>
      </c>
      <c r="AK199" t="inlineStr">
        <is>
          <t>Family-villa resilient</t>
        </is>
      </c>
      <c r="AL199" t="inlineStr">
        <is>
          <t>Villa/townhouse demand remains relatively firmer, though growth should be slower than the post-2020 surge.</t>
        </is>
      </c>
      <c r="AM199" s="9" t="n">
        <v>12.5</v>
      </c>
      <c r="AN199" s="9" t="n">
        <v>6.25</v>
      </c>
      <c r="AO199" s="10" t="n">
        <v>0.55</v>
      </c>
      <c r="AP199" s="13" t="n">
        <v>0</v>
      </c>
      <c r="AQ199" s="13" t="n">
        <v>0.015</v>
      </c>
      <c r="AR199" s="13" t="n">
        <v>0</v>
      </c>
      <c r="AS199" s="13" t="n">
        <v>0.025</v>
      </c>
      <c r="AT199" s="13" t="n">
        <v>0.005</v>
      </c>
      <c r="AU199" s="13" t="n">
        <v>0.0025</v>
      </c>
      <c r="AV199" s="13" t="n">
        <v>-0.005</v>
      </c>
      <c r="AW199" s="13" t="n">
        <v>0.08375</v>
      </c>
      <c r="AX199" s="13" t="n">
        <v>0.0275</v>
      </c>
      <c r="AY199" s="12" t="n">
        <v>2628094</v>
      </c>
      <c r="AZ199" s="12" t="n">
        <v>2709375</v>
      </c>
      <c r="BA199" s="12" t="n">
        <v>2790656</v>
      </c>
      <c r="BB199" s="12" t="n">
        <v>2702602</v>
      </c>
      <c r="BC199" s="12" t="n">
        <v>2783883</v>
      </c>
      <c r="BD199" s="12" t="n">
        <v>2865164</v>
      </c>
      <c r="BE199" s="12" t="n">
        <v>2860440</v>
      </c>
      <c r="BF199" t="inlineStr">
        <is>
          <t>Frozen values from same rules-based model as formula sheet.</t>
        </is>
      </c>
      <c r="BG199" t="inlineStr">
        <is>
          <t>2026-03-17</t>
        </is>
      </c>
      <c r="BH199" t="inlineStr">
        <is>
          <t>DLD / Digital Dubai / CBUAE / Savills / Knight Frank-Moody’s / Reuters</t>
        </is>
      </c>
    </row>
    <row r="200">
      <c r="A200" t="n">
        <v>199</v>
      </c>
      <c r="B200" t="inlineStr">
        <is>
          <t>Green Vein</t>
        </is>
      </c>
      <c r="C200" t="inlineStr">
        <is>
          <t>DAMAC Properties</t>
        </is>
      </c>
      <c r="D200" t="inlineStr">
        <is>
          <t>DAMAC Riverside</t>
        </is>
      </c>
      <c r="E200" t="inlineStr">
        <is>
          <t>Townhouses</t>
        </is>
      </c>
      <c r="F200" t="inlineStr">
        <is>
          <t>Green / Nature</t>
        </is>
      </c>
      <c r="G200" t="inlineStr">
        <is>
          <t>2.4M</t>
        </is>
      </c>
      <c r="H200" t="inlineStr">
        <is>
          <t>1150</t>
        </is>
      </c>
      <c r="I200" t="inlineStr">
        <is>
          <t>TBA</t>
        </is>
      </c>
      <c r="J200" t="inlineStr">
        <is>
          <t>70/30</t>
        </is>
      </c>
      <c r="K200" t="inlineStr">
        <is>
          <t>2024</t>
        </is>
      </c>
      <c r="L200" t="inlineStr">
        <is>
          <t>6.0-6.5</t>
        </is>
      </c>
      <c r="M200" t="inlineStr">
        <is>
          <t>10-15</t>
        </is>
      </c>
      <c r="N200" t="inlineStr">
        <is>
          <t>16.0-21.5</t>
        </is>
      </c>
      <c r="O200" t="inlineStr">
        <is>
          <t>Greenfield Intl</t>
        </is>
      </c>
      <c r="P200" t="inlineStr">
        <is>
          <t>NMC Royal DIP</t>
        </is>
      </c>
      <c r="Q200" t="inlineStr">
        <is>
          <t>Damac Mall</t>
        </is>
      </c>
      <c r="R200" t="inlineStr">
        <is>
          <t>Yalayis St / E611</t>
        </is>
      </c>
      <c r="S200" t="inlineStr">
        <is>
          <t>25</t>
        </is>
      </c>
      <c r="T200" t="inlineStr">
        <is>
          <t>20</t>
        </is>
      </c>
      <c r="U200" t="inlineStr">
        <is>
          <t>35</t>
        </is>
      </c>
      <c r="V200" t="inlineStr">
        <is>
          <t>15</t>
        </is>
      </c>
      <c r="W200" t="n">
        <v>2</v>
      </c>
      <c r="X200" s="12" t="n">
        <v>2400000</v>
      </c>
      <c r="Y200" s="12" t="n">
        <v>2400000</v>
      </c>
      <c r="Z200" s="9" t="n">
        <v>6</v>
      </c>
      <c r="AA200" s="9" t="n">
        <v>6.5</v>
      </c>
      <c r="AB200" s="9" t="n">
        <v>10</v>
      </c>
      <c r="AC200" s="9" t="n">
        <v>15</v>
      </c>
      <c r="AD200" s="9" t="n">
        <v>16</v>
      </c>
      <c r="AE200" s="9" t="n">
        <v>21.5</v>
      </c>
      <c r="AF200" t="n">
        <v>2024</v>
      </c>
      <c r="AH200" t="inlineStr">
        <is>
          <t>Townhouse</t>
        </is>
      </c>
      <c r="AI200" t="inlineStr">
        <is>
          <t>MainstreamSelective</t>
        </is>
      </c>
      <c r="AJ200" t="inlineStr">
        <is>
          <t>TopTier</t>
        </is>
      </c>
      <c r="AK200" t="inlineStr">
        <is>
          <t>Family-villa resilient</t>
        </is>
      </c>
      <c r="AL200" t="inlineStr">
        <is>
          <t>Villa/townhouse demand remains relatively firmer, though growth should be slower than the post-2020 surge.</t>
        </is>
      </c>
      <c r="AM200" s="9" t="n">
        <v>12.5</v>
      </c>
      <c r="AN200" s="9" t="n">
        <v>6.25</v>
      </c>
      <c r="AO200" s="10" t="n">
        <v>0.55</v>
      </c>
      <c r="AP200" s="13" t="n">
        <v>0</v>
      </c>
      <c r="AQ200" s="13" t="n">
        <v>0.015</v>
      </c>
      <c r="AR200" s="13" t="n">
        <v>0</v>
      </c>
      <c r="AS200" s="13" t="n">
        <v>0.025</v>
      </c>
      <c r="AT200" s="13" t="n">
        <v>0.005</v>
      </c>
      <c r="AU200" s="13" t="n">
        <v>0.0025</v>
      </c>
      <c r="AV200" s="13" t="n">
        <v>-0.005</v>
      </c>
      <c r="AW200" s="13" t="n">
        <v>0.08375</v>
      </c>
      <c r="AX200" s="13" t="n">
        <v>0.0275</v>
      </c>
      <c r="AY200" s="12" t="n">
        <v>2522970</v>
      </c>
      <c r="AZ200" s="12" t="n">
        <v>2601000</v>
      </c>
      <c r="BA200" s="12" t="n">
        <v>2679030</v>
      </c>
      <c r="BB200" s="12" t="n">
        <v>2594498</v>
      </c>
      <c r="BC200" s="12" t="n">
        <v>2672528</v>
      </c>
      <c r="BD200" s="12" t="n">
        <v>2750558</v>
      </c>
      <c r="BE200" s="12" t="n">
        <v>2746022</v>
      </c>
      <c r="BF200" t="inlineStr">
        <is>
          <t>Frozen values from same rules-based model as formula sheet.</t>
        </is>
      </c>
      <c r="BG200" t="inlineStr">
        <is>
          <t>2026-03-17</t>
        </is>
      </c>
      <c r="BH200" t="inlineStr">
        <is>
          <t>DLD / Digital Dubai / CBUAE / Savills / Knight Frank-Moody’s / Reuters</t>
        </is>
      </c>
    </row>
    <row r="201">
      <c r="A201" t="n">
        <v>200</v>
      </c>
      <c r="B201" t="inlineStr">
        <is>
          <t>Safa One</t>
        </is>
      </c>
      <c r="C201" t="inlineStr">
        <is>
          <t>DAMAC Properties</t>
        </is>
      </c>
      <c r="D201" t="inlineStr">
        <is>
          <t>Safa Park</t>
        </is>
      </c>
      <c r="E201" t="inlineStr">
        <is>
          <t>Branded Apts (De Grisogono)</t>
        </is>
      </c>
      <c r="F201" t="inlineStr">
        <is>
          <t>Luxury / Park</t>
        </is>
      </c>
      <c r="G201" t="inlineStr">
        <is>
          <t>4.5M</t>
        </is>
      </c>
      <c r="H201" t="inlineStr">
        <is>
          <t>3000</t>
        </is>
      </c>
      <c r="I201" t="inlineStr">
        <is>
          <t>25+</t>
        </is>
      </c>
      <c r="J201" t="inlineStr">
        <is>
          <t>75/25</t>
        </is>
      </c>
      <c r="K201" t="inlineStr">
        <is>
          <t>2022</t>
        </is>
      </c>
      <c r="L201" t="inlineStr">
        <is>
          <t>5.0-5.5</t>
        </is>
      </c>
      <c r="M201" t="inlineStr">
        <is>
          <t>8-10</t>
        </is>
      </c>
      <c r="N201" t="inlineStr">
        <is>
          <t>13.0-15.5</t>
        </is>
      </c>
      <c r="O201" t="inlineStr">
        <is>
          <t>JESS Jumeirah</t>
        </is>
      </c>
      <c r="P201" t="inlineStr">
        <is>
          <t>Medcare Hospital</t>
        </is>
      </c>
      <c r="Q201" t="inlineStr">
        <is>
          <t>Dubai Mall</t>
        </is>
      </c>
      <c r="R201" t="inlineStr">
        <is>
          <t>Sheikh Zayed E11</t>
        </is>
      </c>
      <c r="S201" t="inlineStr">
        <is>
          <t>5</t>
        </is>
      </c>
      <c r="T201" t="inlineStr">
        <is>
          <t>15</t>
        </is>
      </c>
      <c r="U201" t="inlineStr">
        <is>
          <t>15</t>
        </is>
      </c>
      <c r="V201" t="inlineStr">
        <is>
          <t>35</t>
        </is>
      </c>
      <c r="W201" t="n">
        <v>2</v>
      </c>
      <c r="X201" s="12" t="n">
        <v>4500000</v>
      </c>
      <c r="Y201" s="12" t="n">
        <v>4500000</v>
      </c>
      <c r="Z201" s="9" t="n">
        <v>5</v>
      </c>
      <c r="AA201" s="9" t="n">
        <v>5.5</v>
      </c>
      <c r="AB201" s="9" t="n">
        <v>8</v>
      </c>
      <c r="AC201" s="9" t="n">
        <v>10</v>
      </c>
      <c r="AD201" s="9" t="n">
        <v>13</v>
      </c>
      <c r="AE201" s="9" t="n">
        <v>15.5</v>
      </c>
      <c r="AF201" t="n">
        <v>2022</v>
      </c>
      <c r="AH201" t="inlineStr">
        <is>
          <t>Apartment</t>
        </is>
      </c>
      <c r="AI201" t="inlineStr">
        <is>
          <t>MainstreamSelective</t>
        </is>
      </c>
      <c r="AJ201" t="inlineStr">
        <is>
          <t>TopTier</t>
        </is>
      </c>
      <c r="AK201" t="inlineStr">
        <is>
          <t>Balanced / selective</t>
        </is>
      </c>
      <c r="AL201" t="inlineStr">
        <is>
          <t>Market remains active but increasingly differentiated by developer, micro-location, livability, and pricing discipline.</t>
        </is>
      </c>
      <c r="AM201" s="9" t="n">
        <v>9</v>
      </c>
      <c r="AN201" s="9" t="n">
        <v>5.25</v>
      </c>
      <c r="AO201" s="10" t="n">
        <v>0.55</v>
      </c>
      <c r="AP201" s="13" t="n">
        <v>0</v>
      </c>
      <c r="AQ201" s="13" t="n">
        <v>0</v>
      </c>
      <c r="AR201" s="13" t="n">
        <v>0</v>
      </c>
      <c r="AS201" s="13" t="n">
        <v>0.01</v>
      </c>
      <c r="AT201" s="13" t="n">
        <v>0.005</v>
      </c>
      <c r="AU201" s="13" t="n">
        <v>0</v>
      </c>
      <c r="AV201" s="13" t="n">
        <v>-0.005</v>
      </c>
      <c r="AW201" s="13" t="n">
        <v>0.0495</v>
      </c>
      <c r="AX201" s="13" t="n">
        <v>0.009999999999999998</v>
      </c>
      <c r="AY201" s="12" t="n">
        <v>4581068</v>
      </c>
      <c r="AZ201" s="12" t="n">
        <v>4722750</v>
      </c>
      <c r="BA201" s="12" t="n">
        <v>4864432</v>
      </c>
      <c r="BB201" s="12" t="n">
        <v>4628295</v>
      </c>
      <c r="BC201" s="12" t="n">
        <v>4769978</v>
      </c>
      <c r="BD201" s="12" t="n">
        <v>4911660</v>
      </c>
      <c r="BE201" s="12" t="n">
        <v>4817677</v>
      </c>
      <c r="BF201" t="inlineStr">
        <is>
          <t>Frozen values from same rules-based model as formula sheet.</t>
        </is>
      </c>
      <c r="BG201" t="inlineStr">
        <is>
          <t>2026-03-17</t>
        </is>
      </c>
      <c r="BH201" t="inlineStr">
        <is>
          <t>DLD / Digital Dubai / CBUAE / Savills / Knight Frank-Moody’s / Reuters</t>
        </is>
      </c>
    </row>
    <row r="202">
      <c r="A202" t="n">
        <v>201</v>
      </c>
      <c r="B202" t="inlineStr">
        <is>
          <t>Safa Two</t>
        </is>
      </c>
      <c r="C202" t="inlineStr">
        <is>
          <t>DAMAC Properties</t>
        </is>
      </c>
      <c r="D202" t="inlineStr">
        <is>
          <t>Safa Park</t>
        </is>
      </c>
      <c r="E202" t="inlineStr">
        <is>
          <t>Branded Apts (De Grisogono)</t>
        </is>
      </c>
      <c r="F202" t="inlineStr">
        <is>
          <t>Luxury / Park</t>
        </is>
      </c>
      <c r="G202" t="inlineStr">
        <is>
          <t>3.8M</t>
        </is>
      </c>
      <c r="H202" t="inlineStr">
        <is>
          <t>2800</t>
        </is>
      </c>
      <c r="I202" t="inlineStr">
        <is>
          <t>25+</t>
        </is>
      </c>
      <c r="J202" t="inlineStr">
        <is>
          <t>75/25</t>
        </is>
      </c>
      <c r="K202" t="inlineStr">
        <is>
          <t>2022</t>
        </is>
      </c>
      <c r="L202" t="inlineStr">
        <is>
          <t>5.0-5.5</t>
        </is>
      </c>
      <c r="M202" t="inlineStr">
        <is>
          <t>8-10</t>
        </is>
      </c>
      <c r="N202" t="inlineStr">
        <is>
          <t>13.0-15.5</t>
        </is>
      </c>
      <c r="O202" t="inlineStr">
        <is>
          <t>JESS Jumeirah</t>
        </is>
      </c>
      <c r="P202" t="inlineStr">
        <is>
          <t>Medcare Hospital</t>
        </is>
      </c>
      <c r="Q202" t="inlineStr">
        <is>
          <t>Dubai Mall</t>
        </is>
      </c>
      <c r="R202" t="inlineStr">
        <is>
          <t>Sheikh Zayed E11</t>
        </is>
      </c>
      <c r="S202" t="inlineStr">
        <is>
          <t>5</t>
        </is>
      </c>
      <c r="T202" t="inlineStr">
        <is>
          <t>15</t>
        </is>
      </c>
      <c r="U202" t="inlineStr">
        <is>
          <t>15</t>
        </is>
      </c>
      <c r="V202" t="inlineStr">
        <is>
          <t>35</t>
        </is>
      </c>
      <c r="W202" t="n">
        <v>2</v>
      </c>
      <c r="X202" s="12" t="n">
        <v>3800000</v>
      </c>
      <c r="Y202" s="12" t="n">
        <v>3800000</v>
      </c>
      <c r="Z202" s="9" t="n">
        <v>5</v>
      </c>
      <c r="AA202" s="9" t="n">
        <v>5.5</v>
      </c>
      <c r="AB202" s="9" t="n">
        <v>8</v>
      </c>
      <c r="AC202" s="9" t="n">
        <v>10</v>
      </c>
      <c r="AD202" s="9" t="n">
        <v>13</v>
      </c>
      <c r="AE202" s="9" t="n">
        <v>15.5</v>
      </c>
      <c r="AF202" t="n">
        <v>2022</v>
      </c>
      <c r="AH202" t="inlineStr">
        <is>
          <t>Apartment</t>
        </is>
      </c>
      <c r="AI202" t="inlineStr">
        <is>
          <t>MainstreamSelective</t>
        </is>
      </c>
      <c r="AJ202" t="inlineStr">
        <is>
          <t>TopTier</t>
        </is>
      </c>
      <c r="AK202" t="inlineStr">
        <is>
          <t>Balanced / selective</t>
        </is>
      </c>
      <c r="AL202" t="inlineStr">
        <is>
          <t>Market remains active but increasingly differentiated by developer, micro-location, livability, and pricing discipline.</t>
        </is>
      </c>
      <c r="AM202" s="9" t="n">
        <v>9</v>
      </c>
      <c r="AN202" s="9" t="n">
        <v>5.25</v>
      </c>
      <c r="AO202" s="10" t="n">
        <v>0.55</v>
      </c>
      <c r="AP202" s="13" t="n">
        <v>0</v>
      </c>
      <c r="AQ202" s="13" t="n">
        <v>0</v>
      </c>
      <c r="AR202" s="13" t="n">
        <v>0</v>
      </c>
      <c r="AS202" s="13" t="n">
        <v>0.01</v>
      </c>
      <c r="AT202" s="13" t="n">
        <v>0.005</v>
      </c>
      <c r="AU202" s="13" t="n">
        <v>0</v>
      </c>
      <c r="AV202" s="13" t="n">
        <v>-0.005</v>
      </c>
      <c r="AW202" s="13" t="n">
        <v>0.0495</v>
      </c>
      <c r="AX202" s="13" t="n">
        <v>0.009999999999999998</v>
      </c>
      <c r="AY202" s="12" t="n">
        <v>3868457</v>
      </c>
      <c r="AZ202" s="12" t="n">
        <v>3988100</v>
      </c>
      <c r="BA202" s="12" t="n">
        <v>4107743</v>
      </c>
      <c r="BB202" s="12" t="n">
        <v>3908338</v>
      </c>
      <c r="BC202" s="12" t="n">
        <v>4027981</v>
      </c>
      <c r="BD202" s="12" t="n">
        <v>4147624</v>
      </c>
      <c r="BE202" s="12" t="n">
        <v>4068261</v>
      </c>
      <c r="BF202" t="inlineStr">
        <is>
          <t>Frozen values from same rules-based model as formula sheet.</t>
        </is>
      </c>
      <c r="BG202" t="inlineStr">
        <is>
          <t>2026-03-17</t>
        </is>
      </c>
      <c r="BH202" t="inlineStr">
        <is>
          <t>DLD / Digital Dubai / CBUAE / Savills / Knight Frank-Moody’s / Reuters</t>
        </is>
      </c>
    </row>
    <row r="203">
      <c r="A203" t="n">
        <v>202</v>
      </c>
      <c r="B203" t="inlineStr">
        <is>
          <t>Cavalli Tower</t>
        </is>
      </c>
      <c r="C203" t="inlineStr">
        <is>
          <t>DAMAC Properties</t>
        </is>
      </c>
      <c r="D203" t="inlineStr">
        <is>
          <t>Dubai Marina</t>
        </is>
      </c>
      <c r="E203" t="inlineStr">
        <is>
          <t>Branded Apts (Cavalli)</t>
        </is>
      </c>
      <c r="F203" t="inlineStr">
        <is>
          <t>Ultra-Luxury</t>
        </is>
      </c>
      <c r="G203" t="inlineStr">
        <is>
          <t>18M+</t>
        </is>
      </c>
      <c r="H203" t="inlineStr">
        <is>
          <t>4500</t>
        </is>
      </c>
      <c r="I203" t="inlineStr">
        <is>
          <t>35+</t>
        </is>
      </c>
      <c r="J203" t="inlineStr">
        <is>
          <t>80/20</t>
        </is>
      </c>
      <c r="K203" t="inlineStr">
        <is>
          <t>2021</t>
        </is>
      </c>
      <c r="L203" t="inlineStr">
        <is>
          <t>4.5-5.0</t>
        </is>
      </c>
      <c r="M203" t="inlineStr">
        <is>
          <t>8-12</t>
        </is>
      </c>
      <c r="N203" t="inlineStr">
        <is>
          <t>12.5-17.0</t>
        </is>
      </c>
      <c r="O203" t="inlineStr">
        <is>
          <t>American Univ. Dubai</t>
        </is>
      </c>
      <c r="P203" t="inlineStr">
        <is>
          <t>Saudi German Hospital</t>
        </is>
      </c>
      <c r="Q203" t="inlineStr">
        <is>
          <t>Dubai Marina Mall</t>
        </is>
      </c>
      <c r="R203" t="inlineStr">
        <is>
          <t>Sheikh Zayed E11</t>
        </is>
      </c>
      <c r="S203" t="inlineStr">
        <is>
          <t>20</t>
        </is>
      </c>
      <c r="T203" t="inlineStr">
        <is>
          <t>5</t>
        </is>
      </c>
      <c r="U203" t="inlineStr">
        <is>
          <t>25</t>
        </is>
      </c>
      <c r="V203" t="inlineStr">
        <is>
          <t>30</t>
        </is>
      </c>
      <c r="W203" t="n">
        <v>2</v>
      </c>
      <c r="X203" s="12" t="n">
        <v>18000000</v>
      </c>
      <c r="Y203" s="12" t="n">
        <v>18000000</v>
      </c>
      <c r="Z203" s="9" t="n">
        <v>4.5</v>
      </c>
      <c r="AA203" s="9" t="n">
        <v>5</v>
      </c>
      <c r="AB203" s="9" t="n">
        <v>8</v>
      </c>
      <c r="AC203" s="9" t="n">
        <v>12</v>
      </c>
      <c r="AD203" s="9" t="n">
        <v>12.5</v>
      </c>
      <c r="AE203" s="9" t="n">
        <v>17</v>
      </c>
      <c r="AF203" t="n">
        <v>2021</v>
      </c>
      <c r="AH203" t="inlineStr">
        <is>
          <t>Apartment</t>
        </is>
      </c>
      <c r="AI203" t="inlineStr">
        <is>
          <t>Prime</t>
        </is>
      </c>
      <c r="AJ203" t="inlineStr">
        <is>
          <t>TopTier</t>
        </is>
      </c>
      <c r="AK203" t="inlineStr">
        <is>
          <t>Prime resilient / selective</t>
        </is>
      </c>
      <c r="AL203" t="inlineStr">
        <is>
          <t>Better support from quality, branding, and scarcer prime stock; still entry-price sensitive.</t>
        </is>
      </c>
      <c r="AM203" s="9" t="n">
        <v>10</v>
      </c>
      <c r="AN203" s="9" t="n">
        <v>4.75</v>
      </c>
      <c r="AO203" s="10" t="n">
        <v>0.55</v>
      </c>
      <c r="AP203" s="13" t="n">
        <v>0.02</v>
      </c>
      <c r="AQ203" s="13" t="n">
        <v>0</v>
      </c>
      <c r="AR203" s="13" t="n">
        <v>0</v>
      </c>
      <c r="AS203" s="13" t="n">
        <v>0.03</v>
      </c>
      <c r="AT203" s="13" t="n">
        <v>0.005</v>
      </c>
      <c r="AU203" s="13" t="n">
        <v>0</v>
      </c>
      <c r="AV203" s="13" t="n">
        <v>-0.005</v>
      </c>
      <c r="AW203" s="13" t="n">
        <v>0.07500000000000001</v>
      </c>
      <c r="AX203" s="13" t="n">
        <v>0.03</v>
      </c>
      <c r="AY203" s="12" t="n">
        <v>18769500</v>
      </c>
      <c r="AZ203" s="12" t="n">
        <v>19350000</v>
      </c>
      <c r="BA203" s="12" t="n">
        <v>19930500</v>
      </c>
      <c r="BB203" s="12" t="n">
        <v>19350000</v>
      </c>
      <c r="BC203" s="12" t="n">
        <v>19930500</v>
      </c>
      <c r="BD203" s="12" t="n">
        <v>20511000</v>
      </c>
      <c r="BE203" s="12" t="n">
        <v>20528415</v>
      </c>
      <c r="BF203" t="inlineStr">
        <is>
          <t>Frozen values from same rules-based model as formula sheet.</t>
        </is>
      </c>
      <c r="BG203" t="inlineStr">
        <is>
          <t>2026-03-17</t>
        </is>
      </c>
      <c r="BH203" t="inlineStr">
        <is>
          <t>DLD / Digital Dubai / CBUAE / Savills / Knight Frank-Moody’s / Reuters</t>
        </is>
      </c>
    </row>
    <row r="204">
      <c r="A204" t="n">
        <v>203</v>
      </c>
      <c r="B204" t="inlineStr">
        <is>
          <t>DAMAC Bay 1</t>
        </is>
      </c>
      <c r="C204" t="inlineStr">
        <is>
          <t>DAMAC Properties</t>
        </is>
      </c>
      <c r="D204" t="inlineStr">
        <is>
          <t>Dubai Harbour</t>
        </is>
      </c>
      <c r="E204" t="inlineStr">
        <is>
          <t>Branded Apts</t>
        </is>
      </c>
      <c r="F204" t="inlineStr">
        <is>
          <t>Beachfront</t>
        </is>
      </c>
      <c r="G204" t="inlineStr">
        <is>
          <t>4.5M</t>
        </is>
      </c>
      <c r="H204" t="inlineStr">
        <is>
          <t>3500</t>
        </is>
      </c>
      <c r="I204" t="inlineStr">
        <is>
          <t>30+</t>
        </is>
      </c>
      <c r="J204" t="inlineStr">
        <is>
          <t>80/20</t>
        </is>
      </c>
      <c r="K204" t="inlineStr">
        <is>
          <t>2023</t>
        </is>
      </c>
      <c r="L204" t="inlineStr">
        <is>
          <t>5.0-5.5</t>
        </is>
      </c>
      <c r="M204" t="inlineStr">
        <is>
          <t>10-15</t>
        </is>
      </c>
      <c r="N204" t="inlineStr">
        <is>
          <t>15.0-20.5</t>
        </is>
      </c>
      <c r="O204" t="inlineStr">
        <is>
          <t>American Univ. Dubai</t>
        </is>
      </c>
      <c r="P204" t="inlineStr">
        <is>
          <t>Saudi German Hospital</t>
        </is>
      </c>
      <c r="Q204" t="inlineStr">
        <is>
          <t>Dubai Marina Mall</t>
        </is>
      </c>
      <c r="R204" t="inlineStr">
        <is>
          <t>Sheikh Zayed E11</t>
        </is>
      </c>
      <c r="S204" t="inlineStr">
        <is>
          <t>20</t>
        </is>
      </c>
      <c r="T204" t="inlineStr">
        <is>
          <t>5</t>
        </is>
      </c>
      <c r="U204" t="inlineStr">
        <is>
          <t>25</t>
        </is>
      </c>
      <c r="V204" t="inlineStr">
        <is>
          <t>30</t>
        </is>
      </c>
      <c r="W204" t="n">
        <v>2</v>
      </c>
      <c r="X204" s="12" t="n">
        <v>4500000</v>
      </c>
      <c r="Y204" s="12" t="n">
        <v>4500000</v>
      </c>
      <c r="Z204" s="9" t="n">
        <v>5</v>
      </c>
      <c r="AA204" s="9" t="n">
        <v>5.5</v>
      </c>
      <c r="AB204" s="9" t="n">
        <v>10</v>
      </c>
      <c r="AC204" s="9" t="n">
        <v>15</v>
      </c>
      <c r="AD204" s="9" t="n">
        <v>15</v>
      </c>
      <c r="AE204" s="9" t="n">
        <v>20.5</v>
      </c>
      <c r="AF204" t="n">
        <v>2023</v>
      </c>
      <c r="AH204" t="inlineStr">
        <is>
          <t>Apartment</t>
        </is>
      </c>
      <c r="AI204" t="inlineStr">
        <is>
          <t>MainstreamSelective</t>
        </is>
      </c>
      <c r="AJ204" t="inlineStr">
        <is>
          <t>TopTier</t>
        </is>
      </c>
      <c r="AK204" t="inlineStr">
        <is>
          <t>Balanced / selective</t>
        </is>
      </c>
      <c r="AL204" t="inlineStr">
        <is>
          <t>Market remains active but increasingly differentiated by developer, micro-location, livability, and pricing discipline.</t>
        </is>
      </c>
      <c r="AM204" s="9" t="n">
        <v>12.5</v>
      </c>
      <c r="AN204" s="9" t="n">
        <v>5.25</v>
      </c>
      <c r="AO204" s="10" t="n">
        <v>0.55</v>
      </c>
      <c r="AP204" s="13" t="n">
        <v>0</v>
      </c>
      <c r="AQ204" s="13" t="n">
        <v>0</v>
      </c>
      <c r="AR204" s="13" t="n">
        <v>0</v>
      </c>
      <c r="AS204" s="13" t="n">
        <v>0.01</v>
      </c>
      <c r="AT204" s="13" t="n">
        <v>0.005</v>
      </c>
      <c r="AU204" s="13" t="n">
        <v>0</v>
      </c>
      <c r="AV204" s="13" t="n">
        <v>-0.005</v>
      </c>
      <c r="AW204" s="13" t="n">
        <v>0.06875000000000001</v>
      </c>
      <c r="AX204" s="13" t="n">
        <v>0.009999999999999998</v>
      </c>
      <c r="AY204" s="12" t="n">
        <v>4665094</v>
      </c>
      <c r="AZ204" s="12" t="n">
        <v>4809375</v>
      </c>
      <c r="BA204" s="12" t="n">
        <v>4953656</v>
      </c>
      <c r="BB204" s="12" t="n">
        <v>4713188</v>
      </c>
      <c r="BC204" s="12" t="n">
        <v>4857469</v>
      </c>
      <c r="BD204" s="12" t="n">
        <v>5001750</v>
      </c>
      <c r="BE204" s="12" t="n">
        <v>4906043</v>
      </c>
      <c r="BF204" t="inlineStr">
        <is>
          <t>Frozen values from same rules-based model as formula sheet.</t>
        </is>
      </c>
      <c r="BG204" t="inlineStr">
        <is>
          <t>2026-03-17</t>
        </is>
      </c>
      <c r="BH204" t="inlineStr">
        <is>
          <t>DLD / Digital Dubai / CBUAE / Savills / Knight Frank-Moody’s / Reuters</t>
        </is>
      </c>
    </row>
    <row r="205">
      <c r="A205" t="n">
        <v>204</v>
      </c>
      <c r="B205" t="inlineStr">
        <is>
          <t>DAMAC Bay 2</t>
        </is>
      </c>
      <c r="C205" t="inlineStr">
        <is>
          <t>DAMAC Properties</t>
        </is>
      </c>
      <c r="D205" t="inlineStr">
        <is>
          <t>Dubai Harbour</t>
        </is>
      </c>
      <c r="E205" t="inlineStr">
        <is>
          <t>Branded Apts</t>
        </is>
      </c>
      <c r="F205" t="inlineStr">
        <is>
          <t>Beachfront</t>
        </is>
      </c>
      <c r="G205" t="inlineStr">
        <is>
          <t>5.0M</t>
        </is>
      </c>
      <c r="H205" t="inlineStr">
        <is>
          <t>3600</t>
        </is>
      </c>
      <c r="I205" t="inlineStr">
        <is>
          <t>30+</t>
        </is>
      </c>
      <c r="J205" t="inlineStr">
        <is>
          <t>80/20</t>
        </is>
      </c>
      <c r="K205" t="inlineStr">
        <is>
          <t>2023</t>
        </is>
      </c>
      <c r="L205" t="inlineStr">
        <is>
          <t>5.0-5.5</t>
        </is>
      </c>
      <c r="M205" t="inlineStr">
        <is>
          <t>10-15</t>
        </is>
      </c>
      <c r="N205" t="inlineStr">
        <is>
          <t>15.0-20.5</t>
        </is>
      </c>
      <c r="O205" t="inlineStr">
        <is>
          <t>American Univ. Dubai</t>
        </is>
      </c>
      <c r="P205" t="inlineStr">
        <is>
          <t>Saudi German Hospital</t>
        </is>
      </c>
      <c r="Q205" t="inlineStr">
        <is>
          <t>Dubai Marina Mall</t>
        </is>
      </c>
      <c r="R205" t="inlineStr">
        <is>
          <t>Sheikh Zayed E11</t>
        </is>
      </c>
      <c r="S205" t="inlineStr">
        <is>
          <t>20</t>
        </is>
      </c>
      <c r="T205" t="inlineStr">
        <is>
          <t>5</t>
        </is>
      </c>
      <c r="U205" t="inlineStr">
        <is>
          <t>25</t>
        </is>
      </c>
      <c r="V205" t="inlineStr">
        <is>
          <t>30</t>
        </is>
      </c>
      <c r="W205" t="n">
        <v>2</v>
      </c>
      <c r="X205" s="12" t="n">
        <v>5000000</v>
      </c>
      <c r="Y205" s="12" t="n">
        <v>5000000</v>
      </c>
      <c r="Z205" s="9" t="n">
        <v>5</v>
      </c>
      <c r="AA205" s="9" t="n">
        <v>5.5</v>
      </c>
      <c r="AB205" s="9" t="n">
        <v>10</v>
      </c>
      <c r="AC205" s="9" t="n">
        <v>15</v>
      </c>
      <c r="AD205" s="9" t="n">
        <v>15</v>
      </c>
      <c r="AE205" s="9" t="n">
        <v>20.5</v>
      </c>
      <c r="AF205" t="n">
        <v>2023</v>
      </c>
      <c r="AH205" t="inlineStr">
        <is>
          <t>Apartment</t>
        </is>
      </c>
      <c r="AI205" t="inlineStr">
        <is>
          <t>MainstreamSelective</t>
        </is>
      </c>
      <c r="AJ205" t="inlineStr">
        <is>
          <t>TopTier</t>
        </is>
      </c>
      <c r="AK205" t="inlineStr">
        <is>
          <t>Balanced / selective</t>
        </is>
      </c>
      <c r="AL205" t="inlineStr">
        <is>
          <t>Market remains active but increasingly differentiated by developer, micro-location, livability, and pricing discipline.</t>
        </is>
      </c>
      <c r="AM205" s="9" t="n">
        <v>12.5</v>
      </c>
      <c r="AN205" s="9" t="n">
        <v>5.25</v>
      </c>
      <c r="AO205" s="10" t="n">
        <v>0.55</v>
      </c>
      <c r="AP205" s="13" t="n">
        <v>0</v>
      </c>
      <c r="AQ205" s="13" t="n">
        <v>0</v>
      </c>
      <c r="AR205" s="13" t="n">
        <v>0</v>
      </c>
      <c r="AS205" s="13" t="n">
        <v>0.01</v>
      </c>
      <c r="AT205" s="13" t="n">
        <v>0.005</v>
      </c>
      <c r="AU205" s="13" t="n">
        <v>0</v>
      </c>
      <c r="AV205" s="13" t="n">
        <v>-0.005</v>
      </c>
      <c r="AW205" s="13" t="n">
        <v>0.06875000000000001</v>
      </c>
      <c r="AX205" s="13" t="n">
        <v>0.009999999999999998</v>
      </c>
      <c r="AY205" s="12" t="n">
        <v>5183438</v>
      </c>
      <c r="AZ205" s="12" t="n">
        <v>5343750</v>
      </c>
      <c r="BA205" s="12" t="n">
        <v>5504062</v>
      </c>
      <c r="BB205" s="12" t="n">
        <v>5236875</v>
      </c>
      <c r="BC205" s="12" t="n">
        <v>5397188</v>
      </c>
      <c r="BD205" s="12" t="n">
        <v>5557500</v>
      </c>
      <c r="BE205" s="12" t="n">
        <v>5451159</v>
      </c>
      <c r="BF205" t="inlineStr">
        <is>
          <t>Frozen values from same rules-based model as formula sheet.</t>
        </is>
      </c>
      <c r="BG205" t="inlineStr">
        <is>
          <t>2026-03-17</t>
        </is>
      </c>
      <c r="BH205" t="inlineStr">
        <is>
          <t>DLD / Digital Dubai / CBUAE / Savills / Knight Frank-Moody’s / Reuters</t>
        </is>
      </c>
    </row>
    <row r="206">
      <c r="A206" t="n">
        <v>205</v>
      </c>
      <c r="B206" t="inlineStr">
        <is>
          <t>Canal Crown</t>
        </is>
      </c>
      <c r="C206" t="inlineStr">
        <is>
          <t>DAMAC Properties</t>
        </is>
      </c>
      <c r="D206" t="inlineStr">
        <is>
          <t>Business Bay</t>
        </is>
      </c>
      <c r="E206" t="inlineStr">
        <is>
          <t>Branded Apts</t>
        </is>
      </c>
      <c r="F206" t="inlineStr">
        <is>
          <t>Canal View</t>
        </is>
      </c>
      <c r="G206" t="inlineStr">
        <is>
          <t>2.8M</t>
        </is>
      </c>
      <c r="H206" t="inlineStr">
        <is>
          <t>2500</t>
        </is>
      </c>
      <c r="I206" t="inlineStr">
        <is>
          <t>25</t>
        </is>
      </c>
      <c r="J206" t="inlineStr">
        <is>
          <t>80/20</t>
        </is>
      </c>
      <c r="K206" t="inlineStr">
        <is>
          <t>2023</t>
        </is>
      </c>
      <c r="L206" t="inlineStr">
        <is>
          <t>5.5-6.0</t>
        </is>
      </c>
      <c r="M206" t="inlineStr">
        <is>
          <t>8-10</t>
        </is>
      </c>
      <c r="N206" t="inlineStr">
        <is>
          <t>13.5-16.0</t>
        </is>
      </c>
      <c r="O206" t="inlineStr">
        <is>
          <t>Hartland Intl</t>
        </is>
      </c>
      <c r="P206" t="inlineStr">
        <is>
          <t>Emirates Hospital BB</t>
        </is>
      </c>
      <c r="Q206" t="inlineStr">
        <is>
          <t>Dubai Mall</t>
        </is>
      </c>
      <c r="R206" t="inlineStr">
        <is>
          <t>Al Khail E44</t>
        </is>
      </c>
      <c r="S206" t="inlineStr">
        <is>
          <t>5</t>
        </is>
      </c>
      <c r="T206" t="inlineStr">
        <is>
          <t>20</t>
        </is>
      </c>
      <c r="U206" t="inlineStr">
        <is>
          <t>15</t>
        </is>
      </c>
      <c r="V206" t="inlineStr">
        <is>
          <t>35</t>
        </is>
      </c>
      <c r="W206" t="n">
        <v>2</v>
      </c>
      <c r="X206" s="12" t="n">
        <v>2800000</v>
      </c>
      <c r="Y206" s="12" t="n">
        <v>2800000</v>
      </c>
      <c r="Z206" s="9" t="n">
        <v>5.5</v>
      </c>
      <c r="AA206" s="9" t="n">
        <v>6</v>
      </c>
      <c r="AB206" s="9" t="n">
        <v>8</v>
      </c>
      <c r="AC206" s="9" t="n">
        <v>10</v>
      </c>
      <c r="AD206" s="9" t="n">
        <v>13.5</v>
      </c>
      <c r="AE206" s="9" t="n">
        <v>16</v>
      </c>
      <c r="AF206" t="n">
        <v>2023</v>
      </c>
      <c r="AH206" t="inlineStr">
        <is>
          <t>Apartment</t>
        </is>
      </c>
      <c r="AI206" t="inlineStr">
        <is>
          <t>Prime</t>
        </is>
      </c>
      <c r="AJ206" t="inlineStr">
        <is>
          <t>TopTier</t>
        </is>
      </c>
      <c r="AK206" t="inlineStr">
        <is>
          <t>Prime resilient / selective</t>
        </is>
      </c>
      <c r="AL206" t="inlineStr">
        <is>
          <t>Better support from quality, branding, and scarcer prime stock; still entry-price sensitive.</t>
        </is>
      </c>
      <c r="AM206" s="9" t="n">
        <v>9</v>
      </c>
      <c r="AN206" s="9" t="n">
        <v>5.75</v>
      </c>
      <c r="AO206" s="10" t="n">
        <v>0.55</v>
      </c>
      <c r="AP206" s="13" t="n">
        <v>0.02</v>
      </c>
      <c r="AQ206" s="13" t="n">
        <v>0</v>
      </c>
      <c r="AR206" s="13" t="n">
        <v>0</v>
      </c>
      <c r="AS206" s="13" t="n">
        <v>0.03</v>
      </c>
      <c r="AT206" s="13" t="n">
        <v>0.005</v>
      </c>
      <c r="AU206" s="13" t="n">
        <v>0</v>
      </c>
      <c r="AV206" s="13" t="n">
        <v>-0.005</v>
      </c>
      <c r="AW206" s="13" t="n">
        <v>0.06950000000000001</v>
      </c>
      <c r="AX206" s="13" t="n">
        <v>0.03</v>
      </c>
      <c r="AY206" s="12" t="n">
        <v>2904762</v>
      </c>
      <c r="AZ206" s="12" t="n">
        <v>2994600</v>
      </c>
      <c r="BA206" s="12" t="n">
        <v>3084438</v>
      </c>
      <c r="BB206" s="12" t="n">
        <v>2994600</v>
      </c>
      <c r="BC206" s="12" t="n">
        <v>3084438</v>
      </c>
      <c r="BD206" s="12" t="n">
        <v>3174276</v>
      </c>
      <c r="BE206" s="12" t="n">
        <v>3176971</v>
      </c>
      <c r="BF206" t="inlineStr">
        <is>
          <t>Frozen values from same rules-based model as formula sheet.</t>
        </is>
      </c>
      <c r="BG206" t="inlineStr">
        <is>
          <t>2026-03-17</t>
        </is>
      </c>
      <c r="BH206" t="inlineStr">
        <is>
          <t>DLD / Digital Dubai / CBUAE / Savills / Knight Frank-Moody’s / Reuters</t>
        </is>
      </c>
    </row>
    <row r="207">
      <c r="A207" t="n">
        <v>206</v>
      </c>
      <c r="B207" t="inlineStr">
        <is>
          <t>Volta</t>
        </is>
      </c>
      <c r="C207" t="inlineStr">
        <is>
          <t>DAMAC Properties</t>
        </is>
      </c>
      <c r="D207" t="inlineStr">
        <is>
          <t>Sheikh Zayed Road</t>
        </is>
      </c>
      <c r="E207" t="inlineStr">
        <is>
          <t>Apartments</t>
        </is>
      </c>
      <c r="F207" t="inlineStr">
        <is>
          <t>Fitness / High-Rise</t>
        </is>
      </c>
      <c r="G207" t="inlineStr">
        <is>
          <t>2.5M</t>
        </is>
      </c>
      <c r="H207" t="inlineStr">
        <is>
          <t>2400</t>
        </is>
      </c>
      <c r="I207" t="inlineStr">
        <is>
          <t>25</t>
        </is>
      </c>
      <c r="J207" t="inlineStr">
        <is>
          <t>80/20</t>
        </is>
      </c>
      <c r="K207" t="inlineStr">
        <is>
          <t>2023</t>
        </is>
      </c>
      <c r="L207" t="inlineStr">
        <is>
          <t>5.5-6.0</t>
        </is>
      </c>
      <c r="M207" t="inlineStr">
        <is>
          <t>7-9</t>
        </is>
      </c>
      <c r="N207" t="inlineStr">
        <is>
          <t>12.5-15.0</t>
        </is>
      </c>
      <c r="O207" t="inlineStr">
        <is>
          <t>Hartland Intl</t>
        </is>
      </c>
      <c r="P207" t="inlineStr">
        <is>
          <t>Mediclinic Dubai Mall</t>
        </is>
      </c>
      <c r="Q207" t="inlineStr">
        <is>
          <t>Dubai Mall</t>
        </is>
      </c>
      <c r="R207" t="inlineStr">
        <is>
          <t>Sheikh Zayed E11</t>
        </is>
      </c>
      <c r="S207" t="inlineStr">
        <is>
          <t>5</t>
        </is>
      </c>
      <c r="T207" t="inlineStr">
        <is>
          <t>20</t>
        </is>
      </c>
      <c r="U207" t="inlineStr">
        <is>
          <t>15</t>
        </is>
      </c>
      <c r="V207" t="inlineStr">
        <is>
          <t>35</t>
        </is>
      </c>
      <c r="W207" t="n">
        <v>2</v>
      </c>
      <c r="X207" s="12" t="n">
        <v>2500000</v>
      </c>
      <c r="Y207" s="12" t="n">
        <v>2500000</v>
      </c>
      <c r="Z207" s="9" t="n">
        <v>5.5</v>
      </c>
      <c r="AA207" s="9" t="n">
        <v>6</v>
      </c>
      <c r="AB207" s="9" t="n">
        <v>7</v>
      </c>
      <c r="AC207" s="9" t="n">
        <v>9</v>
      </c>
      <c r="AD207" s="9" t="n">
        <v>12.5</v>
      </c>
      <c r="AE207" s="9" t="n">
        <v>15</v>
      </c>
      <c r="AF207" t="n">
        <v>2023</v>
      </c>
      <c r="AH207" t="inlineStr">
        <is>
          <t>Apartment</t>
        </is>
      </c>
      <c r="AI207" t="inlineStr">
        <is>
          <t>MainstreamSelective</t>
        </is>
      </c>
      <c r="AJ207" t="inlineStr">
        <is>
          <t>TopTier</t>
        </is>
      </c>
      <c r="AK207" t="inlineStr">
        <is>
          <t>Balanced / selective</t>
        </is>
      </c>
      <c r="AL207" t="inlineStr">
        <is>
          <t>Market remains active but increasingly differentiated by developer, micro-location, livability, and pricing discipline.</t>
        </is>
      </c>
      <c r="AM207" s="9" t="n">
        <v>8</v>
      </c>
      <c r="AN207" s="9" t="n">
        <v>5.75</v>
      </c>
      <c r="AO207" s="10" t="n">
        <v>0.55</v>
      </c>
      <c r="AP207" s="13" t="n">
        <v>0</v>
      </c>
      <c r="AQ207" s="13" t="n">
        <v>0</v>
      </c>
      <c r="AR207" s="13" t="n">
        <v>0</v>
      </c>
      <c r="AS207" s="13" t="n">
        <v>0.01</v>
      </c>
      <c r="AT207" s="13" t="n">
        <v>0.005</v>
      </c>
      <c r="AU207" s="13" t="n">
        <v>0</v>
      </c>
      <c r="AV207" s="13" t="n">
        <v>-0.005</v>
      </c>
      <c r="AW207" s="13" t="n">
        <v>0.044</v>
      </c>
      <c r="AX207" s="13" t="n">
        <v>0.009999999999999998</v>
      </c>
      <c r="AY207" s="12" t="n">
        <v>2531700</v>
      </c>
      <c r="AZ207" s="12" t="n">
        <v>2610000</v>
      </c>
      <c r="BA207" s="12" t="n">
        <v>2688300</v>
      </c>
      <c r="BB207" s="12" t="n">
        <v>2557800</v>
      </c>
      <c r="BC207" s="12" t="n">
        <v>2636100</v>
      </c>
      <c r="BD207" s="12" t="n">
        <v>2714400</v>
      </c>
      <c r="BE207" s="12" t="n">
        <v>2662461</v>
      </c>
      <c r="BF207" t="inlineStr">
        <is>
          <t>Frozen values from same rules-based model as formula sheet.</t>
        </is>
      </c>
      <c r="BG207" t="inlineStr">
        <is>
          <t>2026-03-17</t>
        </is>
      </c>
      <c r="BH207" t="inlineStr">
        <is>
          <t>DLD / Digital Dubai / CBUAE / Savills / Knight Frank-Moody’s / Reuters</t>
        </is>
      </c>
    </row>
    <row r="208">
      <c r="A208" t="n">
        <v>207</v>
      </c>
      <c r="B208" t="inlineStr">
        <is>
          <t>Chic Tower</t>
        </is>
      </c>
      <c r="C208" t="inlineStr">
        <is>
          <t>DAMAC Properties</t>
        </is>
      </c>
      <c r="D208" t="inlineStr">
        <is>
          <t>Business Bay</t>
        </is>
      </c>
      <c r="E208" t="inlineStr">
        <is>
          <t>Branded Apts</t>
        </is>
      </c>
      <c r="F208" t="inlineStr">
        <is>
          <t>Design / Canal</t>
        </is>
      </c>
      <c r="G208" t="inlineStr">
        <is>
          <t>3.0M</t>
        </is>
      </c>
      <c r="H208" t="inlineStr">
        <is>
          <t>2600</t>
        </is>
      </c>
      <c r="I208" t="inlineStr">
        <is>
          <t>25</t>
        </is>
      </c>
      <c r="J208" t="inlineStr">
        <is>
          <t>80/20</t>
        </is>
      </c>
      <c r="K208" t="inlineStr">
        <is>
          <t>2022</t>
        </is>
      </c>
      <c r="L208" t="inlineStr">
        <is>
          <t>5.5-6.0</t>
        </is>
      </c>
      <c r="M208" t="inlineStr">
        <is>
          <t>7-9</t>
        </is>
      </c>
      <c r="N208" t="inlineStr">
        <is>
          <t>12.5-15.0</t>
        </is>
      </c>
      <c r="O208" t="inlineStr">
        <is>
          <t>Hartland Intl</t>
        </is>
      </c>
      <c r="P208" t="inlineStr">
        <is>
          <t>Emirates Hospital BB</t>
        </is>
      </c>
      <c r="Q208" t="inlineStr">
        <is>
          <t>Dubai Mall</t>
        </is>
      </c>
      <c r="R208" t="inlineStr">
        <is>
          <t>Al Khail E44</t>
        </is>
      </c>
      <c r="S208" t="inlineStr">
        <is>
          <t>5</t>
        </is>
      </c>
      <c r="T208" t="inlineStr">
        <is>
          <t>20</t>
        </is>
      </c>
      <c r="U208" t="inlineStr">
        <is>
          <t>15</t>
        </is>
      </c>
      <c r="V208" t="inlineStr">
        <is>
          <t>35</t>
        </is>
      </c>
      <c r="W208" t="n">
        <v>2</v>
      </c>
      <c r="X208" s="12" t="n">
        <v>3000000</v>
      </c>
      <c r="Y208" s="12" t="n">
        <v>3000000</v>
      </c>
      <c r="Z208" s="9" t="n">
        <v>5.5</v>
      </c>
      <c r="AA208" s="9" t="n">
        <v>6</v>
      </c>
      <c r="AB208" s="9" t="n">
        <v>7</v>
      </c>
      <c r="AC208" s="9" t="n">
        <v>9</v>
      </c>
      <c r="AD208" s="9" t="n">
        <v>12.5</v>
      </c>
      <c r="AE208" s="9" t="n">
        <v>15</v>
      </c>
      <c r="AF208" t="n">
        <v>2022</v>
      </c>
      <c r="AH208" t="inlineStr">
        <is>
          <t>Apartment</t>
        </is>
      </c>
      <c r="AI208" t="inlineStr">
        <is>
          <t>Prime</t>
        </is>
      </c>
      <c r="AJ208" t="inlineStr">
        <is>
          <t>TopTier</t>
        </is>
      </c>
      <c r="AK208" t="inlineStr">
        <is>
          <t>Prime resilient / selective</t>
        </is>
      </c>
      <c r="AL208" t="inlineStr">
        <is>
          <t>Better support from quality, branding, and scarcer prime stock; still entry-price sensitive.</t>
        </is>
      </c>
      <c r="AM208" s="9" t="n">
        <v>8</v>
      </c>
      <c r="AN208" s="9" t="n">
        <v>5.75</v>
      </c>
      <c r="AO208" s="10" t="n">
        <v>0.55</v>
      </c>
      <c r="AP208" s="13" t="n">
        <v>0.02</v>
      </c>
      <c r="AQ208" s="13" t="n">
        <v>0</v>
      </c>
      <c r="AR208" s="13" t="n">
        <v>0</v>
      </c>
      <c r="AS208" s="13" t="n">
        <v>0.03</v>
      </c>
      <c r="AT208" s="13" t="n">
        <v>0.005</v>
      </c>
      <c r="AU208" s="13" t="n">
        <v>0</v>
      </c>
      <c r="AV208" s="13" t="n">
        <v>-0.005</v>
      </c>
      <c r="AW208" s="13" t="n">
        <v>0.064</v>
      </c>
      <c r="AX208" s="13" t="n">
        <v>0.03</v>
      </c>
      <c r="AY208" s="12" t="n">
        <v>3096240</v>
      </c>
      <c r="AZ208" s="12" t="n">
        <v>3192000</v>
      </c>
      <c r="BA208" s="12" t="n">
        <v>3287760</v>
      </c>
      <c r="BB208" s="12" t="n">
        <v>3192000</v>
      </c>
      <c r="BC208" s="12" t="n">
        <v>3287760</v>
      </c>
      <c r="BD208" s="12" t="n">
        <v>3383520</v>
      </c>
      <c r="BE208" s="12" t="n">
        <v>3386393</v>
      </c>
      <c r="BF208" t="inlineStr">
        <is>
          <t>Frozen values from same rules-based model as formula sheet.</t>
        </is>
      </c>
      <c r="BG208" t="inlineStr">
        <is>
          <t>2026-03-17</t>
        </is>
      </c>
      <c r="BH208" t="inlineStr">
        <is>
          <t>DLD / Digital Dubai / CBUAE / Savills / Knight Frank-Moody’s / Reuters</t>
        </is>
      </c>
    </row>
    <row r="209">
      <c r="A209" t="n">
        <v>208</v>
      </c>
      <c r="B209" t="inlineStr">
        <is>
          <t>Elegance Tower</t>
        </is>
      </c>
      <c r="C209" t="inlineStr">
        <is>
          <t>DAMAC Properties</t>
        </is>
      </c>
      <c r="D209" t="inlineStr">
        <is>
          <t>Downtown Dubai</t>
        </is>
      </c>
      <c r="E209" t="inlineStr">
        <is>
          <t>Branded Apts</t>
        </is>
      </c>
      <c r="F209" t="inlineStr">
        <is>
          <t>Luxury / City</t>
        </is>
      </c>
      <c r="G209" t="inlineStr">
        <is>
          <t>2.8M</t>
        </is>
      </c>
      <c r="H209" t="inlineStr">
        <is>
          <t>2800</t>
        </is>
      </c>
      <c r="I209" t="inlineStr">
        <is>
          <t>28</t>
        </is>
      </c>
      <c r="J209" t="inlineStr">
        <is>
          <t>80/20</t>
        </is>
      </c>
      <c r="K209" t="inlineStr">
        <is>
          <t>2022</t>
        </is>
      </c>
      <c r="L209" t="inlineStr">
        <is>
          <t>5.5-6.0</t>
        </is>
      </c>
      <c r="M209" t="inlineStr">
        <is>
          <t>7-9</t>
        </is>
      </c>
      <c r="N209" t="inlineStr">
        <is>
          <t>12.5-15.0</t>
        </is>
      </c>
      <c r="O209" t="inlineStr">
        <is>
          <t>Hartland Intl</t>
        </is>
      </c>
      <c r="P209" t="inlineStr">
        <is>
          <t>Mediclinic Dubai Mall</t>
        </is>
      </c>
      <c r="Q209" t="inlineStr">
        <is>
          <t>Dubai Mall</t>
        </is>
      </c>
      <c r="R209" t="inlineStr">
        <is>
          <t>Financial Ctr Rd</t>
        </is>
      </c>
      <c r="S209" t="inlineStr">
        <is>
          <t>5</t>
        </is>
      </c>
      <c r="T209" t="inlineStr">
        <is>
          <t>20</t>
        </is>
      </c>
      <c r="U209" t="inlineStr">
        <is>
          <t>15</t>
        </is>
      </c>
      <c r="V209" t="inlineStr">
        <is>
          <t>35</t>
        </is>
      </c>
      <c r="W209" t="n">
        <v>2</v>
      </c>
      <c r="X209" s="12" t="n">
        <v>2800000</v>
      </c>
      <c r="Y209" s="12" t="n">
        <v>2800000</v>
      </c>
      <c r="Z209" s="9" t="n">
        <v>5.5</v>
      </c>
      <c r="AA209" s="9" t="n">
        <v>6</v>
      </c>
      <c r="AB209" s="9" t="n">
        <v>7</v>
      </c>
      <c r="AC209" s="9" t="n">
        <v>9</v>
      </c>
      <c r="AD209" s="9" t="n">
        <v>12.5</v>
      </c>
      <c r="AE209" s="9" t="n">
        <v>15</v>
      </c>
      <c r="AF209" t="n">
        <v>2022</v>
      </c>
      <c r="AH209" t="inlineStr">
        <is>
          <t>Apartment</t>
        </is>
      </c>
      <c r="AI209" t="inlineStr">
        <is>
          <t>Prime</t>
        </is>
      </c>
      <c r="AJ209" t="inlineStr">
        <is>
          <t>TopTier</t>
        </is>
      </c>
      <c r="AK209" t="inlineStr">
        <is>
          <t>Prime resilient / selective</t>
        </is>
      </c>
      <c r="AL209" t="inlineStr">
        <is>
          <t>Better support from quality, branding, and scarcer prime stock; still entry-price sensitive.</t>
        </is>
      </c>
      <c r="AM209" s="9" t="n">
        <v>8</v>
      </c>
      <c r="AN209" s="9" t="n">
        <v>5.75</v>
      </c>
      <c r="AO209" s="10" t="n">
        <v>0.55</v>
      </c>
      <c r="AP209" s="13" t="n">
        <v>0.02</v>
      </c>
      <c r="AQ209" s="13" t="n">
        <v>0</v>
      </c>
      <c r="AR209" s="13" t="n">
        <v>0</v>
      </c>
      <c r="AS209" s="13" t="n">
        <v>0.03</v>
      </c>
      <c r="AT209" s="13" t="n">
        <v>0.005</v>
      </c>
      <c r="AU209" s="13" t="n">
        <v>0</v>
      </c>
      <c r="AV209" s="13" t="n">
        <v>-0.005</v>
      </c>
      <c r="AW209" s="13" t="n">
        <v>0.064</v>
      </c>
      <c r="AX209" s="13" t="n">
        <v>0.03</v>
      </c>
      <c r="AY209" s="12" t="n">
        <v>2889824</v>
      </c>
      <c r="AZ209" s="12" t="n">
        <v>2979200</v>
      </c>
      <c r="BA209" s="12" t="n">
        <v>3068576</v>
      </c>
      <c r="BB209" s="12" t="n">
        <v>2979200</v>
      </c>
      <c r="BC209" s="12" t="n">
        <v>3068576</v>
      </c>
      <c r="BD209" s="12" t="n">
        <v>3157952</v>
      </c>
      <c r="BE209" s="12" t="n">
        <v>3160633</v>
      </c>
      <c r="BF209" t="inlineStr">
        <is>
          <t>Frozen values from same rules-based model as formula sheet.</t>
        </is>
      </c>
      <c r="BG209" t="inlineStr">
        <is>
          <t>2026-03-17</t>
        </is>
      </c>
      <c r="BH209" t="inlineStr">
        <is>
          <t>DLD / Digital Dubai / CBUAE / Savills / Knight Frank-Moody’s / Reuters</t>
        </is>
      </c>
    </row>
    <row r="210">
      <c r="A210" t="n">
        <v>209</v>
      </c>
      <c r="B210" t="inlineStr">
        <is>
          <t>Coral Reef</t>
        </is>
      </c>
      <c r="C210" t="inlineStr">
        <is>
          <t>DAMAC Properties</t>
        </is>
      </c>
      <c r="D210" t="inlineStr">
        <is>
          <t>Dubai Maritime City</t>
        </is>
      </c>
      <c r="E210" t="inlineStr">
        <is>
          <t>Apartments</t>
        </is>
      </c>
      <c r="F210" t="inlineStr">
        <is>
          <t>Art / Sea View</t>
        </is>
      </c>
      <c r="G210" t="inlineStr">
        <is>
          <t>1.8M</t>
        </is>
      </c>
      <c r="H210" t="inlineStr">
        <is>
          <t>2200</t>
        </is>
      </c>
      <c r="I210" t="inlineStr">
        <is>
          <t>25</t>
        </is>
      </c>
      <c r="J210" t="inlineStr">
        <is>
          <t>70/30</t>
        </is>
      </c>
      <c r="K210" t="inlineStr">
        <is>
          <t>2023</t>
        </is>
      </c>
      <c r="L210" t="inlineStr">
        <is>
          <t>6.0-6.5</t>
        </is>
      </c>
      <c r="M210" t="inlineStr">
        <is>
          <t>8-12</t>
        </is>
      </c>
      <c r="N210" t="inlineStr">
        <is>
          <t>14.0-18.5</t>
        </is>
      </c>
      <c r="O210" t="inlineStr">
        <is>
          <t>New Academy School</t>
        </is>
      </c>
      <c r="P210" t="inlineStr">
        <is>
          <t>Aster Hospital Mankhool</t>
        </is>
      </c>
      <c r="Q210" t="inlineStr">
        <is>
          <t>Dubai Mall</t>
        </is>
      </c>
      <c r="R210" t="inlineStr">
        <is>
          <t>Al Khaleej / E11</t>
        </is>
      </c>
      <c r="S210" t="inlineStr">
        <is>
          <t>15</t>
        </is>
      </c>
      <c r="T210" t="inlineStr">
        <is>
          <t>25</t>
        </is>
      </c>
      <c r="U210" t="inlineStr">
        <is>
          <t>15</t>
        </is>
      </c>
      <c r="V210" t="inlineStr">
        <is>
          <t>45</t>
        </is>
      </c>
      <c r="W210" t="n">
        <v>2</v>
      </c>
      <c r="X210" s="12" t="n">
        <v>1800000</v>
      </c>
      <c r="Y210" s="12" t="n">
        <v>1800000</v>
      </c>
      <c r="Z210" s="9" t="n">
        <v>6</v>
      </c>
      <c r="AA210" s="9" t="n">
        <v>6.5</v>
      </c>
      <c r="AB210" s="9" t="n">
        <v>8</v>
      </c>
      <c r="AC210" s="9" t="n">
        <v>12</v>
      </c>
      <c r="AD210" s="9" t="n">
        <v>14</v>
      </c>
      <c r="AE210" s="9" t="n">
        <v>18.5</v>
      </c>
      <c r="AF210" t="n">
        <v>2023</v>
      </c>
      <c r="AH210" t="inlineStr">
        <is>
          <t>Apartment</t>
        </is>
      </c>
      <c r="AI210" t="inlineStr">
        <is>
          <t>MainstreamSelective</t>
        </is>
      </c>
      <c r="AJ210" t="inlineStr">
        <is>
          <t>TopTier</t>
        </is>
      </c>
      <c r="AK210" t="inlineStr">
        <is>
          <t>Balanced / selective</t>
        </is>
      </c>
      <c r="AL210" t="inlineStr">
        <is>
          <t>Market remains active but increasingly differentiated by developer, micro-location, livability, and pricing discipline.</t>
        </is>
      </c>
      <c r="AM210" s="9" t="n">
        <v>10</v>
      </c>
      <c r="AN210" s="9" t="n">
        <v>6.25</v>
      </c>
      <c r="AO210" s="10" t="n">
        <v>0.55</v>
      </c>
      <c r="AP210" s="13" t="n">
        <v>0</v>
      </c>
      <c r="AQ210" s="13" t="n">
        <v>0</v>
      </c>
      <c r="AR210" s="13" t="n">
        <v>0</v>
      </c>
      <c r="AS210" s="13" t="n">
        <v>0.01</v>
      </c>
      <c r="AT210" s="13" t="n">
        <v>0.005</v>
      </c>
      <c r="AU210" s="13" t="n">
        <v>0.0025</v>
      </c>
      <c r="AV210" s="13" t="n">
        <v>-0.005</v>
      </c>
      <c r="AW210" s="13" t="n">
        <v>0.05500000000000001</v>
      </c>
      <c r="AX210" s="13" t="n">
        <v>0.0125</v>
      </c>
      <c r="AY210" s="12" t="n">
        <v>1842030</v>
      </c>
      <c r="AZ210" s="12" t="n">
        <v>1899000</v>
      </c>
      <c r="BA210" s="12" t="n">
        <v>1955970</v>
      </c>
      <c r="BB210" s="12" t="n">
        <v>1865767</v>
      </c>
      <c r="BC210" s="12" t="n">
        <v>1922738</v>
      </c>
      <c r="BD210" s="12" t="n">
        <v>1979708</v>
      </c>
      <c r="BE210" s="12" t="n">
        <v>1946772</v>
      </c>
      <c r="BF210" t="inlineStr">
        <is>
          <t>Frozen values from same rules-based model as formula sheet.</t>
        </is>
      </c>
      <c r="BG210" t="inlineStr">
        <is>
          <t>2026-03-17</t>
        </is>
      </c>
      <c r="BH210" t="inlineStr">
        <is>
          <t>DLD / Digital Dubai / CBUAE / Savills / Knight Frank-Moody’s / Reuters</t>
        </is>
      </c>
    </row>
    <row r="211">
      <c r="A211" t="n">
        <v>210</v>
      </c>
      <c r="B211" t="inlineStr">
        <is>
          <t>Sapphire</t>
        </is>
      </c>
      <c r="C211" t="inlineStr">
        <is>
          <t>DAMAC Properties</t>
        </is>
      </c>
      <c r="D211" t="inlineStr">
        <is>
          <t>Sheikh Zayed Road</t>
        </is>
      </c>
      <c r="E211" t="inlineStr">
        <is>
          <t>Apartments</t>
        </is>
      </c>
      <c r="F211" t="inlineStr">
        <is>
          <t>Luxury / City</t>
        </is>
      </c>
      <c r="G211" t="inlineStr">
        <is>
          <t>2.2M</t>
        </is>
      </c>
      <c r="H211" t="inlineStr">
        <is>
          <t>2300</t>
        </is>
      </c>
      <c r="I211" t="inlineStr">
        <is>
          <t>25</t>
        </is>
      </c>
      <c r="J211" t="inlineStr">
        <is>
          <t>70/30</t>
        </is>
      </c>
      <c r="K211" t="inlineStr">
        <is>
          <t>2024</t>
        </is>
      </c>
      <c r="L211" t="inlineStr">
        <is>
          <t>5.5-6.0</t>
        </is>
      </c>
      <c r="M211" t="inlineStr">
        <is>
          <t>7-9</t>
        </is>
      </c>
      <c r="N211" t="inlineStr">
        <is>
          <t>12.5-15.0</t>
        </is>
      </c>
      <c r="O211" t="inlineStr">
        <is>
          <t>JESS Jumeirah</t>
        </is>
      </c>
      <c r="P211" t="inlineStr">
        <is>
          <t>Medcare Hospital</t>
        </is>
      </c>
      <c r="Q211" t="inlineStr">
        <is>
          <t>Dubai Mall</t>
        </is>
      </c>
      <c r="R211" t="inlineStr">
        <is>
          <t>Sheikh Zayed E11</t>
        </is>
      </c>
      <c r="S211" t="inlineStr">
        <is>
          <t>5</t>
        </is>
      </c>
      <c r="T211" t="inlineStr">
        <is>
          <t>15</t>
        </is>
      </c>
      <c r="U211" t="inlineStr">
        <is>
          <t>15</t>
        </is>
      </c>
      <c r="V211" t="inlineStr">
        <is>
          <t>35</t>
        </is>
      </c>
      <c r="W211" t="n">
        <v>2</v>
      </c>
      <c r="X211" s="12" t="n">
        <v>2200000</v>
      </c>
      <c r="Y211" s="12" t="n">
        <v>2200000</v>
      </c>
      <c r="Z211" s="9" t="n">
        <v>5.5</v>
      </c>
      <c r="AA211" s="9" t="n">
        <v>6</v>
      </c>
      <c r="AB211" s="9" t="n">
        <v>7</v>
      </c>
      <c r="AC211" s="9" t="n">
        <v>9</v>
      </c>
      <c r="AD211" s="9" t="n">
        <v>12.5</v>
      </c>
      <c r="AE211" s="9" t="n">
        <v>15</v>
      </c>
      <c r="AF211" t="n">
        <v>2024</v>
      </c>
      <c r="AH211" t="inlineStr">
        <is>
          <t>Apartment</t>
        </is>
      </c>
      <c r="AI211" t="inlineStr">
        <is>
          <t>MainstreamSelective</t>
        </is>
      </c>
      <c r="AJ211" t="inlineStr">
        <is>
          <t>TopTier</t>
        </is>
      </c>
      <c r="AK211" t="inlineStr">
        <is>
          <t>Balanced / selective</t>
        </is>
      </c>
      <c r="AL211" t="inlineStr">
        <is>
          <t>Market remains active but increasingly differentiated by developer, micro-location, livability, and pricing discipline.</t>
        </is>
      </c>
      <c r="AM211" s="9" t="n">
        <v>8</v>
      </c>
      <c r="AN211" s="9" t="n">
        <v>5.75</v>
      </c>
      <c r="AO211" s="10" t="n">
        <v>0.55</v>
      </c>
      <c r="AP211" s="13" t="n">
        <v>0</v>
      </c>
      <c r="AQ211" s="13" t="n">
        <v>0</v>
      </c>
      <c r="AR211" s="13" t="n">
        <v>0</v>
      </c>
      <c r="AS211" s="13" t="n">
        <v>0.01</v>
      </c>
      <c r="AT211" s="13" t="n">
        <v>0.005</v>
      </c>
      <c r="AU211" s="13" t="n">
        <v>0</v>
      </c>
      <c r="AV211" s="13" t="n">
        <v>-0.005</v>
      </c>
      <c r="AW211" s="13" t="n">
        <v>0.044</v>
      </c>
      <c r="AX211" s="13" t="n">
        <v>0.009999999999999998</v>
      </c>
      <c r="AY211" s="12" t="n">
        <v>2227896</v>
      </c>
      <c r="AZ211" s="12" t="n">
        <v>2296800</v>
      </c>
      <c r="BA211" s="12" t="n">
        <v>2365704</v>
      </c>
      <c r="BB211" s="12" t="n">
        <v>2250864</v>
      </c>
      <c r="BC211" s="12" t="n">
        <v>2319768</v>
      </c>
      <c r="BD211" s="12" t="n">
        <v>2388672</v>
      </c>
      <c r="BE211" s="12" t="n">
        <v>2342966</v>
      </c>
      <c r="BF211" t="inlineStr">
        <is>
          <t>Frozen values from same rules-based model as formula sheet.</t>
        </is>
      </c>
      <c r="BG211" t="inlineStr">
        <is>
          <t>2026-03-17</t>
        </is>
      </c>
      <c r="BH211" t="inlineStr">
        <is>
          <t>DLD / Digital Dubai / CBUAE / Savills / Knight Frank-Moody’s / Reuters</t>
        </is>
      </c>
    </row>
    <row r="212">
      <c r="A212" t="n">
        <v>211</v>
      </c>
      <c r="B212" t="inlineStr">
        <is>
          <t>Sobha Solis</t>
        </is>
      </c>
      <c r="C212" t="inlineStr">
        <is>
          <t>Sobha Realty</t>
        </is>
      </c>
      <c r="D212" t="inlineStr">
        <is>
          <t>Motor City</t>
        </is>
      </c>
      <c r="E212" t="inlineStr">
        <is>
          <t>Apartments</t>
        </is>
      </c>
      <c r="F212" t="inlineStr">
        <is>
          <t>Sport / Community</t>
        </is>
      </c>
      <c r="G212" t="inlineStr">
        <is>
          <t>1.0M</t>
        </is>
      </c>
      <c r="H212" t="inlineStr">
        <is>
          <t>1500</t>
        </is>
      </c>
      <c r="I212" t="inlineStr">
        <is>
          <t>15</t>
        </is>
      </c>
      <c r="J212" t="inlineStr">
        <is>
          <t>60/40</t>
        </is>
      </c>
      <c r="K212" t="inlineStr">
        <is>
          <t>Feb 2025</t>
        </is>
      </c>
      <c r="L212" t="inlineStr">
        <is>
          <t>7.0-7.5</t>
        </is>
      </c>
      <c r="M212" t="inlineStr">
        <is>
          <t>10-12</t>
        </is>
      </c>
      <c r="N212" t="inlineStr">
        <is>
          <t>17.0-19.5</t>
        </is>
      </c>
      <c r="O212" t="inlineStr">
        <is>
          <t>GEMS Metropole</t>
        </is>
      </c>
      <c r="P212" t="inlineStr">
        <is>
          <t>Mediclinic Parkview</t>
        </is>
      </c>
      <c r="Q212" t="inlineStr">
        <is>
          <t>First Avenue Mall</t>
        </is>
      </c>
      <c r="R212" t="inlineStr">
        <is>
          <t>Hessa St / E311</t>
        </is>
      </c>
      <c r="S212" t="inlineStr">
        <is>
          <t>20</t>
        </is>
      </c>
      <c r="T212" t="inlineStr">
        <is>
          <t>15</t>
        </is>
      </c>
      <c r="U212" t="inlineStr">
        <is>
          <t>25</t>
        </is>
      </c>
      <c r="V212" t="inlineStr">
        <is>
          <t>25</t>
        </is>
      </c>
      <c r="W212" t="n">
        <v>2</v>
      </c>
      <c r="X212" s="12" t="n">
        <v>1000000</v>
      </c>
      <c r="Y212" s="12" t="n">
        <v>1000000</v>
      </c>
      <c r="Z212" s="9" t="n">
        <v>7</v>
      </c>
      <c r="AA212" s="9" t="n">
        <v>7.5</v>
      </c>
      <c r="AB212" s="9" t="n">
        <v>10</v>
      </c>
      <c r="AC212" s="9" t="n">
        <v>12</v>
      </c>
      <c r="AD212" s="9" t="n">
        <v>17</v>
      </c>
      <c r="AE212" s="9" t="n">
        <v>19.5</v>
      </c>
      <c r="AF212" t="n">
        <v>2025</v>
      </c>
      <c r="AH212" t="inlineStr">
        <is>
          <t>Apartment</t>
        </is>
      </c>
      <c r="AI212" t="inlineStr">
        <is>
          <t>MainstreamSelective</t>
        </is>
      </c>
      <c r="AJ212" t="inlineStr">
        <is>
          <t>TopTier</t>
        </is>
      </c>
      <c r="AK212" t="inlineStr">
        <is>
          <t>Balanced / selective</t>
        </is>
      </c>
      <c r="AL212" t="inlineStr">
        <is>
          <t>Market remains active but increasingly differentiated by developer, micro-location, livability, and pricing discipline.</t>
        </is>
      </c>
      <c r="AM212" s="9" t="n">
        <v>11</v>
      </c>
      <c r="AN212" s="9" t="n">
        <v>7.25</v>
      </c>
      <c r="AO212" s="10" t="n">
        <v>0.25</v>
      </c>
      <c r="AP212" s="13" t="n">
        <v>0</v>
      </c>
      <c r="AQ212" s="13" t="n">
        <v>0</v>
      </c>
      <c r="AR212" s="13" t="n">
        <v>0</v>
      </c>
      <c r="AS212" s="13" t="n">
        <v>0.01</v>
      </c>
      <c r="AT212" s="13" t="n">
        <v>0.005</v>
      </c>
      <c r="AU212" s="13" t="n">
        <v>0.0025</v>
      </c>
      <c r="AV212" s="13" t="n">
        <v>-0.005</v>
      </c>
      <c r="AW212" s="13" t="n">
        <v>0.0275</v>
      </c>
      <c r="AX212" s="13" t="n">
        <v>0.0125</v>
      </c>
      <c r="AY212" s="12" t="n">
        <v>996675</v>
      </c>
      <c r="AZ212" s="12" t="n">
        <v>1027500</v>
      </c>
      <c r="BA212" s="12" t="n">
        <v>1058325</v>
      </c>
      <c r="BB212" s="12" t="n">
        <v>1009519</v>
      </c>
      <c r="BC212" s="12" t="n">
        <v>1040344</v>
      </c>
      <c r="BD212" s="12" t="n">
        <v>1071169</v>
      </c>
      <c r="BE212" s="12" t="n">
        <v>1053348</v>
      </c>
      <c r="BF212" t="inlineStr">
        <is>
          <t>Frozen values from same rules-based model as formula sheet.</t>
        </is>
      </c>
      <c r="BG212" t="inlineStr">
        <is>
          <t>2026-03-17</t>
        </is>
      </c>
      <c r="BH212" t="inlineStr">
        <is>
          <t>DLD / Digital Dubai / CBUAE / Savills / Knight Frank-Moody’s / Reuters</t>
        </is>
      </c>
    </row>
    <row r="213">
      <c r="A213" t="n">
        <v>212</v>
      </c>
      <c r="B213" t="inlineStr">
        <is>
          <t>Sobha Hartland II</t>
        </is>
      </c>
      <c r="C213" t="inlineStr">
        <is>
          <t>Sobha Realty</t>
        </is>
      </c>
      <c r="D213" t="inlineStr">
        <is>
          <t>MBR City (Ras Al Khor)</t>
        </is>
      </c>
      <c r="E213" t="inlineStr">
        <is>
          <t>Mixed</t>
        </is>
      </c>
      <c r="F213" t="inlineStr">
        <is>
          <t>Lagoon / Green</t>
        </is>
      </c>
      <c r="I213" t="inlineStr">
        <is>
          <t>18-20</t>
        </is>
      </c>
      <c r="J213" t="inlineStr">
        <is>
          <t>Varies</t>
        </is>
      </c>
      <c r="K213" t="inlineStr">
        <is>
          <t>Ongoing</t>
        </is>
      </c>
      <c r="L213" t="inlineStr">
        <is>
          <t>6.0-6.5</t>
        </is>
      </c>
      <c r="M213" t="inlineStr">
        <is>
          <t>9-12</t>
        </is>
      </c>
      <c r="N213" t="inlineStr">
        <is>
          <t>15.0-18.5</t>
        </is>
      </c>
      <c r="O213" t="inlineStr">
        <is>
          <t>Hartland Intl</t>
        </is>
      </c>
      <c r="P213" t="inlineStr">
        <is>
          <t>American Hospital</t>
        </is>
      </c>
      <c r="Q213" t="inlineStr">
        <is>
          <t>Dubai Mall</t>
        </is>
      </c>
      <c r="R213" t="inlineStr">
        <is>
          <t>Ras Al Khor / E44</t>
        </is>
      </c>
      <c r="S213" t="inlineStr">
        <is>
          <t>12</t>
        </is>
      </c>
      <c r="T213" t="inlineStr">
        <is>
          <t>25</t>
        </is>
      </c>
      <c r="U213" t="inlineStr">
        <is>
          <t>15</t>
        </is>
      </c>
      <c r="V213" t="inlineStr">
        <is>
          <t>40</t>
        </is>
      </c>
      <c r="W213" t="n">
        <v>2</v>
      </c>
      <c r="X213" s="12" t="n"/>
      <c r="Y213" s="12" t="n"/>
      <c r="Z213" s="9" t="n">
        <v>6</v>
      </c>
      <c r="AA213" s="9" t="n">
        <v>6.5</v>
      </c>
      <c r="AB213" s="9" t="n">
        <v>9</v>
      </c>
      <c r="AC213" s="9" t="n">
        <v>12</v>
      </c>
      <c r="AD213" s="9" t="n">
        <v>15</v>
      </c>
      <c r="AE213" s="9" t="n">
        <v>18.5</v>
      </c>
      <c r="AH213" t="inlineStr">
        <is>
          <t>Mixed/Other</t>
        </is>
      </c>
      <c r="AI213" t="inlineStr">
        <is>
          <t>MainstreamSelective</t>
        </is>
      </c>
      <c r="AJ213" t="inlineStr">
        <is>
          <t>TopTier</t>
        </is>
      </c>
      <c r="AK213" t="inlineStr">
        <is>
          <t>Balanced / selective</t>
        </is>
      </c>
      <c r="AL213" t="inlineStr">
        <is>
          <t>Market remains active but increasingly differentiated by developer, micro-location, livability, and pricing discipline.</t>
        </is>
      </c>
      <c r="AM213" s="9" t="n">
        <v>10.5</v>
      </c>
      <c r="AN213" s="9" t="n">
        <v>6.25</v>
      </c>
      <c r="AO213" s="10" t="n">
        <v>0.25</v>
      </c>
      <c r="AP213" s="13" t="n">
        <v>0</v>
      </c>
      <c r="AQ213" s="13" t="n">
        <v>0</v>
      </c>
      <c r="AR213" s="13" t="n">
        <v>0</v>
      </c>
      <c r="AS213" s="13" t="n">
        <v>0.01</v>
      </c>
      <c r="AT213" s="13" t="n">
        <v>0.005</v>
      </c>
      <c r="AU213" s="13" t="n">
        <v>0.0025</v>
      </c>
      <c r="AV213" s="13" t="n">
        <v>-0.005</v>
      </c>
      <c r="AW213" s="13" t="n">
        <v>0.02625</v>
      </c>
      <c r="AX213" s="13" t="n">
        <v>0.0125</v>
      </c>
      <c r="AY213" s="12" t="n"/>
      <c r="AZ213" s="12" t="n"/>
      <c r="BA213" s="12" t="n"/>
      <c r="BB213" s="12" t="n"/>
      <c r="BC213" s="12" t="n"/>
      <c r="BD213" s="12" t="n"/>
      <c r="BE213" s="12" t="n"/>
      <c r="BF213" t="inlineStr">
        <is>
          <t>Frozen values from same rules-based model as formula sheet.</t>
        </is>
      </c>
      <c r="BG213" t="inlineStr">
        <is>
          <t>2026-03-17</t>
        </is>
      </c>
      <c r="BH213" t="inlineStr">
        <is>
          <t>DLD / Digital Dubai / CBUAE / Savills / Knight Frank-Moody’s / Reuters</t>
        </is>
      </c>
    </row>
    <row r="214">
      <c r="A214" t="n">
        <v>213</v>
      </c>
      <c r="B214" t="inlineStr">
        <is>
          <t>Skyscape Avenue</t>
        </is>
      </c>
      <c r="C214" t="inlineStr">
        <is>
          <t>Sobha Realty</t>
        </is>
      </c>
      <c r="D214" t="inlineStr">
        <is>
          <t>Sobha Hartland II</t>
        </is>
      </c>
      <c r="E214" t="inlineStr">
        <is>
          <t>Apartments</t>
        </is>
      </c>
      <c r="F214" t="inlineStr">
        <is>
          <t>Lagoon / View</t>
        </is>
      </c>
      <c r="G214" t="inlineStr">
        <is>
          <t>1.6M</t>
        </is>
      </c>
      <c r="H214" t="inlineStr">
        <is>
          <t>2100</t>
        </is>
      </c>
      <c r="I214" t="inlineStr">
        <is>
          <t>20</t>
        </is>
      </c>
      <c r="J214" t="inlineStr">
        <is>
          <t>60/40</t>
        </is>
      </c>
      <c r="K214" t="inlineStr">
        <is>
          <t>2024</t>
        </is>
      </c>
      <c r="L214" t="inlineStr">
        <is>
          <t>6.0-6.5</t>
        </is>
      </c>
      <c r="M214" t="inlineStr">
        <is>
          <t>9-12</t>
        </is>
      </c>
      <c r="N214" t="inlineStr">
        <is>
          <t>15.0-18.5</t>
        </is>
      </c>
      <c r="O214" t="inlineStr">
        <is>
          <t>Hartland Intl</t>
        </is>
      </c>
      <c r="P214" t="inlineStr">
        <is>
          <t>American Hospital</t>
        </is>
      </c>
      <c r="Q214" t="inlineStr">
        <is>
          <t>Dubai Mall</t>
        </is>
      </c>
      <c r="R214" t="inlineStr">
        <is>
          <t>Ras Al Khor / E44</t>
        </is>
      </c>
      <c r="S214" t="inlineStr">
        <is>
          <t>12</t>
        </is>
      </c>
      <c r="T214" t="inlineStr">
        <is>
          <t>25</t>
        </is>
      </c>
      <c r="U214" t="inlineStr">
        <is>
          <t>15</t>
        </is>
      </c>
      <c r="V214" t="inlineStr">
        <is>
          <t>40</t>
        </is>
      </c>
      <c r="W214" t="n">
        <v>2</v>
      </c>
      <c r="X214" s="12" t="n">
        <v>1600000</v>
      </c>
      <c r="Y214" s="12" t="n">
        <v>1600000</v>
      </c>
      <c r="Z214" s="9" t="n">
        <v>6</v>
      </c>
      <c r="AA214" s="9" t="n">
        <v>6.5</v>
      </c>
      <c r="AB214" s="9" t="n">
        <v>9</v>
      </c>
      <c r="AC214" s="9" t="n">
        <v>12</v>
      </c>
      <c r="AD214" s="9" t="n">
        <v>15</v>
      </c>
      <c r="AE214" s="9" t="n">
        <v>18.5</v>
      </c>
      <c r="AF214" t="n">
        <v>2024</v>
      </c>
      <c r="AH214" t="inlineStr">
        <is>
          <t>Apartment</t>
        </is>
      </c>
      <c r="AI214" t="inlineStr">
        <is>
          <t>MainstreamSelective</t>
        </is>
      </c>
      <c r="AJ214" t="inlineStr">
        <is>
          <t>TopTier</t>
        </is>
      </c>
      <c r="AK214" t="inlineStr">
        <is>
          <t>Balanced / selective</t>
        </is>
      </c>
      <c r="AL214" t="inlineStr">
        <is>
          <t>Market remains active but increasingly differentiated by developer, micro-location, livability, and pricing discipline.</t>
        </is>
      </c>
      <c r="AM214" s="9" t="n">
        <v>10.5</v>
      </c>
      <c r="AN214" s="9" t="n">
        <v>6.25</v>
      </c>
      <c r="AO214" s="10" t="n">
        <v>0.55</v>
      </c>
      <c r="AP214" s="13" t="n">
        <v>0</v>
      </c>
      <c r="AQ214" s="13" t="n">
        <v>0</v>
      </c>
      <c r="AR214" s="13" t="n">
        <v>0</v>
      </c>
      <c r="AS214" s="13" t="n">
        <v>0.01</v>
      </c>
      <c r="AT214" s="13" t="n">
        <v>0.005</v>
      </c>
      <c r="AU214" s="13" t="n">
        <v>0.0025</v>
      </c>
      <c r="AV214" s="13" t="n">
        <v>-0.005</v>
      </c>
      <c r="AW214" s="13" t="n">
        <v>0.05775</v>
      </c>
      <c r="AX214" s="13" t="n">
        <v>0.0125</v>
      </c>
      <c r="AY214" s="12" t="n">
        <v>1641628</v>
      </c>
      <c r="AZ214" s="12" t="n">
        <v>1692400</v>
      </c>
      <c r="BA214" s="12" t="n">
        <v>1743172</v>
      </c>
      <c r="BB214" s="12" t="n">
        <v>1662783</v>
      </c>
      <c r="BC214" s="12" t="n">
        <v>1713555</v>
      </c>
      <c r="BD214" s="12" t="n">
        <v>1764327</v>
      </c>
      <c r="BE214" s="12" t="n">
        <v>1734974</v>
      </c>
      <c r="BF214" t="inlineStr">
        <is>
          <t>Frozen values from same rules-based model as formula sheet.</t>
        </is>
      </c>
      <c r="BG214" t="inlineStr">
        <is>
          <t>2026-03-17</t>
        </is>
      </c>
      <c r="BH214" t="inlineStr">
        <is>
          <t>DLD / Digital Dubai / CBUAE / Savills / Knight Frank-Moody’s / Reuters</t>
        </is>
      </c>
    </row>
    <row r="215">
      <c r="A215" t="n">
        <v>214</v>
      </c>
      <c r="B215" t="inlineStr">
        <is>
          <t>Skyscape Aura</t>
        </is>
      </c>
      <c r="C215" t="inlineStr">
        <is>
          <t>Sobha Realty</t>
        </is>
      </c>
      <c r="D215" t="inlineStr">
        <is>
          <t>Sobha Hartland II</t>
        </is>
      </c>
      <c r="E215" t="inlineStr">
        <is>
          <t>Apartments</t>
        </is>
      </c>
      <c r="F215" t="inlineStr">
        <is>
          <t>Lagoon / View</t>
        </is>
      </c>
      <c r="G215" t="inlineStr">
        <is>
          <t>1.7M</t>
        </is>
      </c>
      <c r="H215" t="inlineStr">
        <is>
          <t>2150</t>
        </is>
      </c>
      <c r="I215" t="inlineStr">
        <is>
          <t>20</t>
        </is>
      </c>
      <c r="J215" t="inlineStr">
        <is>
          <t>60/40</t>
        </is>
      </c>
      <c r="K215" t="inlineStr">
        <is>
          <t>2024</t>
        </is>
      </c>
      <c r="L215" t="inlineStr">
        <is>
          <t>6.0-6.5</t>
        </is>
      </c>
      <c r="M215" t="inlineStr">
        <is>
          <t>9-12</t>
        </is>
      </c>
      <c r="N215" t="inlineStr">
        <is>
          <t>15.0-18.5</t>
        </is>
      </c>
      <c r="O215" t="inlineStr">
        <is>
          <t>Hartland Intl</t>
        </is>
      </c>
      <c r="P215" t="inlineStr">
        <is>
          <t>American Hospital</t>
        </is>
      </c>
      <c r="Q215" t="inlineStr">
        <is>
          <t>Dubai Mall</t>
        </is>
      </c>
      <c r="R215" t="inlineStr">
        <is>
          <t>Ras Al Khor / E44</t>
        </is>
      </c>
      <c r="S215" t="inlineStr">
        <is>
          <t>12</t>
        </is>
      </c>
      <c r="T215" t="inlineStr">
        <is>
          <t>25</t>
        </is>
      </c>
      <c r="U215" t="inlineStr">
        <is>
          <t>15</t>
        </is>
      </c>
      <c r="V215" t="inlineStr">
        <is>
          <t>40</t>
        </is>
      </c>
      <c r="W215" t="n">
        <v>2</v>
      </c>
      <c r="X215" s="12" t="n">
        <v>1700000</v>
      </c>
      <c r="Y215" s="12" t="n">
        <v>1700000</v>
      </c>
      <c r="Z215" s="9" t="n">
        <v>6</v>
      </c>
      <c r="AA215" s="9" t="n">
        <v>6.5</v>
      </c>
      <c r="AB215" s="9" t="n">
        <v>9</v>
      </c>
      <c r="AC215" s="9" t="n">
        <v>12</v>
      </c>
      <c r="AD215" s="9" t="n">
        <v>15</v>
      </c>
      <c r="AE215" s="9" t="n">
        <v>18.5</v>
      </c>
      <c r="AF215" t="n">
        <v>2024</v>
      </c>
      <c r="AH215" t="inlineStr">
        <is>
          <t>Apartment</t>
        </is>
      </c>
      <c r="AI215" t="inlineStr">
        <is>
          <t>MainstreamSelective</t>
        </is>
      </c>
      <c r="AJ215" t="inlineStr">
        <is>
          <t>TopTier</t>
        </is>
      </c>
      <c r="AK215" t="inlineStr">
        <is>
          <t>Balanced / selective</t>
        </is>
      </c>
      <c r="AL215" t="inlineStr">
        <is>
          <t>Market remains active but increasingly differentiated by developer, micro-location, livability, and pricing discipline.</t>
        </is>
      </c>
      <c r="AM215" s="9" t="n">
        <v>10.5</v>
      </c>
      <c r="AN215" s="9" t="n">
        <v>6.25</v>
      </c>
      <c r="AO215" s="10" t="n">
        <v>0.55</v>
      </c>
      <c r="AP215" s="13" t="n">
        <v>0</v>
      </c>
      <c r="AQ215" s="13" t="n">
        <v>0</v>
      </c>
      <c r="AR215" s="13" t="n">
        <v>0</v>
      </c>
      <c r="AS215" s="13" t="n">
        <v>0.01</v>
      </c>
      <c r="AT215" s="13" t="n">
        <v>0.005</v>
      </c>
      <c r="AU215" s="13" t="n">
        <v>0.0025</v>
      </c>
      <c r="AV215" s="13" t="n">
        <v>-0.005</v>
      </c>
      <c r="AW215" s="13" t="n">
        <v>0.05775</v>
      </c>
      <c r="AX215" s="13" t="n">
        <v>0.0125</v>
      </c>
      <c r="AY215" s="12" t="n">
        <v>1744230</v>
      </c>
      <c r="AZ215" s="12" t="n">
        <v>1798175</v>
      </c>
      <c r="BA215" s="12" t="n">
        <v>1852120</v>
      </c>
      <c r="BB215" s="12" t="n">
        <v>1766707</v>
      </c>
      <c r="BC215" s="12" t="n">
        <v>1820652</v>
      </c>
      <c r="BD215" s="12" t="n">
        <v>1874597</v>
      </c>
      <c r="BE215" s="12" t="n">
        <v>1843410</v>
      </c>
      <c r="BF215" t="inlineStr">
        <is>
          <t>Frozen values from same rules-based model as formula sheet.</t>
        </is>
      </c>
      <c r="BG215" t="inlineStr">
        <is>
          <t>2026-03-17</t>
        </is>
      </c>
      <c r="BH215" t="inlineStr">
        <is>
          <t>DLD / Digital Dubai / CBUAE / Savills / Knight Frank-Moody’s / Reuters</t>
        </is>
      </c>
    </row>
    <row r="216">
      <c r="A216" t="n">
        <v>215</v>
      </c>
      <c r="B216" t="inlineStr">
        <is>
          <t>320 Riverside Crescent</t>
        </is>
      </c>
      <c r="C216" t="inlineStr">
        <is>
          <t>Sobha Realty</t>
        </is>
      </c>
      <c r="D216" t="inlineStr">
        <is>
          <t>Sobha Hartland II</t>
        </is>
      </c>
      <c r="E216" t="inlineStr">
        <is>
          <t>Apartments</t>
        </is>
      </c>
      <c r="F216" t="inlineStr">
        <is>
          <t>Waterfront</t>
        </is>
      </c>
      <c r="G216" t="inlineStr">
        <is>
          <t>1.45M</t>
        </is>
      </c>
      <c r="H216" t="inlineStr">
        <is>
          <t>1900</t>
        </is>
      </c>
      <c r="I216" t="inlineStr">
        <is>
          <t>20</t>
        </is>
      </c>
      <c r="J216" t="inlineStr">
        <is>
          <t>60/40</t>
        </is>
      </c>
      <c r="K216" t="inlineStr">
        <is>
          <t>2023</t>
        </is>
      </c>
      <c r="L216" t="inlineStr">
        <is>
          <t>6.5-7.0</t>
        </is>
      </c>
      <c r="M216" t="inlineStr">
        <is>
          <t>8-10</t>
        </is>
      </c>
      <c r="N216" t="inlineStr">
        <is>
          <t>14.5-17.0</t>
        </is>
      </c>
      <c r="O216" t="inlineStr">
        <is>
          <t>Hartland Intl</t>
        </is>
      </c>
      <c r="P216" t="inlineStr">
        <is>
          <t>American Hospital</t>
        </is>
      </c>
      <c r="Q216" t="inlineStr">
        <is>
          <t>Dubai Mall</t>
        </is>
      </c>
      <c r="R216" t="inlineStr">
        <is>
          <t>Ras Al Khor / E44</t>
        </is>
      </c>
      <c r="S216" t="inlineStr">
        <is>
          <t>12</t>
        </is>
      </c>
      <c r="T216" t="inlineStr">
        <is>
          <t>25</t>
        </is>
      </c>
      <c r="U216" t="inlineStr">
        <is>
          <t>15</t>
        </is>
      </c>
      <c r="V216" t="inlineStr">
        <is>
          <t>40</t>
        </is>
      </c>
      <c r="W216" t="n">
        <v>2</v>
      </c>
      <c r="X216" s="12" t="n">
        <v>1450000</v>
      </c>
      <c r="Y216" s="12" t="n">
        <v>1450000</v>
      </c>
      <c r="Z216" s="9" t="n">
        <v>6.5</v>
      </c>
      <c r="AA216" s="9" t="n">
        <v>7</v>
      </c>
      <c r="AB216" s="9" t="n">
        <v>8</v>
      </c>
      <c r="AC216" s="9" t="n">
        <v>10</v>
      </c>
      <c r="AD216" s="9" t="n">
        <v>14.5</v>
      </c>
      <c r="AE216" s="9" t="n">
        <v>17</v>
      </c>
      <c r="AF216" t="n">
        <v>2023</v>
      </c>
      <c r="AH216" t="inlineStr">
        <is>
          <t>Apartment</t>
        </is>
      </c>
      <c r="AI216" t="inlineStr">
        <is>
          <t>MainstreamSelective</t>
        </is>
      </c>
      <c r="AJ216" t="inlineStr">
        <is>
          <t>TopTier</t>
        </is>
      </c>
      <c r="AK216" t="inlineStr">
        <is>
          <t>Balanced / selective</t>
        </is>
      </c>
      <c r="AL216" t="inlineStr">
        <is>
          <t>Market remains active but increasingly differentiated by developer, micro-location, livability, and pricing discipline.</t>
        </is>
      </c>
      <c r="AM216" s="9" t="n">
        <v>9</v>
      </c>
      <c r="AN216" s="9" t="n">
        <v>6.75</v>
      </c>
      <c r="AO216" s="10" t="n">
        <v>0.55</v>
      </c>
      <c r="AP216" s="13" t="n">
        <v>0</v>
      </c>
      <c r="AQ216" s="13" t="n">
        <v>0</v>
      </c>
      <c r="AR216" s="13" t="n">
        <v>0</v>
      </c>
      <c r="AS216" s="13" t="n">
        <v>0.01</v>
      </c>
      <c r="AT216" s="13" t="n">
        <v>0.005</v>
      </c>
      <c r="AU216" s="13" t="n">
        <v>0.0025</v>
      </c>
      <c r="AV216" s="13" t="n">
        <v>-0.005</v>
      </c>
      <c r="AW216" s="13" t="n">
        <v>0.0495</v>
      </c>
      <c r="AX216" s="13" t="n">
        <v>0.0125</v>
      </c>
      <c r="AY216" s="12" t="n">
        <v>1476122</v>
      </c>
      <c r="AZ216" s="12" t="n">
        <v>1521775</v>
      </c>
      <c r="BA216" s="12" t="n">
        <v>1567428</v>
      </c>
      <c r="BB216" s="12" t="n">
        <v>1495144</v>
      </c>
      <c r="BC216" s="12" t="n">
        <v>1540797</v>
      </c>
      <c r="BD216" s="12" t="n">
        <v>1586450</v>
      </c>
      <c r="BE216" s="12" t="n">
        <v>1560057</v>
      </c>
      <c r="BF216" t="inlineStr">
        <is>
          <t>Frozen values from same rules-based model as formula sheet.</t>
        </is>
      </c>
      <c r="BG216" t="inlineStr">
        <is>
          <t>2026-03-17</t>
        </is>
      </c>
      <c r="BH216" t="inlineStr">
        <is>
          <t>DLD / Digital Dubai / CBUAE / Savills / Knight Frank-Moody’s / Reuters</t>
        </is>
      </c>
    </row>
    <row r="217">
      <c r="A217" t="n">
        <v>216</v>
      </c>
      <c r="B217" t="inlineStr">
        <is>
          <t>350 Riverside Crescent</t>
        </is>
      </c>
      <c r="C217" t="inlineStr">
        <is>
          <t>Sobha Realty</t>
        </is>
      </c>
      <c r="D217" t="inlineStr">
        <is>
          <t>Sobha Hartland II</t>
        </is>
      </c>
      <c r="E217" t="inlineStr">
        <is>
          <t>Apartments</t>
        </is>
      </c>
      <c r="F217" t="inlineStr">
        <is>
          <t>Waterfront</t>
        </is>
      </c>
      <c r="G217" t="inlineStr">
        <is>
          <t>1.5M</t>
        </is>
      </c>
      <c r="H217" t="inlineStr">
        <is>
          <t>1950</t>
        </is>
      </c>
      <c r="I217" t="inlineStr">
        <is>
          <t>20</t>
        </is>
      </c>
      <c r="J217" t="inlineStr">
        <is>
          <t>60/40</t>
        </is>
      </c>
      <c r="K217" t="inlineStr">
        <is>
          <t>2023</t>
        </is>
      </c>
      <c r="L217" t="inlineStr">
        <is>
          <t>6.5-7.0</t>
        </is>
      </c>
      <c r="M217" t="inlineStr">
        <is>
          <t>8-10</t>
        </is>
      </c>
      <c r="N217" t="inlineStr">
        <is>
          <t>14.5-17.0</t>
        </is>
      </c>
      <c r="O217" t="inlineStr">
        <is>
          <t>Hartland Intl</t>
        </is>
      </c>
      <c r="P217" t="inlineStr">
        <is>
          <t>American Hospital</t>
        </is>
      </c>
      <c r="Q217" t="inlineStr">
        <is>
          <t>Dubai Mall</t>
        </is>
      </c>
      <c r="R217" t="inlineStr">
        <is>
          <t>Ras Al Khor / E44</t>
        </is>
      </c>
      <c r="S217" t="inlineStr">
        <is>
          <t>12</t>
        </is>
      </c>
      <c r="T217" t="inlineStr">
        <is>
          <t>25</t>
        </is>
      </c>
      <c r="U217" t="inlineStr">
        <is>
          <t>15</t>
        </is>
      </c>
      <c r="V217" t="inlineStr">
        <is>
          <t>40</t>
        </is>
      </c>
      <c r="W217" t="n">
        <v>2</v>
      </c>
      <c r="X217" s="12" t="n">
        <v>1500000</v>
      </c>
      <c r="Y217" s="12" t="n">
        <v>1500000</v>
      </c>
      <c r="Z217" s="9" t="n">
        <v>6.5</v>
      </c>
      <c r="AA217" s="9" t="n">
        <v>7</v>
      </c>
      <c r="AB217" s="9" t="n">
        <v>8</v>
      </c>
      <c r="AC217" s="9" t="n">
        <v>10</v>
      </c>
      <c r="AD217" s="9" t="n">
        <v>14.5</v>
      </c>
      <c r="AE217" s="9" t="n">
        <v>17</v>
      </c>
      <c r="AF217" t="n">
        <v>2023</v>
      </c>
      <c r="AH217" t="inlineStr">
        <is>
          <t>Apartment</t>
        </is>
      </c>
      <c r="AI217" t="inlineStr">
        <is>
          <t>MainstreamSelective</t>
        </is>
      </c>
      <c r="AJ217" t="inlineStr">
        <is>
          <t>TopTier</t>
        </is>
      </c>
      <c r="AK217" t="inlineStr">
        <is>
          <t>Balanced / selective</t>
        </is>
      </c>
      <c r="AL217" t="inlineStr">
        <is>
          <t>Market remains active but increasingly differentiated by developer, micro-location, livability, and pricing discipline.</t>
        </is>
      </c>
      <c r="AM217" s="9" t="n">
        <v>9</v>
      </c>
      <c r="AN217" s="9" t="n">
        <v>6.75</v>
      </c>
      <c r="AO217" s="10" t="n">
        <v>0.55</v>
      </c>
      <c r="AP217" s="13" t="n">
        <v>0</v>
      </c>
      <c r="AQ217" s="13" t="n">
        <v>0</v>
      </c>
      <c r="AR217" s="13" t="n">
        <v>0</v>
      </c>
      <c r="AS217" s="13" t="n">
        <v>0.01</v>
      </c>
      <c r="AT217" s="13" t="n">
        <v>0.005</v>
      </c>
      <c r="AU217" s="13" t="n">
        <v>0.0025</v>
      </c>
      <c r="AV217" s="13" t="n">
        <v>-0.005</v>
      </c>
      <c r="AW217" s="13" t="n">
        <v>0.0495</v>
      </c>
      <c r="AX217" s="13" t="n">
        <v>0.0125</v>
      </c>
      <c r="AY217" s="12" t="n">
        <v>1527022</v>
      </c>
      <c r="AZ217" s="12" t="n">
        <v>1574250</v>
      </c>
      <c r="BA217" s="12" t="n">
        <v>1621478</v>
      </c>
      <c r="BB217" s="12" t="n">
        <v>1546701</v>
      </c>
      <c r="BC217" s="12" t="n">
        <v>1593928</v>
      </c>
      <c r="BD217" s="12" t="n">
        <v>1641156</v>
      </c>
      <c r="BE217" s="12" t="n">
        <v>1613852</v>
      </c>
      <c r="BF217" t="inlineStr">
        <is>
          <t>Frozen values from same rules-based model as formula sheet.</t>
        </is>
      </c>
      <c r="BG217" t="inlineStr">
        <is>
          <t>2026-03-17</t>
        </is>
      </c>
      <c r="BH217" t="inlineStr">
        <is>
          <t>DLD / Digital Dubai / CBUAE / Savills / Knight Frank-Moody’s / Reuters</t>
        </is>
      </c>
    </row>
    <row r="218">
      <c r="A218" t="n">
        <v>217</v>
      </c>
      <c r="B218" t="inlineStr">
        <is>
          <t>310 Riverside Crescent</t>
        </is>
      </c>
      <c r="C218" t="inlineStr">
        <is>
          <t>Sobha Realty</t>
        </is>
      </c>
      <c r="D218" t="inlineStr">
        <is>
          <t>Sobha Hartland II</t>
        </is>
      </c>
      <c r="E218" t="inlineStr">
        <is>
          <t>Apartments</t>
        </is>
      </c>
      <c r="F218" t="inlineStr">
        <is>
          <t>Waterfront</t>
        </is>
      </c>
      <c r="G218" t="inlineStr">
        <is>
          <t>1.55M</t>
        </is>
      </c>
      <c r="H218" t="inlineStr">
        <is>
          <t>2000</t>
        </is>
      </c>
      <c r="I218" t="inlineStr">
        <is>
          <t>20</t>
        </is>
      </c>
      <c r="J218" t="inlineStr">
        <is>
          <t>60/40</t>
        </is>
      </c>
      <c r="K218" t="inlineStr">
        <is>
          <t>2024</t>
        </is>
      </c>
      <c r="L218" t="inlineStr">
        <is>
          <t>6.0-6.5</t>
        </is>
      </c>
      <c r="M218" t="inlineStr">
        <is>
          <t>8-10</t>
        </is>
      </c>
      <c r="N218" t="inlineStr">
        <is>
          <t>14.0-16.5</t>
        </is>
      </c>
      <c r="O218" t="inlineStr">
        <is>
          <t>Hartland Intl</t>
        </is>
      </c>
      <c r="P218" t="inlineStr">
        <is>
          <t>American Hospital</t>
        </is>
      </c>
      <c r="Q218" t="inlineStr">
        <is>
          <t>Dubai Mall</t>
        </is>
      </c>
      <c r="R218" t="inlineStr">
        <is>
          <t>Ras Al Khor / E44</t>
        </is>
      </c>
      <c r="S218" t="inlineStr">
        <is>
          <t>12</t>
        </is>
      </c>
      <c r="T218" t="inlineStr">
        <is>
          <t>25</t>
        </is>
      </c>
      <c r="U218" t="inlineStr">
        <is>
          <t>15</t>
        </is>
      </c>
      <c r="V218" t="inlineStr">
        <is>
          <t>40</t>
        </is>
      </c>
      <c r="W218" t="n">
        <v>2</v>
      </c>
      <c r="X218" s="12" t="n">
        <v>1550000</v>
      </c>
      <c r="Y218" s="12" t="n">
        <v>1550000</v>
      </c>
      <c r="Z218" s="9" t="n">
        <v>6</v>
      </c>
      <c r="AA218" s="9" t="n">
        <v>6.5</v>
      </c>
      <c r="AB218" s="9" t="n">
        <v>8</v>
      </c>
      <c r="AC218" s="9" t="n">
        <v>10</v>
      </c>
      <c r="AD218" s="9" t="n">
        <v>14</v>
      </c>
      <c r="AE218" s="9" t="n">
        <v>16.5</v>
      </c>
      <c r="AF218" t="n">
        <v>2024</v>
      </c>
      <c r="AH218" t="inlineStr">
        <is>
          <t>Apartment</t>
        </is>
      </c>
      <c r="AI218" t="inlineStr">
        <is>
          <t>MainstreamSelective</t>
        </is>
      </c>
      <c r="AJ218" t="inlineStr">
        <is>
          <t>TopTier</t>
        </is>
      </c>
      <c r="AK218" t="inlineStr">
        <is>
          <t>Balanced / selective</t>
        </is>
      </c>
      <c r="AL218" t="inlineStr">
        <is>
          <t>Market remains active but increasingly differentiated by developer, micro-location, livability, and pricing discipline.</t>
        </is>
      </c>
      <c r="AM218" s="9" t="n">
        <v>9</v>
      </c>
      <c r="AN218" s="9" t="n">
        <v>6.25</v>
      </c>
      <c r="AO218" s="10" t="n">
        <v>0.55</v>
      </c>
      <c r="AP218" s="13" t="n">
        <v>0</v>
      </c>
      <c r="AQ218" s="13" t="n">
        <v>0</v>
      </c>
      <c r="AR218" s="13" t="n">
        <v>0</v>
      </c>
      <c r="AS218" s="13" t="n">
        <v>0.01</v>
      </c>
      <c r="AT218" s="13" t="n">
        <v>0.005</v>
      </c>
      <c r="AU218" s="13" t="n">
        <v>0.0025</v>
      </c>
      <c r="AV218" s="13" t="n">
        <v>-0.005</v>
      </c>
      <c r="AW218" s="13" t="n">
        <v>0.0495</v>
      </c>
      <c r="AX218" s="13" t="n">
        <v>0.0125</v>
      </c>
      <c r="AY218" s="12" t="n">
        <v>1577923</v>
      </c>
      <c r="AZ218" s="12" t="n">
        <v>1626725</v>
      </c>
      <c r="BA218" s="12" t="n">
        <v>1675527</v>
      </c>
      <c r="BB218" s="12" t="n">
        <v>1598257</v>
      </c>
      <c r="BC218" s="12" t="n">
        <v>1647059</v>
      </c>
      <c r="BD218" s="12" t="n">
        <v>1695861</v>
      </c>
      <c r="BE218" s="12" t="n">
        <v>1667647</v>
      </c>
      <c r="BF218" t="inlineStr">
        <is>
          <t>Frozen values from same rules-based model as formula sheet.</t>
        </is>
      </c>
      <c r="BG218" t="inlineStr">
        <is>
          <t>2026-03-17</t>
        </is>
      </c>
      <c r="BH218" t="inlineStr">
        <is>
          <t>DLD / Digital Dubai / CBUAE / Savills / Knight Frank-Moody’s / Reuters</t>
        </is>
      </c>
    </row>
    <row r="219">
      <c r="A219" t="n">
        <v>218</v>
      </c>
      <c r="B219" t="inlineStr">
        <is>
          <t>340 Riverside Crescent</t>
        </is>
      </c>
      <c r="C219" t="inlineStr">
        <is>
          <t>Sobha Realty</t>
        </is>
      </c>
      <c r="D219" t="inlineStr">
        <is>
          <t>Sobha Hartland II</t>
        </is>
      </c>
      <c r="E219" t="inlineStr">
        <is>
          <t>Apartments</t>
        </is>
      </c>
      <c r="F219" t="inlineStr">
        <is>
          <t>Waterfront</t>
        </is>
      </c>
      <c r="G219" t="inlineStr">
        <is>
          <t>1.5M</t>
        </is>
      </c>
      <c r="H219" t="inlineStr">
        <is>
          <t>1950</t>
        </is>
      </c>
      <c r="I219" t="inlineStr">
        <is>
          <t>20</t>
        </is>
      </c>
      <c r="J219" t="inlineStr">
        <is>
          <t>60/40</t>
        </is>
      </c>
      <c r="K219" t="inlineStr">
        <is>
          <t>2024</t>
        </is>
      </c>
      <c r="L219" t="inlineStr">
        <is>
          <t>6.5-7.0</t>
        </is>
      </c>
      <c r="M219" t="inlineStr">
        <is>
          <t>8-10</t>
        </is>
      </c>
      <c r="N219" t="inlineStr">
        <is>
          <t>14.5-17.0</t>
        </is>
      </c>
      <c r="O219" t="inlineStr">
        <is>
          <t>Hartland Intl</t>
        </is>
      </c>
      <c r="P219" t="inlineStr">
        <is>
          <t>American Hospital</t>
        </is>
      </c>
      <c r="Q219" t="inlineStr">
        <is>
          <t>Dubai Mall</t>
        </is>
      </c>
      <c r="R219" t="inlineStr">
        <is>
          <t>Ras Al Khor / E44</t>
        </is>
      </c>
      <c r="S219" t="inlineStr">
        <is>
          <t>12</t>
        </is>
      </c>
      <c r="T219" t="inlineStr">
        <is>
          <t>25</t>
        </is>
      </c>
      <c r="U219" t="inlineStr">
        <is>
          <t>15</t>
        </is>
      </c>
      <c r="V219" t="inlineStr">
        <is>
          <t>40</t>
        </is>
      </c>
      <c r="W219" t="n">
        <v>2</v>
      </c>
      <c r="X219" s="12" t="n">
        <v>1500000</v>
      </c>
      <c r="Y219" s="12" t="n">
        <v>1500000</v>
      </c>
      <c r="Z219" s="9" t="n">
        <v>6.5</v>
      </c>
      <c r="AA219" s="9" t="n">
        <v>7</v>
      </c>
      <c r="AB219" s="9" t="n">
        <v>8</v>
      </c>
      <c r="AC219" s="9" t="n">
        <v>10</v>
      </c>
      <c r="AD219" s="9" t="n">
        <v>14.5</v>
      </c>
      <c r="AE219" s="9" t="n">
        <v>17</v>
      </c>
      <c r="AF219" t="n">
        <v>2024</v>
      </c>
      <c r="AH219" t="inlineStr">
        <is>
          <t>Apartment</t>
        </is>
      </c>
      <c r="AI219" t="inlineStr">
        <is>
          <t>MainstreamSelective</t>
        </is>
      </c>
      <c r="AJ219" t="inlineStr">
        <is>
          <t>TopTier</t>
        </is>
      </c>
      <c r="AK219" t="inlineStr">
        <is>
          <t>Balanced / selective</t>
        </is>
      </c>
      <c r="AL219" t="inlineStr">
        <is>
          <t>Market remains active but increasingly differentiated by developer, micro-location, livability, and pricing discipline.</t>
        </is>
      </c>
      <c r="AM219" s="9" t="n">
        <v>9</v>
      </c>
      <c r="AN219" s="9" t="n">
        <v>6.75</v>
      </c>
      <c r="AO219" s="10" t="n">
        <v>0.55</v>
      </c>
      <c r="AP219" s="13" t="n">
        <v>0</v>
      </c>
      <c r="AQ219" s="13" t="n">
        <v>0</v>
      </c>
      <c r="AR219" s="13" t="n">
        <v>0</v>
      </c>
      <c r="AS219" s="13" t="n">
        <v>0.01</v>
      </c>
      <c r="AT219" s="13" t="n">
        <v>0.005</v>
      </c>
      <c r="AU219" s="13" t="n">
        <v>0.0025</v>
      </c>
      <c r="AV219" s="13" t="n">
        <v>-0.005</v>
      </c>
      <c r="AW219" s="13" t="n">
        <v>0.0495</v>
      </c>
      <c r="AX219" s="13" t="n">
        <v>0.0125</v>
      </c>
      <c r="AY219" s="12" t="n">
        <v>1527022</v>
      </c>
      <c r="AZ219" s="12" t="n">
        <v>1574250</v>
      </c>
      <c r="BA219" s="12" t="n">
        <v>1621478</v>
      </c>
      <c r="BB219" s="12" t="n">
        <v>1546701</v>
      </c>
      <c r="BC219" s="12" t="n">
        <v>1593928</v>
      </c>
      <c r="BD219" s="12" t="n">
        <v>1641156</v>
      </c>
      <c r="BE219" s="12" t="n">
        <v>1613852</v>
      </c>
      <c r="BF219" t="inlineStr">
        <is>
          <t>Frozen values from same rules-based model as formula sheet.</t>
        </is>
      </c>
      <c r="BG219" t="inlineStr">
        <is>
          <t>2026-03-17</t>
        </is>
      </c>
      <c r="BH219" t="inlineStr">
        <is>
          <t>DLD / Digital Dubai / CBUAE / Savills / Knight Frank-Moody’s / Reuters</t>
        </is>
      </c>
    </row>
    <row r="220">
      <c r="A220" t="n">
        <v>219</v>
      </c>
      <c r="B220" t="inlineStr">
        <is>
          <t>Sobha Estates</t>
        </is>
      </c>
      <c r="C220" t="inlineStr">
        <is>
          <t>Sobha Realty</t>
        </is>
      </c>
      <c r="D220" t="inlineStr">
        <is>
          <t>Sobha Hartland II</t>
        </is>
      </c>
      <c r="E220" t="inlineStr">
        <is>
          <t>Villas (5+ Beds)</t>
        </is>
      </c>
      <c r="F220" t="inlineStr">
        <is>
          <t>Gated / Forest</t>
        </is>
      </c>
      <c r="G220" t="inlineStr">
        <is>
          <t>22.8M</t>
        </is>
      </c>
      <c r="H220" t="inlineStr">
        <is>
          <t>2500</t>
        </is>
      </c>
      <c r="I220" t="inlineStr">
        <is>
          <t>18</t>
        </is>
      </c>
      <c r="J220" t="inlineStr">
        <is>
          <t>60/40</t>
        </is>
      </c>
      <c r="K220" t="inlineStr">
        <is>
          <t>2023</t>
        </is>
      </c>
      <c r="L220" t="inlineStr">
        <is>
          <t>4.5-5.0</t>
        </is>
      </c>
      <c r="M220" t="inlineStr">
        <is>
          <t>8-10</t>
        </is>
      </c>
      <c r="N220" t="inlineStr">
        <is>
          <t>12.5-15.0</t>
        </is>
      </c>
      <c r="O220" t="inlineStr">
        <is>
          <t>Hartland Intl</t>
        </is>
      </c>
      <c r="P220" t="inlineStr">
        <is>
          <t>American Hospital</t>
        </is>
      </c>
      <c r="Q220" t="inlineStr">
        <is>
          <t>Dubai Mall</t>
        </is>
      </c>
      <c r="R220" t="inlineStr">
        <is>
          <t>Ras Al Khor / E44</t>
        </is>
      </c>
      <c r="S220" t="inlineStr">
        <is>
          <t>12</t>
        </is>
      </c>
      <c r="T220" t="inlineStr">
        <is>
          <t>25</t>
        </is>
      </c>
      <c r="U220" t="inlineStr">
        <is>
          <t>15</t>
        </is>
      </c>
      <c r="V220" t="inlineStr">
        <is>
          <t>40</t>
        </is>
      </c>
      <c r="W220" t="n">
        <v>2</v>
      </c>
      <c r="X220" s="12" t="n">
        <v>22800000</v>
      </c>
      <c r="Y220" s="12" t="n">
        <v>22800000</v>
      </c>
      <c r="Z220" s="9" t="n">
        <v>4.5</v>
      </c>
      <c r="AA220" s="9" t="n">
        <v>5</v>
      </c>
      <c r="AB220" s="9" t="n">
        <v>8</v>
      </c>
      <c r="AC220" s="9" t="n">
        <v>10</v>
      </c>
      <c r="AD220" s="9" t="n">
        <v>12.5</v>
      </c>
      <c r="AE220" s="9" t="n">
        <v>15</v>
      </c>
      <c r="AF220" t="n">
        <v>2023</v>
      </c>
      <c r="AH220" t="inlineStr">
        <is>
          <t>Villa</t>
        </is>
      </c>
      <c r="AI220" t="inlineStr">
        <is>
          <t>MainstreamSelective</t>
        </is>
      </c>
      <c r="AJ220" t="inlineStr">
        <is>
          <t>TopTier</t>
        </is>
      </c>
      <c r="AK220" t="inlineStr">
        <is>
          <t>Family-villa resilient</t>
        </is>
      </c>
      <c r="AL220" t="inlineStr">
        <is>
          <t>Villa/townhouse demand remains relatively firmer, though growth should be slower than the post-2020 surge.</t>
        </is>
      </c>
      <c r="AM220" s="9" t="n">
        <v>9</v>
      </c>
      <c r="AN220" s="9" t="n">
        <v>4.75</v>
      </c>
      <c r="AO220" s="10" t="n">
        <v>0.55</v>
      </c>
      <c r="AP220" s="13" t="n">
        <v>0</v>
      </c>
      <c r="AQ220" s="13" t="n">
        <v>0.015</v>
      </c>
      <c r="AR220" s="13" t="n">
        <v>0</v>
      </c>
      <c r="AS220" s="13" t="n">
        <v>0.025</v>
      </c>
      <c r="AT220" s="13" t="n">
        <v>0.005</v>
      </c>
      <c r="AU220" s="13" t="n">
        <v>0</v>
      </c>
      <c r="AV220" s="13" t="n">
        <v>-0.005</v>
      </c>
      <c r="AW220" s="13" t="n">
        <v>0.0645</v>
      </c>
      <c r="AX220" s="13" t="n">
        <v>0.025</v>
      </c>
      <c r="AY220" s="12" t="n">
        <v>23542482</v>
      </c>
      <c r="AZ220" s="12" t="n">
        <v>24270600</v>
      </c>
      <c r="BA220" s="12" t="n">
        <v>24998718</v>
      </c>
      <c r="BB220" s="12" t="n">
        <v>24149247</v>
      </c>
      <c r="BC220" s="12" t="n">
        <v>24877365</v>
      </c>
      <c r="BD220" s="12" t="n">
        <v>25605483</v>
      </c>
      <c r="BE220" s="12" t="n">
        <v>25499299</v>
      </c>
      <c r="BF220" t="inlineStr">
        <is>
          <t>Frozen values from same rules-based model as formula sheet.</t>
        </is>
      </c>
      <c r="BG220" t="inlineStr">
        <is>
          <t>2026-03-17</t>
        </is>
      </c>
      <c r="BH220" t="inlineStr">
        <is>
          <t>DLD / Digital Dubai / CBUAE / Savills / Knight Frank-Moody’s / Reuters</t>
        </is>
      </c>
    </row>
    <row r="221">
      <c r="A221" t="n">
        <v>220</v>
      </c>
      <c r="B221" t="inlineStr">
        <is>
          <t>Sobha Hartland I</t>
        </is>
      </c>
      <c r="C221" t="inlineStr">
        <is>
          <t>Sobha Realty</t>
        </is>
      </c>
      <c r="D221" t="inlineStr">
        <is>
          <t>MBR City</t>
        </is>
      </c>
      <c r="E221" t="inlineStr">
        <is>
          <t>Mixed</t>
        </is>
      </c>
      <c r="F221" t="inlineStr">
        <is>
          <t>City / Green</t>
        </is>
      </c>
      <c r="I221" t="inlineStr">
        <is>
          <t>18</t>
        </is>
      </c>
      <c r="J221" t="inlineStr">
        <is>
          <t>Varies</t>
        </is>
      </c>
      <c r="K221" t="inlineStr">
        <is>
          <t>Ongoing</t>
        </is>
      </c>
      <c r="L221" t="inlineStr">
        <is>
          <t>5.5-6.5</t>
        </is>
      </c>
      <c r="M221" t="inlineStr">
        <is>
          <t>5-8</t>
        </is>
      </c>
      <c r="N221" t="inlineStr">
        <is>
          <t>10.5-14.5</t>
        </is>
      </c>
      <c r="O221" t="inlineStr">
        <is>
          <t>Hartland Intl</t>
        </is>
      </c>
      <c r="P221" t="inlineStr">
        <is>
          <t>American Hospital</t>
        </is>
      </c>
      <c r="Q221" t="inlineStr">
        <is>
          <t>Dubai Mall</t>
        </is>
      </c>
      <c r="R221" t="inlineStr">
        <is>
          <t>Ras Al Khor / E44</t>
        </is>
      </c>
      <c r="S221" t="inlineStr">
        <is>
          <t>10</t>
        </is>
      </c>
      <c r="T221" t="inlineStr">
        <is>
          <t>25</t>
        </is>
      </c>
      <c r="U221" t="inlineStr">
        <is>
          <t>15</t>
        </is>
      </c>
      <c r="V221" t="inlineStr">
        <is>
          <t>40</t>
        </is>
      </c>
      <c r="W221" t="n">
        <v>2</v>
      </c>
      <c r="X221" s="12" t="n"/>
      <c r="Y221" s="12" t="n"/>
      <c r="Z221" s="9" t="n">
        <v>5.5</v>
      </c>
      <c r="AA221" s="9" t="n">
        <v>6.5</v>
      </c>
      <c r="AB221" s="9" t="n">
        <v>5</v>
      </c>
      <c r="AC221" s="9" t="n">
        <v>8</v>
      </c>
      <c r="AD221" s="9" t="n">
        <v>10.5</v>
      </c>
      <c r="AE221" s="9" t="n">
        <v>14.5</v>
      </c>
      <c r="AH221" t="inlineStr">
        <is>
          <t>Mixed/Other</t>
        </is>
      </c>
      <c r="AI221" t="inlineStr">
        <is>
          <t>MainstreamSelective</t>
        </is>
      </c>
      <c r="AJ221" t="inlineStr">
        <is>
          <t>TopTier</t>
        </is>
      </c>
      <c r="AK221" t="inlineStr">
        <is>
          <t>Balanced / selective</t>
        </is>
      </c>
      <c r="AL221" t="inlineStr">
        <is>
          <t>Market remains active but increasingly differentiated by developer, micro-location, livability, and pricing discipline.</t>
        </is>
      </c>
      <c r="AM221" s="9" t="n">
        <v>6.5</v>
      </c>
      <c r="AN221" s="9" t="n">
        <v>6</v>
      </c>
      <c r="AO221" s="10" t="n">
        <v>0.25</v>
      </c>
      <c r="AP221" s="13" t="n">
        <v>0</v>
      </c>
      <c r="AQ221" s="13" t="n">
        <v>0</v>
      </c>
      <c r="AR221" s="13" t="n">
        <v>0</v>
      </c>
      <c r="AS221" s="13" t="n">
        <v>0.01</v>
      </c>
      <c r="AT221" s="13" t="n">
        <v>0.005</v>
      </c>
      <c r="AU221" s="13" t="n">
        <v>0</v>
      </c>
      <c r="AV221" s="13" t="n">
        <v>-0.005</v>
      </c>
      <c r="AW221" s="13" t="n">
        <v>0.01625</v>
      </c>
      <c r="AX221" s="13" t="n">
        <v>0.009999999999999998</v>
      </c>
      <c r="AY221" s="12" t="n"/>
      <c r="AZ221" s="12" t="n"/>
      <c r="BA221" s="12" t="n"/>
      <c r="BB221" s="12" t="n"/>
      <c r="BC221" s="12" t="n"/>
      <c r="BD221" s="12" t="n"/>
      <c r="BE221" s="12" t="n"/>
      <c r="BF221" t="inlineStr">
        <is>
          <t>Frozen values from same rules-based model as formula sheet.</t>
        </is>
      </c>
      <c r="BG221" t="inlineStr">
        <is>
          <t>2026-03-17</t>
        </is>
      </c>
      <c r="BH221" t="inlineStr">
        <is>
          <t>DLD / Digital Dubai / CBUAE / Savills / Knight Frank-Moody’s / Reuters</t>
        </is>
      </c>
    </row>
    <row r="222">
      <c r="A222" t="n">
        <v>221</v>
      </c>
      <c r="B222" t="inlineStr">
        <is>
          <t>Creek Vistas Heights</t>
        </is>
      </c>
      <c r="C222" t="inlineStr">
        <is>
          <t>Sobha Realty</t>
        </is>
      </c>
      <c r="D222" t="inlineStr">
        <is>
          <t>Sobha Hartland I</t>
        </is>
      </c>
      <c r="E222" t="inlineStr">
        <is>
          <t>Apartments</t>
        </is>
      </c>
      <c r="F222" t="inlineStr">
        <is>
          <t>High-Rise / View</t>
        </is>
      </c>
      <c r="G222" t="inlineStr">
        <is>
          <t>1.6M</t>
        </is>
      </c>
      <c r="H222" t="inlineStr">
        <is>
          <t>1800</t>
        </is>
      </c>
      <c r="I222" t="inlineStr">
        <is>
          <t>20</t>
        </is>
      </c>
      <c r="J222" t="inlineStr">
        <is>
          <t>60/40</t>
        </is>
      </c>
      <c r="K222" t="inlineStr">
        <is>
          <t>2022</t>
        </is>
      </c>
      <c r="L222" t="inlineStr">
        <is>
          <t>6.0-6.5</t>
        </is>
      </c>
      <c r="M222" t="inlineStr">
        <is>
          <t>6-8</t>
        </is>
      </c>
      <c r="N222" t="inlineStr">
        <is>
          <t>12.0-14.5</t>
        </is>
      </c>
      <c r="O222" t="inlineStr">
        <is>
          <t>Hartland Intl</t>
        </is>
      </c>
      <c r="P222" t="inlineStr">
        <is>
          <t>American Hospital</t>
        </is>
      </c>
      <c r="Q222" t="inlineStr">
        <is>
          <t>Dubai Mall</t>
        </is>
      </c>
      <c r="R222" t="inlineStr">
        <is>
          <t>Ras Al Khor / E44</t>
        </is>
      </c>
      <c r="S222" t="inlineStr">
        <is>
          <t>10</t>
        </is>
      </c>
      <c r="T222" t="inlineStr">
        <is>
          <t>25</t>
        </is>
      </c>
      <c r="U222" t="inlineStr">
        <is>
          <t>15</t>
        </is>
      </c>
      <c r="V222" t="inlineStr">
        <is>
          <t>40</t>
        </is>
      </c>
      <c r="W222" t="n">
        <v>2</v>
      </c>
      <c r="X222" s="12" t="n">
        <v>1600000</v>
      </c>
      <c r="Y222" s="12" t="n">
        <v>1600000</v>
      </c>
      <c r="Z222" s="9" t="n">
        <v>6</v>
      </c>
      <c r="AA222" s="9" t="n">
        <v>6.5</v>
      </c>
      <c r="AB222" s="9" t="n">
        <v>6</v>
      </c>
      <c r="AC222" s="9" t="n">
        <v>8</v>
      </c>
      <c r="AD222" s="9" t="n">
        <v>12</v>
      </c>
      <c r="AE222" s="9" t="n">
        <v>14.5</v>
      </c>
      <c r="AF222" t="n">
        <v>2022</v>
      </c>
      <c r="AH222" t="inlineStr">
        <is>
          <t>Apartment</t>
        </is>
      </c>
      <c r="AI222" t="inlineStr">
        <is>
          <t>MainstreamSelective</t>
        </is>
      </c>
      <c r="AJ222" t="inlineStr">
        <is>
          <t>TopTier</t>
        </is>
      </c>
      <c r="AK222" t="inlineStr">
        <is>
          <t>Balanced / selective</t>
        </is>
      </c>
      <c r="AL222" t="inlineStr">
        <is>
          <t>Market remains active but increasingly differentiated by developer, micro-location, livability, and pricing discipline.</t>
        </is>
      </c>
      <c r="AM222" s="9" t="n">
        <v>7</v>
      </c>
      <c r="AN222" s="9" t="n">
        <v>6.25</v>
      </c>
      <c r="AO222" s="10" t="n">
        <v>0.55</v>
      </c>
      <c r="AP222" s="13" t="n">
        <v>0</v>
      </c>
      <c r="AQ222" s="13" t="n">
        <v>0</v>
      </c>
      <c r="AR222" s="13" t="n">
        <v>0</v>
      </c>
      <c r="AS222" s="13" t="n">
        <v>0.01</v>
      </c>
      <c r="AT222" s="13" t="n">
        <v>0.005</v>
      </c>
      <c r="AU222" s="13" t="n">
        <v>0.0025</v>
      </c>
      <c r="AV222" s="13" t="n">
        <v>-0.005</v>
      </c>
      <c r="AW222" s="13" t="n">
        <v>0.03850000000000001</v>
      </c>
      <c r="AX222" s="13" t="n">
        <v>0.0125</v>
      </c>
      <c r="AY222" s="12" t="n">
        <v>1611752</v>
      </c>
      <c r="AZ222" s="12" t="n">
        <v>1661600</v>
      </c>
      <c r="BA222" s="12" t="n">
        <v>1711448</v>
      </c>
      <c r="BB222" s="12" t="n">
        <v>1632522</v>
      </c>
      <c r="BC222" s="12" t="n">
        <v>1682370</v>
      </c>
      <c r="BD222" s="12" t="n">
        <v>1732218</v>
      </c>
      <c r="BE222" s="12" t="n">
        <v>1703400</v>
      </c>
      <c r="BF222" t="inlineStr">
        <is>
          <t>Frozen values from same rules-based model as formula sheet.</t>
        </is>
      </c>
      <c r="BG222" t="inlineStr">
        <is>
          <t>2026-03-17</t>
        </is>
      </c>
      <c r="BH222" t="inlineStr">
        <is>
          <t>DLD / Digital Dubai / CBUAE / Savills / Knight Frank-Moody’s / Reuters</t>
        </is>
      </c>
    </row>
    <row r="223">
      <c r="A223" t="n">
        <v>222</v>
      </c>
      <c r="B223" t="inlineStr">
        <is>
          <t>Creek Vistas Reserve</t>
        </is>
      </c>
      <c r="C223" t="inlineStr">
        <is>
          <t>Sobha Realty</t>
        </is>
      </c>
      <c r="D223" t="inlineStr">
        <is>
          <t>Sobha Hartland I</t>
        </is>
      </c>
      <c r="E223" t="inlineStr">
        <is>
          <t>Apartments</t>
        </is>
      </c>
      <c r="F223" t="inlineStr">
        <is>
          <t>High-Rise / View</t>
        </is>
      </c>
      <c r="G223" t="inlineStr">
        <is>
          <t>Resale</t>
        </is>
      </c>
      <c r="H223" t="inlineStr">
        <is>
          <t>1700</t>
        </is>
      </c>
      <c r="I223" t="inlineStr">
        <is>
          <t>20</t>
        </is>
      </c>
      <c r="J223" t="inlineStr">
        <is>
          <t>Completed</t>
        </is>
      </c>
      <c r="K223" t="inlineStr">
        <is>
          <t>2021</t>
        </is>
      </c>
      <c r="L223" t="inlineStr">
        <is>
          <t>6.5-7.0</t>
        </is>
      </c>
      <c r="M223" t="inlineStr">
        <is>
          <t>5-7</t>
        </is>
      </c>
      <c r="N223" t="inlineStr">
        <is>
          <t>11.5-14.0</t>
        </is>
      </c>
      <c r="O223" t="inlineStr">
        <is>
          <t>Hartland Intl</t>
        </is>
      </c>
      <c r="P223" t="inlineStr">
        <is>
          <t>American Hospital</t>
        </is>
      </c>
      <c r="Q223" t="inlineStr">
        <is>
          <t>Dubai Mall</t>
        </is>
      </c>
      <c r="R223" t="inlineStr">
        <is>
          <t>Ras Al Khor / E44</t>
        </is>
      </c>
      <c r="S223" t="inlineStr">
        <is>
          <t>10</t>
        </is>
      </c>
      <c r="T223" t="inlineStr">
        <is>
          <t>25</t>
        </is>
      </c>
      <c r="U223" t="inlineStr">
        <is>
          <t>15</t>
        </is>
      </c>
      <c r="V223" t="inlineStr">
        <is>
          <t>40</t>
        </is>
      </c>
      <c r="W223" t="n">
        <v>2</v>
      </c>
      <c r="X223" s="12" t="n"/>
      <c r="Y223" s="12" t="n"/>
      <c r="Z223" s="9" t="n">
        <v>6.5</v>
      </c>
      <c r="AA223" s="9" t="n">
        <v>7</v>
      </c>
      <c r="AB223" s="9" t="n">
        <v>5</v>
      </c>
      <c r="AC223" s="9" t="n">
        <v>7</v>
      </c>
      <c r="AD223" s="9" t="n">
        <v>11.5</v>
      </c>
      <c r="AE223" s="9" t="n">
        <v>14</v>
      </c>
      <c r="AF223" t="n">
        <v>2021</v>
      </c>
      <c r="AH223" t="inlineStr">
        <is>
          <t>Apartment</t>
        </is>
      </c>
      <c r="AI223" t="inlineStr">
        <is>
          <t>MainstreamSelective</t>
        </is>
      </c>
      <c r="AJ223" t="inlineStr">
        <is>
          <t>TopTier</t>
        </is>
      </c>
      <c r="AK223" t="inlineStr">
        <is>
          <t>Balanced / selective</t>
        </is>
      </c>
      <c r="AL223" t="inlineStr">
        <is>
          <t>Market remains active but increasingly differentiated by developer, micro-location, livability, and pricing discipline.</t>
        </is>
      </c>
      <c r="AM223" s="9" t="n">
        <v>6</v>
      </c>
      <c r="AN223" s="9" t="n">
        <v>6.75</v>
      </c>
      <c r="AO223" s="10" t="n">
        <v>0.55</v>
      </c>
      <c r="AP223" s="13" t="n">
        <v>0</v>
      </c>
      <c r="AQ223" s="13" t="n">
        <v>0</v>
      </c>
      <c r="AR223" s="13" t="n">
        <v>0</v>
      </c>
      <c r="AS223" s="13" t="n">
        <v>0.01</v>
      </c>
      <c r="AT223" s="13" t="n">
        <v>0.005</v>
      </c>
      <c r="AU223" s="13" t="n">
        <v>0.0025</v>
      </c>
      <c r="AV223" s="13" t="n">
        <v>-0.005</v>
      </c>
      <c r="AW223" s="13" t="n">
        <v>0.033</v>
      </c>
      <c r="AX223" s="13" t="n">
        <v>0.0125</v>
      </c>
      <c r="AY223" s="12" t="n"/>
      <c r="AZ223" s="12" t="n"/>
      <c r="BA223" s="12" t="n"/>
      <c r="BB223" s="12" t="n"/>
      <c r="BC223" s="12" t="n"/>
      <c r="BD223" s="12" t="n"/>
      <c r="BE223" s="12" t="n"/>
      <c r="BF223" t="inlineStr">
        <is>
          <t>Frozen values from same rules-based model as formula sheet.</t>
        </is>
      </c>
      <c r="BG223" t="inlineStr">
        <is>
          <t>2026-03-17</t>
        </is>
      </c>
      <c r="BH223" t="inlineStr">
        <is>
          <t>DLD / Digital Dubai / CBUAE / Savills / Knight Frank-Moody’s / Reuters</t>
        </is>
      </c>
    </row>
    <row r="224">
      <c r="A224" t="n">
        <v>223</v>
      </c>
      <c r="B224" t="inlineStr">
        <is>
          <t>Creek Vistas Grande</t>
        </is>
      </c>
      <c r="C224" t="inlineStr">
        <is>
          <t>Sobha Realty</t>
        </is>
      </c>
      <c r="D224" t="inlineStr">
        <is>
          <t>Sobha Hartland I</t>
        </is>
      </c>
      <c r="E224" t="inlineStr">
        <is>
          <t>Apartments</t>
        </is>
      </c>
      <c r="F224" t="inlineStr">
        <is>
          <t>High-Rise / View</t>
        </is>
      </c>
      <c r="G224" t="inlineStr">
        <is>
          <t>Resale</t>
        </is>
      </c>
      <c r="H224" t="inlineStr">
        <is>
          <t>1800</t>
        </is>
      </c>
      <c r="I224" t="inlineStr">
        <is>
          <t>20</t>
        </is>
      </c>
      <c r="J224" t="inlineStr">
        <is>
          <t>Completed</t>
        </is>
      </c>
      <c r="K224" t="inlineStr">
        <is>
          <t>2022</t>
        </is>
      </c>
      <c r="L224" t="inlineStr">
        <is>
          <t>6.5-7.0</t>
        </is>
      </c>
      <c r="M224" t="inlineStr">
        <is>
          <t>5-7</t>
        </is>
      </c>
      <c r="N224" t="inlineStr">
        <is>
          <t>11.5-14.0</t>
        </is>
      </c>
      <c r="O224" t="inlineStr">
        <is>
          <t>Hartland Intl</t>
        </is>
      </c>
      <c r="P224" t="inlineStr">
        <is>
          <t>American Hospital</t>
        </is>
      </c>
      <c r="Q224" t="inlineStr">
        <is>
          <t>Dubai Mall</t>
        </is>
      </c>
      <c r="R224" t="inlineStr">
        <is>
          <t>Ras Al Khor / E44</t>
        </is>
      </c>
      <c r="S224" t="inlineStr">
        <is>
          <t>10</t>
        </is>
      </c>
      <c r="T224" t="inlineStr">
        <is>
          <t>25</t>
        </is>
      </c>
      <c r="U224" t="inlineStr">
        <is>
          <t>15</t>
        </is>
      </c>
      <c r="V224" t="inlineStr">
        <is>
          <t>40</t>
        </is>
      </c>
      <c r="W224" t="n">
        <v>2</v>
      </c>
      <c r="X224" s="12" t="n"/>
      <c r="Y224" s="12" t="n"/>
      <c r="Z224" s="9" t="n">
        <v>6.5</v>
      </c>
      <c r="AA224" s="9" t="n">
        <v>7</v>
      </c>
      <c r="AB224" s="9" t="n">
        <v>5</v>
      </c>
      <c r="AC224" s="9" t="n">
        <v>7</v>
      </c>
      <c r="AD224" s="9" t="n">
        <v>11.5</v>
      </c>
      <c r="AE224" s="9" t="n">
        <v>14</v>
      </c>
      <c r="AF224" t="n">
        <v>2022</v>
      </c>
      <c r="AH224" t="inlineStr">
        <is>
          <t>Apartment</t>
        </is>
      </c>
      <c r="AI224" t="inlineStr">
        <is>
          <t>MainstreamSelective</t>
        </is>
      </c>
      <c r="AJ224" t="inlineStr">
        <is>
          <t>TopTier</t>
        </is>
      </c>
      <c r="AK224" t="inlineStr">
        <is>
          <t>Balanced / selective</t>
        </is>
      </c>
      <c r="AL224" t="inlineStr">
        <is>
          <t>Market remains active but increasingly differentiated by developer, micro-location, livability, and pricing discipline.</t>
        </is>
      </c>
      <c r="AM224" s="9" t="n">
        <v>6</v>
      </c>
      <c r="AN224" s="9" t="n">
        <v>6.75</v>
      </c>
      <c r="AO224" s="10" t="n">
        <v>0.55</v>
      </c>
      <c r="AP224" s="13" t="n">
        <v>0</v>
      </c>
      <c r="AQ224" s="13" t="n">
        <v>0</v>
      </c>
      <c r="AR224" s="13" t="n">
        <v>0</v>
      </c>
      <c r="AS224" s="13" t="n">
        <v>0.01</v>
      </c>
      <c r="AT224" s="13" t="n">
        <v>0.005</v>
      </c>
      <c r="AU224" s="13" t="n">
        <v>0.0025</v>
      </c>
      <c r="AV224" s="13" t="n">
        <v>-0.005</v>
      </c>
      <c r="AW224" s="13" t="n">
        <v>0.033</v>
      </c>
      <c r="AX224" s="13" t="n">
        <v>0.0125</v>
      </c>
      <c r="AY224" s="12" t="n"/>
      <c r="AZ224" s="12" t="n"/>
      <c r="BA224" s="12" t="n"/>
      <c r="BB224" s="12" t="n"/>
      <c r="BC224" s="12" t="n"/>
      <c r="BD224" s="12" t="n"/>
      <c r="BE224" s="12" t="n"/>
      <c r="BF224" t="inlineStr">
        <is>
          <t>Frozen values from same rules-based model as formula sheet.</t>
        </is>
      </c>
      <c r="BG224" t="inlineStr">
        <is>
          <t>2026-03-17</t>
        </is>
      </c>
      <c r="BH224" t="inlineStr">
        <is>
          <t>DLD / Digital Dubai / CBUAE / Savills / Knight Frank-Moody’s / Reuters</t>
        </is>
      </c>
    </row>
    <row r="225">
      <c r="A225" t="n">
        <v>224</v>
      </c>
      <c r="B225" t="inlineStr">
        <is>
          <t>Hartland Greens</t>
        </is>
      </c>
      <c r="C225" t="inlineStr">
        <is>
          <t>Sobha Realty</t>
        </is>
      </c>
      <c r="D225" t="inlineStr">
        <is>
          <t>Sobha Hartland I</t>
        </is>
      </c>
      <c r="E225" t="inlineStr">
        <is>
          <t>Apartments</t>
        </is>
      </c>
      <c r="F225" t="inlineStr">
        <is>
          <t>Low-Rise / Park</t>
        </is>
      </c>
      <c r="G225" t="inlineStr">
        <is>
          <t>Resale</t>
        </is>
      </c>
      <c r="H225" t="inlineStr">
        <is>
          <t>1600</t>
        </is>
      </c>
      <c r="I225" t="inlineStr">
        <is>
          <t>18</t>
        </is>
      </c>
      <c r="J225" t="inlineStr">
        <is>
          <t>Completed</t>
        </is>
      </c>
      <c r="K225" t="inlineStr">
        <is>
          <t>2018</t>
        </is>
      </c>
      <c r="L225" t="inlineStr">
        <is>
          <t>6.0-6.5</t>
        </is>
      </c>
      <c r="M225" t="inlineStr">
        <is>
          <t>5-7</t>
        </is>
      </c>
      <c r="N225" t="inlineStr">
        <is>
          <t>11.0-13.5</t>
        </is>
      </c>
      <c r="O225" t="inlineStr">
        <is>
          <t>Hartland Intl</t>
        </is>
      </c>
      <c r="P225" t="inlineStr">
        <is>
          <t>American Hospital</t>
        </is>
      </c>
      <c r="Q225" t="inlineStr">
        <is>
          <t>Dubai Mall</t>
        </is>
      </c>
      <c r="R225" t="inlineStr">
        <is>
          <t>Ras Al Khor / E44</t>
        </is>
      </c>
      <c r="S225" t="inlineStr">
        <is>
          <t>10</t>
        </is>
      </c>
      <c r="T225" t="inlineStr">
        <is>
          <t>25</t>
        </is>
      </c>
      <c r="U225" t="inlineStr">
        <is>
          <t>15</t>
        </is>
      </c>
      <c r="V225" t="inlineStr">
        <is>
          <t>40</t>
        </is>
      </c>
      <c r="W225" t="n">
        <v>2</v>
      </c>
      <c r="X225" s="12" t="n"/>
      <c r="Y225" s="12" t="n"/>
      <c r="Z225" s="9" t="n">
        <v>6</v>
      </c>
      <c r="AA225" s="9" t="n">
        <v>6.5</v>
      </c>
      <c r="AB225" s="9" t="n">
        <v>5</v>
      </c>
      <c r="AC225" s="9" t="n">
        <v>7</v>
      </c>
      <c r="AD225" s="9" t="n">
        <v>11</v>
      </c>
      <c r="AE225" s="9" t="n">
        <v>13.5</v>
      </c>
      <c r="AF225" t="n">
        <v>2018</v>
      </c>
      <c r="AH225" t="inlineStr">
        <is>
          <t>Apartment</t>
        </is>
      </c>
      <c r="AI225" t="inlineStr">
        <is>
          <t>MainstreamSelective</t>
        </is>
      </c>
      <c r="AJ225" t="inlineStr">
        <is>
          <t>TopTier</t>
        </is>
      </c>
      <c r="AK225" t="inlineStr">
        <is>
          <t>Balanced / selective</t>
        </is>
      </c>
      <c r="AL225" t="inlineStr">
        <is>
          <t>Market remains active but increasingly differentiated by developer, micro-location, livability, and pricing discipline.</t>
        </is>
      </c>
      <c r="AM225" s="9" t="n">
        <v>6</v>
      </c>
      <c r="AN225" s="9" t="n">
        <v>6.25</v>
      </c>
      <c r="AO225" s="10" t="n">
        <v>0.55</v>
      </c>
      <c r="AP225" s="13" t="n">
        <v>0</v>
      </c>
      <c r="AQ225" s="13" t="n">
        <v>0</v>
      </c>
      <c r="AR225" s="13" t="n">
        <v>0</v>
      </c>
      <c r="AS225" s="13" t="n">
        <v>0.01</v>
      </c>
      <c r="AT225" s="13" t="n">
        <v>0.005</v>
      </c>
      <c r="AU225" s="13" t="n">
        <v>0.0025</v>
      </c>
      <c r="AV225" s="13" t="n">
        <v>-0.005</v>
      </c>
      <c r="AW225" s="13" t="n">
        <v>0.033</v>
      </c>
      <c r="AX225" s="13" t="n">
        <v>0.0125</v>
      </c>
      <c r="AY225" s="12" t="n"/>
      <c r="AZ225" s="12" t="n"/>
      <c r="BA225" s="12" t="n"/>
      <c r="BB225" s="12" t="n"/>
      <c r="BC225" s="12" t="n"/>
      <c r="BD225" s="12" t="n"/>
      <c r="BE225" s="12" t="n"/>
      <c r="BF225" t="inlineStr">
        <is>
          <t>Frozen values from same rules-based model as formula sheet.</t>
        </is>
      </c>
      <c r="BG225" t="inlineStr">
        <is>
          <t>2026-03-17</t>
        </is>
      </c>
      <c r="BH225" t="inlineStr">
        <is>
          <t>DLD / Digital Dubai / CBUAE / Savills / Knight Frank-Moody’s / Reuters</t>
        </is>
      </c>
    </row>
    <row r="226">
      <c r="A226" t="n">
        <v>225</v>
      </c>
      <c r="B226" t="inlineStr">
        <is>
          <t>One Park Avenue</t>
        </is>
      </c>
      <c r="C226" t="inlineStr">
        <is>
          <t>Sobha Realty</t>
        </is>
      </c>
      <c r="D226" t="inlineStr">
        <is>
          <t>Sobha Hartland I</t>
        </is>
      </c>
      <c r="E226" t="inlineStr">
        <is>
          <t>Apartments</t>
        </is>
      </c>
      <c r="F226" t="inlineStr">
        <is>
          <t>High-Rise / View</t>
        </is>
      </c>
      <c r="G226" t="inlineStr">
        <is>
          <t>Resale</t>
        </is>
      </c>
      <c r="H226" t="inlineStr">
        <is>
          <t>1900</t>
        </is>
      </c>
      <c r="I226" t="inlineStr">
        <is>
          <t>20</t>
        </is>
      </c>
      <c r="J226" t="inlineStr">
        <is>
          <t>Completed</t>
        </is>
      </c>
      <c r="K226" t="inlineStr">
        <is>
          <t>2021</t>
        </is>
      </c>
      <c r="L226" t="inlineStr">
        <is>
          <t>6.0-6.5</t>
        </is>
      </c>
      <c r="M226" t="inlineStr">
        <is>
          <t>5-7</t>
        </is>
      </c>
      <c r="N226" t="inlineStr">
        <is>
          <t>11.0-13.5</t>
        </is>
      </c>
      <c r="O226" t="inlineStr">
        <is>
          <t>Hartland Intl</t>
        </is>
      </c>
      <c r="P226" t="inlineStr">
        <is>
          <t>American Hospital</t>
        </is>
      </c>
      <c r="Q226" t="inlineStr">
        <is>
          <t>Dubai Mall</t>
        </is>
      </c>
      <c r="R226" t="inlineStr">
        <is>
          <t>Ras Al Khor / E44</t>
        </is>
      </c>
      <c r="S226" t="inlineStr">
        <is>
          <t>10</t>
        </is>
      </c>
      <c r="T226" t="inlineStr">
        <is>
          <t>25</t>
        </is>
      </c>
      <c r="U226" t="inlineStr">
        <is>
          <t>15</t>
        </is>
      </c>
      <c r="V226" t="inlineStr">
        <is>
          <t>40</t>
        </is>
      </c>
      <c r="W226" t="n">
        <v>2</v>
      </c>
      <c r="X226" s="12" t="n"/>
      <c r="Y226" s="12" t="n"/>
      <c r="Z226" s="9" t="n">
        <v>6</v>
      </c>
      <c r="AA226" s="9" t="n">
        <v>6.5</v>
      </c>
      <c r="AB226" s="9" t="n">
        <v>5</v>
      </c>
      <c r="AC226" s="9" t="n">
        <v>7</v>
      </c>
      <c r="AD226" s="9" t="n">
        <v>11</v>
      </c>
      <c r="AE226" s="9" t="n">
        <v>13.5</v>
      </c>
      <c r="AF226" t="n">
        <v>2021</v>
      </c>
      <c r="AH226" t="inlineStr">
        <is>
          <t>Apartment</t>
        </is>
      </c>
      <c r="AI226" t="inlineStr">
        <is>
          <t>MainstreamSelective</t>
        </is>
      </c>
      <c r="AJ226" t="inlineStr">
        <is>
          <t>TopTier</t>
        </is>
      </c>
      <c r="AK226" t="inlineStr">
        <is>
          <t>Balanced / selective</t>
        </is>
      </c>
      <c r="AL226" t="inlineStr">
        <is>
          <t>Market remains active but increasingly differentiated by developer, micro-location, livability, and pricing discipline.</t>
        </is>
      </c>
      <c r="AM226" s="9" t="n">
        <v>6</v>
      </c>
      <c r="AN226" s="9" t="n">
        <v>6.25</v>
      </c>
      <c r="AO226" s="10" t="n">
        <v>0.55</v>
      </c>
      <c r="AP226" s="13" t="n">
        <v>0</v>
      </c>
      <c r="AQ226" s="13" t="n">
        <v>0</v>
      </c>
      <c r="AR226" s="13" t="n">
        <v>0</v>
      </c>
      <c r="AS226" s="13" t="n">
        <v>0.01</v>
      </c>
      <c r="AT226" s="13" t="n">
        <v>0.005</v>
      </c>
      <c r="AU226" s="13" t="n">
        <v>0.0025</v>
      </c>
      <c r="AV226" s="13" t="n">
        <v>-0.005</v>
      </c>
      <c r="AW226" s="13" t="n">
        <v>0.033</v>
      </c>
      <c r="AX226" s="13" t="n">
        <v>0.0125</v>
      </c>
      <c r="AY226" s="12" t="n"/>
      <c r="AZ226" s="12" t="n"/>
      <c r="BA226" s="12" t="n"/>
      <c r="BB226" s="12" t="n"/>
      <c r="BC226" s="12" t="n"/>
      <c r="BD226" s="12" t="n"/>
      <c r="BE226" s="12" t="n"/>
      <c r="BF226" t="inlineStr">
        <is>
          <t>Frozen values from same rules-based model as formula sheet.</t>
        </is>
      </c>
      <c r="BG226" t="inlineStr">
        <is>
          <t>2026-03-17</t>
        </is>
      </c>
      <c r="BH226" t="inlineStr">
        <is>
          <t>DLD / Digital Dubai / CBUAE / Savills / Knight Frank-Moody’s / Reuters</t>
        </is>
      </c>
    </row>
    <row r="227">
      <c r="A227" t="n">
        <v>226</v>
      </c>
      <c r="B227" t="inlineStr">
        <is>
          <t>Waves</t>
        </is>
      </c>
      <c r="C227" t="inlineStr">
        <is>
          <t>Sobha Realty</t>
        </is>
      </c>
      <c r="D227" t="inlineStr">
        <is>
          <t>Sobha Hartland I</t>
        </is>
      </c>
      <c r="E227" t="inlineStr">
        <is>
          <t>Apartments</t>
        </is>
      </c>
      <c r="F227" t="inlineStr">
        <is>
          <t>Waterfront</t>
        </is>
      </c>
      <c r="G227" t="inlineStr">
        <is>
          <t>Resale</t>
        </is>
      </c>
      <c r="H227" t="inlineStr">
        <is>
          <t>1800</t>
        </is>
      </c>
      <c r="I227" t="inlineStr">
        <is>
          <t>20</t>
        </is>
      </c>
      <c r="J227" t="inlineStr">
        <is>
          <t>Completed</t>
        </is>
      </c>
      <c r="K227" t="inlineStr">
        <is>
          <t>2022</t>
        </is>
      </c>
      <c r="L227" t="inlineStr">
        <is>
          <t>6.0-6.5</t>
        </is>
      </c>
      <c r="M227" t="inlineStr">
        <is>
          <t>6-8</t>
        </is>
      </c>
      <c r="N227" t="inlineStr">
        <is>
          <t>12.0-14.5</t>
        </is>
      </c>
      <c r="O227" t="inlineStr">
        <is>
          <t>Hartland Intl</t>
        </is>
      </c>
      <c r="P227" t="inlineStr">
        <is>
          <t>American Hospital</t>
        </is>
      </c>
      <c r="Q227" t="inlineStr">
        <is>
          <t>Dubai Mall</t>
        </is>
      </c>
      <c r="R227" t="inlineStr">
        <is>
          <t>Ras Al Khor / E44</t>
        </is>
      </c>
      <c r="S227" t="inlineStr">
        <is>
          <t>10</t>
        </is>
      </c>
      <c r="T227" t="inlineStr">
        <is>
          <t>25</t>
        </is>
      </c>
      <c r="U227" t="inlineStr">
        <is>
          <t>15</t>
        </is>
      </c>
      <c r="V227" t="inlineStr">
        <is>
          <t>40</t>
        </is>
      </c>
      <c r="W227" t="n">
        <v>2</v>
      </c>
      <c r="X227" s="12" t="n"/>
      <c r="Y227" s="12" t="n"/>
      <c r="Z227" s="9" t="n">
        <v>6</v>
      </c>
      <c r="AA227" s="9" t="n">
        <v>6.5</v>
      </c>
      <c r="AB227" s="9" t="n">
        <v>6</v>
      </c>
      <c r="AC227" s="9" t="n">
        <v>8</v>
      </c>
      <c r="AD227" s="9" t="n">
        <v>12</v>
      </c>
      <c r="AE227" s="9" t="n">
        <v>14.5</v>
      </c>
      <c r="AF227" t="n">
        <v>2022</v>
      </c>
      <c r="AH227" t="inlineStr">
        <is>
          <t>Apartment</t>
        </is>
      </c>
      <c r="AI227" t="inlineStr">
        <is>
          <t>MainstreamSelective</t>
        </is>
      </c>
      <c r="AJ227" t="inlineStr">
        <is>
          <t>TopTier</t>
        </is>
      </c>
      <c r="AK227" t="inlineStr">
        <is>
          <t>Balanced / selective</t>
        </is>
      </c>
      <c r="AL227" t="inlineStr">
        <is>
          <t>Market remains active but increasingly differentiated by developer, micro-location, livability, and pricing discipline.</t>
        </is>
      </c>
      <c r="AM227" s="9" t="n">
        <v>7</v>
      </c>
      <c r="AN227" s="9" t="n">
        <v>6.25</v>
      </c>
      <c r="AO227" s="10" t="n">
        <v>0.55</v>
      </c>
      <c r="AP227" s="13" t="n">
        <v>0</v>
      </c>
      <c r="AQ227" s="13" t="n">
        <v>0</v>
      </c>
      <c r="AR227" s="13" t="n">
        <v>0</v>
      </c>
      <c r="AS227" s="13" t="n">
        <v>0.01</v>
      </c>
      <c r="AT227" s="13" t="n">
        <v>0.005</v>
      </c>
      <c r="AU227" s="13" t="n">
        <v>0.0025</v>
      </c>
      <c r="AV227" s="13" t="n">
        <v>-0.005</v>
      </c>
      <c r="AW227" s="13" t="n">
        <v>0.03850000000000001</v>
      </c>
      <c r="AX227" s="13" t="n">
        <v>0.0125</v>
      </c>
      <c r="AY227" s="12" t="n"/>
      <c r="AZ227" s="12" t="n"/>
      <c r="BA227" s="12" t="n"/>
      <c r="BB227" s="12" t="n"/>
      <c r="BC227" s="12" t="n"/>
      <c r="BD227" s="12" t="n"/>
      <c r="BE227" s="12" t="n"/>
      <c r="BF227" t="inlineStr">
        <is>
          <t>Frozen values from same rules-based model as formula sheet.</t>
        </is>
      </c>
      <c r="BG227" t="inlineStr">
        <is>
          <t>2026-03-17</t>
        </is>
      </c>
      <c r="BH227" t="inlineStr">
        <is>
          <t>DLD / Digital Dubai / CBUAE / Savills / Knight Frank-Moody’s / Reuters</t>
        </is>
      </c>
    </row>
    <row r="228">
      <c r="A228" t="n">
        <v>227</v>
      </c>
      <c r="B228" t="inlineStr">
        <is>
          <t>Waves Grande</t>
        </is>
      </c>
      <c r="C228" t="inlineStr">
        <is>
          <t>Sobha Realty</t>
        </is>
      </c>
      <c r="D228" t="inlineStr">
        <is>
          <t>Sobha Hartland I</t>
        </is>
      </c>
      <c r="E228" t="inlineStr">
        <is>
          <t>Apartments</t>
        </is>
      </c>
      <c r="F228" t="inlineStr">
        <is>
          <t>Waterfront</t>
        </is>
      </c>
      <c r="G228" t="inlineStr">
        <is>
          <t>Resale</t>
        </is>
      </c>
      <c r="H228" t="inlineStr">
        <is>
          <t>1900</t>
        </is>
      </c>
      <c r="I228" t="inlineStr">
        <is>
          <t>20</t>
        </is>
      </c>
      <c r="J228" t="inlineStr">
        <is>
          <t>Completed</t>
        </is>
      </c>
      <c r="K228" t="inlineStr">
        <is>
          <t>2023</t>
        </is>
      </c>
      <c r="L228" t="inlineStr">
        <is>
          <t>6.0-6.5</t>
        </is>
      </c>
      <c r="M228" t="inlineStr">
        <is>
          <t>6-8</t>
        </is>
      </c>
      <c r="N228" t="inlineStr">
        <is>
          <t>12.0-14.5</t>
        </is>
      </c>
      <c r="O228" t="inlineStr">
        <is>
          <t>Hartland Intl</t>
        </is>
      </c>
      <c r="P228" t="inlineStr">
        <is>
          <t>American Hospital</t>
        </is>
      </c>
      <c r="Q228" t="inlineStr">
        <is>
          <t>Dubai Mall</t>
        </is>
      </c>
      <c r="R228" t="inlineStr">
        <is>
          <t>Ras Al Khor / E44</t>
        </is>
      </c>
      <c r="S228" t="inlineStr">
        <is>
          <t>10</t>
        </is>
      </c>
      <c r="T228" t="inlineStr">
        <is>
          <t>25</t>
        </is>
      </c>
      <c r="U228" t="inlineStr">
        <is>
          <t>15</t>
        </is>
      </c>
      <c r="V228" t="inlineStr">
        <is>
          <t>40</t>
        </is>
      </c>
      <c r="W228" t="n">
        <v>2</v>
      </c>
      <c r="X228" s="12" t="n"/>
      <c r="Y228" s="12" t="n"/>
      <c r="Z228" s="9" t="n">
        <v>6</v>
      </c>
      <c r="AA228" s="9" t="n">
        <v>6.5</v>
      </c>
      <c r="AB228" s="9" t="n">
        <v>6</v>
      </c>
      <c r="AC228" s="9" t="n">
        <v>8</v>
      </c>
      <c r="AD228" s="9" t="n">
        <v>12</v>
      </c>
      <c r="AE228" s="9" t="n">
        <v>14.5</v>
      </c>
      <c r="AF228" t="n">
        <v>2023</v>
      </c>
      <c r="AH228" t="inlineStr">
        <is>
          <t>Apartment</t>
        </is>
      </c>
      <c r="AI228" t="inlineStr">
        <is>
          <t>MainstreamSelective</t>
        </is>
      </c>
      <c r="AJ228" t="inlineStr">
        <is>
          <t>TopTier</t>
        </is>
      </c>
      <c r="AK228" t="inlineStr">
        <is>
          <t>Balanced / selective</t>
        </is>
      </c>
      <c r="AL228" t="inlineStr">
        <is>
          <t>Market remains active but increasingly differentiated by developer, micro-location, livability, and pricing discipline.</t>
        </is>
      </c>
      <c r="AM228" s="9" t="n">
        <v>7</v>
      </c>
      <c r="AN228" s="9" t="n">
        <v>6.25</v>
      </c>
      <c r="AO228" s="10" t="n">
        <v>0.55</v>
      </c>
      <c r="AP228" s="13" t="n">
        <v>0</v>
      </c>
      <c r="AQ228" s="13" t="n">
        <v>0</v>
      </c>
      <c r="AR228" s="13" t="n">
        <v>0</v>
      </c>
      <c r="AS228" s="13" t="n">
        <v>0.01</v>
      </c>
      <c r="AT228" s="13" t="n">
        <v>0.005</v>
      </c>
      <c r="AU228" s="13" t="n">
        <v>0.0025</v>
      </c>
      <c r="AV228" s="13" t="n">
        <v>-0.005</v>
      </c>
      <c r="AW228" s="13" t="n">
        <v>0.03850000000000001</v>
      </c>
      <c r="AX228" s="13" t="n">
        <v>0.0125</v>
      </c>
      <c r="AY228" s="12" t="n"/>
      <c r="AZ228" s="12" t="n"/>
      <c r="BA228" s="12" t="n"/>
      <c r="BB228" s="12" t="n"/>
      <c r="BC228" s="12" t="n"/>
      <c r="BD228" s="12" t="n"/>
      <c r="BE228" s="12" t="n"/>
      <c r="BF228" t="inlineStr">
        <is>
          <t>Frozen values from same rules-based model as formula sheet.</t>
        </is>
      </c>
      <c r="BG228" t="inlineStr">
        <is>
          <t>2026-03-17</t>
        </is>
      </c>
      <c r="BH228" t="inlineStr">
        <is>
          <t>DLD / Digital Dubai / CBUAE / Savills / Knight Frank-Moody’s / Reuters</t>
        </is>
      </c>
    </row>
    <row r="229">
      <c r="A229" t="n">
        <v>228</v>
      </c>
      <c r="B229" t="inlineStr">
        <is>
          <t>Forest Villas</t>
        </is>
      </c>
      <c r="C229" t="inlineStr">
        <is>
          <t>Sobha Realty</t>
        </is>
      </c>
      <c r="D229" t="inlineStr">
        <is>
          <t>Sobha Hartland I</t>
        </is>
      </c>
      <c r="E229" t="inlineStr">
        <is>
          <t>Villas</t>
        </is>
      </c>
      <c r="F229" t="inlineStr">
        <is>
          <t>Luxury / Green</t>
        </is>
      </c>
      <c r="G229" t="inlineStr">
        <is>
          <t>Resale (15M+)</t>
        </is>
      </c>
      <c r="H229" t="inlineStr">
        <is>
          <t>2200</t>
        </is>
      </c>
      <c r="I229" t="inlineStr">
        <is>
          <t>15</t>
        </is>
      </c>
      <c r="J229" t="inlineStr">
        <is>
          <t>Completed</t>
        </is>
      </c>
      <c r="K229" t="inlineStr">
        <is>
          <t>2020</t>
        </is>
      </c>
      <c r="L229" t="inlineStr">
        <is>
          <t>4.5-5.0</t>
        </is>
      </c>
      <c r="M229" t="inlineStr">
        <is>
          <t>6-8</t>
        </is>
      </c>
      <c r="N229" t="inlineStr">
        <is>
          <t>10.5-13.0</t>
        </is>
      </c>
      <c r="O229" t="inlineStr">
        <is>
          <t>Hartland Intl</t>
        </is>
      </c>
      <c r="P229" t="inlineStr">
        <is>
          <t>American Hospital</t>
        </is>
      </c>
      <c r="Q229" t="inlineStr">
        <is>
          <t>Dubai Mall</t>
        </is>
      </c>
      <c r="R229" t="inlineStr">
        <is>
          <t>Ras Al Khor / E44</t>
        </is>
      </c>
      <c r="S229" t="inlineStr">
        <is>
          <t>10</t>
        </is>
      </c>
      <c r="T229" t="inlineStr">
        <is>
          <t>25</t>
        </is>
      </c>
      <c r="U229" t="inlineStr">
        <is>
          <t>15</t>
        </is>
      </c>
      <c r="V229" t="inlineStr">
        <is>
          <t>40</t>
        </is>
      </c>
      <c r="W229" t="n">
        <v>2</v>
      </c>
      <c r="X229" s="12" t="n">
        <v>15000000</v>
      </c>
      <c r="Y229" s="12" t="n">
        <v>15000000</v>
      </c>
      <c r="Z229" s="9" t="n">
        <v>4.5</v>
      </c>
      <c r="AA229" s="9" t="n">
        <v>5</v>
      </c>
      <c r="AB229" s="9" t="n">
        <v>6</v>
      </c>
      <c r="AC229" s="9" t="n">
        <v>8</v>
      </c>
      <c r="AD229" s="9" t="n">
        <v>10.5</v>
      </c>
      <c r="AE229" s="9" t="n">
        <v>13</v>
      </c>
      <c r="AF229" t="n">
        <v>2020</v>
      </c>
      <c r="AH229" t="inlineStr">
        <is>
          <t>Villa</t>
        </is>
      </c>
      <c r="AI229" t="inlineStr">
        <is>
          <t>MainstreamSelective</t>
        </is>
      </c>
      <c r="AJ229" t="inlineStr">
        <is>
          <t>TopTier</t>
        </is>
      </c>
      <c r="AK229" t="inlineStr">
        <is>
          <t>Family-villa resilient</t>
        </is>
      </c>
      <c r="AL229" t="inlineStr">
        <is>
          <t>Villa/townhouse demand remains relatively firmer, though growth should be slower than the post-2020 surge.</t>
        </is>
      </c>
      <c r="AM229" s="9" t="n">
        <v>7</v>
      </c>
      <c r="AN229" s="9" t="n">
        <v>4.75</v>
      </c>
      <c r="AO229" s="10" t="n">
        <v>0.55</v>
      </c>
      <c r="AP229" s="13" t="n">
        <v>0</v>
      </c>
      <c r="AQ229" s="13" t="n">
        <v>0.015</v>
      </c>
      <c r="AR229" s="13" t="n">
        <v>0</v>
      </c>
      <c r="AS229" s="13" t="n">
        <v>0.025</v>
      </c>
      <c r="AT229" s="13" t="n">
        <v>0.005</v>
      </c>
      <c r="AU229" s="13" t="n">
        <v>0</v>
      </c>
      <c r="AV229" s="13" t="n">
        <v>-0.005</v>
      </c>
      <c r="AW229" s="13" t="n">
        <v>0.05350000000000001</v>
      </c>
      <c r="AX229" s="13" t="n">
        <v>0.025</v>
      </c>
      <c r="AY229" s="12" t="n">
        <v>15328425</v>
      </c>
      <c r="AZ229" s="12" t="n">
        <v>15802500</v>
      </c>
      <c r="BA229" s="12" t="n">
        <v>16276575</v>
      </c>
      <c r="BB229" s="12" t="n">
        <v>15723487</v>
      </c>
      <c r="BC229" s="12" t="n">
        <v>16197562</v>
      </c>
      <c r="BD229" s="12" t="n">
        <v>16671637</v>
      </c>
      <c r="BE229" s="12" t="n">
        <v>16602502</v>
      </c>
      <c r="BF229" t="inlineStr">
        <is>
          <t>Frozen values from same rules-based model as formula sheet.</t>
        </is>
      </c>
      <c r="BG229" t="inlineStr">
        <is>
          <t>2026-03-17</t>
        </is>
      </c>
      <c r="BH229" t="inlineStr">
        <is>
          <t>DLD / Digital Dubai / CBUAE / Savills / Knight Frank-Moody’s / Reuters</t>
        </is>
      </c>
    </row>
    <row r="230">
      <c r="A230" t="n">
        <v>229</v>
      </c>
      <c r="B230" t="inlineStr">
        <is>
          <t>Sobha Elwood</t>
        </is>
      </c>
      <c r="C230" t="inlineStr">
        <is>
          <t>Sobha Realty</t>
        </is>
      </c>
      <c r="D230" t="inlineStr">
        <is>
          <t>Dubailand</t>
        </is>
      </c>
      <c r="E230" t="inlineStr">
        <is>
          <t>Villas</t>
        </is>
      </c>
      <c r="F230" t="inlineStr">
        <is>
          <t>Green / Nature</t>
        </is>
      </c>
      <c r="G230" t="inlineStr">
        <is>
          <t>4.5M</t>
        </is>
      </c>
      <c r="H230" t="inlineStr">
        <is>
          <t>1400</t>
        </is>
      </c>
      <c r="I230" t="inlineStr">
        <is>
          <t>15</t>
        </is>
      </c>
      <c r="J230" t="inlineStr">
        <is>
          <t>60/40</t>
        </is>
      </c>
      <c r="K230" t="inlineStr">
        <is>
          <t>2024</t>
        </is>
      </c>
      <c r="L230" t="inlineStr">
        <is>
          <t>6.0-6.5</t>
        </is>
      </c>
      <c r="M230" t="inlineStr">
        <is>
          <t>10-12</t>
        </is>
      </c>
      <c r="N230" t="inlineStr">
        <is>
          <t>16.0-18.5</t>
        </is>
      </c>
      <c r="O230" t="inlineStr">
        <is>
          <t>GEMS Winchester</t>
        </is>
      </c>
      <c r="P230" t="inlineStr">
        <is>
          <t>Fakeeh University Hosp</t>
        </is>
      </c>
      <c r="Q230" t="inlineStr">
        <is>
          <t>Dubai Outlet Mall</t>
        </is>
      </c>
      <c r="R230" t="inlineStr">
        <is>
          <t>E611 / Al Ain Rd</t>
        </is>
      </c>
      <c r="S230" t="inlineStr">
        <is>
          <t>20</t>
        </is>
      </c>
      <c r="T230" t="inlineStr">
        <is>
          <t>25</t>
        </is>
      </c>
      <c r="U230" t="inlineStr">
        <is>
          <t>25</t>
        </is>
      </c>
      <c r="V230" t="inlineStr">
        <is>
          <t>30</t>
        </is>
      </c>
      <c r="W230" t="n">
        <v>2</v>
      </c>
      <c r="X230" s="12" t="n">
        <v>4500000</v>
      </c>
      <c r="Y230" s="12" t="n">
        <v>4500000</v>
      </c>
      <c r="Z230" s="9" t="n">
        <v>6</v>
      </c>
      <c r="AA230" s="9" t="n">
        <v>6.5</v>
      </c>
      <c r="AB230" s="9" t="n">
        <v>10</v>
      </c>
      <c r="AC230" s="9" t="n">
        <v>12</v>
      </c>
      <c r="AD230" s="9" t="n">
        <v>16</v>
      </c>
      <c r="AE230" s="9" t="n">
        <v>18.5</v>
      </c>
      <c r="AF230" t="n">
        <v>2024</v>
      </c>
      <c r="AH230" t="inlineStr">
        <is>
          <t>Villa</t>
        </is>
      </c>
      <c r="AI230" t="inlineStr">
        <is>
          <t>MainstreamSelective</t>
        </is>
      </c>
      <c r="AJ230" t="inlineStr">
        <is>
          <t>TopTier</t>
        </is>
      </c>
      <c r="AK230" t="inlineStr">
        <is>
          <t>Family-villa resilient</t>
        </is>
      </c>
      <c r="AL230" t="inlineStr">
        <is>
          <t>Villa/townhouse demand remains relatively firmer, though growth should be slower than the post-2020 surge.</t>
        </is>
      </c>
      <c r="AM230" s="9" t="n">
        <v>11</v>
      </c>
      <c r="AN230" s="9" t="n">
        <v>6.25</v>
      </c>
      <c r="AO230" s="10" t="n">
        <v>0.55</v>
      </c>
      <c r="AP230" s="13" t="n">
        <v>0</v>
      </c>
      <c r="AQ230" s="13" t="n">
        <v>0.015</v>
      </c>
      <c r="AR230" s="13" t="n">
        <v>0</v>
      </c>
      <c r="AS230" s="13" t="n">
        <v>0.025</v>
      </c>
      <c r="AT230" s="13" t="n">
        <v>0.005</v>
      </c>
      <c r="AU230" s="13" t="n">
        <v>0.0025</v>
      </c>
      <c r="AV230" s="13" t="n">
        <v>-0.005</v>
      </c>
      <c r="AW230" s="13" t="n">
        <v>0.07550000000000001</v>
      </c>
      <c r="AX230" s="13" t="n">
        <v>0.0275</v>
      </c>
      <c r="AY230" s="12" t="n">
        <v>4694558</v>
      </c>
      <c r="AZ230" s="12" t="n">
        <v>4839750</v>
      </c>
      <c r="BA230" s="12" t="n">
        <v>4984942</v>
      </c>
      <c r="BB230" s="12" t="n">
        <v>4827651</v>
      </c>
      <c r="BC230" s="12" t="n">
        <v>4972843</v>
      </c>
      <c r="BD230" s="12" t="n">
        <v>5118036</v>
      </c>
      <c r="BE230" s="12" t="n">
        <v>5109596</v>
      </c>
      <c r="BF230" t="inlineStr">
        <is>
          <t>Frozen values from same rules-based model as formula sheet.</t>
        </is>
      </c>
      <c r="BG230" t="inlineStr">
        <is>
          <t>2026-03-17</t>
        </is>
      </c>
      <c r="BH230" t="inlineStr">
        <is>
          <t>DLD / Digital Dubai / CBUAE / Savills / Knight Frank-Moody’s / Reuters</t>
        </is>
      </c>
    </row>
    <row r="231">
      <c r="A231" t="n">
        <v>230</v>
      </c>
      <c r="B231" t="inlineStr">
        <is>
          <t>Sobha Reserve</t>
        </is>
      </c>
      <c r="C231" t="inlineStr">
        <is>
          <t>Sobha Realty</t>
        </is>
      </c>
      <c r="D231" t="inlineStr">
        <is>
          <t>Wadi Al Safa 2</t>
        </is>
      </c>
      <c r="E231" t="inlineStr">
        <is>
          <t>Villas</t>
        </is>
      </c>
      <c r="F231" t="inlineStr">
        <is>
          <t>Forest / Gated</t>
        </is>
      </c>
      <c r="G231" t="inlineStr">
        <is>
          <t>7.5M</t>
        </is>
      </c>
      <c r="H231" t="inlineStr">
        <is>
          <t>1600</t>
        </is>
      </c>
      <c r="I231" t="inlineStr">
        <is>
          <t>15</t>
        </is>
      </c>
      <c r="J231" t="inlineStr">
        <is>
          <t>60/40</t>
        </is>
      </c>
      <c r="K231" t="inlineStr">
        <is>
          <t>2023</t>
        </is>
      </c>
      <c r="L231" t="inlineStr">
        <is>
          <t>5.0-5.5</t>
        </is>
      </c>
      <c r="M231" t="inlineStr">
        <is>
          <t>10-12</t>
        </is>
      </c>
      <c r="N231" t="inlineStr">
        <is>
          <t>15.0-17.5</t>
        </is>
      </c>
      <c r="O231" t="inlineStr">
        <is>
          <t>GEMS Winchester</t>
        </is>
      </c>
      <c r="P231" t="inlineStr">
        <is>
          <t>Fakeeh University Hosp</t>
        </is>
      </c>
      <c r="Q231" t="inlineStr">
        <is>
          <t>Dubai Outlet Mall</t>
        </is>
      </c>
      <c r="R231" t="inlineStr">
        <is>
          <t>E611 / Al Ain Rd</t>
        </is>
      </c>
      <c r="S231" t="inlineStr">
        <is>
          <t>20</t>
        </is>
      </c>
      <c r="T231" t="inlineStr">
        <is>
          <t>25</t>
        </is>
      </c>
      <c r="U231" t="inlineStr">
        <is>
          <t>25</t>
        </is>
      </c>
      <c r="V231" t="inlineStr">
        <is>
          <t>30</t>
        </is>
      </c>
      <c r="W231" t="n">
        <v>2</v>
      </c>
      <c r="X231" s="12" t="n">
        <v>7500000</v>
      </c>
      <c r="Y231" s="12" t="n">
        <v>7500000</v>
      </c>
      <c r="Z231" s="9" t="n">
        <v>5</v>
      </c>
      <c r="AA231" s="9" t="n">
        <v>5.5</v>
      </c>
      <c r="AB231" s="9" t="n">
        <v>10</v>
      </c>
      <c r="AC231" s="9" t="n">
        <v>12</v>
      </c>
      <c r="AD231" s="9" t="n">
        <v>15</v>
      </c>
      <c r="AE231" s="9" t="n">
        <v>17.5</v>
      </c>
      <c r="AF231" t="n">
        <v>2023</v>
      </c>
      <c r="AH231" t="inlineStr">
        <is>
          <t>Villa</t>
        </is>
      </c>
      <c r="AI231" t="inlineStr">
        <is>
          <t>MainstreamSelective</t>
        </is>
      </c>
      <c r="AJ231" t="inlineStr">
        <is>
          <t>TopTier</t>
        </is>
      </c>
      <c r="AK231" t="inlineStr">
        <is>
          <t>Family-villa resilient</t>
        </is>
      </c>
      <c r="AL231" t="inlineStr">
        <is>
          <t>Villa/townhouse demand remains relatively firmer, though growth should be slower than the post-2020 surge.</t>
        </is>
      </c>
      <c r="AM231" s="9" t="n">
        <v>11</v>
      </c>
      <c r="AN231" s="9" t="n">
        <v>5.25</v>
      </c>
      <c r="AO231" s="10" t="n">
        <v>0.55</v>
      </c>
      <c r="AP231" s="13" t="n">
        <v>0</v>
      </c>
      <c r="AQ231" s="13" t="n">
        <v>0.015</v>
      </c>
      <c r="AR231" s="13" t="n">
        <v>0</v>
      </c>
      <c r="AS231" s="13" t="n">
        <v>0.025</v>
      </c>
      <c r="AT231" s="13" t="n">
        <v>0.005</v>
      </c>
      <c r="AU231" s="13" t="n">
        <v>0</v>
      </c>
      <c r="AV231" s="13" t="n">
        <v>-0.005</v>
      </c>
      <c r="AW231" s="13" t="n">
        <v>0.07550000000000001</v>
      </c>
      <c r="AX231" s="13" t="n">
        <v>0.025</v>
      </c>
      <c r="AY231" s="12" t="n">
        <v>7824262</v>
      </c>
      <c r="AZ231" s="12" t="n">
        <v>8066250</v>
      </c>
      <c r="BA231" s="12" t="n">
        <v>8308238</v>
      </c>
      <c r="BB231" s="12" t="n">
        <v>8025919</v>
      </c>
      <c r="BC231" s="12" t="n">
        <v>8267906</v>
      </c>
      <c r="BD231" s="12" t="n">
        <v>8509894</v>
      </c>
      <c r="BE231" s="12" t="n">
        <v>8474604</v>
      </c>
      <c r="BF231" t="inlineStr">
        <is>
          <t>Frozen values from same rules-based model as formula sheet.</t>
        </is>
      </c>
      <c r="BG231" t="inlineStr">
        <is>
          <t>2026-03-17</t>
        </is>
      </c>
      <c r="BH231" t="inlineStr">
        <is>
          <t>DLD / Digital Dubai / CBUAE / Savills / Knight Frank-Moody’s / Reuters</t>
        </is>
      </c>
    </row>
    <row r="232">
      <c r="A232" t="n">
        <v>231</v>
      </c>
      <c r="B232" t="inlineStr">
        <is>
          <t>Sobha Seahaven</t>
        </is>
      </c>
      <c r="C232" t="inlineStr">
        <is>
          <t>Sobha Realty</t>
        </is>
      </c>
      <c r="D232" t="inlineStr">
        <is>
          <t>Dubai Harbour</t>
        </is>
      </c>
      <c r="E232" t="inlineStr">
        <is>
          <t>Apartments</t>
        </is>
      </c>
      <c r="F232" t="inlineStr">
        <is>
          <t>Marina / Sea View</t>
        </is>
      </c>
      <c r="G232" t="inlineStr">
        <is>
          <t>3.8M</t>
        </is>
      </c>
      <c r="H232" t="inlineStr">
        <is>
          <t>3500</t>
        </is>
      </c>
      <c r="I232" t="inlineStr">
        <is>
          <t>30</t>
        </is>
      </c>
      <c r="J232" t="inlineStr">
        <is>
          <t>60/40</t>
        </is>
      </c>
      <c r="K232" t="inlineStr">
        <is>
          <t>2023</t>
        </is>
      </c>
      <c r="L232" t="inlineStr">
        <is>
          <t>5.0-5.5</t>
        </is>
      </c>
      <c r="M232" t="inlineStr">
        <is>
          <t>10-15</t>
        </is>
      </c>
      <c r="N232" t="inlineStr">
        <is>
          <t>15.0-20.5</t>
        </is>
      </c>
      <c r="O232" t="inlineStr">
        <is>
          <t>American Univ. Dubai</t>
        </is>
      </c>
      <c r="P232" t="inlineStr">
        <is>
          <t>Saudi German Hospital</t>
        </is>
      </c>
      <c r="Q232" t="inlineStr">
        <is>
          <t>Dubai Marina Mall</t>
        </is>
      </c>
      <c r="R232" t="inlineStr">
        <is>
          <t>Sheikh Zayed E11</t>
        </is>
      </c>
      <c r="S232" t="inlineStr">
        <is>
          <t>20</t>
        </is>
      </c>
      <c r="T232" t="inlineStr">
        <is>
          <t>5</t>
        </is>
      </c>
      <c r="U232" t="inlineStr">
        <is>
          <t>25</t>
        </is>
      </c>
      <c r="V232" t="inlineStr">
        <is>
          <t>30</t>
        </is>
      </c>
      <c r="W232" t="n">
        <v>2</v>
      </c>
      <c r="X232" s="12" t="n">
        <v>3800000</v>
      </c>
      <c r="Y232" s="12" t="n">
        <v>3800000</v>
      </c>
      <c r="Z232" s="9" t="n">
        <v>5</v>
      </c>
      <c r="AA232" s="9" t="n">
        <v>5.5</v>
      </c>
      <c r="AB232" s="9" t="n">
        <v>10</v>
      </c>
      <c r="AC232" s="9" t="n">
        <v>15</v>
      </c>
      <c r="AD232" s="9" t="n">
        <v>15</v>
      </c>
      <c r="AE232" s="9" t="n">
        <v>20.5</v>
      </c>
      <c r="AF232" t="n">
        <v>2023</v>
      </c>
      <c r="AH232" t="inlineStr">
        <is>
          <t>Apartment</t>
        </is>
      </c>
      <c r="AI232" t="inlineStr">
        <is>
          <t>MainstreamSelective</t>
        </is>
      </c>
      <c r="AJ232" t="inlineStr">
        <is>
          <t>TopTier</t>
        </is>
      </c>
      <c r="AK232" t="inlineStr">
        <is>
          <t>Balanced / selective</t>
        </is>
      </c>
      <c r="AL232" t="inlineStr">
        <is>
          <t>Market remains active but increasingly differentiated by developer, micro-location, livability, and pricing discipline.</t>
        </is>
      </c>
      <c r="AM232" s="9" t="n">
        <v>12.5</v>
      </c>
      <c r="AN232" s="9" t="n">
        <v>5.25</v>
      </c>
      <c r="AO232" s="10" t="n">
        <v>0.55</v>
      </c>
      <c r="AP232" s="13" t="n">
        <v>0</v>
      </c>
      <c r="AQ232" s="13" t="n">
        <v>0</v>
      </c>
      <c r="AR232" s="13" t="n">
        <v>0</v>
      </c>
      <c r="AS232" s="13" t="n">
        <v>0.01</v>
      </c>
      <c r="AT232" s="13" t="n">
        <v>0.005</v>
      </c>
      <c r="AU232" s="13" t="n">
        <v>0</v>
      </c>
      <c r="AV232" s="13" t="n">
        <v>-0.005</v>
      </c>
      <c r="AW232" s="13" t="n">
        <v>0.06875000000000001</v>
      </c>
      <c r="AX232" s="13" t="n">
        <v>0.009999999999999998</v>
      </c>
      <c r="AY232" s="12" t="n">
        <v>3939412</v>
      </c>
      <c r="AZ232" s="12" t="n">
        <v>4061250</v>
      </c>
      <c r="BA232" s="12" t="n">
        <v>4183088</v>
      </c>
      <c r="BB232" s="12" t="n">
        <v>3980025</v>
      </c>
      <c r="BC232" s="12" t="n">
        <v>4101862</v>
      </c>
      <c r="BD232" s="12" t="n">
        <v>4223700</v>
      </c>
      <c r="BE232" s="12" t="n">
        <v>4142881</v>
      </c>
      <c r="BF232" t="inlineStr">
        <is>
          <t>Frozen values from same rules-based model as formula sheet.</t>
        </is>
      </c>
      <c r="BG232" t="inlineStr">
        <is>
          <t>2026-03-17</t>
        </is>
      </c>
      <c r="BH232" t="inlineStr">
        <is>
          <t>DLD / Digital Dubai / CBUAE / Savills / Knight Frank-Moody’s / Reuters</t>
        </is>
      </c>
    </row>
    <row r="233">
      <c r="A233" t="n">
        <v>232</v>
      </c>
      <c r="B233" t="inlineStr">
        <is>
          <t>Sky Edition (Seahaven)</t>
        </is>
      </c>
      <c r="C233" t="inlineStr">
        <is>
          <t>Sobha Realty</t>
        </is>
      </c>
      <c r="D233" t="inlineStr">
        <is>
          <t>Dubai Harbour</t>
        </is>
      </c>
      <c r="E233" t="inlineStr">
        <is>
          <t>Luxury Apts</t>
        </is>
      </c>
      <c r="F233" t="inlineStr">
        <is>
          <t>High Floor / Sea</t>
        </is>
      </c>
      <c r="G233" t="inlineStr">
        <is>
          <t>5.5M</t>
        </is>
      </c>
      <c r="H233" t="inlineStr">
        <is>
          <t>4000</t>
        </is>
      </c>
      <c r="I233" t="inlineStr">
        <is>
          <t>30</t>
        </is>
      </c>
      <c r="J233" t="inlineStr">
        <is>
          <t>60/40</t>
        </is>
      </c>
      <c r="K233" t="inlineStr">
        <is>
          <t>2023</t>
        </is>
      </c>
      <c r="L233" t="inlineStr">
        <is>
          <t>4.5-5.0</t>
        </is>
      </c>
      <c r="M233" t="inlineStr">
        <is>
          <t>10-15</t>
        </is>
      </c>
      <c r="N233" t="inlineStr">
        <is>
          <t>14.5-20.0</t>
        </is>
      </c>
      <c r="O233" t="inlineStr">
        <is>
          <t>American Univ. Dubai</t>
        </is>
      </c>
      <c r="P233" t="inlineStr">
        <is>
          <t>Saudi German Hospital</t>
        </is>
      </c>
      <c r="Q233" t="inlineStr">
        <is>
          <t>Dubai Marina Mall</t>
        </is>
      </c>
      <c r="R233" t="inlineStr">
        <is>
          <t>Sheikh Zayed E11</t>
        </is>
      </c>
      <c r="S233" t="inlineStr">
        <is>
          <t>20</t>
        </is>
      </c>
      <c r="T233" t="inlineStr">
        <is>
          <t>5</t>
        </is>
      </c>
      <c r="U233" t="inlineStr">
        <is>
          <t>25</t>
        </is>
      </c>
      <c r="V233" t="inlineStr">
        <is>
          <t>30</t>
        </is>
      </c>
      <c r="W233" t="n">
        <v>2</v>
      </c>
      <c r="X233" s="12" t="n">
        <v>5500000</v>
      </c>
      <c r="Y233" s="12" t="n">
        <v>5500000</v>
      </c>
      <c r="Z233" s="9" t="n">
        <v>4.5</v>
      </c>
      <c r="AA233" s="9" t="n">
        <v>5</v>
      </c>
      <c r="AB233" s="9" t="n">
        <v>10</v>
      </c>
      <c r="AC233" s="9" t="n">
        <v>15</v>
      </c>
      <c r="AD233" s="9" t="n">
        <v>14.5</v>
      </c>
      <c r="AE233" s="9" t="n">
        <v>20</v>
      </c>
      <c r="AF233" t="n">
        <v>2023</v>
      </c>
      <c r="AH233" t="inlineStr">
        <is>
          <t>Apartment</t>
        </is>
      </c>
      <c r="AI233" t="inlineStr">
        <is>
          <t>MainstreamSelective</t>
        </is>
      </c>
      <c r="AJ233" t="inlineStr">
        <is>
          <t>TopTier</t>
        </is>
      </c>
      <c r="AK233" t="inlineStr">
        <is>
          <t>Balanced / selective</t>
        </is>
      </c>
      <c r="AL233" t="inlineStr">
        <is>
          <t>Market remains active but increasingly differentiated by developer, micro-location, livability, and pricing discipline.</t>
        </is>
      </c>
      <c r="AM233" s="9" t="n">
        <v>12.5</v>
      </c>
      <c r="AN233" s="9" t="n">
        <v>4.75</v>
      </c>
      <c r="AO233" s="10" t="n">
        <v>0.55</v>
      </c>
      <c r="AP233" s="13" t="n">
        <v>0</v>
      </c>
      <c r="AQ233" s="13" t="n">
        <v>0</v>
      </c>
      <c r="AR233" s="13" t="n">
        <v>0</v>
      </c>
      <c r="AS233" s="13" t="n">
        <v>0.01</v>
      </c>
      <c r="AT233" s="13" t="n">
        <v>0.005</v>
      </c>
      <c r="AU233" s="13" t="n">
        <v>0</v>
      </c>
      <c r="AV233" s="13" t="n">
        <v>-0.005</v>
      </c>
      <c r="AW233" s="13" t="n">
        <v>0.06875000000000001</v>
      </c>
      <c r="AX233" s="13" t="n">
        <v>0.009999999999999998</v>
      </c>
      <c r="AY233" s="12" t="n">
        <v>5701781</v>
      </c>
      <c r="AZ233" s="12" t="n">
        <v>5878125</v>
      </c>
      <c r="BA233" s="12" t="n">
        <v>6054469</v>
      </c>
      <c r="BB233" s="12" t="n">
        <v>5760562</v>
      </c>
      <c r="BC233" s="12" t="n">
        <v>5936906</v>
      </c>
      <c r="BD233" s="12" t="n">
        <v>6113250</v>
      </c>
      <c r="BE233" s="12" t="n">
        <v>5996275</v>
      </c>
      <c r="BF233" t="inlineStr">
        <is>
          <t>Frozen values from same rules-based model as formula sheet.</t>
        </is>
      </c>
      <c r="BG233" t="inlineStr">
        <is>
          <t>2026-03-17</t>
        </is>
      </c>
      <c r="BH233" t="inlineStr">
        <is>
          <t>DLD / Digital Dubai / CBUAE / Savills / Knight Frank-Moody’s / Reuters</t>
        </is>
      </c>
    </row>
    <row r="234">
      <c r="A234" t="n">
        <v>233</v>
      </c>
      <c r="B234" t="inlineStr">
        <is>
          <t>Verde by Sobha</t>
        </is>
      </c>
      <c r="C234" t="inlineStr">
        <is>
          <t>Sobha Realty</t>
        </is>
      </c>
      <c r="D234" t="inlineStr">
        <is>
          <t>JLT</t>
        </is>
      </c>
      <c r="E234" t="inlineStr">
        <is>
          <t>Apartments</t>
        </is>
      </c>
      <c r="F234" t="inlineStr">
        <is>
          <t>Golf View / City</t>
        </is>
      </c>
      <c r="G234" t="inlineStr">
        <is>
          <t>2.0M</t>
        </is>
      </c>
      <c r="H234" t="inlineStr">
        <is>
          <t>2200</t>
        </is>
      </c>
      <c r="I234" t="inlineStr">
        <is>
          <t>22</t>
        </is>
      </c>
      <c r="J234" t="inlineStr">
        <is>
          <t>60/40</t>
        </is>
      </c>
      <c r="K234" t="inlineStr">
        <is>
          <t>2023</t>
        </is>
      </c>
      <c r="L234" t="inlineStr">
        <is>
          <t>6.0-6.5</t>
        </is>
      </c>
      <c r="M234" t="inlineStr">
        <is>
          <t>8-10</t>
        </is>
      </c>
      <c r="N234" t="inlineStr">
        <is>
          <t>14.0-16.5</t>
        </is>
      </c>
      <c r="O234" t="inlineStr">
        <is>
          <t>Emirates Intl School</t>
        </is>
      </c>
      <c r="P234" t="inlineStr">
        <is>
          <t>Saudi German Hospital</t>
        </is>
      </c>
      <c r="Q234" t="inlineStr">
        <is>
          <t>Dubai Marina Mall</t>
        </is>
      </c>
      <c r="R234" t="inlineStr">
        <is>
          <t>Sheikh Zayed E11</t>
        </is>
      </c>
      <c r="S234" t="inlineStr">
        <is>
          <t>20</t>
        </is>
      </c>
      <c r="T234" t="inlineStr">
        <is>
          <t>5</t>
        </is>
      </c>
      <c r="U234" t="inlineStr">
        <is>
          <t>25</t>
        </is>
      </c>
      <c r="V234" t="inlineStr">
        <is>
          <t>30</t>
        </is>
      </c>
      <c r="W234" t="n">
        <v>2</v>
      </c>
      <c r="X234" s="12" t="n">
        <v>2000000</v>
      </c>
      <c r="Y234" s="12" t="n">
        <v>2000000</v>
      </c>
      <c r="Z234" s="9" t="n">
        <v>6</v>
      </c>
      <c r="AA234" s="9" t="n">
        <v>6.5</v>
      </c>
      <c r="AB234" s="9" t="n">
        <v>8</v>
      </c>
      <c r="AC234" s="9" t="n">
        <v>10</v>
      </c>
      <c r="AD234" s="9" t="n">
        <v>14</v>
      </c>
      <c r="AE234" s="9" t="n">
        <v>16.5</v>
      </c>
      <c r="AF234" t="n">
        <v>2023</v>
      </c>
      <c r="AH234" t="inlineStr">
        <is>
          <t>Apartment</t>
        </is>
      </c>
      <c r="AI234" t="inlineStr">
        <is>
          <t>MainstreamSelective</t>
        </is>
      </c>
      <c r="AJ234" t="inlineStr">
        <is>
          <t>TopTier</t>
        </is>
      </c>
      <c r="AK234" t="inlineStr">
        <is>
          <t>Balanced / selective</t>
        </is>
      </c>
      <c r="AL234" t="inlineStr">
        <is>
          <t>Market remains active but increasingly differentiated by developer, micro-location, livability, and pricing discipline.</t>
        </is>
      </c>
      <c r="AM234" s="9" t="n">
        <v>9</v>
      </c>
      <c r="AN234" s="9" t="n">
        <v>6.25</v>
      </c>
      <c r="AO234" s="10" t="n">
        <v>0.55</v>
      </c>
      <c r="AP234" s="13" t="n">
        <v>0</v>
      </c>
      <c r="AQ234" s="13" t="n">
        <v>0</v>
      </c>
      <c r="AR234" s="13" t="n">
        <v>0</v>
      </c>
      <c r="AS234" s="13" t="n">
        <v>0.01</v>
      </c>
      <c r="AT234" s="13" t="n">
        <v>0.005</v>
      </c>
      <c r="AU234" s="13" t="n">
        <v>0.0025</v>
      </c>
      <c r="AV234" s="13" t="n">
        <v>-0.005</v>
      </c>
      <c r="AW234" s="13" t="n">
        <v>0.0495</v>
      </c>
      <c r="AX234" s="13" t="n">
        <v>0.0125</v>
      </c>
      <c r="AY234" s="12" t="n">
        <v>2036030</v>
      </c>
      <c r="AZ234" s="12" t="n">
        <v>2099000</v>
      </c>
      <c r="BA234" s="12" t="n">
        <v>2161970</v>
      </c>
      <c r="BB234" s="12" t="n">
        <v>2062267</v>
      </c>
      <c r="BC234" s="12" t="n">
        <v>2125238</v>
      </c>
      <c r="BD234" s="12" t="n">
        <v>2188208</v>
      </c>
      <c r="BE234" s="12" t="n">
        <v>2151803</v>
      </c>
      <c r="BF234" t="inlineStr">
        <is>
          <t>Frozen values from same rules-based model as formula sheet.</t>
        </is>
      </c>
      <c r="BG234" t="inlineStr">
        <is>
          <t>2026-03-17</t>
        </is>
      </c>
      <c r="BH234" t="inlineStr">
        <is>
          <t>DLD / Digital Dubai / CBUAE / Savills / Knight Frank-Moody’s / Reuters</t>
        </is>
      </c>
    </row>
    <row r="235">
      <c r="A235" t="n">
        <v>234</v>
      </c>
      <c r="B235" t="inlineStr">
        <is>
          <t>Sobha Orbis</t>
        </is>
      </c>
      <c r="C235" t="inlineStr">
        <is>
          <t>Sobha Realty</t>
        </is>
      </c>
      <c r="D235" t="inlineStr">
        <is>
          <t>Motor City</t>
        </is>
      </c>
      <c r="E235" t="inlineStr">
        <is>
          <t>Apartments</t>
        </is>
      </c>
      <c r="F235" t="inlineStr">
        <is>
          <t>High-Rise / City</t>
        </is>
      </c>
      <c r="G235" t="inlineStr">
        <is>
          <t>985k</t>
        </is>
      </c>
      <c r="H235" t="inlineStr">
        <is>
          <t>1400</t>
        </is>
      </c>
      <c r="I235" t="inlineStr">
        <is>
          <t>15</t>
        </is>
      </c>
      <c r="J235" t="inlineStr">
        <is>
          <t>60/40</t>
        </is>
      </c>
      <c r="K235" t="inlineStr">
        <is>
          <t>2024</t>
        </is>
      </c>
      <c r="L235" t="inlineStr">
        <is>
          <t>7.0-7.5</t>
        </is>
      </c>
      <c r="M235" t="inlineStr">
        <is>
          <t>8-10</t>
        </is>
      </c>
      <c r="N235" t="inlineStr">
        <is>
          <t>15.0-17.5</t>
        </is>
      </c>
      <c r="O235" t="inlineStr">
        <is>
          <t>GEMS Metropole</t>
        </is>
      </c>
      <c r="P235" t="inlineStr">
        <is>
          <t>Mediclinic Parkview</t>
        </is>
      </c>
      <c r="Q235" t="inlineStr">
        <is>
          <t>First Avenue Mall</t>
        </is>
      </c>
      <c r="R235" t="inlineStr">
        <is>
          <t>Hessa St / E311</t>
        </is>
      </c>
      <c r="S235" t="inlineStr">
        <is>
          <t>20</t>
        </is>
      </c>
      <c r="T235" t="inlineStr">
        <is>
          <t>15</t>
        </is>
      </c>
      <c r="U235" t="inlineStr">
        <is>
          <t>25</t>
        </is>
      </c>
      <c r="V235" t="inlineStr">
        <is>
          <t>25</t>
        </is>
      </c>
      <c r="W235" t="n">
        <v>2</v>
      </c>
      <c r="X235" s="12" t="n">
        <v>985000</v>
      </c>
      <c r="Y235" s="12" t="n">
        <v>985000</v>
      </c>
      <c r="Z235" s="9" t="n">
        <v>7</v>
      </c>
      <c r="AA235" s="9" t="n">
        <v>7.5</v>
      </c>
      <c r="AB235" s="9" t="n">
        <v>8</v>
      </c>
      <c r="AC235" s="9" t="n">
        <v>10</v>
      </c>
      <c r="AD235" s="9" t="n">
        <v>15</v>
      </c>
      <c r="AE235" s="9" t="n">
        <v>17.5</v>
      </c>
      <c r="AF235" t="n">
        <v>2024</v>
      </c>
      <c r="AH235" t="inlineStr">
        <is>
          <t>Apartment</t>
        </is>
      </c>
      <c r="AI235" t="inlineStr">
        <is>
          <t>MainstreamSelective</t>
        </is>
      </c>
      <c r="AJ235" t="inlineStr">
        <is>
          <t>TopTier</t>
        </is>
      </c>
      <c r="AK235" t="inlineStr">
        <is>
          <t>Balanced / selective</t>
        </is>
      </c>
      <c r="AL235" t="inlineStr">
        <is>
          <t>Market remains active but increasingly differentiated by developer, micro-location, livability, and pricing discipline.</t>
        </is>
      </c>
      <c r="AM235" s="9" t="n">
        <v>9</v>
      </c>
      <c r="AN235" s="9" t="n">
        <v>7.25</v>
      </c>
      <c r="AO235" s="10" t="n">
        <v>0.55</v>
      </c>
      <c r="AP235" s="13" t="n">
        <v>0</v>
      </c>
      <c r="AQ235" s="13" t="n">
        <v>0</v>
      </c>
      <c r="AR235" s="13" t="n">
        <v>0</v>
      </c>
      <c r="AS235" s="13" t="n">
        <v>0.01</v>
      </c>
      <c r="AT235" s="13" t="n">
        <v>0.005</v>
      </c>
      <c r="AU235" s="13" t="n">
        <v>0.0025</v>
      </c>
      <c r="AV235" s="13" t="n">
        <v>-0.005</v>
      </c>
      <c r="AW235" s="13" t="n">
        <v>0.0495</v>
      </c>
      <c r="AX235" s="13" t="n">
        <v>0.0125</v>
      </c>
      <c r="AY235" s="12" t="n">
        <v>1002745</v>
      </c>
      <c r="AZ235" s="12" t="n">
        <v>1033758</v>
      </c>
      <c r="BA235" s="12" t="n">
        <v>1064771</v>
      </c>
      <c r="BB235" s="12" t="n">
        <v>1015667</v>
      </c>
      <c r="BC235" s="12" t="n">
        <v>1046680</v>
      </c>
      <c r="BD235" s="12" t="n">
        <v>1077693</v>
      </c>
      <c r="BE235" s="12" t="n">
        <v>1059763</v>
      </c>
      <c r="BF235" t="inlineStr">
        <is>
          <t>Frozen values from same rules-based model as formula sheet.</t>
        </is>
      </c>
      <c r="BG235" t="inlineStr">
        <is>
          <t>2026-03-17</t>
        </is>
      </c>
      <c r="BH235" t="inlineStr">
        <is>
          <t>DLD / Digital Dubai / CBUAE / Savills / Knight Frank-Moody’s / Reuters</t>
        </is>
      </c>
    </row>
    <row r="236">
      <c r="A236" t="n">
        <v>235</v>
      </c>
      <c r="B236" t="inlineStr">
        <is>
          <t>Ghaf Woods (Master Community)</t>
        </is>
      </c>
      <c r="C236" t="inlineStr">
        <is>
          <t>Majid Al Futtaim</t>
        </is>
      </c>
      <c r="D236" t="inlineStr">
        <is>
          <t>Dubailand (Near Global Vill)</t>
        </is>
      </c>
      <c r="E236" t="inlineStr">
        <is>
          <t>Apartments</t>
        </is>
      </c>
      <c r="F236" t="inlineStr">
        <is>
          <t>Forest / Eco</t>
        </is>
      </c>
      <c r="G236" t="inlineStr">
        <is>
          <t>1.5M</t>
        </is>
      </c>
      <c r="H236" t="inlineStr">
        <is>
          <t>1600</t>
        </is>
      </c>
      <c r="I236" t="inlineStr">
        <is>
          <t>18</t>
        </is>
      </c>
      <c r="J236" t="inlineStr">
        <is>
          <t>60/40</t>
        </is>
      </c>
      <c r="K236" t="inlineStr">
        <is>
          <t>2024</t>
        </is>
      </c>
      <c r="L236" t="inlineStr">
        <is>
          <t>6.0-6.5</t>
        </is>
      </c>
      <c r="M236" t="inlineStr">
        <is>
          <t>10-12</t>
        </is>
      </c>
      <c r="N236" t="inlineStr">
        <is>
          <t>16.0-18.5</t>
        </is>
      </c>
      <c r="O236" t="inlineStr">
        <is>
          <t>GEMS Winchester</t>
        </is>
      </c>
      <c r="P236" t="inlineStr">
        <is>
          <t>Fakeeh University Hosp</t>
        </is>
      </c>
      <c r="Q236" t="inlineStr">
        <is>
          <t>Global Village</t>
        </is>
      </c>
      <c r="R236" t="inlineStr">
        <is>
          <t>E611 / Sheikh Zayed Bin Hamdan</t>
        </is>
      </c>
      <c r="S236" t="inlineStr">
        <is>
          <t>20</t>
        </is>
      </c>
      <c r="T236" t="inlineStr">
        <is>
          <t>25</t>
        </is>
      </c>
      <c r="U236" t="inlineStr">
        <is>
          <t>25</t>
        </is>
      </c>
      <c r="V236" t="inlineStr">
        <is>
          <t>30</t>
        </is>
      </c>
      <c r="W236" t="n">
        <v>2</v>
      </c>
      <c r="X236" s="12" t="n">
        <v>1500000</v>
      </c>
      <c r="Y236" s="12" t="n">
        <v>1500000</v>
      </c>
      <c r="Z236" s="9" t="n">
        <v>6</v>
      </c>
      <c r="AA236" s="9" t="n">
        <v>6.5</v>
      </c>
      <c r="AB236" s="9" t="n">
        <v>10</v>
      </c>
      <c r="AC236" s="9" t="n">
        <v>12</v>
      </c>
      <c r="AD236" s="9" t="n">
        <v>16</v>
      </c>
      <c r="AE236" s="9" t="n">
        <v>18.5</v>
      </c>
      <c r="AF236" t="n">
        <v>2024</v>
      </c>
      <c r="AH236" t="inlineStr">
        <is>
          <t>Apartment</t>
        </is>
      </c>
      <c r="AI236" t="inlineStr">
        <is>
          <t>MainstreamSelective</t>
        </is>
      </c>
      <c r="AJ236" t="inlineStr">
        <is>
          <t>Established</t>
        </is>
      </c>
      <c r="AK236" t="inlineStr">
        <is>
          <t>Balanced / selective</t>
        </is>
      </c>
      <c r="AL236" t="inlineStr">
        <is>
          <t>Market remains active but increasingly differentiated by developer, micro-location, livability, and pricing discipline.</t>
        </is>
      </c>
      <c r="AM236" s="9" t="n">
        <v>11</v>
      </c>
      <c r="AN236" s="9" t="n">
        <v>6.25</v>
      </c>
      <c r="AO236" s="10" t="n">
        <v>0.55</v>
      </c>
      <c r="AP236" s="13" t="n">
        <v>0</v>
      </c>
      <c r="AQ236" s="13" t="n">
        <v>0</v>
      </c>
      <c r="AR236" s="13" t="n">
        <v>0</v>
      </c>
      <c r="AS236" s="13" t="n">
        <v>0.01</v>
      </c>
      <c r="AT236" s="13" t="n">
        <v>0</v>
      </c>
      <c r="AU236" s="13" t="n">
        <v>0.0025</v>
      </c>
      <c r="AV236" s="13" t="n">
        <v>-0.005</v>
      </c>
      <c r="AW236" s="13" t="n">
        <v>0.06050000000000001</v>
      </c>
      <c r="AX236" s="13" t="n">
        <v>0.007500000000000001</v>
      </c>
      <c r="AY236" s="12" t="n">
        <v>1543028</v>
      </c>
      <c r="AZ236" s="12" t="n">
        <v>1590750</v>
      </c>
      <c r="BA236" s="12" t="n">
        <v>1638472</v>
      </c>
      <c r="BB236" s="12" t="n">
        <v>1554958</v>
      </c>
      <c r="BC236" s="12" t="n">
        <v>1602681</v>
      </c>
      <c r="BD236" s="12" t="n">
        <v>1650403</v>
      </c>
      <c r="BE236" s="12" t="n">
        <v>1614701</v>
      </c>
      <c r="BF236" t="inlineStr">
        <is>
          <t>Frozen values from same rules-based model as formula sheet.</t>
        </is>
      </c>
      <c r="BG236" t="inlineStr">
        <is>
          <t>2026-03-17</t>
        </is>
      </c>
      <c r="BH236" t="inlineStr">
        <is>
          <t>DLD / Digital Dubai / CBUAE / Savills / Knight Frank-Moody’s / Reuters</t>
        </is>
      </c>
    </row>
    <row r="237">
      <c r="A237" t="n">
        <v>236</v>
      </c>
      <c r="B237" t="inlineStr">
        <is>
          <t>Plagette</t>
        </is>
      </c>
      <c r="C237" t="inlineStr">
        <is>
          <t>Majid Al Futtaim</t>
        </is>
      </c>
      <c r="D237" t="inlineStr">
        <is>
          <t>Tilal Al Ghaf</t>
        </is>
      </c>
      <c r="E237" t="inlineStr">
        <is>
          <t>Villas</t>
        </is>
      </c>
      <c r="F237" t="inlineStr">
        <is>
          <t>Lagoon / Luxury</t>
        </is>
      </c>
      <c r="G237" t="inlineStr">
        <is>
          <t>8.0M</t>
        </is>
      </c>
      <c r="H237" t="inlineStr">
        <is>
          <t>2000</t>
        </is>
      </c>
      <c r="I237" t="inlineStr">
        <is>
          <t>20</t>
        </is>
      </c>
      <c r="J237" t="inlineStr">
        <is>
          <t>50/50</t>
        </is>
      </c>
      <c r="K237" t="inlineStr">
        <is>
          <t>2023</t>
        </is>
      </c>
      <c r="L237" t="inlineStr">
        <is>
          <t>5.0-5.5</t>
        </is>
      </c>
      <c r="M237" t="inlineStr">
        <is>
          <t>10-12</t>
        </is>
      </c>
      <c r="N237" t="inlineStr">
        <is>
          <t>15.0-17.5</t>
        </is>
      </c>
      <c r="O237" t="inlineStr">
        <is>
          <t>Royal Grammar</t>
        </is>
      </c>
      <c r="P237" t="inlineStr">
        <is>
          <t>Mediclinic Parkview</t>
        </is>
      </c>
      <c r="Q237" t="inlineStr">
        <is>
          <t>First Avenue Mall</t>
        </is>
      </c>
      <c r="R237" t="inlineStr">
        <is>
          <t>Hessa St / E611</t>
        </is>
      </c>
      <c r="S237" t="inlineStr">
        <is>
          <t>20</t>
        </is>
      </c>
      <c r="T237" t="inlineStr">
        <is>
          <t>20</t>
        </is>
      </c>
      <c r="U237" t="inlineStr">
        <is>
          <t>25</t>
        </is>
      </c>
      <c r="V237" t="inlineStr">
        <is>
          <t>25</t>
        </is>
      </c>
      <c r="W237" t="n">
        <v>2</v>
      </c>
      <c r="X237" s="12" t="n">
        <v>8000000</v>
      </c>
      <c r="Y237" s="12" t="n">
        <v>8000000</v>
      </c>
      <c r="Z237" s="9" t="n">
        <v>5</v>
      </c>
      <c r="AA237" s="9" t="n">
        <v>5.5</v>
      </c>
      <c r="AB237" s="9" t="n">
        <v>10</v>
      </c>
      <c r="AC237" s="9" t="n">
        <v>12</v>
      </c>
      <c r="AD237" s="9" t="n">
        <v>15</v>
      </c>
      <c r="AE237" s="9" t="n">
        <v>17.5</v>
      </c>
      <c r="AF237" t="n">
        <v>2023</v>
      </c>
      <c r="AH237" t="inlineStr">
        <is>
          <t>Villa</t>
        </is>
      </c>
      <c r="AI237" t="inlineStr">
        <is>
          <t>FamilyVilla</t>
        </is>
      </c>
      <c r="AJ237" t="inlineStr">
        <is>
          <t>Established</t>
        </is>
      </c>
      <c r="AK237" t="inlineStr">
        <is>
          <t>Family-villa resilient</t>
        </is>
      </c>
      <c r="AL237" t="inlineStr">
        <is>
          <t>Villa/townhouse demand remains relatively firmer, though growth should be slower than the post-2020 surge.</t>
        </is>
      </c>
      <c r="AM237" s="9" t="n">
        <v>11</v>
      </c>
      <c r="AN237" s="9" t="n">
        <v>5.25</v>
      </c>
      <c r="AO237" s="10" t="n">
        <v>0.55</v>
      </c>
      <c r="AP237" s="13" t="n">
        <v>0</v>
      </c>
      <c r="AQ237" s="13" t="n">
        <v>0.015</v>
      </c>
      <c r="AR237" s="13" t="n">
        <v>0</v>
      </c>
      <c r="AS237" s="13" t="n">
        <v>0.025</v>
      </c>
      <c r="AT237" s="13" t="n">
        <v>0</v>
      </c>
      <c r="AU237" s="13" t="n">
        <v>0</v>
      </c>
      <c r="AV237" s="13" t="n">
        <v>-0.005</v>
      </c>
      <c r="AW237" s="13" t="n">
        <v>0.07550000000000001</v>
      </c>
      <c r="AX237" s="13" t="n">
        <v>0.02</v>
      </c>
      <c r="AY237" s="12" t="n">
        <v>8345880</v>
      </c>
      <c r="AZ237" s="12" t="n">
        <v>8604000</v>
      </c>
      <c r="BA237" s="12" t="n">
        <v>8862120</v>
      </c>
      <c r="BB237" s="12" t="n">
        <v>8517960</v>
      </c>
      <c r="BC237" s="12" t="n">
        <v>8776080</v>
      </c>
      <c r="BD237" s="12" t="n">
        <v>9034200</v>
      </c>
      <c r="BE237" s="12" t="n">
        <v>8951602</v>
      </c>
      <c r="BF237" t="inlineStr">
        <is>
          <t>Frozen values from same rules-based model as formula sheet.</t>
        </is>
      </c>
      <c r="BG237" t="inlineStr">
        <is>
          <t>2026-03-17</t>
        </is>
      </c>
      <c r="BH237" t="inlineStr">
        <is>
          <t>DLD / Digital Dubai / CBUAE / Savills / Knight Frank-Moody’s / Reuters</t>
        </is>
      </c>
    </row>
    <row r="238">
      <c r="A238" t="n">
        <v>237</v>
      </c>
      <c r="B238" t="inlineStr">
        <is>
          <t>Sierra</t>
        </is>
      </c>
      <c r="C238" t="inlineStr">
        <is>
          <t>Majid Al Futtaim</t>
        </is>
      </c>
      <c r="D238" t="inlineStr">
        <is>
          <t>Ghaf Woods</t>
        </is>
      </c>
      <c r="E238" t="inlineStr">
        <is>
          <t>Apartments</t>
        </is>
      </c>
      <c r="F238" t="inlineStr">
        <is>
          <t>Forest</t>
        </is>
      </c>
      <c r="G238" t="inlineStr">
        <is>
          <t>1.6M</t>
        </is>
      </c>
      <c r="H238" t="inlineStr">
        <is>
          <t>1650</t>
        </is>
      </c>
      <c r="I238" t="inlineStr">
        <is>
          <t>18</t>
        </is>
      </c>
      <c r="J238" t="inlineStr">
        <is>
          <t>60/40</t>
        </is>
      </c>
      <c r="K238" t="inlineStr">
        <is>
          <t>2024</t>
        </is>
      </c>
      <c r="L238" t="inlineStr">
        <is>
          <t>6.0-6.5</t>
        </is>
      </c>
      <c r="M238" t="inlineStr">
        <is>
          <t>10-12</t>
        </is>
      </c>
      <c r="N238" t="inlineStr">
        <is>
          <t>16.0-18.5</t>
        </is>
      </c>
      <c r="O238" t="inlineStr">
        <is>
          <t>GEMS Winchester</t>
        </is>
      </c>
      <c r="P238" t="inlineStr">
        <is>
          <t>Fakeeh University Hosp</t>
        </is>
      </c>
      <c r="Q238" t="inlineStr">
        <is>
          <t>Global Village</t>
        </is>
      </c>
      <c r="R238" t="inlineStr">
        <is>
          <t>E611 / Sheikh Zayed Bin Hamdan</t>
        </is>
      </c>
      <c r="S238" t="inlineStr">
        <is>
          <t>20</t>
        </is>
      </c>
      <c r="T238" t="inlineStr">
        <is>
          <t>25</t>
        </is>
      </c>
      <c r="U238" t="inlineStr">
        <is>
          <t>25</t>
        </is>
      </c>
      <c r="V238" t="inlineStr">
        <is>
          <t>30</t>
        </is>
      </c>
      <c r="W238" t="n">
        <v>2</v>
      </c>
      <c r="X238" s="12" t="n">
        <v>1600000</v>
      </c>
      <c r="Y238" s="12" t="n">
        <v>1600000</v>
      </c>
      <c r="Z238" s="9" t="n">
        <v>6</v>
      </c>
      <c r="AA238" s="9" t="n">
        <v>6.5</v>
      </c>
      <c r="AB238" s="9" t="n">
        <v>10</v>
      </c>
      <c r="AC238" s="9" t="n">
        <v>12</v>
      </c>
      <c r="AD238" s="9" t="n">
        <v>16</v>
      </c>
      <c r="AE238" s="9" t="n">
        <v>18.5</v>
      </c>
      <c r="AF238" t="n">
        <v>2024</v>
      </c>
      <c r="AH238" t="inlineStr">
        <is>
          <t>Apartment</t>
        </is>
      </c>
      <c r="AI238" t="inlineStr">
        <is>
          <t>MainstreamSelective</t>
        </is>
      </c>
      <c r="AJ238" t="inlineStr">
        <is>
          <t>Established</t>
        </is>
      </c>
      <c r="AK238" t="inlineStr">
        <is>
          <t>Balanced / selective</t>
        </is>
      </c>
      <c r="AL238" t="inlineStr">
        <is>
          <t>Market remains active but increasingly differentiated by developer, micro-location, livability, and pricing discipline.</t>
        </is>
      </c>
      <c r="AM238" s="9" t="n">
        <v>11</v>
      </c>
      <c r="AN238" s="9" t="n">
        <v>6.25</v>
      </c>
      <c r="AO238" s="10" t="n">
        <v>0.55</v>
      </c>
      <c r="AP238" s="13" t="n">
        <v>0</v>
      </c>
      <c r="AQ238" s="13" t="n">
        <v>0</v>
      </c>
      <c r="AR238" s="13" t="n">
        <v>0</v>
      </c>
      <c r="AS238" s="13" t="n">
        <v>0.01</v>
      </c>
      <c r="AT238" s="13" t="n">
        <v>0</v>
      </c>
      <c r="AU238" s="13" t="n">
        <v>0.0025</v>
      </c>
      <c r="AV238" s="13" t="n">
        <v>-0.005</v>
      </c>
      <c r="AW238" s="13" t="n">
        <v>0.06050000000000001</v>
      </c>
      <c r="AX238" s="13" t="n">
        <v>0.007500000000000001</v>
      </c>
      <c r="AY238" s="12" t="n">
        <v>1645896</v>
      </c>
      <c r="AZ238" s="12" t="n">
        <v>1696800</v>
      </c>
      <c r="BA238" s="12" t="n">
        <v>1747704</v>
      </c>
      <c r="BB238" s="12" t="n">
        <v>1658622</v>
      </c>
      <c r="BC238" s="12" t="n">
        <v>1709526</v>
      </c>
      <c r="BD238" s="12" t="n">
        <v>1760430</v>
      </c>
      <c r="BE238" s="12" t="n">
        <v>1722347</v>
      </c>
      <c r="BF238" t="inlineStr">
        <is>
          <t>Frozen values from same rules-based model as formula sheet.</t>
        </is>
      </c>
      <c r="BG238" t="inlineStr">
        <is>
          <t>2026-03-17</t>
        </is>
      </c>
      <c r="BH238" t="inlineStr">
        <is>
          <t>DLD / Digital Dubai / CBUAE / Savills / Knight Frank-Moody’s / Reuters</t>
        </is>
      </c>
    </row>
    <row r="239">
      <c r="A239" t="n">
        <v>238</v>
      </c>
      <c r="B239" t="inlineStr">
        <is>
          <t>Tilal Al Ghaf (Master Community)</t>
        </is>
      </c>
      <c r="C239" t="inlineStr">
        <is>
          <t>Majid Al Futtaim</t>
        </is>
      </c>
      <c r="D239" t="inlineStr">
        <is>
          <t>Hessa Street</t>
        </is>
      </c>
      <c r="E239" t="inlineStr">
        <is>
          <t>Mixed</t>
        </is>
      </c>
      <c r="F239" t="inlineStr">
        <is>
          <t>Lagoon / Resort</t>
        </is>
      </c>
      <c r="I239" t="inlineStr">
        <is>
          <t>15-18</t>
        </is>
      </c>
      <c r="J239" t="inlineStr">
        <is>
          <t>Varies</t>
        </is>
      </c>
      <c r="K239" t="inlineStr">
        <is>
          <t>Ongoing</t>
        </is>
      </c>
      <c r="L239" t="inlineStr">
        <is>
          <t>6.0-7.0</t>
        </is>
      </c>
      <c r="M239" t="inlineStr">
        <is>
          <t>8-12</t>
        </is>
      </c>
      <c r="N239" t="inlineStr">
        <is>
          <t>14.0-19.0</t>
        </is>
      </c>
      <c r="O239" t="inlineStr">
        <is>
          <t>Royal Grammar</t>
        </is>
      </c>
      <c r="P239" t="inlineStr">
        <is>
          <t>Mediclinic Parkview</t>
        </is>
      </c>
      <c r="Q239" t="inlineStr">
        <is>
          <t>First Avenue Mall</t>
        </is>
      </c>
      <c r="R239" t="inlineStr">
        <is>
          <t>Hessa St / E611</t>
        </is>
      </c>
      <c r="S239" t="inlineStr">
        <is>
          <t>20</t>
        </is>
      </c>
      <c r="T239" t="inlineStr">
        <is>
          <t>20</t>
        </is>
      </c>
      <c r="U239" t="inlineStr">
        <is>
          <t>25</t>
        </is>
      </c>
      <c r="V239" t="inlineStr">
        <is>
          <t>25</t>
        </is>
      </c>
      <c r="W239" t="n">
        <v>2</v>
      </c>
      <c r="X239" s="12" t="n"/>
      <c r="Y239" s="12" t="n"/>
      <c r="Z239" s="9" t="n">
        <v>6</v>
      </c>
      <c r="AA239" s="9" t="n">
        <v>7</v>
      </c>
      <c r="AB239" s="9" t="n">
        <v>8</v>
      </c>
      <c r="AC239" s="9" t="n">
        <v>12</v>
      </c>
      <c r="AD239" s="9" t="n">
        <v>14</v>
      </c>
      <c r="AE239" s="9" t="n">
        <v>19</v>
      </c>
      <c r="AH239" t="inlineStr">
        <is>
          <t>Mixed/Other</t>
        </is>
      </c>
      <c r="AI239" t="inlineStr">
        <is>
          <t>MainstreamSelective</t>
        </is>
      </c>
      <c r="AJ239" t="inlineStr">
        <is>
          <t>Established</t>
        </is>
      </c>
      <c r="AK239" t="inlineStr">
        <is>
          <t>Balanced / selective</t>
        </is>
      </c>
      <c r="AL239" t="inlineStr">
        <is>
          <t>Market remains active but increasingly differentiated by developer, micro-location, livability, and pricing discipline.</t>
        </is>
      </c>
      <c r="AM239" s="9" t="n">
        <v>10</v>
      </c>
      <c r="AN239" s="9" t="n">
        <v>6.5</v>
      </c>
      <c r="AO239" s="10" t="n">
        <v>0.25</v>
      </c>
      <c r="AP239" s="13" t="n">
        <v>0</v>
      </c>
      <c r="AQ239" s="13" t="n">
        <v>0</v>
      </c>
      <c r="AR239" s="13" t="n">
        <v>0</v>
      </c>
      <c r="AS239" s="13" t="n">
        <v>0.01</v>
      </c>
      <c r="AT239" s="13" t="n">
        <v>0</v>
      </c>
      <c r="AU239" s="13" t="n">
        <v>0.0025</v>
      </c>
      <c r="AV239" s="13" t="n">
        <v>-0.005</v>
      </c>
      <c r="AW239" s="13" t="n">
        <v>0.025</v>
      </c>
      <c r="AX239" s="13" t="n">
        <v>0.007500000000000001</v>
      </c>
      <c r="AY239" s="12" t="n"/>
      <c r="AZ239" s="12" t="n"/>
      <c r="BA239" s="12" t="n"/>
      <c r="BB239" s="12" t="n"/>
      <c r="BC239" s="12" t="n"/>
      <c r="BD239" s="12" t="n"/>
      <c r="BE239" s="12" t="n"/>
      <c r="BF239" t="inlineStr">
        <is>
          <t>Frozen values from same rules-based model as formula sheet.</t>
        </is>
      </c>
      <c r="BG239" t="inlineStr">
        <is>
          <t>2026-03-17</t>
        </is>
      </c>
      <c r="BH239" t="inlineStr">
        <is>
          <t>DLD / Digital Dubai / CBUAE / Savills / Knight Frank-Moody’s / Reuters</t>
        </is>
      </c>
    </row>
    <row r="240">
      <c r="A240" t="n">
        <v>239</v>
      </c>
      <c r="B240" t="inlineStr">
        <is>
          <t>Serenity Mansions</t>
        </is>
      </c>
      <c r="C240" t="inlineStr">
        <is>
          <t>Majid Al Futtaim</t>
        </is>
      </c>
      <c r="D240" t="inlineStr">
        <is>
          <t>Tilal Al Ghaf</t>
        </is>
      </c>
      <c r="E240" t="inlineStr">
        <is>
          <t>Mansions</t>
        </is>
      </c>
      <c r="F240" t="inlineStr">
        <is>
          <t>Ultra-Luxury</t>
        </is>
      </c>
      <c r="G240" t="inlineStr">
        <is>
          <t>25M+</t>
        </is>
      </c>
      <c r="H240" t="inlineStr">
        <is>
          <t>3000</t>
        </is>
      </c>
      <c r="I240" t="inlineStr">
        <is>
          <t>TBA</t>
        </is>
      </c>
      <c r="J240" t="inlineStr">
        <is>
          <t>50/50</t>
        </is>
      </c>
      <c r="K240" t="inlineStr">
        <is>
          <t>2023</t>
        </is>
      </c>
      <c r="L240" t="inlineStr">
        <is>
          <t>4.0-4.5</t>
        </is>
      </c>
      <c r="M240" t="inlineStr">
        <is>
          <t>10-15</t>
        </is>
      </c>
      <c r="N240" t="inlineStr">
        <is>
          <t>14.0-19.5</t>
        </is>
      </c>
      <c r="O240" t="inlineStr">
        <is>
          <t>Royal Grammar</t>
        </is>
      </c>
      <c r="P240" t="inlineStr">
        <is>
          <t>Mediclinic Parkview</t>
        </is>
      </c>
      <c r="Q240" t="inlineStr">
        <is>
          <t>First Avenue Mall</t>
        </is>
      </c>
      <c r="R240" t="inlineStr">
        <is>
          <t>Hessa St / E611</t>
        </is>
      </c>
      <c r="S240" t="inlineStr">
        <is>
          <t>20</t>
        </is>
      </c>
      <c r="T240" t="inlineStr">
        <is>
          <t>20</t>
        </is>
      </c>
      <c r="U240" t="inlineStr">
        <is>
          <t>25</t>
        </is>
      </c>
      <c r="V240" t="inlineStr">
        <is>
          <t>25</t>
        </is>
      </c>
      <c r="W240" t="n">
        <v>2</v>
      </c>
      <c r="X240" s="12" t="n">
        <v>25000000</v>
      </c>
      <c r="Y240" s="12" t="n">
        <v>25000000</v>
      </c>
      <c r="Z240" s="9" t="n">
        <v>4</v>
      </c>
      <c r="AA240" s="9" t="n">
        <v>4.5</v>
      </c>
      <c r="AB240" s="9" t="n">
        <v>10</v>
      </c>
      <c r="AC240" s="9" t="n">
        <v>15</v>
      </c>
      <c r="AD240" s="9" t="n">
        <v>14</v>
      </c>
      <c r="AE240" s="9" t="n">
        <v>19.5</v>
      </c>
      <c r="AF240" t="n">
        <v>2023</v>
      </c>
      <c r="AH240" t="inlineStr">
        <is>
          <t>Mixed/Other</t>
        </is>
      </c>
      <c r="AI240" t="inlineStr">
        <is>
          <t>MainstreamSelective</t>
        </is>
      </c>
      <c r="AJ240" t="inlineStr">
        <is>
          <t>Established</t>
        </is>
      </c>
      <c r="AK240" t="inlineStr">
        <is>
          <t>Balanced / selective</t>
        </is>
      </c>
      <c r="AL240" t="inlineStr">
        <is>
          <t>Market remains active but increasingly differentiated by developer, micro-location, livability, and pricing discipline.</t>
        </is>
      </c>
      <c r="AM240" s="9" t="n">
        <v>12.5</v>
      </c>
      <c r="AN240" s="9" t="n">
        <v>4.25</v>
      </c>
      <c r="AO240" s="10" t="n">
        <v>0.55</v>
      </c>
      <c r="AP240" s="13" t="n">
        <v>0</v>
      </c>
      <c r="AQ240" s="13" t="n">
        <v>0</v>
      </c>
      <c r="AR240" s="13" t="n">
        <v>0</v>
      </c>
      <c r="AS240" s="13" t="n">
        <v>0.01</v>
      </c>
      <c r="AT240" s="13" t="n">
        <v>0</v>
      </c>
      <c r="AU240" s="13" t="n">
        <v>0</v>
      </c>
      <c r="AV240" s="13" t="n">
        <v>-0.005</v>
      </c>
      <c r="AW240" s="13" t="n">
        <v>0.06875000000000001</v>
      </c>
      <c r="AX240" s="13" t="n">
        <v>0.005</v>
      </c>
      <c r="AY240" s="12" t="n">
        <v>25917188</v>
      </c>
      <c r="AZ240" s="12" t="n">
        <v>26718750</v>
      </c>
      <c r="BA240" s="12" t="n">
        <v>27520312</v>
      </c>
      <c r="BB240" s="12" t="n">
        <v>26050781</v>
      </c>
      <c r="BC240" s="12" t="n">
        <v>26852344</v>
      </c>
      <c r="BD240" s="12" t="n">
        <v>27653906</v>
      </c>
      <c r="BE240" s="12" t="n">
        <v>26986605</v>
      </c>
      <c r="BF240" t="inlineStr">
        <is>
          <t>Frozen values from same rules-based model as formula sheet.</t>
        </is>
      </c>
      <c r="BG240" t="inlineStr">
        <is>
          <t>2026-03-17</t>
        </is>
      </c>
      <c r="BH240" t="inlineStr">
        <is>
          <t>DLD / Digital Dubai / CBUAE / Savills / Knight Frank-Moody’s / Reuters</t>
        </is>
      </c>
    </row>
    <row r="241">
      <c r="A241" t="n">
        <v>240</v>
      </c>
      <c r="B241" t="inlineStr">
        <is>
          <t>Lanai Islands</t>
        </is>
      </c>
      <c r="C241" t="inlineStr">
        <is>
          <t>Majid Al Futtaim</t>
        </is>
      </c>
      <c r="D241" t="inlineStr">
        <is>
          <t>Tilal Al Ghaf</t>
        </is>
      </c>
      <c r="E241" t="inlineStr">
        <is>
          <t>Mansions</t>
        </is>
      </c>
      <c r="F241" t="inlineStr">
        <is>
          <t>Island / Ultra</t>
        </is>
      </c>
      <c r="G241" t="inlineStr">
        <is>
          <t>60M+</t>
        </is>
      </c>
      <c r="H241" t="inlineStr">
        <is>
          <t>4000</t>
        </is>
      </c>
      <c r="I241" t="inlineStr">
        <is>
          <t>TBA</t>
        </is>
      </c>
      <c r="J241" t="inlineStr">
        <is>
          <t>50/50</t>
        </is>
      </c>
      <c r="K241" t="inlineStr">
        <is>
          <t>2023</t>
        </is>
      </c>
      <c r="L241" t="inlineStr">
        <is>
          <t>3.5-4.0</t>
        </is>
      </c>
      <c r="M241" t="inlineStr">
        <is>
          <t>10-15</t>
        </is>
      </c>
      <c r="N241" t="inlineStr">
        <is>
          <t>13.5-19.0</t>
        </is>
      </c>
      <c r="O241" t="inlineStr">
        <is>
          <t>Royal Grammar</t>
        </is>
      </c>
      <c r="P241" t="inlineStr">
        <is>
          <t>Mediclinic Parkview</t>
        </is>
      </c>
      <c r="Q241" t="inlineStr">
        <is>
          <t>First Avenue Mall</t>
        </is>
      </c>
      <c r="R241" t="inlineStr">
        <is>
          <t>Hessa St / E611</t>
        </is>
      </c>
      <c r="S241" t="inlineStr">
        <is>
          <t>20</t>
        </is>
      </c>
      <c r="T241" t="inlineStr">
        <is>
          <t>20</t>
        </is>
      </c>
      <c r="U241" t="inlineStr">
        <is>
          <t>25</t>
        </is>
      </c>
      <c r="V241" t="inlineStr">
        <is>
          <t>25</t>
        </is>
      </c>
      <c r="W241" t="n">
        <v>2</v>
      </c>
      <c r="X241" s="12" t="n">
        <v>60000000</v>
      </c>
      <c r="Y241" s="12" t="n">
        <v>60000000</v>
      </c>
      <c r="Z241" s="9" t="n">
        <v>3.5</v>
      </c>
      <c r="AA241" s="9" t="n">
        <v>4</v>
      </c>
      <c r="AB241" s="9" t="n">
        <v>10</v>
      </c>
      <c r="AC241" s="9" t="n">
        <v>15</v>
      </c>
      <c r="AD241" s="9" t="n">
        <v>13.5</v>
      </c>
      <c r="AE241" s="9" t="n">
        <v>19</v>
      </c>
      <c r="AF241" t="n">
        <v>2023</v>
      </c>
      <c r="AH241" t="inlineStr">
        <is>
          <t>Land</t>
        </is>
      </c>
      <c r="AI241" t="inlineStr">
        <is>
          <t>MainstreamSelective</t>
        </is>
      </c>
      <c r="AJ241" t="inlineStr">
        <is>
          <t>Established</t>
        </is>
      </c>
      <c r="AK241" t="inlineStr">
        <is>
          <t>Balanced / selective</t>
        </is>
      </c>
      <c r="AL241" t="inlineStr">
        <is>
          <t>Market remains active but increasingly differentiated by developer, micro-location, livability, and pricing discipline.</t>
        </is>
      </c>
      <c r="AM241" s="9" t="n">
        <v>12.5</v>
      </c>
      <c r="AN241" s="9" t="n">
        <v>3.75</v>
      </c>
      <c r="AO241" s="10" t="n">
        <v>0.55</v>
      </c>
      <c r="AP241" s="13" t="n">
        <v>0</v>
      </c>
      <c r="AQ241" s="13" t="n">
        <v>0</v>
      </c>
      <c r="AR241" s="13" t="n">
        <v>0</v>
      </c>
      <c r="AS241" s="13" t="n">
        <v>0.01</v>
      </c>
      <c r="AT241" s="13" t="n">
        <v>0</v>
      </c>
      <c r="AU241" s="13" t="n">
        <v>0</v>
      </c>
      <c r="AV241" s="13" t="n">
        <v>-0.005</v>
      </c>
      <c r="AW241" s="13" t="n">
        <v>0.06875000000000001</v>
      </c>
      <c r="AX241" s="13" t="n">
        <v>0.005</v>
      </c>
      <c r="AY241" s="12" t="n">
        <v>62201250</v>
      </c>
      <c r="AZ241" s="12" t="n">
        <v>64125000</v>
      </c>
      <c r="BA241" s="12" t="n">
        <v>66048750</v>
      </c>
      <c r="BB241" s="12" t="n">
        <v>62521875</v>
      </c>
      <c r="BC241" s="12" t="n">
        <v>64445625</v>
      </c>
      <c r="BD241" s="12" t="n">
        <v>66369375</v>
      </c>
      <c r="BE241" s="12" t="n">
        <v>64767853</v>
      </c>
      <c r="BF241" t="inlineStr">
        <is>
          <t>Frozen values from same rules-based model as formula sheet.</t>
        </is>
      </c>
      <c r="BG241" t="inlineStr">
        <is>
          <t>2026-03-17</t>
        </is>
      </c>
      <c r="BH241" t="inlineStr">
        <is>
          <t>DLD / Digital Dubai / CBUAE / Savills / Knight Frank-Moody’s / Reuters</t>
        </is>
      </c>
    </row>
    <row r="242">
      <c r="A242" t="n">
        <v>241</v>
      </c>
      <c r="B242" t="inlineStr">
        <is>
          <t>Plagette 32</t>
        </is>
      </c>
      <c r="C242" t="inlineStr">
        <is>
          <t>Majid Al Futtaim</t>
        </is>
      </c>
      <c r="D242" t="inlineStr">
        <is>
          <t>Tilal Al Ghaf</t>
        </is>
      </c>
      <c r="E242" t="inlineStr">
        <is>
          <t>Villas</t>
        </is>
      </c>
      <c r="F242" t="inlineStr">
        <is>
          <t>Water / Luxury</t>
        </is>
      </c>
      <c r="G242" t="inlineStr">
        <is>
          <t>8.5M</t>
        </is>
      </c>
      <c r="H242" t="inlineStr">
        <is>
          <t>2100</t>
        </is>
      </c>
      <c r="I242" t="inlineStr">
        <is>
          <t>20</t>
        </is>
      </c>
      <c r="J242" t="inlineStr">
        <is>
          <t>50/50</t>
        </is>
      </c>
      <c r="K242" t="inlineStr">
        <is>
          <t>2024</t>
        </is>
      </c>
      <c r="L242" t="inlineStr">
        <is>
          <t>5.0-5.5</t>
        </is>
      </c>
      <c r="M242" t="inlineStr">
        <is>
          <t>10-12</t>
        </is>
      </c>
      <c r="N242" t="inlineStr">
        <is>
          <t>15.0-17.5</t>
        </is>
      </c>
      <c r="O242" t="inlineStr">
        <is>
          <t>Royal Grammar</t>
        </is>
      </c>
      <c r="P242" t="inlineStr">
        <is>
          <t>Mediclinic Parkview</t>
        </is>
      </c>
      <c r="Q242" t="inlineStr">
        <is>
          <t>First Avenue Mall</t>
        </is>
      </c>
      <c r="R242" t="inlineStr">
        <is>
          <t>Hessa St / E611</t>
        </is>
      </c>
      <c r="S242" t="inlineStr">
        <is>
          <t>20</t>
        </is>
      </c>
      <c r="T242" t="inlineStr">
        <is>
          <t>20</t>
        </is>
      </c>
      <c r="U242" t="inlineStr">
        <is>
          <t>25</t>
        </is>
      </c>
      <c r="V242" t="inlineStr">
        <is>
          <t>25</t>
        </is>
      </c>
      <c r="W242" t="n">
        <v>2</v>
      </c>
      <c r="X242" s="12" t="n">
        <v>8500000</v>
      </c>
      <c r="Y242" s="12" t="n">
        <v>8500000</v>
      </c>
      <c r="Z242" s="9" t="n">
        <v>5</v>
      </c>
      <c r="AA242" s="9" t="n">
        <v>5.5</v>
      </c>
      <c r="AB242" s="9" t="n">
        <v>10</v>
      </c>
      <c r="AC242" s="9" t="n">
        <v>12</v>
      </c>
      <c r="AD242" s="9" t="n">
        <v>15</v>
      </c>
      <c r="AE242" s="9" t="n">
        <v>17.5</v>
      </c>
      <c r="AF242" t="n">
        <v>2024</v>
      </c>
      <c r="AH242" t="inlineStr">
        <is>
          <t>Villa</t>
        </is>
      </c>
      <c r="AI242" t="inlineStr">
        <is>
          <t>FamilyVilla</t>
        </is>
      </c>
      <c r="AJ242" t="inlineStr">
        <is>
          <t>Established</t>
        </is>
      </c>
      <c r="AK242" t="inlineStr">
        <is>
          <t>Family-villa resilient</t>
        </is>
      </c>
      <c r="AL242" t="inlineStr">
        <is>
          <t>Villa/townhouse demand remains relatively firmer, though growth should be slower than the post-2020 surge.</t>
        </is>
      </c>
      <c r="AM242" s="9" t="n">
        <v>11</v>
      </c>
      <c r="AN242" s="9" t="n">
        <v>5.25</v>
      </c>
      <c r="AO242" s="10" t="n">
        <v>0.55</v>
      </c>
      <c r="AP242" s="13" t="n">
        <v>0</v>
      </c>
      <c r="AQ242" s="13" t="n">
        <v>0.015</v>
      </c>
      <c r="AR242" s="13" t="n">
        <v>0</v>
      </c>
      <c r="AS242" s="13" t="n">
        <v>0.025</v>
      </c>
      <c r="AT242" s="13" t="n">
        <v>0</v>
      </c>
      <c r="AU242" s="13" t="n">
        <v>0</v>
      </c>
      <c r="AV242" s="13" t="n">
        <v>-0.005</v>
      </c>
      <c r="AW242" s="13" t="n">
        <v>0.07550000000000001</v>
      </c>
      <c r="AX242" s="13" t="n">
        <v>0.02</v>
      </c>
      <c r="AY242" s="12" t="n">
        <v>8867498</v>
      </c>
      <c r="AZ242" s="12" t="n">
        <v>9141750</v>
      </c>
      <c r="BA242" s="12" t="n">
        <v>9416002</v>
      </c>
      <c r="BB242" s="12" t="n">
        <v>9050332</v>
      </c>
      <c r="BC242" s="12" t="n">
        <v>9324585</v>
      </c>
      <c r="BD242" s="12" t="n">
        <v>9598838</v>
      </c>
      <c r="BE242" s="12" t="n">
        <v>9511077</v>
      </c>
      <c r="BF242" t="inlineStr">
        <is>
          <t>Frozen values from same rules-based model as formula sheet.</t>
        </is>
      </c>
      <c r="BG242" t="inlineStr">
        <is>
          <t>2026-03-17</t>
        </is>
      </c>
      <c r="BH242" t="inlineStr">
        <is>
          <t>DLD / Digital Dubai / CBUAE / Savills / Knight Frank-Moody’s / Reuters</t>
        </is>
      </c>
    </row>
    <row r="243">
      <c r="A243" t="n">
        <v>242</v>
      </c>
      <c r="B243" t="inlineStr">
        <is>
          <t>Amara</t>
        </is>
      </c>
      <c r="C243" t="inlineStr">
        <is>
          <t>Majid Al Futtaim</t>
        </is>
      </c>
      <c r="D243" t="inlineStr">
        <is>
          <t>Tilal Al Ghaf</t>
        </is>
      </c>
      <c r="E243" t="inlineStr">
        <is>
          <t>Twin Villas</t>
        </is>
      </c>
      <c r="F243" t="inlineStr">
        <is>
          <t>Modern / Hill</t>
        </is>
      </c>
      <c r="G243" t="inlineStr">
        <is>
          <t>6.5M</t>
        </is>
      </c>
      <c r="H243" t="inlineStr">
        <is>
          <t>1800</t>
        </is>
      </c>
      <c r="I243" t="inlineStr">
        <is>
          <t>18</t>
        </is>
      </c>
      <c r="J243" t="inlineStr">
        <is>
          <t>60/40</t>
        </is>
      </c>
      <c r="K243" t="inlineStr">
        <is>
          <t>2023</t>
        </is>
      </c>
      <c r="L243" t="inlineStr">
        <is>
          <t>5.5-6.0</t>
        </is>
      </c>
      <c r="M243" t="inlineStr">
        <is>
          <t>8-10</t>
        </is>
      </c>
      <c r="N243" t="inlineStr">
        <is>
          <t>13.5-16.0</t>
        </is>
      </c>
      <c r="O243" t="inlineStr">
        <is>
          <t>Royal Grammar</t>
        </is>
      </c>
      <c r="P243" t="inlineStr">
        <is>
          <t>Mediclinic Parkview</t>
        </is>
      </c>
      <c r="Q243" t="inlineStr">
        <is>
          <t>First Avenue Mall</t>
        </is>
      </c>
      <c r="R243" t="inlineStr">
        <is>
          <t>Hessa St / E611</t>
        </is>
      </c>
      <c r="S243" t="inlineStr">
        <is>
          <t>20</t>
        </is>
      </c>
      <c r="T243" t="inlineStr">
        <is>
          <t>20</t>
        </is>
      </c>
      <c r="U243" t="inlineStr">
        <is>
          <t>25</t>
        </is>
      </c>
      <c r="V243" t="inlineStr">
        <is>
          <t>25</t>
        </is>
      </c>
      <c r="W243" t="n">
        <v>2</v>
      </c>
      <c r="X243" s="12" t="n">
        <v>6500000</v>
      </c>
      <c r="Y243" s="12" t="n">
        <v>6500000</v>
      </c>
      <c r="Z243" s="9" t="n">
        <v>5.5</v>
      </c>
      <c r="AA243" s="9" t="n">
        <v>6</v>
      </c>
      <c r="AB243" s="9" t="n">
        <v>8</v>
      </c>
      <c r="AC243" s="9" t="n">
        <v>10</v>
      </c>
      <c r="AD243" s="9" t="n">
        <v>13.5</v>
      </c>
      <c r="AE243" s="9" t="n">
        <v>16</v>
      </c>
      <c r="AF243" t="n">
        <v>2023</v>
      </c>
      <c r="AH243" t="inlineStr">
        <is>
          <t>Villa</t>
        </is>
      </c>
      <c r="AI243" t="inlineStr">
        <is>
          <t>FamilyVilla</t>
        </is>
      </c>
      <c r="AJ243" t="inlineStr">
        <is>
          <t>Established</t>
        </is>
      </c>
      <c r="AK243" t="inlineStr">
        <is>
          <t>Family-villa resilient</t>
        </is>
      </c>
      <c r="AL243" t="inlineStr">
        <is>
          <t>Villa/townhouse demand remains relatively firmer, though growth should be slower than the post-2020 surge.</t>
        </is>
      </c>
      <c r="AM243" s="9" t="n">
        <v>9</v>
      </c>
      <c r="AN243" s="9" t="n">
        <v>5.75</v>
      </c>
      <c r="AO243" s="10" t="n">
        <v>0.55</v>
      </c>
      <c r="AP243" s="13" t="n">
        <v>0</v>
      </c>
      <c r="AQ243" s="13" t="n">
        <v>0.015</v>
      </c>
      <c r="AR243" s="13" t="n">
        <v>0</v>
      </c>
      <c r="AS243" s="13" t="n">
        <v>0.025</v>
      </c>
      <c r="AT243" s="13" t="n">
        <v>0</v>
      </c>
      <c r="AU243" s="13" t="n">
        <v>0</v>
      </c>
      <c r="AV243" s="13" t="n">
        <v>-0.005</v>
      </c>
      <c r="AW243" s="13" t="n">
        <v>0.0645</v>
      </c>
      <c r="AX243" s="13" t="n">
        <v>0.02</v>
      </c>
      <c r="AY243" s="12" t="n">
        <v>6711672</v>
      </c>
      <c r="AZ243" s="12" t="n">
        <v>6919250</v>
      </c>
      <c r="BA243" s="12" t="n">
        <v>7126828</v>
      </c>
      <c r="BB243" s="12" t="n">
        <v>6850058</v>
      </c>
      <c r="BC243" s="12" t="n">
        <v>7057635</v>
      </c>
      <c r="BD243" s="12" t="n">
        <v>7265212</v>
      </c>
      <c r="BE243" s="12" t="n">
        <v>7198788</v>
      </c>
      <c r="BF243" t="inlineStr">
        <is>
          <t>Frozen values from same rules-based model as formula sheet.</t>
        </is>
      </c>
      <c r="BG243" t="inlineStr">
        <is>
          <t>2026-03-17</t>
        </is>
      </c>
      <c r="BH243" t="inlineStr">
        <is>
          <t>DLD / Digital Dubai / CBUAE / Savills / Knight Frank-Moody’s / Reuters</t>
        </is>
      </c>
    </row>
    <row r="244">
      <c r="A244" t="n">
        <v>243</v>
      </c>
      <c r="B244" t="inlineStr">
        <is>
          <t>Alaya</t>
        </is>
      </c>
      <c r="C244" t="inlineStr">
        <is>
          <t>Majid Al Futtaim</t>
        </is>
      </c>
      <c r="D244" t="inlineStr">
        <is>
          <t>Tilal Al Ghaf</t>
        </is>
      </c>
      <c r="E244" t="inlineStr">
        <is>
          <t>Villas</t>
        </is>
      </c>
      <c r="F244" t="inlineStr">
        <is>
          <t>Luxury / Zen</t>
        </is>
      </c>
      <c r="G244" t="inlineStr">
        <is>
          <t>9.0M</t>
        </is>
      </c>
      <c r="H244" t="inlineStr">
        <is>
          <t>1900</t>
        </is>
      </c>
      <c r="I244" t="inlineStr">
        <is>
          <t>18</t>
        </is>
      </c>
      <c r="J244" t="inlineStr">
        <is>
          <t>50/50</t>
        </is>
      </c>
      <c r="K244" t="inlineStr">
        <is>
          <t>2022</t>
        </is>
      </c>
      <c r="L244" t="inlineStr">
        <is>
          <t>5.0-5.5</t>
        </is>
      </c>
      <c r="M244" t="inlineStr">
        <is>
          <t>8-10</t>
        </is>
      </c>
      <c r="N244" t="inlineStr">
        <is>
          <t>13.0-15.5</t>
        </is>
      </c>
      <c r="O244" t="inlineStr">
        <is>
          <t>Royal Grammar</t>
        </is>
      </c>
      <c r="P244" t="inlineStr">
        <is>
          <t>Mediclinic Parkview</t>
        </is>
      </c>
      <c r="Q244" t="inlineStr">
        <is>
          <t>First Avenue Mall</t>
        </is>
      </c>
      <c r="R244" t="inlineStr">
        <is>
          <t>Hessa St / E611</t>
        </is>
      </c>
      <c r="S244" t="inlineStr">
        <is>
          <t>20</t>
        </is>
      </c>
      <c r="T244" t="inlineStr">
        <is>
          <t>20</t>
        </is>
      </c>
      <c r="U244" t="inlineStr">
        <is>
          <t>25</t>
        </is>
      </c>
      <c r="V244" t="inlineStr">
        <is>
          <t>25</t>
        </is>
      </c>
      <c r="W244" t="n">
        <v>2</v>
      </c>
      <c r="X244" s="12" t="n">
        <v>9000000</v>
      </c>
      <c r="Y244" s="12" t="n">
        <v>9000000</v>
      </c>
      <c r="Z244" s="9" t="n">
        <v>5</v>
      </c>
      <c r="AA244" s="9" t="n">
        <v>5.5</v>
      </c>
      <c r="AB244" s="9" t="n">
        <v>8</v>
      </c>
      <c r="AC244" s="9" t="n">
        <v>10</v>
      </c>
      <c r="AD244" s="9" t="n">
        <v>13</v>
      </c>
      <c r="AE244" s="9" t="n">
        <v>15.5</v>
      </c>
      <c r="AF244" t="n">
        <v>2022</v>
      </c>
      <c r="AH244" t="inlineStr">
        <is>
          <t>Villa</t>
        </is>
      </c>
      <c r="AI244" t="inlineStr">
        <is>
          <t>FamilyVilla</t>
        </is>
      </c>
      <c r="AJ244" t="inlineStr">
        <is>
          <t>Established</t>
        </is>
      </c>
      <c r="AK244" t="inlineStr">
        <is>
          <t>Family-villa resilient</t>
        </is>
      </c>
      <c r="AL244" t="inlineStr">
        <is>
          <t>Villa/townhouse demand remains relatively firmer, though growth should be slower than the post-2020 surge.</t>
        </is>
      </c>
      <c r="AM244" s="9" t="n">
        <v>9</v>
      </c>
      <c r="AN244" s="9" t="n">
        <v>5.25</v>
      </c>
      <c r="AO244" s="10" t="n">
        <v>0.55</v>
      </c>
      <c r="AP244" s="13" t="n">
        <v>0</v>
      </c>
      <c r="AQ244" s="13" t="n">
        <v>0.015</v>
      </c>
      <c r="AR244" s="13" t="n">
        <v>0</v>
      </c>
      <c r="AS244" s="13" t="n">
        <v>0.025</v>
      </c>
      <c r="AT244" s="13" t="n">
        <v>0</v>
      </c>
      <c r="AU244" s="13" t="n">
        <v>0</v>
      </c>
      <c r="AV244" s="13" t="n">
        <v>-0.005</v>
      </c>
      <c r="AW244" s="13" t="n">
        <v>0.0645</v>
      </c>
      <c r="AX244" s="13" t="n">
        <v>0.02</v>
      </c>
      <c r="AY244" s="12" t="n">
        <v>9293085</v>
      </c>
      <c r="AZ244" s="12" t="n">
        <v>9580500</v>
      </c>
      <c r="BA244" s="12" t="n">
        <v>9867915</v>
      </c>
      <c r="BB244" s="12" t="n">
        <v>9484695</v>
      </c>
      <c r="BC244" s="12" t="n">
        <v>9772110</v>
      </c>
      <c r="BD244" s="12" t="n">
        <v>10059525</v>
      </c>
      <c r="BE244" s="12" t="n">
        <v>9967552</v>
      </c>
      <c r="BF244" t="inlineStr">
        <is>
          <t>Frozen values from same rules-based model as formula sheet.</t>
        </is>
      </c>
      <c r="BG244" t="inlineStr">
        <is>
          <t>2026-03-17</t>
        </is>
      </c>
      <c r="BH244" t="inlineStr">
        <is>
          <t>DLD / Digital Dubai / CBUAE / Savills / Knight Frank-Moody’s / Reuters</t>
        </is>
      </c>
    </row>
    <row r="245">
      <c r="A245" t="n">
        <v>244</v>
      </c>
      <c r="B245" t="inlineStr">
        <is>
          <t>Alaya Beach</t>
        </is>
      </c>
      <c r="C245" t="inlineStr">
        <is>
          <t>Majid Al Futtaim</t>
        </is>
      </c>
      <c r="D245" t="inlineStr">
        <is>
          <t>Tilal Al Ghaf</t>
        </is>
      </c>
      <c r="E245" t="inlineStr">
        <is>
          <t>Villas</t>
        </is>
      </c>
      <c r="F245" t="inlineStr">
        <is>
          <t>Beachfront</t>
        </is>
      </c>
      <c r="G245" t="inlineStr">
        <is>
          <t>12M+</t>
        </is>
      </c>
      <c r="H245" t="inlineStr">
        <is>
          <t>2200</t>
        </is>
      </c>
      <c r="I245" t="inlineStr">
        <is>
          <t>20</t>
        </is>
      </c>
      <c r="J245" t="inlineStr">
        <is>
          <t>50/50</t>
        </is>
      </c>
      <c r="K245" t="inlineStr">
        <is>
          <t>2022</t>
        </is>
      </c>
      <c r="L245" t="inlineStr">
        <is>
          <t>5.0-5.5</t>
        </is>
      </c>
      <c r="M245" t="inlineStr">
        <is>
          <t>8-10</t>
        </is>
      </c>
      <c r="N245" t="inlineStr">
        <is>
          <t>13.0-15.5</t>
        </is>
      </c>
      <c r="O245" t="inlineStr">
        <is>
          <t>Royal Grammar</t>
        </is>
      </c>
      <c r="P245" t="inlineStr">
        <is>
          <t>Mediclinic Parkview</t>
        </is>
      </c>
      <c r="Q245" t="inlineStr">
        <is>
          <t>First Avenue Mall</t>
        </is>
      </c>
      <c r="R245" t="inlineStr">
        <is>
          <t>Hessa St / E611</t>
        </is>
      </c>
      <c r="S245" t="inlineStr">
        <is>
          <t>20</t>
        </is>
      </c>
      <c r="T245" t="inlineStr">
        <is>
          <t>20</t>
        </is>
      </c>
      <c r="U245" t="inlineStr">
        <is>
          <t>25</t>
        </is>
      </c>
      <c r="V245" t="inlineStr">
        <is>
          <t>25</t>
        </is>
      </c>
      <c r="W245" t="n">
        <v>2</v>
      </c>
      <c r="X245" s="12" t="n">
        <v>12000000</v>
      </c>
      <c r="Y245" s="12" t="n">
        <v>12000000</v>
      </c>
      <c r="Z245" s="9" t="n">
        <v>5</v>
      </c>
      <c r="AA245" s="9" t="n">
        <v>5.5</v>
      </c>
      <c r="AB245" s="9" t="n">
        <v>8</v>
      </c>
      <c r="AC245" s="9" t="n">
        <v>10</v>
      </c>
      <c r="AD245" s="9" t="n">
        <v>13</v>
      </c>
      <c r="AE245" s="9" t="n">
        <v>15.5</v>
      </c>
      <c r="AF245" t="n">
        <v>2022</v>
      </c>
      <c r="AH245" t="inlineStr">
        <is>
          <t>Villa</t>
        </is>
      </c>
      <c r="AI245" t="inlineStr">
        <is>
          <t>FamilyVilla</t>
        </is>
      </c>
      <c r="AJ245" t="inlineStr">
        <is>
          <t>Established</t>
        </is>
      </c>
      <c r="AK245" t="inlineStr">
        <is>
          <t>Family-villa resilient</t>
        </is>
      </c>
      <c r="AL245" t="inlineStr">
        <is>
          <t>Villa/townhouse demand remains relatively firmer, though growth should be slower than the post-2020 surge.</t>
        </is>
      </c>
      <c r="AM245" s="9" t="n">
        <v>9</v>
      </c>
      <c r="AN245" s="9" t="n">
        <v>5.25</v>
      </c>
      <c r="AO245" s="10" t="n">
        <v>0.55</v>
      </c>
      <c r="AP245" s="13" t="n">
        <v>0</v>
      </c>
      <c r="AQ245" s="13" t="n">
        <v>0.015</v>
      </c>
      <c r="AR245" s="13" t="n">
        <v>0</v>
      </c>
      <c r="AS245" s="13" t="n">
        <v>0.025</v>
      </c>
      <c r="AT245" s="13" t="n">
        <v>0</v>
      </c>
      <c r="AU245" s="13" t="n">
        <v>0</v>
      </c>
      <c r="AV245" s="13" t="n">
        <v>-0.005</v>
      </c>
      <c r="AW245" s="13" t="n">
        <v>0.0645</v>
      </c>
      <c r="AX245" s="13" t="n">
        <v>0.02</v>
      </c>
      <c r="AY245" s="12" t="n">
        <v>12390780</v>
      </c>
      <c r="AZ245" s="12" t="n">
        <v>12774000</v>
      </c>
      <c r="BA245" s="12" t="n">
        <v>13157220</v>
      </c>
      <c r="BB245" s="12" t="n">
        <v>12646260</v>
      </c>
      <c r="BC245" s="12" t="n">
        <v>13029480</v>
      </c>
      <c r="BD245" s="12" t="n">
        <v>13412700</v>
      </c>
      <c r="BE245" s="12" t="n">
        <v>13290070</v>
      </c>
      <c r="BF245" t="inlineStr">
        <is>
          <t>Frozen values from same rules-based model as formula sheet.</t>
        </is>
      </c>
      <c r="BG245" t="inlineStr">
        <is>
          <t>2026-03-17</t>
        </is>
      </c>
      <c r="BH245" t="inlineStr">
        <is>
          <t>DLD / Digital Dubai / CBUAE / Savills / Knight Frank-Moody’s / Reuters</t>
        </is>
      </c>
    </row>
    <row r="246">
      <c r="A246" t="n">
        <v>245</v>
      </c>
      <c r="B246" t="inlineStr">
        <is>
          <t>Elysian Mansions</t>
        </is>
      </c>
      <c r="C246" t="inlineStr">
        <is>
          <t>Majid Al Futtaim</t>
        </is>
      </c>
      <c r="D246" t="inlineStr">
        <is>
          <t>Tilal Al Ghaf</t>
        </is>
      </c>
      <c r="E246" t="inlineStr">
        <is>
          <t>Mansions</t>
        </is>
      </c>
      <c r="F246" t="inlineStr">
        <is>
          <t>Smart / Luxury</t>
        </is>
      </c>
      <c r="G246" t="inlineStr">
        <is>
          <t>18M+</t>
        </is>
      </c>
      <c r="H246" t="inlineStr">
        <is>
          <t>2500</t>
        </is>
      </c>
      <c r="I246" t="inlineStr">
        <is>
          <t>TBA</t>
        </is>
      </c>
      <c r="J246" t="inlineStr">
        <is>
          <t>50/50</t>
        </is>
      </c>
      <c r="K246" t="inlineStr">
        <is>
          <t>2022</t>
        </is>
      </c>
      <c r="L246" t="inlineStr">
        <is>
          <t>4.5-5.0</t>
        </is>
      </c>
      <c r="M246" t="inlineStr">
        <is>
          <t>8-10</t>
        </is>
      </c>
      <c r="N246" t="inlineStr">
        <is>
          <t>12.5-15.0</t>
        </is>
      </c>
      <c r="O246" t="inlineStr">
        <is>
          <t>Royal Grammar</t>
        </is>
      </c>
      <c r="P246" t="inlineStr">
        <is>
          <t>Mediclinic Parkview</t>
        </is>
      </c>
      <c r="Q246" t="inlineStr">
        <is>
          <t>First Avenue Mall</t>
        </is>
      </c>
      <c r="R246" t="inlineStr">
        <is>
          <t>Hessa St / E611</t>
        </is>
      </c>
      <c r="S246" t="inlineStr">
        <is>
          <t>20</t>
        </is>
      </c>
      <c r="T246" t="inlineStr">
        <is>
          <t>20</t>
        </is>
      </c>
      <c r="U246" t="inlineStr">
        <is>
          <t>25</t>
        </is>
      </c>
      <c r="V246" t="inlineStr">
        <is>
          <t>25</t>
        </is>
      </c>
      <c r="W246" t="n">
        <v>2</v>
      </c>
      <c r="X246" s="12" t="n">
        <v>18000000</v>
      </c>
      <c r="Y246" s="12" t="n">
        <v>18000000</v>
      </c>
      <c r="Z246" s="9" t="n">
        <v>4.5</v>
      </c>
      <c r="AA246" s="9" t="n">
        <v>5</v>
      </c>
      <c r="AB246" s="9" t="n">
        <v>8</v>
      </c>
      <c r="AC246" s="9" t="n">
        <v>10</v>
      </c>
      <c r="AD246" s="9" t="n">
        <v>12.5</v>
      </c>
      <c r="AE246" s="9" t="n">
        <v>15</v>
      </c>
      <c r="AF246" t="n">
        <v>2022</v>
      </c>
      <c r="AH246" t="inlineStr">
        <is>
          <t>Mixed/Other</t>
        </is>
      </c>
      <c r="AI246" t="inlineStr">
        <is>
          <t>MainstreamSelective</t>
        </is>
      </c>
      <c r="AJ246" t="inlineStr">
        <is>
          <t>Established</t>
        </is>
      </c>
      <c r="AK246" t="inlineStr">
        <is>
          <t>Balanced / selective</t>
        </is>
      </c>
      <c r="AL246" t="inlineStr">
        <is>
          <t>Market remains active but increasingly differentiated by developer, micro-location, livability, and pricing discipline.</t>
        </is>
      </c>
      <c r="AM246" s="9" t="n">
        <v>9</v>
      </c>
      <c r="AN246" s="9" t="n">
        <v>4.75</v>
      </c>
      <c r="AO246" s="10" t="n">
        <v>0.55</v>
      </c>
      <c r="AP246" s="13" t="n">
        <v>0</v>
      </c>
      <c r="AQ246" s="13" t="n">
        <v>0</v>
      </c>
      <c r="AR246" s="13" t="n">
        <v>0</v>
      </c>
      <c r="AS246" s="13" t="n">
        <v>0.01</v>
      </c>
      <c r="AT246" s="13" t="n">
        <v>0</v>
      </c>
      <c r="AU246" s="13" t="n">
        <v>0</v>
      </c>
      <c r="AV246" s="13" t="n">
        <v>-0.005</v>
      </c>
      <c r="AW246" s="13" t="n">
        <v>0.0495</v>
      </c>
      <c r="AX246" s="13" t="n">
        <v>0.005</v>
      </c>
      <c r="AY246" s="12" t="n">
        <v>18324270</v>
      </c>
      <c r="AZ246" s="12" t="n">
        <v>18891000</v>
      </c>
      <c r="BA246" s="12" t="n">
        <v>19457730</v>
      </c>
      <c r="BB246" s="12" t="n">
        <v>18418725</v>
      </c>
      <c r="BC246" s="12" t="n">
        <v>18985455</v>
      </c>
      <c r="BD246" s="12" t="n">
        <v>19552185</v>
      </c>
      <c r="BE246" s="12" t="n">
        <v>19080382</v>
      </c>
      <c r="BF246" t="inlineStr">
        <is>
          <t>Frozen values from same rules-based model as formula sheet.</t>
        </is>
      </c>
      <c r="BG246" t="inlineStr">
        <is>
          <t>2026-03-17</t>
        </is>
      </c>
      <c r="BH246" t="inlineStr">
        <is>
          <t>DLD / Digital Dubai / CBUAE / Savills / Knight Frank-Moody’s / Reuters</t>
        </is>
      </c>
    </row>
    <row r="247">
      <c r="A247" t="n">
        <v>246</v>
      </c>
      <c r="B247" t="inlineStr">
        <is>
          <t>Harmony 1</t>
        </is>
      </c>
      <c r="C247" t="inlineStr">
        <is>
          <t>Majid Al Futtaim</t>
        </is>
      </c>
      <c r="D247" t="inlineStr">
        <is>
          <t>Tilal Al Ghaf</t>
        </is>
      </c>
      <c r="E247" t="inlineStr">
        <is>
          <t>Villas</t>
        </is>
      </c>
      <c r="F247" t="inlineStr">
        <is>
          <t>Family / Gated</t>
        </is>
      </c>
      <c r="G247" t="inlineStr">
        <is>
          <t>Resale (4.5M+)</t>
        </is>
      </c>
      <c r="H247" t="inlineStr">
        <is>
          <t>1400</t>
        </is>
      </c>
      <c r="I247" t="inlineStr">
        <is>
          <t>15</t>
        </is>
      </c>
      <c r="J247" t="inlineStr">
        <is>
          <t>Completed</t>
        </is>
      </c>
      <c r="K247" t="inlineStr">
        <is>
          <t>2023</t>
        </is>
      </c>
      <c r="L247" t="inlineStr">
        <is>
          <t>5.5-6.0</t>
        </is>
      </c>
      <c r="M247" t="inlineStr">
        <is>
          <t>6-8</t>
        </is>
      </c>
      <c r="N247" t="inlineStr">
        <is>
          <t>11.5-14.0</t>
        </is>
      </c>
      <c r="O247" t="inlineStr">
        <is>
          <t>Royal Grammar</t>
        </is>
      </c>
      <c r="P247" t="inlineStr">
        <is>
          <t>Mediclinic Parkview</t>
        </is>
      </c>
      <c r="Q247" t="inlineStr">
        <is>
          <t>First Avenue Mall</t>
        </is>
      </c>
      <c r="R247" t="inlineStr">
        <is>
          <t>Hessa St / E611</t>
        </is>
      </c>
      <c r="S247" t="inlineStr">
        <is>
          <t>20</t>
        </is>
      </c>
      <c r="T247" t="inlineStr">
        <is>
          <t>20</t>
        </is>
      </c>
      <c r="U247" t="inlineStr">
        <is>
          <t>25</t>
        </is>
      </c>
      <c r="V247" t="inlineStr">
        <is>
          <t>25</t>
        </is>
      </c>
      <c r="W247" t="n">
        <v>2</v>
      </c>
      <c r="X247" s="12" t="n">
        <v>4500000</v>
      </c>
      <c r="Y247" s="12" t="n">
        <v>4500000</v>
      </c>
      <c r="Z247" s="9" t="n">
        <v>5.5</v>
      </c>
      <c r="AA247" s="9" t="n">
        <v>6</v>
      </c>
      <c r="AB247" s="9" t="n">
        <v>6</v>
      </c>
      <c r="AC247" s="9" t="n">
        <v>8</v>
      </c>
      <c r="AD247" s="9" t="n">
        <v>11.5</v>
      </c>
      <c r="AE247" s="9" t="n">
        <v>14</v>
      </c>
      <c r="AF247" t="n">
        <v>2023</v>
      </c>
      <c r="AH247" t="inlineStr">
        <is>
          <t>Villa</t>
        </is>
      </c>
      <c r="AI247" t="inlineStr">
        <is>
          <t>FamilyVilla</t>
        </is>
      </c>
      <c r="AJ247" t="inlineStr">
        <is>
          <t>Established</t>
        </is>
      </c>
      <c r="AK247" t="inlineStr">
        <is>
          <t>Family-villa resilient</t>
        </is>
      </c>
      <c r="AL247" t="inlineStr">
        <is>
          <t>Villa/townhouse demand remains relatively firmer, though growth should be slower than the post-2020 surge.</t>
        </is>
      </c>
      <c r="AM247" s="9" t="n">
        <v>7</v>
      </c>
      <c r="AN247" s="9" t="n">
        <v>5.75</v>
      </c>
      <c r="AO247" s="10" t="n">
        <v>0.55</v>
      </c>
      <c r="AP247" s="13" t="n">
        <v>0</v>
      </c>
      <c r="AQ247" s="13" t="n">
        <v>0.015</v>
      </c>
      <c r="AR247" s="13" t="n">
        <v>0</v>
      </c>
      <c r="AS247" s="13" t="n">
        <v>0.025</v>
      </c>
      <c r="AT247" s="13" t="n">
        <v>0</v>
      </c>
      <c r="AU247" s="13" t="n">
        <v>0</v>
      </c>
      <c r="AV247" s="13" t="n">
        <v>-0.005</v>
      </c>
      <c r="AW247" s="13" t="n">
        <v>0.05350000000000001</v>
      </c>
      <c r="AX247" s="13" t="n">
        <v>0.02</v>
      </c>
      <c r="AY247" s="12" t="n">
        <v>4598528</v>
      </c>
      <c r="AZ247" s="12" t="n">
        <v>4740750</v>
      </c>
      <c r="BA247" s="12" t="n">
        <v>4882972</v>
      </c>
      <c r="BB247" s="12" t="n">
        <v>4693342</v>
      </c>
      <c r="BC247" s="12" t="n">
        <v>4835565</v>
      </c>
      <c r="BD247" s="12" t="n">
        <v>4977788</v>
      </c>
      <c r="BE247" s="12" t="n">
        <v>4932276</v>
      </c>
      <c r="BF247" t="inlineStr">
        <is>
          <t>Frozen values from same rules-based model as formula sheet.</t>
        </is>
      </c>
      <c r="BG247" t="inlineStr">
        <is>
          <t>2026-03-17</t>
        </is>
      </c>
      <c r="BH247" t="inlineStr">
        <is>
          <t>DLD / Digital Dubai / CBUAE / Savills / Knight Frank-Moody’s / Reuters</t>
        </is>
      </c>
    </row>
    <row r="248">
      <c r="A248" t="n">
        <v>247</v>
      </c>
      <c r="B248" t="inlineStr">
        <is>
          <t>Harmony 2</t>
        </is>
      </c>
      <c r="C248" t="inlineStr">
        <is>
          <t>Majid Al Futtaim</t>
        </is>
      </c>
      <c r="D248" t="inlineStr">
        <is>
          <t>Tilal Al Ghaf</t>
        </is>
      </c>
      <c r="E248" t="inlineStr">
        <is>
          <t>Villas</t>
        </is>
      </c>
      <c r="F248" t="inlineStr">
        <is>
          <t>Family / Gated</t>
        </is>
      </c>
      <c r="G248" t="inlineStr">
        <is>
          <t>Resale (4.6M+)</t>
        </is>
      </c>
      <c r="H248" t="inlineStr">
        <is>
          <t>1450</t>
        </is>
      </c>
      <c r="I248" t="inlineStr">
        <is>
          <t>15</t>
        </is>
      </c>
      <c r="J248" t="inlineStr">
        <is>
          <t>Completed</t>
        </is>
      </c>
      <c r="K248" t="inlineStr">
        <is>
          <t>2023</t>
        </is>
      </c>
      <c r="L248" t="inlineStr">
        <is>
          <t>5.5-6.0</t>
        </is>
      </c>
      <c r="M248" t="inlineStr">
        <is>
          <t>6-8</t>
        </is>
      </c>
      <c r="N248" t="inlineStr">
        <is>
          <t>11.5-14.0</t>
        </is>
      </c>
      <c r="O248" t="inlineStr">
        <is>
          <t>Royal Grammar</t>
        </is>
      </c>
      <c r="P248" t="inlineStr">
        <is>
          <t>Mediclinic Parkview</t>
        </is>
      </c>
      <c r="Q248" t="inlineStr">
        <is>
          <t>First Avenue Mall</t>
        </is>
      </c>
      <c r="R248" t="inlineStr">
        <is>
          <t>Hessa St / E611</t>
        </is>
      </c>
      <c r="S248" t="inlineStr">
        <is>
          <t>20</t>
        </is>
      </c>
      <c r="T248" t="inlineStr">
        <is>
          <t>20</t>
        </is>
      </c>
      <c r="U248" t="inlineStr">
        <is>
          <t>25</t>
        </is>
      </c>
      <c r="V248" t="inlineStr">
        <is>
          <t>25</t>
        </is>
      </c>
      <c r="W248" t="n">
        <v>2</v>
      </c>
      <c r="X248" s="12" t="n">
        <v>4600000</v>
      </c>
      <c r="Y248" s="12" t="n">
        <v>4600000</v>
      </c>
      <c r="Z248" s="9" t="n">
        <v>5.5</v>
      </c>
      <c r="AA248" s="9" t="n">
        <v>6</v>
      </c>
      <c r="AB248" s="9" t="n">
        <v>6</v>
      </c>
      <c r="AC248" s="9" t="n">
        <v>8</v>
      </c>
      <c r="AD248" s="9" t="n">
        <v>11.5</v>
      </c>
      <c r="AE248" s="9" t="n">
        <v>14</v>
      </c>
      <c r="AF248" t="n">
        <v>2023</v>
      </c>
      <c r="AH248" t="inlineStr">
        <is>
          <t>Villa</t>
        </is>
      </c>
      <c r="AI248" t="inlineStr">
        <is>
          <t>FamilyVilla</t>
        </is>
      </c>
      <c r="AJ248" t="inlineStr">
        <is>
          <t>Established</t>
        </is>
      </c>
      <c r="AK248" t="inlineStr">
        <is>
          <t>Family-villa resilient</t>
        </is>
      </c>
      <c r="AL248" t="inlineStr">
        <is>
          <t>Villa/townhouse demand remains relatively firmer, though growth should be slower than the post-2020 surge.</t>
        </is>
      </c>
      <c r="AM248" s="9" t="n">
        <v>7</v>
      </c>
      <c r="AN248" s="9" t="n">
        <v>5.75</v>
      </c>
      <c r="AO248" s="10" t="n">
        <v>0.55</v>
      </c>
      <c r="AP248" s="13" t="n">
        <v>0</v>
      </c>
      <c r="AQ248" s="13" t="n">
        <v>0.015</v>
      </c>
      <c r="AR248" s="13" t="n">
        <v>0</v>
      </c>
      <c r="AS248" s="13" t="n">
        <v>0.025</v>
      </c>
      <c r="AT248" s="13" t="n">
        <v>0</v>
      </c>
      <c r="AU248" s="13" t="n">
        <v>0</v>
      </c>
      <c r="AV248" s="13" t="n">
        <v>-0.005</v>
      </c>
      <c r="AW248" s="13" t="n">
        <v>0.05350000000000001</v>
      </c>
      <c r="AX248" s="13" t="n">
        <v>0.02</v>
      </c>
      <c r="AY248" s="12" t="n">
        <v>4700717</v>
      </c>
      <c r="AZ248" s="12" t="n">
        <v>4846100</v>
      </c>
      <c r="BA248" s="12" t="n">
        <v>4991483</v>
      </c>
      <c r="BB248" s="12" t="n">
        <v>4797639</v>
      </c>
      <c r="BC248" s="12" t="n">
        <v>4943022</v>
      </c>
      <c r="BD248" s="12" t="n">
        <v>5088405</v>
      </c>
      <c r="BE248" s="12" t="n">
        <v>5041882</v>
      </c>
      <c r="BF248" t="inlineStr">
        <is>
          <t>Frozen values from same rules-based model as formula sheet.</t>
        </is>
      </c>
      <c r="BG248" t="inlineStr">
        <is>
          <t>2026-03-17</t>
        </is>
      </c>
      <c r="BH248" t="inlineStr">
        <is>
          <t>DLD / Digital Dubai / CBUAE / Savills / Knight Frank-Moody’s / Reuters</t>
        </is>
      </c>
    </row>
    <row r="249">
      <c r="A249" t="n">
        <v>248</v>
      </c>
      <c r="B249" t="inlineStr">
        <is>
          <t>Harmony 3</t>
        </is>
      </c>
      <c r="C249" t="inlineStr">
        <is>
          <t>Majid Al Futtaim</t>
        </is>
      </c>
      <c r="D249" t="inlineStr">
        <is>
          <t>Tilal Al Ghaf</t>
        </is>
      </c>
      <c r="E249" t="inlineStr">
        <is>
          <t>Villas</t>
        </is>
      </c>
      <c r="F249" t="inlineStr">
        <is>
          <t>Family / Gated</t>
        </is>
      </c>
      <c r="G249" t="inlineStr">
        <is>
          <t>Resale (4.8M+)</t>
        </is>
      </c>
      <c r="H249" t="inlineStr">
        <is>
          <t>1500</t>
        </is>
      </c>
      <c r="I249" t="inlineStr">
        <is>
          <t>15</t>
        </is>
      </c>
      <c r="J249" t="inlineStr">
        <is>
          <t>Completed</t>
        </is>
      </c>
      <c r="K249" t="inlineStr">
        <is>
          <t>2023</t>
        </is>
      </c>
      <c r="L249" t="inlineStr">
        <is>
          <t>5.5-6.0</t>
        </is>
      </c>
      <c r="M249" t="inlineStr">
        <is>
          <t>6-8</t>
        </is>
      </c>
      <c r="N249" t="inlineStr">
        <is>
          <t>11.5-14.0</t>
        </is>
      </c>
      <c r="O249" t="inlineStr">
        <is>
          <t>Royal Grammar</t>
        </is>
      </c>
      <c r="P249" t="inlineStr">
        <is>
          <t>Mediclinic Parkview</t>
        </is>
      </c>
      <c r="Q249" t="inlineStr">
        <is>
          <t>First Avenue Mall</t>
        </is>
      </c>
      <c r="R249" t="inlineStr">
        <is>
          <t>Hessa St / E611</t>
        </is>
      </c>
      <c r="S249" t="inlineStr">
        <is>
          <t>20</t>
        </is>
      </c>
      <c r="T249" t="inlineStr">
        <is>
          <t>20</t>
        </is>
      </c>
      <c r="U249" t="inlineStr">
        <is>
          <t>25</t>
        </is>
      </c>
      <c r="V249" t="inlineStr">
        <is>
          <t>25</t>
        </is>
      </c>
      <c r="W249" t="n">
        <v>2</v>
      </c>
      <c r="X249" s="12" t="n">
        <v>4800000</v>
      </c>
      <c r="Y249" s="12" t="n">
        <v>4800000</v>
      </c>
      <c r="Z249" s="9" t="n">
        <v>5.5</v>
      </c>
      <c r="AA249" s="9" t="n">
        <v>6</v>
      </c>
      <c r="AB249" s="9" t="n">
        <v>6</v>
      </c>
      <c r="AC249" s="9" t="n">
        <v>8</v>
      </c>
      <c r="AD249" s="9" t="n">
        <v>11.5</v>
      </c>
      <c r="AE249" s="9" t="n">
        <v>14</v>
      </c>
      <c r="AF249" t="n">
        <v>2023</v>
      </c>
      <c r="AH249" t="inlineStr">
        <is>
          <t>Villa</t>
        </is>
      </c>
      <c r="AI249" t="inlineStr">
        <is>
          <t>FamilyVilla</t>
        </is>
      </c>
      <c r="AJ249" t="inlineStr">
        <is>
          <t>Established</t>
        </is>
      </c>
      <c r="AK249" t="inlineStr">
        <is>
          <t>Family-villa resilient</t>
        </is>
      </c>
      <c r="AL249" t="inlineStr">
        <is>
          <t>Villa/townhouse demand remains relatively firmer, though growth should be slower than the post-2020 surge.</t>
        </is>
      </c>
      <c r="AM249" s="9" t="n">
        <v>7</v>
      </c>
      <c r="AN249" s="9" t="n">
        <v>5.75</v>
      </c>
      <c r="AO249" s="10" t="n">
        <v>0.55</v>
      </c>
      <c r="AP249" s="13" t="n">
        <v>0</v>
      </c>
      <c r="AQ249" s="13" t="n">
        <v>0.015</v>
      </c>
      <c r="AR249" s="13" t="n">
        <v>0</v>
      </c>
      <c r="AS249" s="13" t="n">
        <v>0.025</v>
      </c>
      <c r="AT249" s="13" t="n">
        <v>0</v>
      </c>
      <c r="AU249" s="13" t="n">
        <v>0</v>
      </c>
      <c r="AV249" s="13" t="n">
        <v>-0.005</v>
      </c>
      <c r="AW249" s="13" t="n">
        <v>0.05350000000000001</v>
      </c>
      <c r="AX249" s="13" t="n">
        <v>0.02</v>
      </c>
      <c r="AY249" s="12" t="n">
        <v>4905096</v>
      </c>
      <c r="AZ249" s="12" t="n">
        <v>5056800</v>
      </c>
      <c r="BA249" s="12" t="n">
        <v>5208504</v>
      </c>
      <c r="BB249" s="12" t="n">
        <v>5006232</v>
      </c>
      <c r="BC249" s="12" t="n">
        <v>5157936</v>
      </c>
      <c r="BD249" s="12" t="n">
        <v>5309640</v>
      </c>
      <c r="BE249" s="12" t="n">
        <v>5261095</v>
      </c>
      <c r="BF249" t="inlineStr">
        <is>
          <t>Frozen values from same rules-based model as formula sheet.</t>
        </is>
      </c>
      <c r="BG249" t="inlineStr">
        <is>
          <t>2026-03-17</t>
        </is>
      </c>
      <c r="BH249" t="inlineStr">
        <is>
          <t>DLD / Digital Dubai / CBUAE / Savills / Knight Frank-Moody’s / Reuters</t>
        </is>
      </c>
    </row>
    <row r="250">
      <c r="A250" t="n">
        <v>249</v>
      </c>
      <c r="B250" t="inlineStr">
        <is>
          <t>Elan</t>
        </is>
      </c>
      <c r="C250" t="inlineStr">
        <is>
          <t>Majid Al Futtaim</t>
        </is>
      </c>
      <c r="D250" t="inlineStr">
        <is>
          <t>Tilal Al Ghaf</t>
        </is>
      </c>
      <c r="E250" t="inlineStr">
        <is>
          <t>Townhouses</t>
        </is>
      </c>
      <c r="F250" t="inlineStr">
        <is>
          <t>Gated / Starter</t>
        </is>
      </c>
      <c r="G250" t="inlineStr">
        <is>
          <t>Resale (2.5M+)</t>
        </is>
      </c>
      <c r="H250" t="inlineStr">
        <is>
          <t>1300</t>
        </is>
      </c>
      <c r="I250" t="inlineStr">
        <is>
          <t>15</t>
        </is>
      </c>
      <c r="J250" t="inlineStr">
        <is>
          <t>Completed</t>
        </is>
      </c>
      <c r="K250" t="inlineStr">
        <is>
          <t>2022</t>
        </is>
      </c>
      <c r="L250" t="inlineStr">
        <is>
          <t>6.5-7.0</t>
        </is>
      </c>
      <c r="M250" t="inlineStr">
        <is>
          <t>6-8</t>
        </is>
      </c>
      <c r="N250" t="inlineStr">
        <is>
          <t>12.5-15.0</t>
        </is>
      </c>
      <c r="O250" t="inlineStr">
        <is>
          <t>Royal Grammar</t>
        </is>
      </c>
      <c r="P250" t="inlineStr">
        <is>
          <t>Mediclinic Parkview</t>
        </is>
      </c>
      <c r="Q250" t="inlineStr">
        <is>
          <t>First Avenue Mall</t>
        </is>
      </c>
      <c r="R250" t="inlineStr">
        <is>
          <t>Hessa St / E611</t>
        </is>
      </c>
      <c r="S250" t="inlineStr">
        <is>
          <t>20</t>
        </is>
      </c>
      <c r="T250" t="inlineStr">
        <is>
          <t>20</t>
        </is>
      </c>
      <c r="U250" t="inlineStr">
        <is>
          <t>25</t>
        </is>
      </c>
      <c r="V250" t="inlineStr">
        <is>
          <t>25</t>
        </is>
      </c>
      <c r="W250" t="n">
        <v>2</v>
      </c>
      <c r="X250" s="12" t="n">
        <v>2500000</v>
      </c>
      <c r="Y250" s="12" t="n">
        <v>2500000</v>
      </c>
      <c r="Z250" s="9" t="n">
        <v>6.5</v>
      </c>
      <c r="AA250" s="9" t="n">
        <v>7</v>
      </c>
      <c r="AB250" s="9" t="n">
        <v>6</v>
      </c>
      <c r="AC250" s="9" t="n">
        <v>8</v>
      </c>
      <c r="AD250" s="9" t="n">
        <v>12.5</v>
      </c>
      <c r="AE250" s="9" t="n">
        <v>15</v>
      </c>
      <c r="AF250" t="n">
        <v>2022</v>
      </c>
      <c r="AH250" t="inlineStr">
        <is>
          <t>Townhouse</t>
        </is>
      </c>
      <c r="AI250" t="inlineStr">
        <is>
          <t>FamilyVilla</t>
        </is>
      </c>
      <c r="AJ250" t="inlineStr">
        <is>
          <t>Established</t>
        </is>
      </c>
      <c r="AK250" t="inlineStr">
        <is>
          <t>Family-villa resilient</t>
        </is>
      </c>
      <c r="AL250" t="inlineStr">
        <is>
          <t>Villa/townhouse demand remains relatively firmer, though growth should be slower than the post-2020 surge.</t>
        </is>
      </c>
      <c r="AM250" s="9" t="n">
        <v>7</v>
      </c>
      <c r="AN250" s="9" t="n">
        <v>6.75</v>
      </c>
      <c r="AO250" s="10" t="n">
        <v>0.55</v>
      </c>
      <c r="AP250" s="13" t="n">
        <v>0</v>
      </c>
      <c r="AQ250" s="13" t="n">
        <v>0.015</v>
      </c>
      <c r="AR250" s="13" t="n">
        <v>0</v>
      </c>
      <c r="AS250" s="13" t="n">
        <v>0.025</v>
      </c>
      <c r="AT250" s="13" t="n">
        <v>0</v>
      </c>
      <c r="AU250" s="13" t="n">
        <v>0.0025</v>
      </c>
      <c r="AV250" s="13" t="n">
        <v>-0.005</v>
      </c>
      <c r="AW250" s="13" t="n">
        <v>0.05350000000000001</v>
      </c>
      <c r="AX250" s="13" t="n">
        <v>0.0225</v>
      </c>
      <c r="AY250" s="12" t="n">
        <v>2554738</v>
      </c>
      <c r="AZ250" s="12" t="n">
        <v>2633750</v>
      </c>
      <c r="BA250" s="12" t="n">
        <v>2712762</v>
      </c>
      <c r="BB250" s="12" t="n">
        <v>2613997</v>
      </c>
      <c r="BC250" s="12" t="n">
        <v>2693009</v>
      </c>
      <c r="BD250" s="12" t="n">
        <v>2772022</v>
      </c>
      <c r="BE250" s="12" t="n">
        <v>2753602</v>
      </c>
      <c r="BF250" t="inlineStr">
        <is>
          <t>Frozen values from same rules-based model as formula sheet.</t>
        </is>
      </c>
      <c r="BG250" t="inlineStr">
        <is>
          <t>2026-03-17</t>
        </is>
      </c>
      <c r="BH250" t="inlineStr">
        <is>
          <t>DLD / Digital Dubai / CBUAE / Savills / Knight Frank-Moody’s / Reuters</t>
        </is>
      </c>
    </row>
    <row r="251">
      <c r="A251" t="n">
        <v>250</v>
      </c>
      <c r="B251" t="inlineStr">
        <is>
          <t>Aura</t>
        </is>
      </c>
      <c r="C251" t="inlineStr">
        <is>
          <t>Majid Al Futtaim</t>
        </is>
      </c>
      <c r="D251" t="inlineStr">
        <is>
          <t>Tilal Al Ghaf</t>
        </is>
      </c>
      <c r="E251" t="inlineStr">
        <is>
          <t>Twin Villas</t>
        </is>
      </c>
      <c r="F251" t="inlineStr">
        <is>
          <t>Gated / Modern</t>
        </is>
      </c>
      <c r="G251" t="inlineStr">
        <is>
          <t>Resale (3.5M+)</t>
        </is>
      </c>
      <c r="H251" t="inlineStr">
        <is>
          <t>1400</t>
        </is>
      </c>
      <c r="I251" t="inlineStr">
        <is>
          <t>15</t>
        </is>
      </c>
      <c r="J251" t="inlineStr">
        <is>
          <t>Completed</t>
        </is>
      </c>
      <c r="K251" t="inlineStr">
        <is>
          <t>2023</t>
        </is>
      </c>
      <c r="L251" t="inlineStr">
        <is>
          <t>6.0-6.5</t>
        </is>
      </c>
      <c r="M251" t="inlineStr">
        <is>
          <t>6-8</t>
        </is>
      </c>
      <c r="N251" t="inlineStr">
        <is>
          <t>12.0-14.5</t>
        </is>
      </c>
      <c r="O251" t="inlineStr">
        <is>
          <t>Royal Grammar</t>
        </is>
      </c>
      <c r="P251" t="inlineStr">
        <is>
          <t>Mediclinic Parkview</t>
        </is>
      </c>
      <c r="Q251" t="inlineStr">
        <is>
          <t>First Avenue Mall</t>
        </is>
      </c>
      <c r="R251" t="inlineStr">
        <is>
          <t>Hessa St / E611</t>
        </is>
      </c>
      <c r="S251" t="inlineStr">
        <is>
          <t>20</t>
        </is>
      </c>
      <c r="T251" t="inlineStr">
        <is>
          <t>20</t>
        </is>
      </c>
      <c r="U251" t="inlineStr">
        <is>
          <t>25</t>
        </is>
      </c>
      <c r="V251" t="inlineStr">
        <is>
          <t>25</t>
        </is>
      </c>
      <c r="W251" t="n">
        <v>2</v>
      </c>
      <c r="X251" s="12" t="n">
        <v>3500000</v>
      </c>
      <c r="Y251" s="12" t="n">
        <v>3500000</v>
      </c>
      <c r="Z251" s="9" t="n">
        <v>6</v>
      </c>
      <c r="AA251" s="9" t="n">
        <v>6.5</v>
      </c>
      <c r="AB251" s="9" t="n">
        <v>6</v>
      </c>
      <c r="AC251" s="9" t="n">
        <v>8</v>
      </c>
      <c r="AD251" s="9" t="n">
        <v>12</v>
      </c>
      <c r="AE251" s="9" t="n">
        <v>14.5</v>
      </c>
      <c r="AF251" t="n">
        <v>2023</v>
      </c>
      <c r="AH251" t="inlineStr">
        <is>
          <t>Villa</t>
        </is>
      </c>
      <c r="AI251" t="inlineStr">
        <is>
          <t>FamilyVilla</t>
        </is>
      </c>
      <c r="AJ251" t="inlineStr">
        <is>
          <t>Established</t>
        </is>
      </c>
      <c r="AK251" t="inlineStr">
        <is>
          <t>Family-villa resilient</t>
        </is>
      </c>
      <c r="AL251" t="inlineStr">
        <is>
          <t>Villa/townhouse demand remains relatively firmer, though growth should be slower than the post-2020 surge.</t>
        </is>
      </c>
      <c r="AM251" s="9" t="n">
        <v>7</v>
      </c>
      <c r="AN251" s="9" t="n">
        <v>6.25</v>
      </c>
      <c r="AO251" s="10" t="n">
        <v>0.55</v>
      </c>
      <c r="AP251" s="13" t="n">
        <v>0</v>
      </c>
      <c r="AQ251" s="13" t="n">
        <v>0.015</v>
      </c>
      <c r="AR251" s="13" t="n">
        <v>0</v>
      </c>
      <c r="AS251" s="13" t="n">
        <v>0.025</v>
      </c>
      <c r="AT251" s="13" t="n">
        <v>0</v>
      </c>
      <c r="AU251" s="13" t="n">
        <v>0.0025</v>
      </c>
      <c r="AV251" s="13" t="n">
        <v>-0.005</v>
      </c>
      <c r="AW251" s="13" t="n">
        <v>0.05350000000000001</v>
      </c>
      <c r="AX251" s="13" t="n">
        <v>0.0225</v>
      </c>
      <c r="AY251" s="12" t="n">
        <v>3576632</v>
      </c>
      <c r="AZ251" s="12" t="n">
        <v>3687250</v>
      </c>
      <c r="BA251" s="12" t="n">
        <v>3797868</v>
      </c>
      <c r="BB251" s="12" t="n">
        <v>3659596</v>
      </c>
      <c r="BC251" s="12" t="n">
        <v>3770213</v>
      </c>
      <c r="BD251" s="12" t="n">
        <v>3880831</v>
      </c>
      <c r="BE251" s="12" t="n">
        <v>3855043</v>
      </c>
      <c r="BF251" t="inlineStr">
        <is>
          <t>Frozen values from same rules-based model as formula sheet.</t>
        </is>
      </c>
      <c r="BG251" t="inlineStr">
        <is>
          <t>2026-03-17</t>
        </is>
      </c>
      <c r="BH251" t="inlineStr">
        <is>
          <t>DLD / Digital Dubai / CBUAE / Savills / Knight Frank-Moody’s / Reuters</t>
        </is>
      </c>
    </row>
    <row r="252">
      <c r="A252" t="n">
        <v>251</v>
      </c>
      <c r="B252" t="inlineStr">
        <is>
          <t>The Highgrove</t>
        </is>
      </c>
      <c r="C252" t="inlineStr">
        <is>
          <t>Ellington Properties</t>
        </is>
      </c>
      <c r="D252" t="inlineStr">
        <is>
          <t>MBR City</t>
        </is>
      </c>
      <c r="E252" t="inlineStr">
        <is>
          <t>Apartments</t>
        </is>
      </c>
      <c r="F252" t="inlineStr">
        <is>
          <t>Design / Boutique</t>
        </is>
      </c>
      <c r="G252" t="inlineStr">
        <is>
          <t>1.8M</t>
        </is>
      </c>
      <c r="H252" t="inlineStr">
        <is>
          <t>2000</t>
        </is>
      </c>
      <c r="I252" t="inlineStr">
        <is>
          <t>18</t>
        </is>
      </c>
      <c r="J252" t="inlineStr">
        <is>
          <t>70/30</t>
        </is>
      </c>
      <c r="K252" t="inlineStr">
        <is>
          <t>2024</t>
        </is>
      </c>
      <c r="L252" t="inlineStr">
        <is>
          <t>6.0-6.5</t>
        </is>
      </c>
      <c r="M252" t="inlineStr">
        <is>
          <t>8-10</t>
        </is>
      </c>
      <c r="N252" t="inlineStr">
        <is>
          <t>14.0-16.5</t>
        </is>
      </c>
      <c r="O252" t="inlineStr">
        <is>
          <t>Hartland Intl</t>
        </is>
      </c>
      <c r="P252" t="inlineStr">
        <is>
          <t>American Hospital</t>
        </is>
      </c>
      <c r="Q252" t="inlineStr">
        <is>
          <t>Dubai Mall</t>
        </is>
      </c>
      <c r="R252" t="inlineStr">
        <is>
          <t>Ras Al Khor / E44</t>
        </is>
      </c>
      <c r="S252" t="inlineStr">
        <is>
          <t>12</t>
        </is>
      </c>
      <c r="T252" t="inlineStr">
        <is>
          <t>25</t>
        </is>
      </c>
      <c r="U252" t="inlineStr">
        <is>
          <t>15</t>
        </is>
      </c>
      <c r="V252" t="inlineStr">
        <is>
          <t>40</t>
        </is>
      </c>
      <c r="W252" t="n">
        <v>2</v>
      </c>
      <c r="X252" s="12" t="n">
        <v>1800000</v>
      </c>
      <c r="Y252" s="12" t="n">
        <v>1800000</v>
      </c>
      <c r="Z252" s="9" t="n">
        <v>6</v>
      </c>
      <c r="AA252" s="9" t="n">
        <v>6.5</v>
      </c>
      <c r="AB252" s="9" t="n">
        <v>8</v>
      </c>
      <c r="AC252" s="9" t="n">
        <v>10</v>
      </c>
      <c r="AD252" s="9" t="n">
        <v>14</v>
      </c>
      <c r="AE252" s="9" t="n">
        <v>16.5</v>
      </c>
      <c r="AF252" t="n">
        <v>2024</v>
      </c>
      <c r="AH252" t="inlineStr">
        <is>
          <t>Apartment</t>
        </is>
      </c>
      <c r="AI252" t="inlineStr">
        <is>
          <t>MainstreamSelective</t>
        </is>
      </c>
      <c r="AJ252" t="inlineStr">
        <is>
          <t>TopTier</t>
        </is>
      </c>
      <c r="AK252" t="inlineStr">
        <is>
          <t>Balanced / selective</t>
        </is>
      </c>
      <c r="AL252" t="inlineStr">
        <is>
          <t>Market remains active but increasingly differentiated by developer, micro-location, livability, and pricing discipline.</t>
        </is>
      </c>
      <c r="AM252" s="9" t="n">
        <v>9</v>
      </c>
      <c r="AN252" s="9" t="n">
        <v>6.25</v>
      </c>
      <c r="AO252" s="10" t="n">
        <v>0.55</v>
      </c>
      <c r="AP252" s="13" t="n">
        <v>0</v>
      </c>
      <c r="AQ252" s="13" t="n">
        <v>0</v>
      </c>
      <c r="AR252" s="13" t="n">
        <v>0</v>
      </c>
      <c r="AS252" s="13" t="n">
        <v>0.01</v>
      </c>
      <c r="AT252" s="13" t="n">
        <v>0.005</v>
      </c>
      <c r="AU252" s="13" t="n">
        <v>0.0025</v>
      </c>
      <c r="AV252" s="13" t="n">
        <v>-0.005</v>
      </c>
      <c r="AW252" s="13" t="n">
        <v>0.0495</v>
      </c>
      <c r="AX252" s="13" t="n">
        <v>0.0125</v>
      </c>
      <c r="AY252" s="12" t="n">
        <v>1832427</v>
      </c>
      <c r="AZ252" s="12" t="n">
        <v>1889100</v>
      </c>
      <c r="BA252" s="12" t="n">
        <v>1945773</v>
      </c>
      <c r="BB252" s="12" t="n">
        <v>1856041</v>
      </c>
      <c r="BC252" s="12" t="n">
        <v>1912714</v>
      </c>
      <c r="BD252" s="12" t="n">
        <v>1969387</v>
      </c>
      <c r="BE252" s="12" t="n">
        <v>1936623</v>
      </c>
      <c r="BF252" t="inlineStr">
        <is>
          <t>Frozen values from same rules-based model as formula sheet.</t>
        </is>
      </c>
      <c r="BG252" t="inlineStr">
        <is>
          <t>2026-03-17</t>
        </is>
      </c>
      <c r="BH252" t="inlineStr">
        <is>
          <t>DLD / Digital Dubai / CBUAE / Savills / Knight Frank-Moody’s / Reuters</t>
        </is>
      </c>
    </row>
    <row r="253">
      <c r="A253" t="n">
        <v>252</v>
      </c>
      <c r="B253" t="inlineStr">
        <is>
          <t>Claydon House</t>
        </is>
      </c>
      <c r="C253" t="inlineStr">
        <is>
          <t>Ellington Properties</t>
        </is>
      </c>
      <c r="D253" t="inlineStr">
        <is>
          <t>MBR City</t>
        </is>
      </c>
      <c r="E253" t="inlineStr">
        <is>
          <t>Apartments</t>
        </is>
      </c>
      <c r="F253" t="inlineStr">
        <is>
          <t>Design / Boutique</t>
        </is>
      </c>
      <c r="G253" t="inlineStr">
        <is>
          <t>1.9M</t>
        </is>
      </c>
      <c r="H253" t="inlineStr">
        <is>
          <t>2000</t>
        </is>
      </c>
      <c r="I253" t="inlineStr">
        <is>
          <t>18</t>
        </is>
      </c>
      <c r="J253" t="inlineStr">
        <is>
          <t>70/30</t>
        </is>
      </c>
      <c r="K253" t="inlineStr">
        <is>
          <t>2024</t>
        </is>
      </c>
      <c r="L253" t="inlineStr">
        <is>
          <t>6.0-6.5</t>
        </is>
      </c>
      <c r="M253" t="inlineStr">
        <is>
          <t>8-10</t>
        </is>
      </c>
      <c r="N253" t="inlineStr">
        <is>
          <t>14.0-16.5</t>
        </is>
      </c>
      <c r="O253" t="inlineStr">
        <is>
          <t>Hartland Intl</t>
        </is>
      </c>
      <c r="P253" t="inlineStr">
        <is>
          <t>American Hospital</t>
        </is>
      </c>
      <c r="Q253" t="inlineStr">
        <is>
          <t>Dubai Mall</t>
        </is>
      </c>
      <c r="R253" t="inlineStr">
        <is>
          <t>Ras Al Khor / E44</t>
        </is>
      </c>
      <c r="S253" t="inlineStr">
        <is>
          <t>12</t>
        </is>
      </c>
      <c r="T253" t="inlineStr">
        <is>
          <t>25</t>
        </is>
      </c>
      <c r="U253" t="inlineStr">
        <is>
          <t>15</t>
        </is>
      </c>
      <c r="V253" t="inlineStr">
        <is>
          <t>40</t>
        </is>
      </c>
      <c r="W253" t="n">
        <v>2</v>
      </c>
      <c r="X253" s="12" t="n">
        <v>1900000</v>
      </c>
      <c r="Y253" s="12" t="n">
        <v>1900000</v>
      </c>
      <c r="Z253" s="9" t="n">
        <v>6</v>
      </c>
      <c r="AA253" s="9" t="n">
        <v>6.5</v>
      </c>
      <c r="AB253" s="9" t="n">
        <v>8</v>
      </c>
      <c r="AC253" s="9" t="n">
        <v>10</v>
      </c>
      <c r="AD253" s="9" t="n">
        <v>14</v>
      </c>
      <c r="AE253" s="9" t="n">
        <v>16.5</v>
      </c>
      <c r="AF253" t="n">
        <v>2024</v>
      </c>
      <c r="AH253" t="inlineStr">
        <is>
          <t>Apartment</t>
        </is>
      </c>
      <c r="AI253" t="inlineStr">
        <is>
          <t>MainstreamSelective</t>
        </is>
      </c>
      <c r="AJ253" t="inlineStr">
        <is>
          <t>TopTier</t>
        </is>
      </c>
      <c r="AK253" t="inlineStr">
        <is>
          <t>Balanced / selective</t>
        </is>
      </c>
      <c r="AL253" t="inlineStr">
        <is>
          <t>Market remains active but increasingly differentiated by developer, micro-location, livability, and pricing discipline.</t>
        </is>
      </c>
      <c r="AM253" s="9" t="n">
        <v>9</v>
      </c>
      <c r="AN253" s="9" t="n">
        <v>6.25</v>
      </c>
      <c r="AO253" s="10" t="n">
        <v>0.55</v>
      </c>
      <c r="AP253" s="13" t="n">
        <v>0</v>
      </c>
      <c r="AQ253" s="13" t="n">
        <v>0</v>
      </c>
      <c r="AR253" s="13" t="n">
        <v>0</v>
      </c>
      <c r="AS253" s="13" t="n">
        <v>0.01</v>
      </c>
      <c r="AT253" s="13" t="n">
        <v>0.005</v>
      </c>
      <c r="AU253" s="13" t="n">
        <v>0.0025</v>
      </c>
      <c r="AV253" s="13" t="n">
        <v>-0.005</v>
      </c>
      <c r="AW253" s="13" t="n">
        <v>0.0495</v>
      </c>
      <c r="AX253" s="13" t="n">
        <v>0.0125</v>
      </c>
      <c r="AY253" s="12" t="n">
        <v>1934228</v>
      </c>
      <c r="AZ253" s="12" t="n">
        <v>1994050</v>
      </c>
      <c r="BA253" s="12" t="n">
        <v>2053872</v>
      </c>
      <c r="BB253" s="12" t="n">
        <v>1959154</v>
      </c>
      <c r="BC253" s="12" t="n">
        <v>2018976</v>
      </c>
      <c r="BD253" s="12" t="n">
        <v>2078797</v>
      </c>
      <c r="BE253" s="12" t="n">
        <v>2044213</v>
      </c>
      <c r="BF253" t="inlineStr">
        <is>
          <t>Frozen values from same rules-based model as formula sheet.</t>
        </is>
      </c>
      <c r="BG253" t="inlineStr">
        <is>
          <t>2026-03-17</t>
        </is>
      </c>
      <c r="BH253" t="inlineStr">
        <is>
          <t>DLD / Digital Dubai / CBUAE / Savills / Knight Frank-Moody’s / Reuters</t>
        </is>
      </c>
    </row>
    <row r="254">
      <c r="A254" t="n">
        <v>253</v>
      </c>
      <c r="B254" t="inlineStr">
        <is>
          <t>Wilton Terraces 1</t>
        </is>
      </c>
      <c r="C254" t="inlineStr">
        <is>
          <t>Ellington Properties</t>
        </is>
      </c>
      <c r="D254" t="inlineStr">
        <is>
          <t>MBR City</t>
        </is>
      </c>
      <c r="E254" t="inlineStr">
        <is>
          <t>Apartments</t>
        </is>
      </c>
      <c r="F254" t="inlineStr">
        <is>
          <t>Design / Garden</t>
        </is>
      </c>
      <c r="G254" t="inlineStr">
        <is>
          <t>Resale (1.6M+)</t>
        </is>
      </c>
      <c r="H254" t="inlineStr">
        <is>
          <t>1700</t>
        </is>
      </c>
      <c r="I254" t="inlineStr">
        <is>
          <t>18</t>
        </is>
      </c>
      <c r="J254" t="inlineStr">
        <is>
          <t>Completed</t>
        </is>
      </c>
      <c r="K254" t="inlineStr">
        <is>
          <t>2019</t>
        </is>
      </c>
      <c r="L254" t="inlineStr">
        <is>
          <t>6.5-7.0</t>
        </is>
      </c>
      <c r="M254" t="inlineStr">
        <is>
          <t>5-7</t>
        </is>
      </c>
      <c r="N254" t="inlineStr">
        <is>
          <t>11.5-14.0</t>
        </is>
      </c>
      <c r="O254" t="inlineStr">
        <is>
          <t>Hartland Intl</t>
        </is>
      </c>
      <c r="P254" t="inlineStr">
        <is>
          <t>American Hospital</t>
        </is>
      </c>
      <c r="Q254" t="inlineStr">
        <is>
          <t>Dubai Mall</t>
        </is>
      </c>
      <c r="R254" t="inlineStr">
        <is>
          <t>Ras Al Khor / E44</t>
        </is>
      </c>
      <c r="S254" t="inlineStr">
        <is>
          <t>12</t>
        </is>
      </c>
      <c r="T254" t="inlineStr">
        <is>
          <t>25</t>
        </is>
      </c>
      <c r="U254" t="inlineStr">
        <is>
          <t>15</t>
        </is>
      </c>
      <c r="V254" t="inlineStr">
        <is>
          <t>40</t>
        </is>
      </c>
      <c r="W254" t="n">
        <v>2</v>
      </c>
      <c r="X254" s="12" t="n">
        <v>1600000</v>
      </c>
      <c r="Y254" s="12" t="n">
        <v>1600000</v>
      </c>
      <c r="Z254" s="9" t="n">
        <v>6.5</v>
      </c>
      <c r="AA254" s="9" t="n">
        <v>7</v>
      </c>
      <c r="AB254" s="9" t="n">
        <v>5</v>
      </c>
      <c r="AC254" s="9" t="n">
        <v>7</v>
      </c>
      <c r="AD254" s="9" t="n">
        <v>11.5</v>
      </c>
      <c r="AE254" s="9" t="n">
        <v>14</v>
      </c>
      <c r="AF254" t="n">
        <v>2019</v>
      </c>
      <c r="AH254" t="inlineStr">
        <is>
          <t>Apartment</t>
        </is>
      </c>
      <c r="AI254" t="inlineStr">
        <is>
          <t>MainstreamSelective</t>
        </is>
      </c>
      <c r="AJ254" t="inlineStr">
        <is>
          <t>TopTier</t>
        </is>
      </c>
      <c r="AK254" t="inlineStr">
        <is>
          <t>Balanced / selective</t>
        </is>
      </c>
      <c r="AL254" t="inlineStr">
        <is>
          <t>Market remains active but increasingly differentiated by developer, micro-location, livability, and pricing discipline.</t>
        </is>
      </c>
      <c r="AM254" s="9" t="n">
        <v>6</v>
      </c>
      <c r="AN254" s="9" t="n">
        <v>6.75</v>
      </c>
      <c r="AO254" s="10" t="n">
        <v>0.55</v>
      </c>
      <c r="AP254" s="13" t="n">
        <v>0</v>
      </c>
      <c r="AQ254" s="13" t="n">
        <v>0</v>
      </c>
      <c r="AR254" s="13" t="n">
        <v>0</v>
      </c>
      <c r="AS254" s="13" t="n">
        <v>0.01</v>
      </c>
      <c r="AT254" s="13" t="n">
        <v>0.005</v>
      </c>
      <c r="AU254" s="13" t="n">
        <v>0.0025</v>
      </c>
      <c r="AV254" s="13" t="n">
        <v>-0.005</v>
      </c>
      <c r="AW254" s="13" t="n">
        <v>0.033</v>
      </c>
      <c r="AX254" s="13" t="n">
        <v>0.0125</v>
      </c>
      <c r="AY254" s="12" t="n">
        <v>1603216</v>
      </c>
      <c r="AZ254" s="12" t="n">
        <v>1652800</v>
      </c>
      <c r="BA254" s="12" t="n">
        <v>1702384</v>
      </c>
      <c r="BB254" s="12" t="n">
        <v>1623876</v>
      </c>
      <c r="BC254" s="12" t="n">
        <v>1673460</v>
      </c>
      <c r="BD254" s="12" t="n">
        <v>1723044</v>
      </c>
      <c r="BE254" s="12" t="n">
        <v>1694378</v>
      </c>
      <c r="BF254" t="inlineStr">
        <is>
          <t>Frozen values from same rules-based model as formula sheet.</t>
        </is>
      </c>
      <c r="BG254" t="inlineStr">
        <is>
          <t>2026-03-17</t>
        </is>
      </c>
      <c r="BH254" t="inlineStr">
        <is>
          <t>DLD / Digital Dubai / CBUAE / Savills / Knight Frank-Moody’s / Reuters</t>
        </is>
      </c>
    </row>
    <row r="255">
      <c r="A255" t="n">
        <v>254</v>
      </c>
      <c r="B255" t="inlineStr">
        <is>
          <t>Wilton Terraces 2</t>
        </is>
      </c>
      <c r="C255" t="inlineStr">
        <is>
          <t>Ellington Properties</t>
        </is>
      </c>
      <c r="D255" t="inlineStr">
        <is>
          <t>MBR City</t>
        </is>
      </c>
      <c r="E255" t="inlineStr">
        <is>
          <t>Apartments</t>
        </is>
      </c>
      <c r="F255" t="inlineStr">
        <is>
          <t>Design / Garden</t>
        </is>
      </c>
      <c r="G255" t="inlineStr">
        <is>
          <t>Resale (1.6M+)</t>
        </is>
      </c>
      <c r="H255" t="inlineStr">
        <is>
          <t>1700</t>
        </is>
      </c>
      <c r="I255" t="inlineStr">
        <is>
          <t>18</t>
        </is>
      </c>
      <c r="J255" t="inlineStr">
        <is>
          <t>Completed</t>
        </is>
      </c>
      <c r="K255" t="inlineStr">
        <is>
          <t>2019</t>
        </is>
      </c>
      <c r="L255" t="inlineStr">
        <is>
          <t>6.5-7.0</t>
        </is>
      </c>
      <c r="M255" t="inlineStr">
        <is>
          <t>5-7</t>
        </is>
      </c>
      <c r="N255" t="inlineStr">
        <is>
          <t>11.5-14.0</t>
        </is>
      </c>
      <c r="O255" t="inlineStr">
        <is>
          <t>Hartland Intl</t>
        </is>
      </c>
      <c r="P255" t="inlineStr">
        <is>
          <t>American Hospital</t>
        </is>
      </c>
      <c r="Q255" t="inlineStr">
        <is>
          <t>Dubai Mall</t>
        </is>
      </c>
      <c r="R255" t="inlineStr">
        <is>
          <t>Ras Al Khor / E44</t>
        </is>
      </c>
      <c r="S255" t="inlineStr">
        <is>
          <t>12</t>
        </is>
      </c>
      <c r="T255" t="inlineStr">
        <is>
          <t>25</t>
        </is>
      </c>
      <c r="U255" t="inlineStr">
        <is>
          <t>15</t>
        </is>
      </c>
      <c r="V255" t="inlineStr">
        <is>
          <t>40</t>
        </is>
      </c>
      <c r="W255" t="n">
        <v>2</v>
      </c>
      <c r="X255" s="12" t="n">
        <v>1600000</v>
      </c>
      <c r="Y255" s="12" t="n">
        <v>1600000</v>
      </c>
      <c r="Z255" s="9" t="n">
        <v>6.5</v>
      </c>
      <c r="AA255" s="9" t="n">
        <v>7</v>
      </c>
      <c r="AB255" s="9" t="n">
        <v>5</v>
      </c>
      <c r="AC255" s="9" t="n">
        <v>7</v>
      </c>
      <c r="AD255" s="9" t="n">
        <v>11.5</v>
      </c>
      <c r="AE255" s="9" t="n">
        <v>14</v>
      </c>
      <c r="AF255" t="n">
        <v>2019</v>
      </c>
      <c r="AH255" t="inlineStr">
        <is>
          <t>Apartment</t>
        </is>
      </c>
      <c r="AI255" t="inlineStr">
        <is>
          <t>MainstreamSelective</t>
        </is>
      </c>
      <c r="AJ255" t="inlineStr">
        <is>
          <t>TopTier</t>
        </is>
      </c>
      <c r="AK255" t="inlineStr">
        <is>
          <t>Balanced / selective</t>
        </is>
      </c>
      <c r="AL255" t="inlineStr">
        <is>
          <t>Market remains active but increasingly differentiated by developer, micro-location, livability, and pricing discipline.</t>
        </is>
      </c>
      <c r="AM255" s="9" t="n">
        <v>6</v>
      </c>
      <c r="AN255" s="9" t="n">
        <v>6.75</v>
      </c>
      <c r="AO255" s="10" t="n">
        <v>0.55</v>
      </c>
      <c r="AP255" s="13" t="n">
        <v>0</v>
      </c>
      <c r="AQ255" s="13" t="n">
        <v>0</v>
      </c>
      <c r="AR255" s="13" t="n">
        <v>0</v>
      </c>
      <c r="AS255" s="13" t="n">
        <v>0.01</v>
      </c>
      <c r="AT255" s="13" t="n">
        <v>0.005</v>
      </c>
      <c r="AU255" s="13" t="n">
        <v>0.0025</v>
      </c>
      <c r="AV255" s="13" t="n">
        <v>-0.005</v>
      </c>
      <c r="AW255" s="13" t="n">
        <v>0.033</v>
      </c>
      <c r="AX255" s="13" t="n">
        <v>0.0125</v>
      </c>
      <c r="AY255" s="12" t="n">
        <v>1603216</v>
      </c>
      <c r="AZ255" s="12" t="n">
        <v>1652800</v>
      </c>
      <c r="BA255" s="12" t="n">
        <v>1702384</v>
      </c>
      <c r="BB255" s="12" t="n">
        <v>1623876</v>
      </c>
      <c r="BC255" s="12" t="n">
        <v>1673460</v>
      </c>
      <c r="BD255" s="12" t="n">
        <v>1723044</v>
      </c>
      <c r="BE255" s="12" t="n">
        <v>1694378</v>
      </c>
      <c r="BF255" t="inlineStr">
        <is>
          <t>Frozen values from same rules-based model as formula sheet.</t>
        </is>
      </c>
      <c r="BG255" t="inlineStr">
        <is>
          <t>2026-03-17</t>
        </is>
      </c>
      <c r="BH255" t="inlineStr">
        <is>
          <t>DLD / Digital Dubai / CBUAE / Savills / Knight Frank-Moody’s / Reuters</t>
        </is>
      </c>
    </row>
    <row r="256">
      <c r="A256" t="n">
        <v>255</v>
      </c>
      <c r="B256" t="inlineStr">
        <is>
          <t>Wilton Park Residences</t>
        </is>
      </c>
      <c r="C256" t="inlineStr">
        <is>
          <t>Ellington Properties</t>
        </is>
      </c>
      <c r="D256" t="inlineStr">
        <is>
          <t>MBR City</t>
        </is>
      </c>
      <c r="E256" t="inlineStr">
        <is>
          <t>Apartments</t>
        </is>
      </c>
      <c r="F256" t="inlineStr">
        <is>
          <t>Park / Modern</t>
        </is>
      </c>
      <c r="G256" t="inlineStr">
        <is>
          <t>Resale (1.5M+)</t>
        </is>
      </c>
      <c r="H256" t="inlineStr">
        <is>
          <t>1600</t>
        </is>
      </c>
      <c r="I256" t="inlineStr">
        <is>
          <t>18</t>
        </is>
      </c>
      <c r="J256" t="inlineStr">
        <is>
          <t>Completed</t>
        </is>
      </c>
      <c r="K256" t="inlineStr">
        <is>
          <t>2021</t>
        </is>
      </c>
      <c r="L256" t="inlineStr">
        <is>
          <t>6.5-7.0</t>
        </is>
      </c>
      <c r="M256" t="inlineStr">
        <is>
          <t>5-7</t>
        </is>
      </c>
      <c r="N256" t="inlineStr">
        <is>
          <t>11.5-14.0</t>
        </is>
      </c>
      <c r="O256" t="inlineStr">
        <is>
          <t>Hartland Intl</t>
        </is>
      </c>
      <c r="P256" t="inlineStr">
        <is>
          <t>American Hospital</t>
        </is>
      </c>
      <c r="Q256" t="inlineStr">
        <is>
          <t>Dubai Mall</t>
        </is>
      </c>
      <c r="R256" t="inlineStr">
        <is>
          <t>Ras Al Khor / E44</t>
        </is>
      </c>
      <c r="S256" t="inlineStr">
        <is>
          <t>12</t>
        </is>
      </c>
      <c r="T256" t="inlineStr">
        <is>
          <t>25</t>
        </is>
      </c>
      <c r="U256" t="inlineStr">
        <is>
          <t>15</t>
        </is>
      </c>
      <c r="V256" t="inlineStr">
        <is>
          <t>40</t>
        </is>
      </c>
      <c r="W256" t="n">
        <v>2</v>
      </c>
      <c r="X256" s="12" t="n">
        <v>1500000</v>
      </c>
      <c r="Y256" s="12" t="n">
        <v>1500000</v>
      </c>
      <c r="Z256" s="9" t="n">
        <v>6.5</v>
      </c>
      <c r="AA256" s="9" t="n">
        <v>7</v>
      </c>
      <c r="AB256" s="9" t="n">
        <v>5</v>
      </c>
      <c r="AC256" s="9" t="n">
        <v>7</v>
      </c>
      <c r="AD256" s="9" t="n">
        <v>11.5</v>
      </c>
      <c r="AE256" s="9" t="n">
        <v>14</v>
      </c>
      <c r="AF256" t="n">
        <v>2021</v>
      </c>
      <c r="AH256" t="inlineStr">
        <is>
          <t>Apartment</t>
        </is>
      </c>
      <c r="AI256" t="inlineStr">
        <is>
          <t>MainstreamSelective</t>
        </is>
      </c>
      <c r="AJ256" t="inlineStr">
        <is>
          <t>TopTier</t>
        </is>
      </c>
      <c r="AK256" t="inlineStr">
        <is>
          <t>Balanced / selective</t>
        </is>
      </c>
      <c r="AL256" t="inlineStr">
        <is>
          <t>Market remains active but increasingly differentiated by developer, micro-location, livability, and pricing discipline.</t>
        </is>
      </c>
      <c r="AM256" s="9" t="n">
        <v>6</v>
      </c>
      <c r="AN256" s="9" t="n">
        <v>6.75</v>
      </c>
      <c r="AO256" s="10" t="n">
        <v>0.55</v>
      </c>
      <c r="AP256" s="13" t="n">
        <v>0</v>
      </c>
      <c r="AQ256" s="13" t="n">
        <v>0</v>
      </c>
      <c r="AR256" s="13" t="n">
        <v>0</v>
      </c>
      <c r="AS256" s="13" t="n">
        <v>0.01</v>
      </c>
      <c r="AT256" s="13" t="n">
        <v>0.005</v>
      </c>
      <c r="AU256" s="13" t="n">
        <v>0.0025</v>
      </c>
      <c r="AV256" s="13" t="n">
        <v>-0.005</v>
      </c>
      <c r="AW256" s="13" t="n">
        <v>0.033</v>
      </c>
      <c r="AX256" s="13" t="n">
        <v>0.0125</v>
      </c>
      <c r="AY256" s="12" t="n">
        <v>1503015</v>
      </c>
      <c r="AZ256" s="12" t="n">
        <v>1549500</v>
      </c>
      <c r="BA256" s="12" t="n">
        <v>1595985</v>
      </c>
      <c r="BB256" s="12" t="n">
        <v>1522384</v>
      </c>
      <c r="BC256" s="12" t="n">
        <v>1568869</v>
      </c>
      <c r="BD256" s="12" t="n">
        <v>1615354</v>
      </c>
      <c r="BE256" s="12" t="n">
        <v>1588480</v>
      </c>
      <c r="BF256" t="inlineStr">
        <is>
          <t>Frozen values from same rules-based model as formula sheet.</t>
        </is>
      </c>
      <c r="BG256" t="inlineStr">
        <is>
          <t>2026-03-17</t>
        </is>
      </c>
      <c r="BH256" t="inlineStr">
        <is>
          <t>DLD / Digital Dubai / CBUAE / Savills / Knight Frank-Moody’s / Reuters</t>
        </is>
      </c>
    </row>
    <row r="257">
      <c r="A257" t="n">
        <v>256</v>
      </c>
      <c r="B257" t="inlineStr">
        <is>
          <t>The Sanctuary</t>
        </is>
      </c>
      <c r="C257" t="inlineStr">
        <is>
          <t>Ellington Properties</t>
        </is>
      </c>
      <c r="D257" t="inlineStr">
        <is>
          <t>MBR City (District 11)</t>
        </is>
      </c>
      <c r="E257" t="inlineStr">
        <is>
          <t>Villas</t>
        </is>
      </c>
      <c r="F257" t="inlineStr">
        <is>
          <t>Gated / Water</t>
        </is>
      </c>
      <c r="G257" t="inlineStr">
        <is>
          <t>15M+</t>
        </is>
      </c>
      <c r="H257" t="inlineStr">
        <is>
          <t>2200</t>
        </is>
      </c>
      <c r="I257" t="inlineStr">
        <is>
          <t>20</t>
        </is>
      </c>
      <c r="J257" t="inlineStr">
        <is>
          <t>60/40</t>
        </is>
      </c>
      <c r="K257" t="inlineStr">
        <is>
          <t>2023</t>
        </is>
      </c>
      <c r="L257" t="inlineStr">
        <is>
          <t>5.0-5.5</t>
        </is>
      </c>
      <c r="M257" t="inlineStr">
        <is>
          <t>8-10</t>
        </is>
      </c>
      <c r="N257" t="inlineStr">
        <is>
          <t>13.0-15.5</t>
        </is>
      </c>
      <c r="O257" t="inlineStr">
        <is>
          <t>Repton School</t>
        </is>
      </c>
      <c r="P257" t="inlineStr">
        <is>
          <t>Nad Al Sheba Health</t>
        </is>
      </c>
      <c r="Q257" t="inlineStr">
        <is>
          <t>Meydan One (Planned)</t>
        </is>
      </c>
      <c r="R257" t="inlineStr">
        <is>
          <t>Al Ain Rd E66</t>
        </is>
      </c>
      <c r="S257" t="inlineStr">
        <is>
          <t>15</t>
        </is>
      </c>
      <c r="T257" t="inlineStr">
        <is>
          <t>20</t>
        </is>
      </c>
      <c r="U257" t="inlineStr">
        <is>
          <t>20</t>
        </is>
      </c>
      <c r="V257" t="inlineStr">
        <is>
          <t>30</t>
        </is>
      </c>
      <c r="W257" t="n">
        <v>2</v>
      </c>
      <c r="X257" s="12" t="n">
        <v>15000000</v>
      </c>
      <c r="Y257" s="12" t="n">
        <v>15000000</v>
      </c>
      <c r="Z257" s="9" t="n">
        <v>5</v>
      </c>
      <c r="AA257" s="9" t="n">
        <v>5.5</v>
      </c>
      <c r="AB257" s="9" t="n">
        <v>8</v>
      </c>
      <c r="AC257" s="9" t="n">
        <v>10</v>
      </c>
      <c r="AD257" s="9" t="n">
        <v>13</v>
      </c>
      <c r="AE257" s="9" t="n">
        <v>15.5</v>
      </c>
      <c r="AF257" t="n">
        <v>2023</v>
      </c>
      <c r="AH257" t="inlineStr">
        <is>
          <t>Villa</t>
        </is>
      </c>
      <c r="AI257" t="inlineStr">
        <is>
          <t>MainstreamSelective</t>
        </is>
      </c>
      <c r="AJ257" t="inlineStr">
        <is>
          <t>TopTier</t>
        </is>
      </c>
      <c r="AK257" t="inlineStr">
        <is>
          <t>Family-villa resilient</t>
        </is>
      </c>
      <c r="AL257" t="inlineStr">
        <is>
          <t>Villa/townhouse demand remains relatively firmer, though growth should be slower than the post-2020 surge.</t>
        </is>
      </c>
      <c r="AM257" s="9" t="n">
        <v>9</v>
      </c>
      <c r="AN257" s="9" t="n">
        <v>5.25</v>
      </c>
      <c r="AO257" s="10" t="n">
        <v>0.55</v>
      </c>
      <c r="AP257" s="13" t="n">
        <v>0</v>
      </c>
      <c r="AQ257" s="13" t="n">
        <v>0.015</v>
      </c>
      <c r="AR257" s="13" t="n">
        <v>0</v>
      </c>
      <c r="AS257" s="13" t="n">
        <v>0.025</v>
      </c>
      <c r="AT257" s="13" t="n">
        <v>0.005</v>
      </c>
      <c r="AU257" s="13" t="n">
        <v>0</v>
      </c>
      <c r="AV257" s="13" t="n">
        <v>-0.005</v>
      </c>
      <c r="AW257" s="13" t="n">
        <v>0.0645</v>
      </c>
      <c r="AX257" s="13" t="n">
        <v>0.025</v>
      </c>
      <c r="AY257" s="12" t="n">
        <v>15488475</v>
      </c>
      <c r="AZ257" s="12" t="n">
        <v>15967500</v>
      </c>
      <c r="BA257" s="12" t="n">
        <v>16446525</v>
      </c>
      <c r="BB257" s="12" t="n">
        <v>15887662</v>
      </c>
      <c r="BC257" s="12" t="n">
        <v>16366687</v>
      </c>
      <c r="BD257" s="12" t="n">
        <v>16845712</v>
      </c>
      <c r="BE257" s="12" t="n">
        <v>16775855</v>
      </c>
      <c r="BF257" t="inlineStr">
        <is>
          <t>Frozen values from same rules-based model as formula sheet.</t>
        </is>
      </c>
      <c r="BG257" t="inlineStr">
        <is>
          <t>2026-03-17</t>
        </is>
      </c>
      <c r="BH257" t="inlineStr">
        <is>
          <t>DLD / Digital Dubai / CBUAE / Savills / Knight Frank-Moody’s / Reuters</t>
        </is>
      </c>
    </row>
    <row r="258">
      <c r="A258" t="n">
        <v>257</v>
      </c>
      <c r="B258" t="inlineStr">
        <is>
          <t>Ellington Sands</t>
        </is>
      </c>
      <c r="C258" t="inlineStr">
        <is>
          <t>Ellington Properties</t>
        </is>
      </c>
      <c r="D258" t="inlineStr">
        <is>
          <t>Al Marjan Is. (RAK)</t>
        </is>
      </c>
      <c r="E258" t="inlineStr">
        <is>
          <t>Apartments</t>
        </is>
      </c>
      <c r="F258" t="inlineStr">
        <is>
          <t>Beach / Resort</t>
        </is>
      </c>
      <c r="G258" t="inlineStr">
        <is>
          <t>2.2M</t>
        </is>
      </c>
      <c r="H258" t="inlineStr">
        <is>
          <t>2100</t>
        </is>
      </c>
      <c r="I258" t="inlineStr">
        <is>
          <t>20</t>
        </is>
      </c>
      <c r="J258" t="inlineStr">
        <is>
          <t>60/40</t>
        </is>
      </c>
      <c r="K258" t="inlineStr">
        <is>
          <t>2024</t>
        </is>
      </c>
      <c r="L258" t="inlineStr">
        <is>
          <t>6.5-7.5</t>
        </is>
      </c>
      <c r="M258" t="inlineStr">
        <is>
          <t>10-15</t>
        </is>
      </c>
      <c r="N258" t="inlineStr">
        <is>
          <t>16.5-22.5</t>
        </is>
      </c>
      <c r="O258" t="inlineStr">
        <is>
          <t>RAK Academy</t>
        </is>
      </c>
      <c r="P258" t="inlineStr">
        <is>
          <t>RAK Hospital</t>
        </is>
      </c>
      <c r="Q258" t="inlineStr">
        <is>
          <t>Al Hamra Mall</t>
        </is>
      </c>
      <c r="R258" t="inlineStr">
        <is>
          <t>E11 (RAK)</t>
        </is>
      </c>
      <c r="S258" t="inlineStr">
        <is>
          <t>60+</t>
        </is>
      </c>
      <c r="T258" t="inlineStr">
        <is>
          <t>60+</t>
        </is>
      </c>
      <c r="U258" t="inlineStr">
        <is>
          <t>50</t>
        </is>
      </c>
      <c r="V258" t="inlineStr">
        <is>
          <t>60+</t>
        </is>
      </c>
      <c r="W258" t="n">
        <v>2</v>
      </c>
      <c r="X258" s="12" t="n">
        <v>2200000</v>
      </c>
      <c r="Y258" s="12" t="n">
        <v>2200000</v>
      </c>
      <c r="Z258" s="9" t="n">
        <v>6.5</v>
      </c>
      <c r="AA258" s="9" t="n">
        <v>7.5</v>
      </c>
      <c r="AB258" s="9" t="n">
        <v>10</v>
      </c>
      <c r="AC258" s="9" t="n">
        <v>15</v>
      </c>
      <c r="AD258" s="9" t="n">
        <v>16.5</v>
      </c>
      <c r="AE258" s="9" t="n">
        <v>22.5</v>
      </c>
      <c r="AF258" t="n">
        <v>2024</v>
      </c>
      <c r="AH258" t="inlineStr">
        <is>
          <t>Apartment</t>
        </is>
      </c>
      <c r="AI258" t="inlineStr">
        <is>
          <t>MainstreamSelective</t>
        </is>
      </c>
      <c r="AJ258" t="inlineStr">
        <is>
          <t>TopTier</t>
        </is>
      </c>
      <c r="AK258" t="inlineStr">
        <is>
          <t>Balanced / selective</t>
        </is>
      </c>
      <c r="AL258" t="inlineStr">
        <is>
          <t>Market remains active but increasingly differentiated by developer, micro-location, livability, and pricing discipline.</t>
        </is>
      </c>
      <c r="AM258" s="9" t="n">
        <v>12.5</v>
      </c>
      <c r="AN258" s="9" t="n">
        <v>7</v>
      </c>
      <c r="AO258" s="10" t="n">
        <v>0.55</v>
      </c>
      <c r="AP258" s="13" t="n">
        <v>0</v>
      </c>
      <c r="AQ258" s="13" t="n">
        <v>0</v>
      </c>
      <c r="AR258" s="13" t="n">
        <v>0</v>
      </c>
      <c r="AS258" s="13" t="n">
        <v>0.01</v>
      </c>
      <c r="AT258" s="13" t="n">
        <v>0.005</v>
      </c>
      <c r="AU258" s="13" t="n">
        <v>0.0025</v>
      </c>
      <c r="AV258" s="13" t="n">
        <v>-0.005</v>
      </c>
      <c r="AW258" s="13" t="n">
        <v>0.06875000000000001</v>
      </c>
      <c r="AX258" s="13" t="n">
        <v>0.0125</v>
      </c>
      <c r="AY258" s="12" t="n">
        <v>2280712</v>
      </c>
      <c r="AZ258" s="12" t="n">
        <v>2351250</v>
      </c>
      <c r="BA258" s="12" t="n">
        <v>2421788</v>
      </c>
      <c r="BB258" s="12" t="n">
        <v>2310103</v>
      </c>
      <c r="BC258" s="12" t="n">
        <v>2380641</v>
      </c>
      <c r="BD258" s="12" t="n">
        <v>2451178</v>
      </c>
      <c r="BE258" s="12" t="n">
        <v>2410399</v>
      </c>
      <c r="BF258" t="inlineStr">
        <is>
          <t>Frozen values from same rules-based model as formula sheet.</t>
        </is>
      </c>
      <c r="BG258" t="inlineStr">
        <is>
          <t>2026-03-17</t>
        </is>
      </c>
      <c r="BH258" t="inlineStr">
        <is>
          <t>DLD / Digital Dubai / CBUAE / Savills / Knight Frank-Moody’s / Reuters</t>
        </is>
      </c>
    </row>
    <row r="259">
      <c r="A259" t="n">
        <v>258</v>
      </c>
      <c r="B259" t="inlineStr">
        <is>
          <t>One River Point</t>
        </is>
      </c>
      <c r="C259" t="inlineStr">
        <is>
          <t>Ellington Properties</t>
        </is>
      </c>
      <c r="D259" t="inlineStr">
        <is>
          <t>Business Bay</t>
        </is>
      </c>
      <c r="E259" t="inlineStr">
        <is>
          <t>Apartments</t>
        </is>
      </c>
      <c r="F259" t="inlineStr">
        <is>
          <t>Canal / Luxury</t>
        </is>
      </c>
      <c r="G259" t="inlineStr">
        <is>
          <t>2.5M</t>
        </is>
      </c>
      <c r="H259" t="inlineStr">
        <is>
          <t>2500</t>
        </is>
      </c>
      <c r="I259" t="inlineStr">
        <is>
          <t>22</t>
        </is>
      </c>
      <c r="J259" t="inlineStr">
        <is>
          <t>70/30</t>
        </is>
      </c>
      <c r="K259" t="inlineStr">
        <is>
          <t>2023</t>
        </is>
      </c>
      <c r="L259" t="inlineStr">
        <is>
          <t>6.0-6.5</t>
        </is>
      </c>
      <c r="M259" t="inlineStr">
        <is>
          <t>8-10</t>
        </is>
      </c>
      <c r="N259" t="inlineStr">
        <is>
          <t>14.0-16.5</t>
        </is>
      </c>
      <c r="O259" t="inlineStr">
        <is>
          <t>Hartland Intl</t>
        </is>
      </c>
      <c r="P259" t="inlineStr">
        <is>
          <t>Emirates Hospital BB</t>
        </is>
      </c>
      <c r="Q259" t="inlineStr">
        <is>
          <t>Dubai Mall</t>
        </is>
      </c>
      <c r="R259" t="inlineStr">
        <is>
          <t>Al Khail E44</t>
        </is>
      </c>
      <c r="S259" t="inlineStr">
        <is>
          <t>5</t>
        </is>
      </c>
      <c r="T259" t="inlineStr">
        <is>
          <t>20</t>
        </is>
      </c>
      <c r="U259" t="inlineStr">
        <is>
          <t>15</t>
        </is>
      </c>
      <c r="V259" t="inlineStr">
        <is>
          <t>35</t>
        </is>
      </c>
      <c r="W259" t="n">
        <v>2</v>
      </c>
      <c r="X259" s="12" t="n">
        <v>2500000</v>
      </c>
      <c r="Y259" s="12" t="n">
        <v>2500000</v>
      </c>
      <c r="Z259" s="9" t="n">
        <v>6</v>
      </c>
      <c r="AA259" s="9" t="n">
        <v>6.5</v>
      </c>
      <c r="AB259" s="9" t="n">
        <v>8</v>
      </c>
      <c r="AC259" s="9" t="n">
        <v>10</v>
      </c>
      <c r="AD259" s="9" t="n">
        <v>14</v>
      </c>
      <c r="AE259" s="9" t="n">
        <v>16.5</v>
      </c>
      <c r="AF259" t="n">
        <v>2023</v>
      </c>
      <c r="AH259" t="inlineStr">
        <is>
          <t>Apartment</t>
        </is>
      </c>
      <c r="AI259" t="inlineStr">
        <is>
          <t>Prime</t>
        </is>
      </c>
      <c r="AJ259" t="inlineStr">
        <is>
          <t>TopTier</t>
        </is>
      </c>
      <c r="AK259" t="inlineStr">
        <is>
          <t>Prime resilient / selective</t>
        </is>
      </c>
      <c r="AL259" t="inlineStr">
        <is>
          <t>Better support from quality, branding, and scarcer prime stock; still entry-price sensitive.</t>
        </is>
      </c>
      <c r="AM259" s="9" t="n">
        <v>9</v>
      </c>
      <c r="AN259" s="9" t="n">
        <v>6.25</v>
      </c>
      <c r="AO259" s="10" t="n">
        <v>0.55</v>
      </c>
      <c r="AP259" s="13" t="n">
        <v>0.02</v>
      </c>
      <c r="AQ259" s="13" t="n">
        <v>0</v>
      </c>
      <c r="AR259" s="13" t="n">
        <v>0</v>
      </c>
      <c r="AS259" s="13" t="n">
        <v>0.03</v>
      </c>
      <c r="AT259" s="13" t="n">
        <v>0.005</v>
      </c>
      <c r="AU259" s="13" t="n">
        <v>0.0025</v>
      </c>
      <c r="AV259" s="13" t="n">
        <v>-0.005</v>
      </c>
      <c r="AW259" s="13" t="n">
        <v>0.06950000000000001</v>
      </c>
      <c r="AX259" s="13" t="n">
        <v>0.0325</v>
      </c>
      <c r="AY259" s="12" t="n">
        <v>2593538</v>
      </c>
      <c r="AZ259" s="12" t="n">
        <v>2673750</v>
      </c>
      <c r="BA259" s="12" t="n">
        <v>2753962</v>
      </c>
      <c r="BB259" s="12" t="n">
        <v>2680434</v>
      </c>
      <c r="BC259" s="12" t="n">
        <v>2760647</v>
      </c>
      <c r="BD259" s="12" t="n">
        <v>2840859</v>
      </c>
      <c r="BE259" s="12" t="n">
        <v>2850368</v>
      </c>
      <c r="BF259" t="inlineStr">
        <is>
          <t>Frozen values from same rules-based model as formula sheet.</t>
        </is>
      </c>
      <c r="BG259" t="inlineStr">
        <is>
          <t>2026-03-17</t>
        </is>
      </c>
      <c r="BH259" t="inlineStr">
        <is>
          <t>DLD / Digital Dubai / CBUAE / Savills / Knight Frank-Moody’s / Reuters</t>
        </is>
      </c>
    </row>
    <row r="260">
      <c r="A260" t="n">
        <v>259</v>
      </c>
      <c r="B260" t="inlineStr">
        <is>
          <t>The Crestmark</t>
        </is>
      </c>
      <c r="C260" t="inlineStr">
        <is>
          <t>Ellington Properties</t>
        </is>
      </c>
      <c r="D260" t="inlineStr">
        <is>
          <t>Business Bay</t>
        </is>
      </c>
      <c r="E260" t="inlineStr">
        <is>
          <t>Apartments</t>
        </is>
      </c>
      <c r="F260" t="inlineStr">
        <is>
          <t>Canal / Design</t>
        </is>
      </c>
      <c r="G260" t="inlineStr">
        <is>
          <t>2.6M</t>
        </is>
      </c>
      <c r="H260" t="inlineStr">
        <is>
          <t>2600</t>
        </is>
      </c>
      <c r="I260" t="inlineStr">
        <is>
          <t>22</t>
        </is>
      </c>
      <c r="J260" t="inlineStr">
        <is>
          <t>70/30</t>
        </is>
      </c>
      <c r="K260" t="inlineStr">
        <is>
          <t>2023</t>
        </is>
      </c>
      <c r="L260" t="inlineStr">
        <is>
          <t>6.0-6.5</t>
        </is>
      </c>
      <c r="M260" t="inlineStr">
        <is>
          <t>8-10</t>
        </is>
      </c>
      <c r="N260" t="inlineStr">
        <is>
          <t>14.0-16.5</t>
        </is>
      </c>
      <c r="O260" t="inlineStr">
        <is>
          <t>Hartland Intl</t>
        </is>
      </c>
      <c r="P260" t="inlineStr">
        <is>
          <t>Emirates Hospital BB</t>
        </is>
      </c>
      <c r="Q260" t="inlineStr">
        <is>
          <t>Dubai Mall</t>
        </is>
      </c>
      <c r="R260" t="inlineStr">
        <is>
          <t>Al Khail E44</t>
        </is>
      </c>
      <c r="S260" t="inlineStr">
        <is>
          <t>5</t>
        </is>
      </c>
      <c r="T260" t="inlineStr">
        <is>
          <t>20</t>
        </is>
      </c>
      <c r="U260" t="inlineStr">
        <is>
          <t>15</t>
        </is>
      </c>
      <c r="V260" t="inlineStr">
        <is>
          <t>35</t>
        </is>
      </c>
      <c r="W260" t="n">
        <v>2</v>
      </c>
      <c r="X260" s="12" t="n">
        <v>2600000</v>
      </c>
      <c r="Y260" s="12" t="n">
        <v>2600000</v>
      </c>
      <c r="Z260" s="9" t="n">
        <v>6</v>
      </c>
      <c r="AA260" s="9" t="n">
        <v>6.5</v>
      </c>
      <c r="AB260" s="9" t="n">
        <v>8</v>
      </c>
      <c r="AC260" s="9" t="n">
        <v>10</v>
      </c>
      <c r="AD260" s="9" t="n">
        <v>14</v>
      </c>
      <c r="AE260" s="9" t="n">
        <v>16.5</v>
      </c>
      <c r="AF260" t="n">
        <v>2023</v>
      </c>
      <c r="AH260" t="inlineStr">
        <is>
          <t>Apartment</t>
        </is>
      </c>
      <c r="AI260" t="inlineStr">
        <is>
          <t>Prime</t>
        </is>
      </c>
      <c r="AJ260" t="inlineStr">
        <is>
          <t>TopTier</t>
        </is>
      </c>
      <c r="AK260" t="inlineStr">
        <is>
          <t>Prime resilient / selective</t>
        </is>
      </c>
      <c r="AL260" t="inlineStr">
        <is>
          <t>Better support from quality, branding, and scarcer prime stock; still entry-price sensitive.</t>
        </is>
      </c>
      <c r="AM260" s="9" t="n">
        <v>9</v>
      </c>
      <c r="AN260" s="9" t="n">
        <v>6.25</v>
      </c>
      <c r="AO260" s="10" t="n">
        <v>0.55</v>
      </c>
      <c r="AP260" s="13" t="n">
        <v>0.02</v>
      </c>
      <c r="AQ260" s="13" t="n">
        <v>0</v>
      </c>
      <c r="AR260" s="13" t="n">
        <v>0</v>
      </c>
      <c r="AS260" s="13" t="n">
        <v>0.03</v>
      </c>
      <c r="AT260" s="13" t="n">
        <v>0.005</v>
      </c>
      <c r="AU260" s="13" t="n">
        <v>0.0025</v>
      </c>
      <c r="AV260" s="13" t="n">
        <v>-0.005</v>
      </c>
      <c r="AW260" s="13" t="n">
        <v>0.06950000000000001</v>
      </c>
      <c r="AX260" s="13" t="n">
        <v>0.0325</v>
      </c>
      <c r="AY260" s="12" t="n">
        <v>2697279</v>
      </c>
      <c r="AZ260" s="12" t="n">
        <v>2780700</v>
      </c>
      <c r="BA260" s="12" t="n">
        <v>2864121</v>
      </c>
      <c r="BB260" s="12" t="n">
        <v>2787652</v>
      </c>
      <c r="BC260" s="12" t="n">
        <v>2871073</v>
      </c>
      <c r="BD260" s="12" t="n">
        <v>2954494</v>
      </c>
      <c r="BE260" s="12" t="n">
        <v>2964383</v>
      </c>
      <c r="BF260" t="inlineStr">
        <is>
          <t>Frozen values from same rules-based model as formula sheet.</t>
        </is>
      </c>
      <c r="BG260" t="inlineStr">
        <is>
          <t>2026-03-17</t>
        </is>
      </c>
      <c r="BH260" t="inlineStr">
        <is>
          <t>DLD / Digital Dubai / CBUAE / Savills / Knight Frank-Moody’s / Reuters</t>
        </is>
      </c>
    </row>
    <row r="261">
      <c r="A261" t="n">
        <v>260</v>
      </c>
      <c r="B261" t="inlineStr">
        <is>
          <t>DT1</t>
        </is>
      </c>
      <c r="C261" t="inlineStr">
        <is>
          <t>Ellington Properties</t>
        </is>
      </c>
      <c r="D261" t="inlineStr">
        <is>
          <t>Downtown Dubai</t>
        </is>
      </c>
      <c r="E261" t="inlineStr">
        <is>
          <t>Apartments</t>
        </is>
      </c>
      <c r="F261" t="inlineStr">
        <is>
          <t>Luxury / City</t>
        </is>
      </c>
      <c r="G261" t="inlineStr">
        <is>
          <t>Resale (2.5M+)</t>
        </is>
      </c>
      <c r="H261" t="inlineStr">
        <is>
          <t>2800</t>
        </is>
      </c>
      <c r="I261" t="inlineStr">
        <is>
          <t>25</t>
        </is>
      </c>
      <c r="J261" t="inlineStr">
        <is>
          <t>Completed</t>
        </is>
      </c>
      <c r="K261" t="inlineStr">
        <is>
          <t>2019</t>
        </is>
      </c>
      <c r="L261" t="inlineStr">
        <is>
          <t>6.0-6.5</t>
        </is>
      </c>
      <c r="M261" t="inlineStr">
        <is>
          <t>5-7</t>
        </is>
      </c>
      <c r="N261" t="inlineStr">
        <is>
          <t>11.0-13.5</t>
        </is>
      </c>
      <c r="O261" t="inlineStr">
        <is>
          <t>Hartland Intl</t>
        </is>
      </c>
      <c r="P261" t="inlineStr">
        <is>
          <t>Mediclinic Dubai Mall</t>
        </is>
      </c>
      <c r="Q261" t="inlineStr">
        <is>
          <t>Dubai Mall</t>
        </is>
      </c>
      <c r="R261" t="inlineStr">
        <is>
          <t>Financial Ctr Rd</t>
        </is>
      </c>
      <c r="S261" t="inlineStr">
        <is>
          <t>5</t>
        </is>
      </c>
      <c r="T261" t="inlineStr">
        <is>
          <t>20</t>
        </is>
      </c>
      <c r="U261" t="inlineStr">
        <is>
          <t>15</t>
        </is>
      </c>
      <c r="V261" t="inlineStr">
        <is>
          <t>35</t>
        </is>
      </c>
      <c r="W261" t="n">
        <v>2</v>
      </c>
      <c r="X261" s="12" t="n">
        <v>2500000</v>
      </c>
      <c r="Y261" s="12" t="n">
        <v>2500000</v>
      </c>
      <c r="Z261" s="9" t="n">
        <v>6</v>
      </c>
      <c r="AA261" s="9" t="n">
        <v>6.5</v>
      </c>
      <c r="AB261" s="9" t="n">
        <v>5</v>
      </c>
      <c r="AC261" s="9" t="n">
        <v>7</v>
      </c>
      <c r="AD261" s="9" t="n">
        <v>11</v>
      </c>
      <c r="AE261" s="9" t="n">
        <v>13.5</v>
      </c>
      <c r="AF261" t="n">
        <v>2019</v>
      </c>
      <c r="AH261" t="inlineStr">
        <is>
          <t>Apartment</t>
        </is>
      </c>
      <c r="AI261" t="inlineStr">
        <is>
          <t>Prime</t>
        </is>
      </c>
      <c r="AJ261" t="inlineStr">
        <is>
          <t>TopTier</t>
        </is>
      </c>
      <c r="AK261" t="inlineStr">
        <is>
          <t>Prime resilient / selective</t>
        </is>
      </c>
      <c r="AL261" t="inlineStr">
        <is>
          <t>Better support from quality, branding, and scarcer prime stock; still entry-price sensitive.</t>
        </is>
      </c>
      <c r="AM261" s="9" t="n">
        <v>6</v>
      </c>
      <c r="AN261" s="9" t="n">
        <v>6.25</v>
      </c>
      <c r="AO261" s="10" t="n">
        <v>0.55</v>
      </c>
      <c r="AP261" s="13" t="n">
        <v>0.02</v>
      </c>
      <c r="AQ261" s="13" t="n">
        <v>0</v>
      </c>
      <c r="AR261" s="13" t="n">
        <v>0</v>
      </c>
      <c r="AS261" s="13" t="n">
        <v>0.03</v>
      </c>
      <c r="AT261" s="13" t="n">
        <v>0.005</v>
      </c>
      <c r="AU261" s="13" t="n">
        <v>0.0025</v>
      </c>
      <c r="AV261" s="13" t="n">
        <v>-0.005</v>
      </c>
      <c r="AW261" s="13" t="n">
        <v>0.05300000000000001</v>
      </c>
      <c r="AX261" s="13" t="n">
        <v>0.0325</v>
      </c>
      <c r="AY261" s="12" t="n">
        <v>2553525</v>
      </c>
      <c r="AZ261" s="12" t="n">
        <v>2632500</v>
      </c>
      <c r="BA261" s="12" t="n">
        <v>2711475</v>
      </c>
      <c r="BB261" s="12" t="n">
        <v>2639081</v>
      </c>
      <c r="BC261" s="12" t="n">
        <v>2718056</v>
      </c>
      <c r="BD261" s="12" t="n">
        <v>2797031</v>
      </c>
      <c r="BE261" s="12" t="n">
        <v>2806393</v>
      </c>
      <c r="BF261" t="inlineStr">
        <is>
          <t>Frozen values from same rules-based model as formula sheet.</t>
        </is>
      </c>
      <c r="BG261" t="inlineStr">
        <is>
          <t>2026-03-17</t>
        </is>
      </c>
      <c r="BH261" t="inlineStr">
        <is>
          <t>DLD / Digital Dubai / CBUAE / Savills / Knight Frank-Moody’s / Reuters</t>
        </is>
      </c>
    </row>
    <row r="262">
      <c r="A262" t="n">
        <v>261</v>
      </c>
      <c r="B262" t="inlineStr">
        <is>
          <t>Mercer House</t>
        </is>
      </c>
      <c r="C262" t="inlineStr">
        <is>
          <t>Ellington Properties</t>
        </is>
      </c>
      <c r="D262" t="inlineStr">
        <is>
          <t>JLT</t>
        </is>
      </c>
      <c r="E262" t="inlineStr">
        <is>
          <t>Apartments</t>
        </is>
      </c>
      <c r="F262" t="inlineStr">
        <is>
          <t>High-Rise / View</t>
        </is>
      </c>
      <c r="G262" t="inlineStr">
        <is>
          <t>1.8M</t>
        </is>
      </c>
      <c r="H262" t="inlineStr">
        <is>
          <t>2000</t>
        </is>
      </c>
      <c r="I262" t="inlineStr">
        <is>
          <t>20</t>
        </is>
      </c>
      <c r="J262" t="inlineStr">
        <is>
          <t>70/30</t>
        </is>
      </c>
      <c r="K262" t="inlineStr">
        <is>
          <t>2023</t>
        </is>
      </c>
      <c r="L262" t="inlineStr">
        <is>
          <t>6.5-7.0</t>
        </is>
      </c>
      <c r="M262" t="inlineStr">
        <is>
          <t>8-10</t>
        </is>
      </c>
      <c r="N262" t="inlineStr">
        <is>
          <t>14.5-17.0</t>
        </is>
      </c>
      <c r="O262" t="inlineStr">
        <is>
          <t>Emirates Intl School</t>
        </is>
      </c>
      <c r="P262" t="inlineStr">
        <is>
          <t>Saudi German Hospital</t>
        </is>
      </c>
      <c r="Q262" t="inlineStr">
        <is>
          <t>Dubai Marina Mall</t>
        </is>
      </c>
      <c r="R262" t="inlineStr">
        <is>
          <t>Sheikh Zayed E11</t>
        </is>
      </c>
      <c r="S262" t="inlineStr">
        <is>
          <t>20</t>
        </is>
      </c>
      <c r="T262" t="inlineStr">
        <is>
          <t>5</t>
        </is>
      </c>
      <c r="U262" t="inlineStr">
        <is>
          <t>25</t>
        </is>
      </c>
      <c r="V262" t="inlineStr">
        <is>
          <t>30</t>
        </is>
      </c>
      <c r="W262" t="n">
        <v>2</v>
      </c>
      <c r="X262" s="12" t="n">
        <v>1800000</v>
      </c>
      <c r="Y262" s="12" t="n">
        <v>1800000</v>
      </c>
      <c r="Z262" s="9" t="n">
        <v>6.5</v>
      </c>
      <c r="AA262" s="9" t="n">
        <v>7</v>
      </c>
      <c r="AB262" s="9" t="n">
        <v>8</v>
      </c>
      <c r="AC262" s="9" t="n">
        <v>10</v>
      </c>
      <c r="AD262" s="9" t="n">
        <v>14.5</v>
      </c>
      <c r="AE262" s="9" t="n">
        <v>17</v>
      </c>
      <c r="AF262" t="n">
        <v>2023</v>
      </c>
      <c r="AH262" t="inlineStr">
        <is>
          <t>Apartment</t>
        </is>
      </c>
      <c r="AI262" t="inlineStr">
        <is>
          <t>MainstreamSelective</t>
        </is>
      </c>
      <c r="AJ262" t="inlineStr">
        <is>
          <t>TopTier</t>
        </is>
      </c>
      <c r="AK262" t="inlineStr">
        <is>
          <t>Balanced / selective</t>
        </is>
      </c>
      <c r="AL262" t="inlineStr">
        <is>
          <t>Market remains active but increasingly differentiated by developer, micro-location, livability, and pricing discipline.</t>
        </is>
      </c>
      <c r="AM262" s="9" t="n">
        <v>9</v>
      </c>
      <c r="AN262" s="9" t="n">
        <v>6.75</v>
      </c>
      <c r="AO262" s="10" t="n">
        <v>0.55</v>
      </c>
      <c r="AP262" s="13" t="n">
        <v>0</v>
      </c>
      <c r="AQ262" s="13" t="n">
        <v>0</v>
      </c>
      <c r="AR262" s="13" t="n">
        <v>0</v>
      </c>
      <c r="AS262" s="13" t="n">
        <v>0.01</v>
      </c>
      <c r="AT262" s="13" t="n">
        <v>0.005</v>
      </c>
      <c r="AU262" s="13" t="n">
        <v>0.0025</v>
      </c>
      <c r="AV262" s="13" t="n">
        <v>-0.005</v>
      </c>
      <c r="AW262" s="13" t="n">
        <v>0.0495</v>
      </c>
      <c r="AX262" s="13" t="n">
        <v>0.0125</v>
      </c>
      <c r="AY262" s="12" t="n">
        <v>1832427</v>
      </c>
      <c r="AZ262" s="12" t="n">
        <v>1889100</v>
      </c>
      <c r="BA262" s="12" t="n">
        <v>1945773</v>
      </c>
      <c r="BB262" s="12" t="n">
        <v>1856041</v>
      </c>
      <c r="BC262" s="12" t="n">
        <v>1912714</v>
      </c>
      <c r="BD262" s="12" t="n">
        <v>1969387</v>
      </c>
      <c r="BE262" s="12" t="n">
        <v>1936623</v>
      </c>
      <c r="BF262" t="inlineStr">
        <is>
          <t>Frozen values from same rules-based model as formula sheet.</t>
        </is>
      </c>
      <c r="BG262" t="inlineStr">
        <is>
          <t>2026-03-17</t>
        </is>
      </c>
      <c r="BH262" t="inlineStr">
        <is>
          <t>DLD / Digital Dubai / CBUAE / Savills / Knight Frank-Moody’s / Reuters</t>
        </is>
      </c>
    </row>
    <row r="263">
      <c r="A263" t="n">
        <v>262</v>
      </c>
      <c r="B263" t="inlineStr">
        <is>
          <t>Upper House</t>
        </is>
      </c>
      <c r="C263" t="inlineStr">
        <is>
          <t>Ellington Properties</t>
        </is>
      </c>
      <c r="D263" t="inlineStr">
        <is>
          <t>JLT</t>
        </is>
      </c>
      <c r="E263" t="inlineStr">
        <is>
          <t>Apartments</t>
        </is>
      </c>
      <c r="F263" t="inlineStr">
        <is>
          <t>High-Rise / View</t>
        </is>
      </c>
      <c r="G263" t="inlineStr">
        <is>
          <t>1.6M</t>
        </is>
      </c>
      <c r="H263" t="inlineStr">
        <is>
          <t>1900</t>
        </is>
      </c>
      <c r="I263" t="inlineStr">
        <is>
          <t>20</t>
        </is>
      </c>
      <c r="J263" t="inlineStr">
        <is>
          <t>70/30</t>
        </is>
      </c>
      <c r="K263" t="inlineStr">
        <is>
          <t>2023</t>
        </is>
      </c>
      <c r="L263" t="inlineStr">
        <is>
          <t>6.5-7.0</t>
        </is>
      </c>
      <c r="M263" t="inlineStr">
        <is>
          <t>8-10</t>
        </is>
      </c>
      <c r="N263" t="inlineStr">
        <is>
          <t>14.5-17.0</t>
        </is>
      </c>
      <c r="O263" t="inlineStr">
        <is>
          <t>Emirates Intl School</t>
        </is>
      </c>
      <c r="P263" t="inlineStr">
        <is>
          <t>Saudi German Hospital</t>
        </is>
      </c>
      <c r="Q263" t="inlineStr">
        <is>
          <t>Dubai Marina Mall</t>
        </is>
      </c>
      <c r="R263" t="inlineStr">
        <is>
          <t>Sheikh Zayed E11</t>
        </is>
      </c>
      <c r="S263" t="inlineStr">
        <is>
          <t>20</t>
        </is>
      </c>
      <c r="T263" t="inlineStr">
        <is>
          <t>5</t>
        </is>
      </c>
      <c r="U263" t="inlineStr">
        <is>
          <t>25</t>
        </is>
      </c>
      <c r="V263" t="inlineStr">
        <is>
          <t>30</t>
        </is>
      </c>
      <c r="W263" t="n">
        <v>2</v>
      </c>
      <c r="X263" s="12" t="n">
        <v>1600000</v>
      </c>
      <c r="Y263" s="12" t="n">
        <v>1600000</v>
      </c>
      <c r="Z263" s="9" t="n">
        <v>6.5</v>
      </c>
      <c r="AA263" s="9" t="n">
        <v>7</v>
      </c>
      <c r="AB263" s="9" t="n">
        <v>8</v>
      </c>
      <c r="AC263" s="9" t="n">
        <v>10</v>
      </c>
      <c r="AD263" s="9" t="n">
        <v>14.5</v>
      </c>
      <c r="AE263" s="9" t="n">
        <v>17</v>
      </c>
      <c r="AF263" t="n">
        <v>2023</v>
      </c>
      <c r="AH263" t="inlineStr">
        <is>
          <t>Apartment</t>
        </is>
      </c>
      <c r="AI263" t="inlineStr">
        <is>
          <t>MainstreamSelective</t>
        </is>
      </c>
      <c r="AJ263" t="inlineStr">
        <is>
          <t>TopTier</t>
        </is>
      </c>
      <c r="AK263" t="inlineStr">
        <is>
          <t>Balanced / selective</t>
        </is>
      </c>
      <c r="AL263" t="inlineStr">
        <is>
          <t>Market remains active but increasingly differentiated by developer, micro-location, livability, and pricing discipline.</t>
        </is>
      </c>
      <c r="AM263" s="9" t="n">
        <v>9</v>
      </c>
      <c r="AN263" s="9" t="n">
        <v>6.75</v>
      </c>
      <c r="AO263" s="10" t="n">
        <v>0.55</v>
      </c>
      <c r="AP263" s="13" t="n">
        <v>0</v>
      </c>
      <c r="AQ263" s="13" t="n">
        <v>0</v>
      </c>
      <c r="AR263" s="13" t="n">
        <v>0</v>
      </c>
      <c r="AS263" s="13" t="n">
        <v>0.01</v>
      </c>
      <c r="AT263" s="13" t="n">
        <v>0.005</v>
      </c>
      <c r="AU263" s="13" t="n">
        <v>0.0025</v>
      </c>
      <c r="AV263" s="13" t="n">
        <v>-0.005</v>
      </c>
      <c r="AW263" s="13" t="n">
        <v>0.0495</v>
      </c>
      <c r="AX263" s="13" t="n">
        <v>0.0125</v>
      </c>
      <c r="AY263" s="12" t="n">
        <v>1628824</v>
      </c>
      <c r="AZ263" s="12" t="n">
        <v>1679200</v>
      </c>
      <c r="BA263" s="12" t="n">
        <v>1729576</v>
      </c>
      <c r="BB263" s="12" t="n">
        <v>1649814</v>
      </c>
      <c r="BC263" s="12" t="n">
        <v>1700190</v>
      </c>
      <c r="BD263" s="12" t="n">
        <v>1750566</v>
      </c>
      <c r="BE263" s="12" t="n">
        <v>1721442</v>
      </c>
      <c r="BF263" t="inlineStr">
        <is>
          <t>Frozen values from same rules-based model as formula sheet.</t>
        </is>
      </c>
      <c r="BG263" t="inlineStr">
        <is>
          <t>2026-03-17</t>
        </is>
      </c>
      <c r="BH263" t="inlineStr">
        <is>
          <t>DLD / Digital Dubai / CBUAE / Savills / Knight Frank-Moody’s / Reuters</t>
        </is>
      </c>
    </row>
    <row r="264">
      <c r="A264" t="n">
        <v>263</v>
      </c>
      <c r="B264" t="inlineStr">
        <is>
          <t>Ocean House</t>
        </is>
      </c>
      <c r="C264" t="inlineStr">
        <is>
          <t>Ellington Properties</t>
        </is>
      </c>
      <c r="D264" t="inlineStr">
        <is>
          <t>Palm Jumeirah</t>
        </is>
      </c>
      <c r="E264" t="inlineStr">
        <is>
          <t>Apartments</t>
        </is>
      </c>
      <c r="F264" t="inlineStr">
        <is>
          <t>Luxury / Beach</t>
        </is>
      </c>
      <c r="G264" t="inlineStr">
        <is>
          <t>8.0M+</t>
        </is>
      </c>
      <c r="H264" t="inlineStr">
        <is>
          <t>4000</t>
        </is>
      </c>
      <c r="I264" t="inlineStr">
        <is>
          <t>30</t>
        </is>
      </c>
      <c r="J264" t="inlineStr">
        <is>
          <t>60/40</t>
        </is>
      </c>
      <c r="K264" t="inlineStr">
        <is>
          <t>2022</t>
        </is>
      </c>
      <c r="L264" t="inlineStr">
        <is>
          <t>4.5-5.0</t>
        </is>
      </c>
      <c r="M264" t="inlineStr">
        <is>
          <t>8-12</t>
        </is>
      </c>
      <c r="N264" t="inlineStr">
        <is>
          <t>12.5-17.0</t>
        </is>
      </c>
      <c r="O264" t="inlineStr">
        <is>
          <t>Chevalier College</t>
        </is>
      </c>
      <c r="P264" t="inlineStr">
        <is>
          <t>Emirates Hospital</t>
        </is>
      </c>
      <c r="Q264" t="inlineStr">
        <is>
          <t>Nakheel Mall</t>
        </is>
      </c>
      <c r="R264" t="inlineStr">
        <is>
          <t>Sheikh Zayed E11</t>
        </is>
      </c>
      <c r="S264" t="inlineStr">
        <is>
          <t>20</t>
        </is>
      </c>
      <c r="T264" t="inlineStr">
        <is>
          <t>10</t>
        </is>
      </c>
      <c r="U264" t="inlineStr">
        <is>
          <t>25</t>
        </is>
      </c>
      <c r="V264" t="inlineStr">
        <is>
          <t>35</t>
        </is>
      </c>
      <c r="W264" t="n">
        <v>2</v>
      </c>
      <c r="X264" s="12" t="n">
        <v>8000000</v>
      </c>
      <c r="Y264" s="12" t="n">
        <v>8000000</v>
      </c>
      <c r="Z264" s="9" t="n">
        <v>4.5</v>
      </c>
      <c r="AA264" s="9" t="n">
        <v>5</v>
      </c>
      <c r="AB264" s="9" t="n">
        <v>8</v>
      </c>
      <c r="AC264" s="9" t="n">
        <v>12</v>
      </c>
      <c r="AD264" s="9" t="n">
        <v>12.5</v>
      </c>
      <c r="AE264" s="9" t="n">
        <v>17</v>
      </c>
      <c r="AF264" t="n">
        <v>2022</v>
      </c>
      <c r="AH264" t="inlineStr">
        <is>
          <t>Apartment</t>
        </is>
      </c>
      <c r="AI264" t="inlineStr">
        <is>
          <t>Prime</t>
        </is>
      </c>
      <c r="AJ264" t="inlineStr">
        <is>
          <t>TopTier</t>
        </is>
      </c>
      <c r="AK264" t="inlineStr">
        <is>
          <t>Prime resilient / selective</t>
        </is>
      </c>
      <c r="AL264" t="inlineStr">
        <is>
          <t>Better support from quality, branding, and scarcer prime stock; still entry-price sensitive.</t>
        </is>
      </c>
      <c r="AM264" s="9" t="n">
        <v>10</v>
      </c>
      <c r="AN264" s="9" t="n">
        <v>4.75</v>
      </c>
      <c r="AO264" s="10" t="n">
        <v>0.55</v>
      </c>
      <c r="AP264" s="13" t="n">
        <v>0.02</v>
      </c>
      <c r="AQ264" s="13" t="n">
        <v>0</v>
      </c>
      <c r="AR264" s="13" t="n">
        <v>0</v>
      </c>
      <c r="AS264" s="13" t="n">
        <v>0.03</v>
      </c>
      <c r="AT264" s="13" t="n">
        <v>0.005</v>
      </c>
      <c r="AU264" s="13" t="n">
        <v>0</v>
      </c>
      <c r="AV264" s="13" t="n">
        <v>-0.005</v>
      </c>
      <c r="AW264" s="13" t="n">
        <v>0.07500000000000001</v>
      </c>
      <c r="AX264" s="13" t="n">
        <v>0.03</v>
      </c>
      <c r="AY264" s="12" t="n">
        <v>8342000</v>
      </c>
      <c r="AZ264" s="12" t="n">
        <v>8600000</v>
      </c>
      <c r="BA264" s="12" t="n">
        <v>8858000</v>
      </c>
      <c r="BB264" s="12" t="n">
        <v>8600000</v>
      </c>
      <c r="BC264" s="12" t="n">
        <v>8858000</v>
      </c>
      <c r="BD264" s="12" t="n">
        <v>9116000</v>
      </c>
      <c r="BE264" s="12" t="n">
        <v>9123740</v>
      </c>
      <c r="BF264" t="inlineStr">
        <is>
          <t>Frozen values from same rules-based model as formula sheet.</t>
        </is>
      </c>
      <c r="BG264" t="inlineStr">
        <is>
          <t>2026-03-17</t>
        </is>
      </c>
      <c r="BH264" t="inlineStr">
        <is>
          <t>DLD / Digital Dubai / CBUAE / Savills / Knight Frank-Moody’s / Reuters</t>
        </is>
      </c>
    </row>
    <row r="265">
      <c r="A265" t="n">
        <v>264</v>
      </c>
      <c r="B265" t="inlineStr">
        <is>
          <t>Ellington Beach House</t>
        </is>
      </c>
      <c r="C265" t="inlineStr">
        <is>
          <t>Ellington Properties</t>
        </is>
      </c>
      <c r="D265" t="inlineStr">
        <is>
          <t>Palm Jumeirah</t>
        </is>
      </c>
      <c r="E265" t="inlineStr">
        <is>
          <t>Apartments</t>
        </is>
      </c>
      <c r="F265" t="inlineStr">
        <is>
          <t>Luxury / Beach</t>
        </is>
      </c>
      <c r="G265" t="inlineStr">
        <is>
          <t>7.5M+</t>
        </is>
      </c>
      <c r="H265" t="inlineStr">
        <is>
          <t>3800</t>
        </is>
      </c>
      <c r="I265" t="inlineStr">
        <is>
          <t>30</t>
        </is>
      </c>
      <c r="J265" t="inlineStr">
        <is>
          <t>60/40</t>
        </is>
      </c>
      <c r="K265" t="inlineStr">
        <is>
          <t>2022</t>
        </is>
      </c>
      <c r="L265" t="inlineStr">
        <is>
          <t>4.5-5.0</t>
        </is>
      </c>
      <c r="M265" t="inlineStr">
        <is>
          <t>8-12</t>
        </is>
      </c>
      <c r="N265" t="inlineStr">
        <is>
          <t>12.5-17.0</t>
        </is>
      </c>
      <c r="O265" t="inlineStr">
        <is>
          <t>Chevalier College</t>
        </is>
      </c>
      <c r="P265" t="inlineStr">
        <is>
          <t>Emirates Hospital</t>
        </is>
      </c>
      <c r="Q265" t="inlineStr">
        <is>
          <t>Nakheel Mall</t>
        </is>
      </c>
      <c r="R265" t="inlineStr">
        <is>
          <t>Sheikh Zayed E11</t>
        </is>
      </c>
      <c r="S265" t="inlineStr">
        <is>
          <t>20</t>
        </is>
      </c>
      <c r="T265" t="inlineStr">
        <is>
          <t>10</t>
        </is>
      </c>
      <c r="U265" t="inlineStr">
        <is>
          <t>25</t>
        </is>
      </c>
      <c r="V265" t="inlineStr">
        <is>
          <t>35</t>
        </is>
      </c>
      <c r="W265" t="n">
        <v>2</v>
      </c>
      <c r="X265" s="12" t="n">
        <v>7500000</v>
      </c>
      <c r="Y265" s="12" t="n">
        <v>7500000</v>
      </c>
      <c r="Z265" s="9" t="n">
        <v>4.5</v>
      </c>
      <c r="AA265" s="9" t="n">
        <v>5</v>
      </c>
      <c r="AB265" s="9" t="n">
        <v>8</v>
      </c>
      <c r="AC265" s="9" t="n">
        <v>12</v>
      </c>
      <c r="AD265" s="9" t="n">
        <v>12.5</v>
      </c>
      <c r="AE265" s="9" t="n">
        <v>17</v>
      </c>
      <c r="AF265" t="n">
        <v>2022</v>
      </c>
      <c r="AH265" t="inlineStr">
        <is>
          <t>Apartment</t>
        </is>
      </c>
      <c r="AI265" t="inlineStr">
        <is>
          <t>Prime</t>
        </is>
      </c>
      <c r="AJ265" t="inlineStr">
        <is>
          <t>TopTier</t>
        </is>
      </c>
      <c r="AK265" t="inlineStr">
        <is>
          <t>Prime resilient / selective</t>
        </is>
      </c>
      <c r="AL265" t="inlineStr">
        <is>
          <t>Better support from quality, branding, and scarcer prime stock; still entry-price sensitive.</t>
        </is>
      </c>
      <c r="AM265" s="9" t="n">
        <v>10</v>
      </c>
      <c r="AN265" s="9" t="n">
        <v>4.75</v>
      </c>
      <c r="AO265" s="10" t="n">
        <v>0.55</v>
      </c>
      <c r="AP265" s="13" t="n">
        <v>0.02</v>
      </c>
      <c r="AQ265" s="13" t="n">
        <v>0</v>
      </c>
      <c r="AR265" s="13" t="n">
        <v>0</v>
      </c>
      <c r="AS265" s="13" t="n">
        <v>0.03</v>
      </c>
      <c r="AT265" s="13" t="n">
        <v>0.005</v>
      </c>
      <c r="AU265" s="13" t="n">
        <v>0</v>
      </c>
      <c r="AV265" s="13" t="n">
        <v>-0.005</v>
      </c>
      <c r="AW265" s="13" t="n">
        <v>0.07500000000000001</v>
      </c>
      <c r="AX265" s="13" t="n">
        <v>0.03</v>
      </c>
      <c r="AY265" s="12" t="n">
        <v>7820625</v>
      </c>
      <c r="AZ265" s="12" t="n">
        <v>8062500</v>
      </c>
      <c r="BA265" s="12" t="n">
        <v>8304375</v>
      </c>
      <c r="BB265" s="12" t="n">
        <v>8062500</v>
      </c>
      <c r="BC265" s="12" t="n">
        <v>8304375</v>
      </c>
      <c r="BD265" s="12" t="n">
        <v>8546250</v>
      </c>
      <c r="BE265" s="12" t="n">
        <v>8553506</v>
      </c>
      <c r="BF265" t="inlineStr">
        <is>
          <t>Frozen values from same rules-based model as formula sheet.</t>
        </is>
      </c>
      <c r="BG265" t="inlineStr">
        <is>
          <t>2026-03-17</t>
        </is>
      </c>
      <c r="BH265" t="inlineStr">
        <is>
          <t>DLD / Digital Dubai / CBUAE / Savills / Knight Frank-Moody’s / Reuters</t>
        </is>
      </c>
    </row>
    <row r="266">
      <c r="A266" t="n">
        <v>265</v>
      </c>
      <c r="B266" t="inlineStr">
        <is>
          <t>The Sloane</t>
        </is>
      </c>
      <c r="C266" t="inlineStr">
        <is>
          <t>Ellington Properties</t>
        </is>
      </c>
      <c r="D266" t="inlineStr">
        <is>
          <t>JVC</t>
        </is>
      </c>
      <c r="E266" t="inlineStr">
        <is>
          <t>Apartments</t>
        </is>
      </c>
      <c r="F266" t="inlineStr">
        <is>
          <t>Boutique / Design</t>
        </is>
      </c>
      <c r="G266" t="inlineStr">
        <is>
          <t>Resale (1.2M+)</t>
        </is>
      </c>
      <c r="H266" t="inlineStr">
        <is>
          <t>1400</t>
        </is>
      </c>
      <c r="I266" t="inlineStr">
        <is>
          <t>15</t>
        </is>
      </c>
      <c r="J266" t="inlineStr">
        <is>
          <t>Completed</t>
        </is>
      </c>
      <c r="K266" t="inlineStr">
        <is>
          <t>2022</t>
        </is>
      </c>
      <c r="L266" t="inlineStr">
        <is>
          <t>7.0-7.5</t>
        </is>
      </c>
      <c r="M266" t="inlineStr">
        <is>
          <t>6-8</t>
        </is>
      </c>
      <c r="N266" t="inlineStr">
        <is>
          <t>13.0-15.5</t>
        </is>
      </c>
      <c r="O266" t="inlineStr">
        <is>
          <t>JSS International</t>
        </is>
      </c>
      <c r="P266" t="inlineStr">
        <is>
          <t>Saudi German Hospital</t>
        </is>
      </c>
      <c r="Q266" t="inlineStr">
        <is>
          <t>Circle Mall</t>
        </is>
      </c>
      <c r="R266" t="inlineStr">
        <is>
          <t>Hessa St / E44</t>
        </is>
      </c>
      <c r="S266" t="inlineStr">
        <is>
          <t>20</t>
        </is>
      </c>
      <c r="T266" t="inlineStr">
        <is>
          <t>15</t>
        </is>
      </c>
      <c r="U266" t="inlineStr">
        <is>
          <t>25</t>
        </is>
      </c>
      <c r="V266" t="inlineStr">
        <is>
          <t>30</t>
        </is>
      </c>
      <c r="W266" t="n">
        <v>2</v>
      </c>
      <c r="X266" s="12" t="n">
        <v>1200000</v>
      </c>
      <c r="Y266" s="12" t="n">
        <v>1200000</v>
      </c>
      <c r="Z266" s="9" t="n">
        <v>7</v>
      </c>
      <c r="AA266" s="9" t="n">
        <v>7.5</v>
      </c>
      <c r="AB266" s="9" t="n">
        <v>6</v>
      </c>
      <c r="AC266" s="9" t="n">
        <v>8</v>
      </c>
      <c r="AD266" s="9" t="n">
        <v>13</v>
      </c>
      <c r="AE266" s="9" t="n">
        <v>15.5</v>
      </c>
      <c r="AF266" t="n">
        <v>2022</v>
      </c>
      <c r="AH266" t="inlineStr">
        <is>
          <t>Apartment</t>
        </is>
      </c>
      <c r="AI266" t="inlineStr">
        <is>
          <t>SupplySensitiveApartment</t>
        </is>
      </c>
      <c r="AJ266" t="inlineStr">
        <is>
          <t>TopTier</t>
        </is>
      </c>
      <c r="AK266" t="inlineStr">
        <is>
          <t>Supply-sensitive / selective</t>
        </is>
      </c>
      <c r="AL266" t="inlineStr">
        <is>
          <t>Higher delivery risk in more price-sensitive apartment clusters; building selection and exit liquidity matter.</t>
        </is>
      </c>
      <c r="AM266" s="9" t="n">
        <v>7</v>
      </c>
      <c r="AN266" s="9" t="n">
        <v>7.25</v>
      </c>
      <c r="AO266" s="10" t="n">
        <v>0.55</v>
      </c>
      <c r="AP266" s="13" t="n">
        <v>0</v>
      </c>
      <c r="AQ266" s="13" t="n">
        <v>0</v>
      </c>
      <c r="AR266" s="13" t="n">
        <v>-0.01</v>
      </c>
      <c r="AS266" s="13" t="n">
        <v>-0.01</v>
      </c>
      <c r="AT266" s="13" t="n">
        <v>0.005</v>
      </c>
      <c r="AU266" s="13" t="n">
        <v>0.0025</v>
      </c>
      <c r="AV266" s="13" t="n">
        <v>-0.005</v>
      </c>
      <c r="AW266" s="13" t="n">
        <v>0.0285</v>
      </c>
      <c r="AX266" s="13" t="n">
        <v>-0.0075</v>
      </c>
      <c r="AY266" s="12" t="n">
        <v>1197174</v>
      </c>
      <c r="AZ266" s="12" t="n">
        <v>1234200</v>
      </c>
      <c r="BA266" s="12" t="n">
        <v>1271226</v>
      </c>
      <c r="BB266" s="12" t="n">
        <v>1187918</v>
      </c>
      <c r="BC266" s="12" t="n">
        <v>1224944</v>
      </c>
      <c r="BD266" s="12" t="n">
        <v>1261970</v>
      </c>
      <c r="BE266" s="12" t="n">
        <v>1215756</v>
      </c>
      <c r="BF266" t="inlineStr">
        <is>
          <t>Frozen values from same rules-based model as formula sheet.</t>
        </is>
      </c>
      <c r="BG266" t="inlineStr">
        <is>
          <t>2026-03-17</t>
        </is>
      </c>
      <c r="BH266" t="inlineStr">
        <is>
          <t>DLD / Digital Dubai / CBUAE / Savills / Knight Frank-Moody’s / Reuters</t>
        </is>
      </c>
    </row>
    <row r="267">
      <c r="A267" t="n">
        <v>266</v>
      </c>
      <c r="B267" t="inlineStr">
        <is>
          <t>Belgravia 1</t>
        </is>
      </c>
      <c r="C267" t="inlineStr">
        <is>
          <t>Ellington Properties</t>
        </is>
      </c>
      <c r="D267" t="inlineStr">
        <is>
          <t>JVC</t>
        </is>
      </c>
      <c r="E267" t="inlineStr">
        <is>
          <t>Apartments</t>
        </is>
      </c>
      <c r="F267" t="inlineStr">
        <is>
          <t>Boutique / Family</t>
        </is>
      </c>
      <c r="G267" t="inlineStr">
        <is>
          <t>Resale (1.1M+)</t>
        </is>
      </c>
      <c r="H267" t="inlineStr">
        <is>
          <t>1300</t>
        </is>
      </c>
      <c r="I267" t="inlineStr">
        <is>
          <t>15</t>
        </is>
      </c>
      <c r="J267" t="inlineStr">
        <is>
          <t>Completed</t>
        </is>
      </c>
      <c r="K267" t="inlineStr">
        <is>
          <t>2016</t>
        </is>
      </c>
      <c r="L267" t="inlineStr">
        <is>
          <t>7.5-8.0</t>
        </is>
      </c>
      <c r="M267" t="inlineStr">
        <is>
          <t>5-7</t>
        </is>
      </c>
      <c r="N267" t="inlineStr">
        <is>
          <t>12.5-15.0</t>
        </is>
      </c>
      <c r="O267" t="inlineStr">
        <is>
          <t>JSS International</t>
        </is>
      </c>
      <c r="P267" t="inlineStr">
        <is>
          <t>Saudi German Hospital</t>
        </is>
      </c>
      <c r="Q267" t="inlineStr">
        <is>
          <t>Circle Mall</t>
        </is>
      </c>
      <c r="R267" t="inlineStr">
        <is>
          <t>Hessa St / E44</t>
        </is>
      </c>
      <c r="S267" t="inlineStr">
        <is>
          <t>20</t>
        </is>
      </c>
      <c r="T267" t="inlineStr">
        <is>
          <t>15</t>
        </is>
      </c>
      <c r="U267" t="inlineStr">
        <is>
          <t>25</t>
        </is>
      </c>
      <c r="V267" t="inlineStr">
        <is>
          <t>30</t>
        </is>
      </c>
      <c r="W267" t="n">
        <v>2</v>
      </c>
      <c r="X267" s="12" t="n">
        <v>1100000</v>
      </c>
      <c r="Y267" s="12" t="n">
        <v>1100000</v>
      </c>
      <c r="Z267" s="9" t="n">
        <v>7.5</v>
      </c>
      <c r="AA267" s="9" t="n">
        <v>8</v>
      </c>
      <c r="AB267" s="9" t="n">
        <v>5</v>
      </c>
      <c r="AC267" s="9" t="n">
        <v>7</v>
      </c>
      <c r="AD267" s="9" t="n">
        <v>12.5</v>
      </c>
      <c r="AE267" s="9" t="n">
        <v>15</v>
      </c>
      <c r="AF267" t="n">
        <v>2016</v>
      </c>
      <c r="AH267" t="inlineStr">
        <is>
          <t>Apartment</t>
        </is>
      </c>
      <c r="AI267" t="inlineStr">
        <is>
          <t>SupplySensitiveApartment</t>
        </is>
      </c>
      <c r="AJ267" t="inlineStr">
        <is>
          <t>TopTier</t>
        </is>
      </c>
      <c r="AK267" t="inlineStr">
        <is>
          <t>Supply-sensitive / selective</t>
        </is>
      </c>
      <c r="AL267" t="inlineStr">
        <is>
          <t>Higher delivery risk in more price-sensitive apartment clusters; building selection and exit liquidity matter.</t>
        </is>
      </c>
      <c r="AM267" s="9" t="n">
        <v>6</v>
      </c>
      <c r="AN267" s="9" t="n">
        <v>7.75</v>
      </c>
      <c r="AO267" s="10" t="n">
        <v>0.55</v>
      </c>
      <c r="AP267" s="13" t="n">
        <v>0</v>
      </c>
      <c r="AQ267" s="13" t="n">
        <v>0</v>
      </c>
      <c r="AR267" s="13" t="n">
        <v>-0.01</v>
      </c>
      <c r="AS267" s="13" t="n">
        <v>-0.01</v>
      </c>
      <c r="AT267" s="13" t="n">
        <v>0.005</v>
      </c>
      <c r="AU267" s="13" t="n">
        <v>0.0025</v>
      </c>
      <c r="AV267" s="13" t="n">
        <v>-0.005</v>
      </c>
      <c r="AW267" s="13" t="n">
        <v>0.023</v>
      </c>
      <c r="AX267" s="13" t="n">
        <v>-0.0075</v>
      </c>
      <c r="AY267" s="12" t="n">
        <v>1091541</v>
      </c>
      <c r="AZ267" s="12" t="n">
        <v>1125300</v>
      </c>
      <c r="BA267" s="12" t="n">
        <v>1159059</v>
      </c>
      <c r="BB267" s="12" t="n">
        <v>1083101</v>
      </c>
      <c r="BC267" s="12" t="n">
        <v>1116860</v>
      </c>
      <c r="BD267" s="12" t="n">
        <v>1150619</v>
      </c>
      <c r="BE267" s="12" t="n">
        <v>1108484</v>
      </c>
      <c r="BF267" t="inlineStr">
        <is>
          <t>Frozen values from same rules-based model as formula sheet.</t>
        </is>
      </c>
      <c r="BG267" t="inlineStr">
        <is>
          <t>2026-03-17</t>
        </is>
      </c>
      <c r="BH267" t="inlineStr">
        <is>
          <t>DLD / Digital Dubai / CBUAE / Savills / Knight Frank-Moody’s / Reuters</t>
        </is>
      </c>
    </row>
    <row r="268">
      <c r="A268" t="n">
        <v>267</v>
      </c>
      <c r="B268" t="inlineStr">
        <is>
          <t>Belgravia 2</t>
        </is>
      </c>
      <c r="C268" t="inlineStr">
        <is>
          <t>Ellington Properties</t>
        </is>
      </c>
      <c r="D268" t="inlineStr">
        <is>
          <t>JVC</t>
        </is>
      </c>
      <c r="E268" t="inlineStr">
        <is>
          <t>Apartments</t>
        </is>
      </c>
      <c r="F268" t="inlineStr">
        <is>
          <t>Boutique / Family</t>
        </is>
      </c>
      <c r="G268" t="inlineStr">
        <is>
          <t>Resale (1.1M+)</t>
        </is>
      </c>
      <c r="H268" t="inlineStr">
        <is>
          <t>1300</t>
        </is>
      </c>
      <c r="I268" t="inlineStr">
        <is>
          <t>15</t>
        </is>
      </c>
      <c r="J268" t="inlineStr">
        <is>
          <t>Completed</t>
        </is>
      </c>
      <c r="K268" t="inlineStr">
        <is>
          <t>2018</t>
        </is>
      </c>
      <c r="L268" t="inlineStr">
        <is>
          <t>7.5-8.0</t>
        </is>
      </c>
      <c r="M268" t="inlineStr">
        <is>
          <t>5-7</t>
        </is>
      </c>
      <c r="N268" t="inlineStr">
        <is>
          <t>12.5-15.0</t>
        </is>
      </c>
      <c r="O268" t="inlineStr">
        <is>
          <t>JSS International</t>
        </is>
      </c>
      <c r="P268" t="inlineStr">
        <is>
          <t>Saudi German Hospital</t>
        </is>
      </c>
      <c r="Q268" t="inlineStr">
        <is>
          <t>Circle Mall</t>
        </is>
      </c>
      <c r="R268" t="inlineStr">
        <is>
          <t>Hessa St / E44</t>
        </is>
      </c>
      <c r="S268" t="inlineStr">
        <is>
          <t>20</t>
        </is>
      </c>
      <c r="T268" t="inlineStr">
        <is>
          <t>15</t>
        </is>
      </c>
      <c r="U268" t="inlineStr">
        <is>
          <t>25</t>
        </is>
      </c>
      <c r="V268" t="inlineStr">
        <is>
          <t>30</t>
        </is>
      </c>
      <c r="W268" t="n">
        <v>2</v>
      </c>
      <c r="X268" s="12" t="n">
        <v>1100000</v>
      </c>
      <c r="Y268" s="12" t="n">
        <v>1100000</v>
      </c>
      <c r="Z268" s="9" t="n">
        <v>7.5</v>
      </c>
      <c r="AA268" s="9" t="n">
        <v>8</v>
      </c>
      <c r="AB268" s="9" t="n">
        <v>5</v>
      </c>
      <c r="AC268" s="9" t="n">
        <v>7</v>
      </c>
      <c r="AD268" s="9" t="n">
        <v>12.5</v>
      </c>
      <c r="AE268" s="9" t="n">
        <v>15</v>
      </c>
      <c r="AF268" t="n">
        <v>2018</v>
      </c>
      <c r="AH268" t="inlineStr">
        <is>
          <t>Apartment</t>
        </is>
      </c>
      <c r="AI268" t="inlineStr">
        <is>
          <t>SupplySensitiveApartment</t>
        </is>
      </c>
      <c r="AJ268" t="inlineStr">
        <is>
          <t>TopTier</t>
        </is>
      </c>
      <c r="AK268" t="inlineStr">
        <is>
          <t>Supply-sensitive / selective</t>
        </is>
      </c>
      <c r="AL268" t="inlineStr">
        <is>
          <t>Higher delivery risk in more price-sensitive apartment clusters; building selection and exit liquidity matter.</t>
        </is>
      </c>
      <c r="AM268" s="9" t="n">
        <v>6</v>
      </c>
      <c r="AN268" s="9" t="n">
        <v>7.75</v>
      </c>
      <c r="AO268" s="10" t="n">
        <v>0.55</v>
      </c>
      <c r="AP268" s="13" t="n">
        <v>0</v>
      </c>
      <c r="AQ268" s="13" t="n">
        <v>0</v>
      </c>
      <c r="AR268" s="13" t="n">
        <v>-0.01</v>
      </c>
      <c r="AS268" s="13" t="n">
        <v>-0.01</v>
      </c>
      <c r="AT268" s="13" t="n">
        <v>0.005</v>
      </c>
      <c r="AU268" s="13" t="n">
        <v>0.0025</v>
      </c>
      <c r="AV268" s="13" t="n">
        <v>-0.005</v>
      </c>
      <c r="AW268" s="13" t="n">
        <v>0.023</v>
      </c>
      <c r="AX268" s="13" t="n">
        <v>-0.0075</v>
      </c>
      <c r="AY268" s="12" t="n">
        <v>1091541</v>
      </c>
      <c r="AZ268" s="12" t="n">
        <v>1125300</v>
      </c>
      <c r="BA268" s="12" t="n">
        <v>1159059</v>
      </c>
      <c r="BB268" s="12" t="n">
        <v>1083101</v>
      </c>
      <c r="BC268" s="12" t="n">
        <v>1116860</v>
      </c>
      <c r="BD268" s="12" t="n">
        <v>1150619</v>
      </c>
      <c r="BE268" s="12" t="n">
        <v>1108484</v>
      </c>
      <c r="BF268" t="inlineStr">
        <is>
          <t>Frozen values from same rules-based model as formula sheet.</t>
        </is>
      </c>
      <c r="BG268" t="inlineStr">
        <is>
          <t>2026-03-17</t>
        </is>
      </c>
      <c r="BH268" t="inlineStr">
        <is>
          <t>DLD / Digital Dubai / CBUAE / Savills / Knight Frank-Moody’s / Reuters</t>
        </is>
      </c>
    </row>
    <row r="269">
      <c r="A269" t="n">
        <v>268</v>
      </c>
      <c r="B269" t="inlineStr">
        <is>
          <t>Belgravia 3</t>
        </is>
      </c>
      <c r="C269" t="inlineStr">
        <is>
          <t>Ellington Properties</t>
        </is>
      </c>
      <c r="D269" t="inlineStr">
        <is>
          <t>JVC</t>
        </is>
      </c>
      <c r="E269" t="inlineStr">
        <is>
          <t>Apartments</t>
        </is>
      </c>
      <c r="F269" t="inlineStr">
        <is>
          <t>Boutique / Family</t>
        </is>
      </c>
      <c r="G269" t="inlineStr">
        <is>
          <t>Resale (1.1M+)</t>
        </is>
      </c>
      <c r="H269" t="inlineStr">
        <is>
          <t>1300</t>
        </is>
      </c>
      <c r="I269" t="inlineStr">
        <is>
          <t>15</t>
        </is>
      </c>
      <c r="J269" t="inlineStr">
        <is>
          <t>Completed</t>
        </is>
      </c>
      <c r="K269" t="inlineStr">
        <is>
          <t>2020</t>
        </is>
      </c>
      <c r="L269" t="inlineStr">
        <is>
          <t>7.5-8.0</t>
        </is>
      </c>
      <c r="M269" t="inlineStr">
        <is>
          <t>5-7</t>
        </is>
      </c>
      <c r="N269" t="inlineStr">
        <is>
          <t>12.5-15.0</t>
        </is>
      </c>
      <c r="O269" t="inlineStr">
        <is>
          <t>JSS International</t>
        </is>
      </c>
      <c r="P269" t="inlineStr">
        <is>
          <t>Saudi German Hospital</t>
        </is>
      </c>
      <c r="Q269" t="inlineStr">
        <is>
          <t>Circle Mall</t>
        </is>
      </c>
      <c r="R269" t="inlineStr">
        <is>
          <t>Hessa St / E44</t>
        </is>
      </c>
      <c r="S269" t="inlineStr">
        <is>
          <t>20</t>
        </is>
      </c>
      <c r="T269" t="inlineStr">
        <is>
          <t>15</t>
        </is>
      </c>
      <c r="U269" t="inlineStr">
        <is>
          <t>25</t>
        </is>
      </c>
      <c r="V269" t="inlineStr">
        <is>
          <t>30</t>
        </is>
      </c>
      <c r="W269" t="n">
        <v>2</v>
      </c>
      <c r="X269" s="12" t="n">
        <v>1100000</v>
      </c>
      <c r="Y269" s="12" t="n">
        <v>1100000</v>
      </c>
      <c r="Z269" s="9" t="n">
        <v>7.5</v>
      </c>
      <c r="AA269" s="9" t="n">
        <v>8</v>
      </c>
      <c r="AB269" s="9" t="n">
        <v>5</v>
      </c>
      <c r="AC269" s="9" t="n">
        <v>7</v>
      </c>
      <c r="AD269" s="9" t="n">
        <v>12.5</v>
      </c>
      <c r="AE269" s="9" t="n">
        <v>15</v>
      </c>
      <c r="AF269" t="n">
        <v>2020</v>
      </c>
      <c r="AH269" t="inlineStr">
        <is>
          <t>Apartment</t>
        </is>
      </c>
      <c r="AI269" t="inlineStr">
        <is>
          <t>SupplySensitiveApartment</t>
        </is>
      </c>
      <c r="AJ269" t="inlineStr">
        <is>
          <t>TopTier</t>
        </is>
      </c>
      <c r="AK269" t="inlineStr">
        <is>
          <t>Supply-sensitive / selective</t>
        </is>
      </c>
      <c r="AL269" t="inlineStr">
        <is>
          <t>Higher delivery risk in more price-sensitive apartment clusters; building selection and exit liquidity matter.</t>
        </is>
      </c>
      <c r="AM269" s="9" t="n">
        <v>6</v>
      </c>
      <c r="AN269" s="9" t="n">
        <v>7.75</v>
      </c>
      <c r="AO269" s="10" t="n">
        <v>0.55</v>
      </c>
      <c r="AP269" s="13" t="n">
        <v>0</v>
      </c>
      <c r="AQ269" s="13" t="n">
        <v>0</v>
      </c>
      <c r="AR269" s="13" t="n">
        <v>-0.01</v>
      </c>
      <c r="AS269" s="13" t="n">
        <v>-0.01</v>
      </c>
      <c r="AT269" s="13" t="n">
        <v>0.005</v>
      </c>
      <c r="AU269" s="13" t="n">
        <v>0.0025</v>
      </c>
      <c r="AV269" s="13" t="n">
        <v>-0.005</v>
      </c>
      <c r="AW269" s="13" t="n">
        <v>0.023</v>
      </c>
      <c r="AX269" s="13" t="n">
        <v>-0.0075</v>
      </c>
      <c r="AY269" s="12" t="n">
        <v>1091541</v>
      </c>
      <c r="AZ269" s="12" t="n">
        <v>1125300</v>
      </c>
      <c r="BA269" s="12" t="n">
        <v>1159059</v>
      </c>
      <c r="BB269" s="12" t="n">
        <v>1083101</v>
      </c>
      <c r="BC269" s="12" t="n">
        <v>1116860</v>
      </c>
      <c r="BD269" s="12" t="n">
        <v>1150619</v>
      </c>
      <c r="BE269" s="12" t="n">
        <v>1108484</v>
      </c>
      <c r="BF269" t="inlineStr">
        <is>
          <t>Frozen values from same rules-based model as formula sheet.</t>
        </is>
      </c>
      <c r="BG269" t="inlineStr">
        <is>
          <t>2026-03-17</t>
        </is>
      </c>
      <c r="BH269" t="inlineStr">
        <is>
          <t>DLD / Digital Dubai / CBUAE / Savills / Knight Frank-Moody’s / Reuters</t>
        </is>
      </c>
    </row>
    <row r="270">
      <c r="A270" t="n">
        <v>269</v>
      </c>
      <c r="B270" t="inlineStr">
        <is>
          <t>Belgravia Square</t>
        </is>
      </c>
      <c r="C270" t="inlineStr">
        <is>
          <t>Ellington Properties</t>
        </is>
      </c>
      <c r="D270" t="inlineStr">
        <is>
          <t>JVC</t>
        </is>
      </c>
      <c r="E270" t="inlineStr">
        <is>
          <t>Apartments</t>
        </is>
      </c>
      <c r="F270" t="inlineStr">
        <is>
          <t>Boutique / Design</t>
        </is>
      </c>
      <c r="G270" t="inlineStr">
        <is>
          <t>Resale (1.2M+)</t>
        </is>
      </c>
      <c r="H270" t="inlineStr">
        <is>
          <t>1350</t>
        </is>
      </c>
      <c r="I270" t="inlineStr">
        <is>
          <t>15</t>
        </is>
      </c>
      <c r="J270" t="inlineStr">
        <is>
          <t>Completed</t>
        </is>
      </c>
      <c r="K270" t="inlineStr">
        <is>
          <t>2021</t>
        </is>
      </c>
      <c r="L270" t="inlineStr">
        <is>
          <t>7.5-8.0</t>
        </is>
      </c>
      <c r="M270" t="inlineStr">
        <is>
          <t>5-7</t>
        </is>
      </c>
      <c r="N270" t="inlineStr">
        <is>
          <t>12.5-15.0</t>
        </is>
      </c>
      <c r="O270" t="inlineStr">
        <is>
          <t>JSS International</t>
        </is>
      </c>
      <c r="P270" t="inlineStr">
        <is>
          <t>Saudi German Hospital</t>
        </is>
      </c>
      <c r="Q270" t="inlineStr">
        <is>
          <t>Circle Mall</t>
        </is>
      </c>
      <c r="R270" t="inlineStr">
        <is>
          <t>Hessa St / E44</t>
        </is>
      </c>
      <c r="S270" t="inlineStr">
        <is>
          <t>20</t>
        </is>
      </c>
      <c r="T270" t="inlineStr">
        <is>
          <t>15</t>
        </is>
      </c>
      <c r="U270" t="inlineStr">
        <is>
          <t>25</t>
        </is>
      </c>
      <c r="V270" t="inlineStr">
        <is>
          <t>30</t>
        </is>
      </c>
      <c r="W270" t="n">
        <v>2</v>
      </c>
      <c r="X270" s="12" t="n">
        <v>1200000</v>
      </c>
      <c r="Y270" s="12" t="n">
        <v>1200000</v>
      </c>
      <c r="Z270" s="9" t="n">
        <v>7.5</v>
      </c>
      <c r="AA270" s="9" t="n">
        <v>8</v>
      </c>
      <c r="AB270" s="9" t="n">
        <v>5</v>
      </c>
      <c r="AC270" s="9" t="n">
        <v>7</v>
      </c>
      <c r="AD270" s="9" t="n">
        <v>12.5</v>
      </c>
      <c r="AE270" s="9" t="n">
        <v>15</v>
      </c>
      <c r="AF270" t="n">
        <v>2021</v>
      </c>
      <c r="AH270" t="inlineStr">
        <is>
          <t>Apartment</t>
        </is>
      </c>
      <c r="AI270" t="inlineStr">
        <is>
          <t>SupplySensitiveApartment</t>
        </is>
      </c>
      <c r="AJ270" t="inlineStr">
        <is>
          <t>TopTier</t>
        </is>
      </c>
      <c r="AK270" t="inlineStr">
        <is>
          <t>Supply-sensitive / selective</t>
        </is>
      </c>
      <c r="AL270" t="inlineStr">
        <is>
          <t>Higher delivery risk in more price-sensitive apartment clusters; building selection and exit liquidity matter.</t>
        </is>
      </c>
      <c r="AM270" s="9" t="n">
        <v>6</v>
      </c>
      <c r="AN270" s="9" t="n">
        <v>7.75</v>
      </c>
      <c r="AO270" s="10" t="n">
        <v>0.55</v>
      </c>
      <c r="AP270" s="13" t="n">
        <v>0</v>
      </c>
      <c r="AQ270" s="13" t="n">
        <v>0</v>
      </c>
      <c r="AR270" s="13" t="n">
        <v>-0.01</v>
      </c>
      <c r="AS270" s="13" t="n">
        <v>-0.01</v>
      </c>
      <c r="AT270" s="13" t="n">
        <v>0.005</v>
      </c>
      <c r="AU270" s="13" t="n">
        <v>0.0025</v>
      </c>
      <c r="AV270" s="13" t="n">
        <v>-0.005</v>
      </c>
      <c r="AW270" s="13" t="n">
        <v>0.023</v>
      </c>
      <c r="AX270" s="13" t="n">
        <v>-0.0075</v>
      </c>
      <c r="AY270" s="12" t="n">
        <v>1190772</v>
      </c>
      <c r="AZ270" s="12" t="n">
        <v>1227600</v>
      </c>
      <c r="BA270" s="12" t="n">
        <v>1264428</v>
      </c>
      <c r="BB270" s="12" t="n">
        <v>1181565</v>
      </c>
      <c r="BC270" s="12" t="n">
        <v>1218393</v>
      </c>
      <c r="BD270" s="12" t="n">
        <v>1255221</v>
      </c>
      <c r="BE270" s="12" t="n">
        <v>1209255</v>
      </c>
      <c r="BF270" t="inlineStr">
        <is>
          <t>Frozen values from same rules-based model as formula sheet.</t>
        </is>
      </c>
      <c r="BG270" t="inlineStr">
        <is>
          <t>2026-03-17</t>
        </is>
      </c>
      <c r="BH270" t="inlineStr">
        <is>
          <t>DLD / Digital Dubai / CBUAE / Savills / Knight Frank-Moody’s / Reuters</t>
        </is>
      </c>
    </row>
    <row r="271">
      <c r="A271" t="n">
        <v>270</v>
      </c>
      <c r="B271" t="inlineStr">
        <is>
          <t>Belgravia Heights</t>
        </is>
      </c>
      <c r="C271" t="inlineStr">
        <is>
          <t>Ellington Properties</t>
        </is>
      </c>
      <c r="D271" t="inlineStr">
        <is>
          <t>JVC</t>
        </is>
      </c>
      <c r="E271" t="inlineStr">
        <is>
          <t>Apartments</t>
        </is>
      </c>
      <c r="F271" t="inlineStr">
        <is>
          <t>Boutique / View</t>
        </is>
      </c>
      <c r="G271" t="inlineStr">
        <is>
          <t>Resale (1.2M+)</t>
        </is>
      </c>
      <c r="H271" t="inlineStr">
        <is>
          <t>1350</t>
        </is>
      </c>
      <c r="I271" t="inlineStr">
        <is>
          <t>15</t>
        </is>
      </c>
      <c r="J271" t="inlineStr">
        <is>
          <t>Completed</t>
        </is>
      </c>
      <c r="K271" t="inlineStr">
        <is>
          <t>2021</t>
        </is>
      </c>
      <c r="L271" t="inlineStr">
        <is>
          <t>7.5-8.0</t>
        </is>
      </c>
      <c r="M271" t="inlineStr">
        <is>
          <t>5-7</t>
        </is>
      </c>
      <c r="N271" t="inlineStr">
        <is>
          <t>12.5-15.0</t>
        </is>
      </c>
      <c r="O271" t="inlineStr">
        <is>
          <t>JSS International</t>
        </is>
      </c>
      <c r="P271" t="inlineStr">
        <is>
          <t>Saudi German Hospital</t>
        </is>
      </c>
      <c r="Q271" t="inlineStr">
        <is>
          <t>Circle Mall</t>
        </is>
      </c>
      <c r="R271" t="inlineStr">
        <is>
          <t>Hessa St / E44</t>
        </is>
      </c>
      <c r="S271" t="inlineStr">
        <is>
          <t>20</t>
        </is>
      </c>
      <c r="T271" t="inlineStr">
        <is>
          <t>15</t>
        </is>
      </c>
      <c r="U271" t="inlineStr">
        <is>
          <t>25</t>
        </is>
      </c>
      <c r="V271" t="inlineStr">
        <is>
          <t>30</t>
        </is>
      </c>
      <c r="W271" t="n">
        <v>2</v>
      </c>
      <c r="X271" s="12" t="n">
        <v>1200000</v>
      </c>
      <c r="Y271" s="12" t="n">
        <v>1200000</v>
      </c>
      <c r="Z271" s="9" t="n">
        <v>7.5</v>
      </c>
      <c r="AA271" s="9" t="n">
        <v>8</v>
      </c>
      <c r="AB271" s="9" t="n">
        <v>5</v>
      </c>
      <c r="AC271" s="9" t="n">
        <v>7</v>
      </c>
      <c r="AD271" s="9" t="n">
        <v>12.5</v>
      </c>
      <c r="AE271" s="9" t="n">
        <v>15</v>
      </c>
      <c r="AF271" t="n">
        <v>2021</v>
      </c>
      <c r="AH271" t="inlineStr">
        <is>
          <t>Apartment</t>
        </is>
      </c>
      <c r="AI271" t="inlineStr">
        <is>
          <t>SupplySensitiveApartment</t>
        </is>
      </c>
      <c r="AJ271" t="inlineStr">
        <is>
          <t>TopTier</t>
        </is>
      </c>
      <c r="AK271" t="inlineStr">
        <is>
          <t>Supply-sensitive / selective</t>
        </is>
      </c>
      <c r="AL271" t="inlineStr">
        <is>
          <t>Higher delivery risk in more price-sensitive apartment clusters; building selection and exit liquidity matter.</t>
        </is>
      </c>
      <c r="AM271" s="9" t="n">
        <v>6</v>
      </c>
      <c r="AN271" s="9" t="n">
        <v>7.75</v>
      </c>
      <c r="AO271" s="10" t="n">
        <v>0.55</v>
      </c>
      <c r="AP271" s="13" t="n">
        <v>0</v>
      </c>
      <c r="AQ271" s="13" t="n">
        <v>0</v>
      </c>
      <c r="AR271" s="13" t="n">
        <v>-0.01</v>
      </c>
      <c r="AS271" s="13" t="n">
        <v>-0.01</v>
      </c>
      <c r="AT271" s="13" t="n">
        <v>0.005</v>
      </c>
      <c r="AU271" s="13" t="n">
        <v>0.0025</v>
      </c>
      <c r="AV271" s="13" t="n">
        <v>-0.005</v>
      </c>
      <c r="AW271" s="13" t="n">
        <v>0.023</v>
      </c>
      <c r="AX271" s="13" t="n">
        <v>-0.0075</v>
      </c>
      <c r="AY271" s="12" t="n">
        <v>1190772</v>
      </c>
      <c r="AZ271" s="12" t="n">
        <v>1227600</v>
      </c>
      <c r="BA271" s="12" t="n">
        <v>1264428</v>
      </c>
      <c r="BB271" s="12" t="n">
        <v>1181565</v>
      </c>
      <c r="BC271" s="12" t="n">
        <v>1218393</v>
      </c>
      <c r="BD271" s="12" t="n">
        <v>1255221</v>
      </c>
      <c r="BE271" s="12" t="n">
        <v>1209255</v>
      </c>
      <c r="BF271" t="inlineStr">
        <is>
          <t>Frozen values from same rules-based model as formula sheet.</t>
        </is>
      </c>
      <c r="BG271" t="inlineStr">
        <is>
          <t>2026-03-17</t>
        </is>
      </c>
      <c r="BH271" t="inlineStr">
        <is>
          <t>DLD / Digital Dubai / CBUAE / Savills / Knight Frank-Moody’s / Reuters</t>
        </is>
      </c>
    </row>
    <row r="272">
      <c r="A272" t="n">
        <v>271</v>
      </c>
      <c r="B272" t="inlineStr">
        <is>
          <t>Oakley Square</t>
        </is>
      </c>
      <c r="C272" t="inlineStr">
        <is>
          <t>Ellington Properties</t>
        </is>
      </c>
      <c r="D272" t="inlineStr">
        <is>
          <t>JVC</t>
        </is>
      </c>
      <c r="E272" t="inlineStr">
        <is>
          <t>Apartments</t>
        </is>
      </c>
      <c r="F272" t="inlineStr">
        <is>
          <t>Boutique / Park</t>
        </is>
      </c>
      <c r="G272" t="inlineStr">
        <is>
          <t>1.0M</t>
        </is>
      </c>
      <c r="H272" t="inlineStr">
        <is>
          <t>1400</t>
        </is>
      </c>
      <c r="I272" t="inlineStr">
        <is>
          <t>15</t>
        </is>
      </c>
      <c r="J272" t="inlineStr">
        <is>
          <t>70/30</t>
        </is>
      </c>
      <c r="K272" t="inlineStr">
        <is>
          <t>2022</t>
        </is>
      </c>
      <c r="L272" t="inlineStr">
        <is>
          <t>7.5-8.0</t>
        </is>
      </c>
      <c r="M272" t="inlineStr">
        <is>
          <t>6-8</t>
        </is>
      </c>
      <c r="N272" t="inlineStr">
        <is>
          <t>13.5-16.0</t>
        </is>
      </c>
      <c r="O272" t="inlineStr">
        <is>
          <t>JSS International</t>
        </is>
      </c>
      <c r="P272" t="inlineStr">
        <is>
          <t>Saudi German Hospital</t>
        </is>
      </c>
      <c r="Q272" t="inlineStr">
        <is>
          <t>Circle Mall</t>
        </is>
      </c>
      <c r="R272" t="inlineStr">
        <is>
          <t>Hessa St / E44</t>
        </is>
      </c>
      <c r="S272" t="inlineStr">
        <is>
          <t>20</t>
        </is>
      </c>
      <c r="T272" t="inlineStr">
        <is>
          <t>15</t>
        </is>
      </c>
      <c r="U272" t="inlineStr">
        <is>
          <t>25</t>
        </is>
      </c>
      <c r="V272" t="inlineStr">
        <is>
          <t>30</t>
        </is>
      </c>
      <c r="W272" t="n">
        <v>2</v>
      </c>
      <c r="X272" s="12" t="n">
        <v>1000000</v>
      </c>
      <c r="Y272" s="12" t="n">
        <v>1000000</v>
      </c>
      <c r="Z272" s="9" t="n">
        <v>7.5</v>
      </c>
      <c r="AA272" s="9" t="n">
        <v>8</v>
      </c>
      <c r="AB272" s="9" t="n">
        <v>6</v>
      </c>
      <c r="AC272" s="9" t="n">
        <v>8</v>
      </c>
      <c r="AD272" s="9" t="n">
        <v>13.5</v>
      </c>
      <c r="AE272" s="9" t="n">
        <v>16</v>
      </c>
      <c r="AF272" t="n">
        <v>2022</v>
      </c>
      <c r="AH272" t="inlineStr">
        <is>
          <t>Apartment</t>
        </is>
      </c>
      <c r="AI272" t="inlineStr">
        <is>
          <t>SupplySensitiveApartment</t>
        </is>
      </c>
      <c r="AJ272" t="inlineStr">
        <is>
          <t>TopTier</t>
        </is>
      </c>
      <c r="AK272" t="inlineStr">
        <is>
          <t>Supply-sensitive / selective</t>
        </is>
      </c>
      <c r="AL272" t="inlineStr">
        <is>
          <t>Higher delivery risk in more price-sensitive apartment clusters; building selection and exit liquidity matter.</t>
        </is>
      </c>
      <c r="AM272" s="9" t="n">
        <v>7</v>
      </c>
      <c r="AN272" s="9" t="n">
        <v>7.75</v>
      </c>
      <c r="AO272" s="10" t="n">
        <v>0.55</v>
      </c>
      <c r="AP272" s="13" t="n">
        <v>0</v>
      </c>
      <c r="AQ272" s="13" t="n">
        <v>0</v>
      </c>
      <c r="AR272" s="13" t="n">
        <v>-0.01</v>
      </c>
      <c r="AS272" s="13" t="n">
        <v>-0.01</v>
      </c>
      <c r="AT272" s="13" t="n">
        <v>0.005</v>
      </c>
      <c r="AU272" s="13" t="n">
        <v>0.0025</v>
      </c>
      <c r="AV272" s="13" t="n">
        <v>-0.005</v>
      </c>
      <c r="AW272" s="13" t="n">
        <v>0.0285</v>
      </c>
      <c r="AX272" s="13" t="n">
        <v>-0.0075</v>
      </c>
      <c r="AY272" s="12" t="n">
        <v>997645</v>
      </c>
      <c r="AZ272" s="12" t="n">
        <v>1028500</v>
      </c>
      <c r="BA272" s="12" t="n">
        <v>1059355</v>
      </c>
      <c r="BB272" s="12" t="n">
        <v>989931</v>
      </c>
      <c r="BC272" s="12" t="n">
        <v>1020786</v>
      </c>
      <c r="BD272" s="12" t="n">
        <v>1051641</v>
      </c>
      <c r="BE272" s="12" t="n">
        <v>1013130</v>
      </c>
      <c r="BF272" t="inlineStr">
        <is>
          <t>Frozen values from same rules-based model as formula sheet.</t>
        </is>
      </c>
      <c r="BG272" t="inlineStr">
        <is>
          <t>2026-03-17</t>
        </is>
      </c>
      <c r="BH272" t="inlineStr">
        <is>
          <t>DLD / Digital Dubai / CBUAE / Savills / Knight Frank-Moody’s / Reuters</t>
        </is>
      </c>
    </row>
    <row r="273">
      <c r="A273" t="n">
        <v>272</v>
      </c>
      <c r="B273" t="inlineStr">
        <is>
          <t>Hamilton House</t>
        </is>
      </c>
      <c r="C273" t="inlineStr">
        <is>
          <t>Ellington Properties</t>
        </is>
      </c>
      <c r="D273" t="inlineStr">
        <is>
          <t>JVC</t>
        </is>
      </c>
      <c r="E273" t="inlineStr">
        <is>
          <t>Apartments</t>
        </is>
      </c>
      <c r="F273" t="inlineStr">
        <is>
          <t>Boutique / Design</t>
        </is>
      </c>
      <c r="G273" t="inlineStr">
        <is>
          <t>1.1M</t>
        </is>
      </c>
      <c r="H273" t="inlineStr">
        <is>
          <t>1450</t>
        </is>
      </c>
      <c r="I273" t="inlineStr">
        <is>
          <t>15</t>
        </is>
      </c>
      <c r="J273" t="inlineStr">
        <is>
          <t>70/30</t>
        </is>
      </c>
      <c r="K273" t="inlineStr">
        <is>
          <t>2022</t>
        </is>
      </c>
      <c r="L273" t="inlineStr">
        <is>
          <t>7.5-8.0</t>
        </is>
      </c>
      <c r="M273" t="inlineStr">
        <is>
          <t>6-8</t>
        </is>
      </c>
      <c r="N273" t="inlineStr">
        <is>
          <t>13.5-16.0</t>
        </is>
      </c>
      <c r="O273" t="inlineStr">
        <is>
          <t>JSS International</t>
        </is>
      </c>
      <c r="P273" t="inlineStr">
        <is>
          <t>Saudi German Hospital</t>
        </is>
      </c>
      <c r="Q273" t="inlineStr">
        <is>
          <t>Circle Mall</t>
        </is>
      </c>
      <c r="R273" t="inlineStr">
        <is>
          <t>Hessa St / E44</t>
        </is>
      </c>
      <c r="S273" t="inlineStr">
        <is>
          <t>20</t>
        </is>
      </c>
      <c r="T273" t="inlineStr">
        <is>
          <t>15</t>
        </is>
      </c>
      <c r="U273" t="inlineStr">
        <is>
          <t>25</t>
        </is>
      </c>
      <c r="V273" t="inlineStr">
        <is>
          <t>30</t>
        </is>
      </c>
      <c r="W273" t="n">
        <v>2</v>
      </c>
      <c r="X273" s="12" t="n">
        <v>1100000</v>
      </c>
      <c r="Y273" s="12" t="n">
        <v>1100000</v>
      </c>
      <c r="Z273" s="9" t="n">
        <v>7.5</v>
      </c>
      <c r="AA273" s="9" t="n">
        <v>8</v>
      </c>
      <c r="AB273" s="9" t="n">
        <v>6</v>
      </c>
      <c r="AC273" s="9" t="n">
        <v>8</v>
      </c>
      <c r="AD273" s="9" t="n">
        <v>13.5</v>
      </c>
      <c r="AE273" s="9" t="n">
        <v>16</v>
      </c>
      <c r="AF273" t="n">
        <v>2022</v>
      </c>
      <c r="AH273" t="inlineStr">
        <is>
          <t>Apartment</t>
        </is>
      </c>
      <c r="AI273" t="inlineStr">
        <is>
          <t>SupplySensitiveApartment</t>
        </is>
      </c>
      <c r="AJ273" t="inlineStr">
        <is>
          <t>TopTier</t>
        </is>
      </c>
      <c r="AK273" t="inlineStr">
        <is>
          <t>Supply-sensitive / selective</t>
        </is>
      </c>
      <c r="AL273" t="inlineStr">
        <is>
          <t>Higher delivery risk in more price-sensitive apartment clusters; building selection and exit liquidity matter.</t>
        </is>
      </c>
      <c r="AM273" s="9" t="n">
        <v>7</v>
      </c>
      <c r="AN273" s="9" t="n">
        <v>7.75</v>
      </c>
      <c r="AO273" s="10" t="n">
        <v>0.55</v>
      </c>
      <c r="AP273" s="13" t="n">
        <v>0</v>
      </c>
      <c r="AQ273" s="13" t="n">
        <v>0</v>
      </c>
      <c r="AR273" s="13" t="n">
        <v>-0.01</v>
      </c>
      <c r="AS273" s="13" t="n">
        <v>-0.01</v>
      </c>
      <c r="AT273" s="13" t="n">
        <v>0.005</v>
      </c>
      <c r="AU273" s="13" t="n">
        <v>0.0025</v>
      </c>
      <c r="AV273" s="13" t="n">
        <v>-0.005</v>
      </c>
      <c r="AW273" s="13" t="n">
        <v>0.0285</v>
      </c>
      <c r="AX273" s="13" t="n">
        <v>-0.0075</v>
      </c>
      <c r="AY273" s="12" t="n">
        <v>1097410</v>
      </c>
      <c r="AZ273" s="12" t="n">
        <v>1131350</v>
      </c>
      <c r="BA273" s="12" t="n">
        <v>1165290</v>
      </c>
      <c r="BB273" s="12" t="n">
        <v>1088924</v>
      </c>
      <c r="BC273" s="12" t="n">
        <v>1122865</v>
      </c>
      <c r="BD273" s="12" t="n">
        <v>1156805</v>
      </c>
      <c r="BE273" s="12" t="n">
        <v>1114443</v>
      </c>
      <c r="BF273" t="inlineStr">
        <is>
          <t>Frozen values from same rules-based model as formula sheet.</t>
        </is>
      </c>
      <c r="BG273" t="inlineStr">
        <is>
          <t>2026-03-17</t>
        </is>
      </c>
      <c r="BH273" t="inlineStr">
        <is>
          <t>DLD / Digital Dubai / CBUAE / Savills / Knight Frank-Moody’s / Reuters</t>
        </is>
      </c>
    </row>
    <row r="274">
      <c r="A274" t="n">
        <v>273</v>
      </c>
      <c r="B274" t="inlineStr">
        <is>
          <t>The Portman</t>
        </is>
      </c>
      <c r="C274" t="inlineStr">
        <is>
          <t>Ellington Properties</t>
        </is>
      </c>
      <c r="D274" t="inlineStr">
        <is>
          <t>JVC</t>
        </is>
      </c>
      <c r="E274" t="inlineStr">
        <is>
          <t>Apartments</t>
        </is>
      </c>
      <c r="F274" t="inlineStr">
        <is>
          <t>Boutique / Design</t>
        </is>
      </c>
      <c r="G274" t="inlineStr">
        <is>
          <t>1.1M</t>
        </is>
      </c>
      <c r="H274" t="inlineStr">
        <is>
          <t>1450</t>
        </is>
      </c>
      <c r="I274" t="inlineStr">
        <is>
          <t>15</t>
        </is>
      </c>
      <c r="J274" t="inlineStr">
        <is>
          <t>70/30</t>
        </is>
      </c>
      <c r="K274" t="inlineStr">
        <is>
          <t>2022</t>
        </is>
      </c>
      <c r="L274" t="inlineStr">
        <is>
          <t>7.5-8.0</t>
        </is>
      </c>
      <c r="M274" t="inlineStr">
        <is>
          <t>6-8</t>
        </is>
      </c>
      <c r="N274" t="inlineStr">
        <is>
          <t>13.5-16.0</t>
        </is>
      </c>
      <c r="O274" t="inlineStr">
        <is>
          <t>JSS International</t>
        </is>
      </c>
      <c r="P274" t="inlineStr">
        <is>
          <t>Saudi German Hospital</t>
        </is>
      </c>
      <c r="Q274" t="inlineStr">
        <is>
          <t>Circle Mall</t>
        </is>
      </c>
      <c r="R274" t="inlineStr">
        <is>
          <t>Hessa St / E44</t>
        </is>
      </c>
      <c r="S274" t="inlineStr">
        <is>
          <t>20</t>
        </is>
      </c>
      <c r="T274" t="inlineStr">
        <is>
          <t>15</t>
        </is>
      </c>
      <c r="U274" t="inlineStr">
        <is>
          <t>25</t>
        </is>
      </c>
      <c r="V274" t="inlineStr">
        <is>
          <t>30</t>
        </is>
      </c>
      <c r="W274" t="n">
        <v>2</v>
      </c>
      <c r="X274" s="12" t="n">
        <v>1100000</v>
      </c>
      <c r="Y274" s="12" t="n">
        <v>1100000</v>
      </c>
      <c r="Z274" s="9" t="n">
        <v>7.5</v>
      </c>
      <c r="AA274" s="9" t="n">
        <v>8</v>
      </c>
      <c r="AB274" s="9" t="n">
        <v>6</v>
      </c>
      <c r="AC274" s="9" t="n">
        <v>8</v>
      </c>
      <c r="AD274" s="9" t="n">
        <v>13.5</v>
      </c>
      <c r="AE274" s="9" t="n">
        <v>16</v>
      </c>
      <c r="AF274" t="n">
        <v>2022</v>
      </c>
      <c r="AH274" t="inlineStr">
        <is>
          <t>Apartment</t>
        </is>
      </c>
      <c r="AI274" t="inlineStr">
        <is>
          <t>SupplySensitiveApartment</t>
        </is>
      </c>
      <c r="AJ274" t="inlineStr">
        <is>
          <t>TopTier</t>
        </is>
      </c>
      <c r="AK274" t="inlineStr">
        <is>
          <t>Supply-sensitive / selective</t>
        </is>
      </c>
      <c r="AL274" t="inlineStr">
        <is>
          <t>Higher delivery risk in more price-sensitive apartment clusters; building selection and exit liquidity matter.</t>
        </is>
      </c>
      <c r="AM274" s="9" t="n">
        <v>7</v>
      </c>
      <c r="AN274" s="9" t="n">
        <v>7.75</v>
      </c>
      <c r="AO274" s="10" t="n">
        <v>0.55</v>
      </c>
      <c r="AP274" s="13" t="n">
        <v>0</v>
      </c>
      <c r="AQ274" s="13" t="n">
        <v>0</v>
      </c>
      <c r="AR274" s="13" t="n">
        <v>-0.01</v>
      </c>
      <c r="AS274" s="13" t="n">
        <v>-0.01</v>
      </c>
      <c r="AT274" s="13" t="n">
        <v>0.005</v>
      </c>
      <c r="AU274" s="13" t="n">
        <v>0.0025</v>
      </c>
      <c r="AV274" s="13" t="n">
        <v>-0.005</v>
      </c>
      <c r="AW274" s="13" t="n">
        <v>0.0285</v>
      </c>
      <c r="AX274" s="13" t="n">
        <v>-0.0075</v>
      </c>
      <c r="AY274" s="12" t="n">
        <v>1097410</v>
      </c>
      <c r="AZ274" s="12" t="n">
        <v>1131350</v>
      </c>
      <c r="BA274" s="12" t="n">
        <v>1165290</v>
      </c>
      <c r="BB274" s="12" t="n">
        <v>1088924</v>
      </c>
      <c r="BC274" s="12" t="n">
        <v>1122865</v>
      </c>
      <c r="BD274" s="12" t="n">
        <v>1156805</v>
      </c>
      <c r="BE274" s="12" t="n">
        <v>1114443</v>
      </c>
      <c r="BF274" t="inlineStr">
        <is>
          <t>Frozen values from same rules-based model as formula sheet.</t>
        </is>
      </c>
      <c r="BG274" t="inlineStr">
        <is>
          <t>2026-03-17</t>
        </is>
      </c>
      <c r="BH274" t="inlineStr">
        <is>
          <t>DLD / Digital Dubai / CBUAE / Savills / Knight Frank-Moody’s / Reuters</t>
        </is>
      </c>
    </row>
    <row r="275">
      <c r="A275" t="n">
        <v>274</v>
      </c>
      <c r="B275" t="inlineStr">
        <is>
          <t>Arbor View</t>
        </is>
      </c>
      <c r="C275" t="inlineStr">
        <is>
          <t>Ellington Properties</t>
        </is>
      </c>
      <c r="D275" t="inlineStr">
        <is>
          <t>Arjan</t>
        </is>
      </c>
      <c r="E275" t="inlineStr">
        <is>
          <t>Apartments</t>
        </is>
      </c>
      <c r="F275" t="inlineStr">
        <is>
          <t>Green / Family</t>
        </is>
      </c>
      <c r="G275" t="inlineStr">
        <is>
          <t>1.2M</t>
        </is>
      </c>
      <c r="H275" t="inlineStr">
        <is>
          <t>1300</t>
        </is>
      </c>
      <c r="I275" t="inlineStr">
        <is>
          <t>15</t>
        </is>
      </c>
      <c r="J275" t="inlineStr">
        <is>
          <t>70/30</t>
        </is>
      </c>
      <c r="K275" t="inlineStr">
        <is>
          <t>2023</t>
        </is>
      </c>
      <c r="L275" t="inlineStr">
        <is>
          <t>7.0-7.5</t>
        </is>
      </c>
      <c r="M275" t="inlineStr">
        <is>
          <t>7-9</t>
        </is>
      </c>
      <c r="N275" t="inlineStr">
        <is>
          <t>14.0-16.5</t>
        </is>
      </c>
      <c r="O275" t="inlineStr">
        <is>
          <t>Nord Anglia</t>
        </is>
      </c>
      <c r="P275" t="inlineStr">
        <is>
          <t>Mediclinic Parkview</t>
        </is>
      </c>
      <c r="Q275" t="inlineStr">
        <is>
          <t>Dubai Hills Mall</t>
        </is>
      </c>
      <c r="R275" t="inlineStr">
        <is>
          <t>Umm Suqeim / E311</t>
        </is>
      </c>
      <c r="S275" t="inlineStr">
        <is>
          <t>20</t>
        </is>
      </c>
      <c r="T275" t="inlineStr">
        <is>
          <t>20</t>
        </is>
      </c>
      <c r="U275" t="inlineStr">
        <is>
          <t>30</t>
        </is>
      </c>
      <c r="V275" t="inlineStr">
        <is>
          <t>25</t>
        </is>
      </c>
      <c r="W275" t="n">
        <v>2</v>
      </c>
      <c r="X275" s="12" t="n">
        <v>1200000</v>
      </c>
      <c r="Y275" s="12" t="n">
        <v>1200000</v>
      </c>
      <c r="Z275" s="9" t="n">
        <v>7</v>
      </c>
      <c r="AA275" s="9" t="n">
        <v>7.5</v>
      </c>
      <c r="AB275" s="9" t="n">
        <v>7</v>
      </c>
      <c r="AC275" s="9" t="n">
        <v>9</v>
      </c>
      <c r="AD275" s="9" t="n">
        <v>14</v>
      </c>
      <c r="AE275" s="9" t="n">
        <v>16.5</v>
      </c>
      <c r="AF275" t="n">
        <v>2023</v>
      </c>
      <c r="AH275" t="inlineStr">
        <is>
          <t>Apartment</t>
        </is>
      </c>
      <c r="AI275" t="inlineStr">
        <is>
          <t>SupplySensitiveApartment</t>
        </is>
      </c>
      <c r="AJ275" t="inlineStr">
        <is>
          <t>TopTier</t>
        </is>
      </c>
      <c r="AK275" t="inlineStr">
        <is>
          <t>Supply-sensitive / selective</t>
        </is>
      </c>
      <c r="AL275" t="inlineStr">
        <is>
          <t>Higher delivery risk in more price-sensitive apartment clusters; building selection and exit liquidity matter.</t>
        </is>
      </c>
      <c r="AM275" s="9" t="n">
        <v>8</v>
      </c>
      <c r="AN275" s="9" t="n">
        <v>7.25</v>
      </c>
      <c r="AO275" s="10" t="n">
        <v>0.55</v>
      </c>
      <c r="AP275" s="13" t="n">
        <v>0</v>
      </c>
      <c r="AQ275" s="13" t="n">
        <v>0</v>
      </c>
      <c r="AR275" s="13" t="n">
        <v>-0.01</v>
      </c>
      <c r="AS275" s="13" t="n">
        <v>-0.01</v>
      </c>
      <c r="AT275" s="13" t="n">
        <v>0.005</v>
      </c>
      <c r="AU275" s="13" t="n">
        <v>0.0025</v>
      </c>
      <c r="AV275" s="13" t="n">
        <v>-0.005</v>
      </c>
      <c r="AW275" s="13" t="n">
        <v>0.034</v>
      </c>
      <c r="AX275" s="13" t="n">
        <v>-0.0075</v>
      </c>
      <c r="AY275" s="12" t="n">
        <v>1203576</v>
      </c>
      <c r="AZ275" s="12" t="n">
        <v>1240800</v>
      </c>
      <c r="BA275" s="12" t="n">
        <v>1278024</v>
      </c>
      <c r="BB275" s="12" t="n">
        <v>1194270</v>
      </c>
      <c r="BC275" s="12" t="n">
        <v>1231494</v>
      </c>
      <c r="BD275" s="12" t="n">
        <v>1268718</v>
      </c>
      <c r="BE275" s="12" t="n">
        <v>1222258</v>
      </c>
      <c r="BF275" t="inlineStr">
        <is>
          <t>Frozen values from same rules-based model as formula sheet.</t>
        </is>
      </c>
      <c r="BG275" t="inlineStr">
        <is>
          <t>2026-03-17</t>
        </is>
      </c>
      <c r="BH275" t="inlineStr">
        <is>
          <t>DLD / Digital Dubai / CBUAE / Savills / Knight Frank-Moody’s / Reuters</t>
        </is>
      </c>
    </row>
    <row r="276">
      <c r="A276" t="n">
        <v>275</v>
      </c>
      <c r="B276" t="inlineStr">
        <is>
          <t>Art Bay</t>
        </is>
      </c>
      <c r="C276" t="inlineStr">
        <is>
          <t>Ellington Properties</t>
        </is>
      </c>
      <c r="D276" t="inlineStr">
        <is>
          <t>Jaddaf Waterfront</t>
        </is>
      </c>
      <c r="E276" t="inlineStr">
        <is>
          <t>Apartments</t>
        </is>
      </c>
      <c r="F276" t="inlineStr">
        <is>
          <t>Art / Creek</t>
        </is>
      </c>
      <c r="G276" t="inlineStr">
        <is>
          <t>1.6M</t>
        </is>
      </c>
      <c r="H276" t="inlineStr">
        <is>
          <t>1800</t>
        </is>
      </c>
      <c r="I276" t="inlineStr">
        <is>
          <t>18</t>
        </is>
      </c>
      <c r="J276" t="inlineStr">
        <is>
          <t>70/30</t>
        </is>
      </c>
      <c r="K276" t="inlineStr">
        <is>
          <t>2024</t>
        </is>
      </c>
      <c r="L276" t="inlineStr">
        <is>
          <t>6.0-6.5</t>
        </is>
      </c>
      <c r="M276" t="inlineStr">
        <is>
          <t>8-10</t>
        </is>
      </c>
      <c r="N276" t="inlineStr">
        <is>
          <t>14.0-16.5</t>
        </is>
      </c>
      <c r="O276" t="inlineStr">
        <is>
          <t>Swiss Intl School</t>
        </is>
      </c>
      <c r="P276" t="inlineStr">
        <is>
          <t>American Hospital</t>
        </is>
      </c>
      <c r="Q276" t="inlineStr">
        <is>
          <t>Dubai Festival City</t>
        </is>
      </c>
      <c r="R276" t="inlineStr">
        <is>
          <t>Al Khail E44</t>
        </is>
      </c>
      <c r="S276" t="inlineStr">
        <is>
          <t>10</t>
        </is>
      </c>
      <c r="T276" t="inlineStr">
        <is>
          <t>25</t>
        </is>
      </c>
      <c r="U276" t="inlineStr">
        <is>
          <t>10</t>
        </is>
      </c>
      <c r="V276" t="inlineStr">
        <is>
          <t>40</t>
        </is>
      </c>
      <c r="W276" t="n">
        <v>2</v>
      </c>
      <c r="X276" s="12" t="n">
        <v>1600000</v>
      </c>
      <c r="Y276" s="12" t="n">
        <v>1600000</v>
      </c>
      <c r="Z276" s="9" t="n">
        <v>6</v>
      </c>
      <c r="AA276" s="9" t="n">
        <v>6.5</v>
      </c>
      <c r="AB276" s="9" t="n">
        <v>8</v>
      </c>
      <c r="AC276" s="9" t="n">
        <v>10</v>
      </c>
      <c r="AD276" s="9" t="n">
        <v>14</v>
      </c>
      <c r="AE276" s="9" t="n">
        <v>16.5</v>
      </c>
      <c r="AF276" t="n">
        <v>2024</v>
      </c>
      <c r="AH276" t="inlineStr">
        <is>
          <t>Apartment</t>
        </is>
      </c>
      <c r="AI276" t="inlineStr">
        <is>
          <t>MainstreamSelective</t>
        </is>
      </c>
      <c r="AJ276" t="inlineStr">
        <is>
          <t>TopTier</t>
        </is>
      </c>
      <c r="AK276" t="inlineStr">
        <is>
          <t>Balanced / selective</t>
        </is>
      </c>
      <c r="AL276" t="inlineStr">
        <is>
          <t>Market remains active but increasingly differentiated by developer, micro-location, livability, and pricing discipline.</t>
        </is>
      </c>
      <c r="AM276" s="9" t="n">
        <v>9</v>
      </c>
      <c r="AN276" s="9" t="n">
        <v>6.25</v>
      </c>
      <c r="AO276" s="10" t="n">
        <v>0.55</v>
      </c>
      <c r="AP276" s="13" t="n">
        <v>0</v>
      </c>
      <c r="AQ276" s="13" t="n">
        <v>0</v>
      </c>
      <c r="AR276" s="13" t="n">
        <v>0</v>
      </c>
      <c r="AS276" s="13" t="n">
        <v>0.01</v>
      </c>
      <c r="AT276" s="13" t="n">
        <v>0.005</v>
      </c>
      <c r="AU276" s="13" t="n">
        <v>0.0025</v>
      </c>
      <c r="AV276" s="13" t="n">
        <v>-0.005</v>
      </c>
      <c r="AW276" s="13" t="n">
        <v>0.0495</v>
      </c>
      <c r="AX276" s="13" t="n">
        <v>0.0125</v>
      </c>
      <c r="AY276" s="12" t="n">
        <v>1628824</v>
      </c>
      <c r="AZ276" s="12" t="n">
        <v>1679200</v>
      </c>
      <c r="BA276" s="12" t="n">
        <v>1729576</v>
      </c>
      <c r="BB276" s="12" t="n">
        <v>1649814</v>
      </c>
      <c r="BC276" s="12" t="n">
        <v>1700190</v>
      </c>
      <c r="BD276" s="12" t="n">
        <v>1750566</v>
      </c>
      <c r="BE276" s="12" t="n">
        <v>1721442</v>
      </c>
      <c r="BF276" t="inlineStr">
        <is>
          <t>Frozen values from same rules-based model as formula sheet.</t>
        </is>
      </c>
      <c r="BG276" t="inlineStr">
        <is>
          <t>2026-03-17</t>
        </is>
      </c>
      <c r="BH276" t="inlineStr">
        <is>
          <t>DLD / Digital Dubai / CBUAE / Savills / Knight Frank-Moody’s / Reuters</t>
        </is>
      </c>
    </row>
    <row r="277">
      <c r="A277" t="n">
        <v>276</v>
      </c>
      <c r="B277" t="inlineStr">
        <is>
          <t>Six Senses Residences Dubai Marina</t>
        </is>
      </c>
      <c r="C277" t="inlineStr">
        <is>
          <t>Select Group</t>
        </is>
      </c>
      <c r="D277" t="inlineStr">
        <is>
          <t>Dubai Marina</t>
        </is>
      </c>
      <c r="E277" t="inlineStr">
        <is>
          <t>Branded Apts</t>
        </is>
      </c>
      <c r="F277" t="inlineStr">
        <is>
          <t>Ultra-Luxury / Wellness</t>
        </is>
      </c>
      <c r="G277" t="inlineStr">
        <is>
          <t>5.8M</t>
        </is>
      </c>
      <c r="H277" t="inlineStr">
        <is>
          <t>4500</t>
        </is>
      </c>
      <c r="I277" t="inlineStr">
        <is>
          <t>40+</t>
        </is>
      </c>
      <c r="J277" t="inlineStr">
        <is>
          <t>60/40</t>
        </is>
      </c>
      <c r="K277" t="inlineStr">
        <is>
          <t>2024</t>
        </is>
      </c>
      <c r="L277" t="inlineStr">
        <is>
          <t>4.5-5.0</t>
        </is>
      </c>
      <c r="M277" t="inlineStr">
        <is>
          <t>10-12</t>
        </is>
      </c>
      <c r="N277" t="inlineStr">
        <is>
          <t>14.5-17.0</t>
        </is>
      </c>
      <c r="O277" t="inlineStr">
        <is>
          <t>American Univ. Dubai</t>
        </is>
      </c>
      <c r="P277" t="inlineStr">
        <is>
          <t>Saudi German Hospital</t>
        </is>
      </c>
      <c r="Q277" t="inlineStr">
        <is>
          <t>Dubai Marina Mall</t>
        </is>
      </c>
      <c r="R277" t="inlineStr">
        <is>
          <t>Sheikh Zayed E11</t>
        </is>
      </c>
      <c r="S277" t="inlineStr">
        <is>
          <t>20</t>
        </is>
      </c>
      <c r="T277" t="inlineStr">
        <is>
          <t>2</t>
        </is>
      </c>
      <c r="U277" t="inlineStr">
        <is>
          <t>25</t>
        </is>
      </c>
      <c r="V277" t="inlineStr">
        <is>
          <t>30</t>
        </is>
      </c>
      <c r="W277" t="n">
        <v>2</v>
      </c>
      <c r="X277" s="12" t="n">
        <v>5800000</v>
      </c>
      <c r="Y277" s="12" t="n">
        <v>5800000</v>
      </c>
      <c r="Z277" s="9" t="n">
        <v>4.5</v>
      </c>
      <c r="AA277" s="9" t="n">
        <v>5</v>
      </c>
      <c r="AB277" s="9" t="n">
        <v>10</v>
      </c>
      <c r="AC277" s="9" t="n">
        <v>12</v>
      </c>
      <c r="AD277" s="9" t="n">
        <v>14.5</v>
      </c>
      <c r="AE277" s="9" t="n">
        <v>17</v>
      </c>
      <c r="AF277" t="n">
        <v>2024</v>
      </c>
      <c r="AH277" t="inlineStr">
        <is>
          <t>Apartment</t>
        </is>
      </c>
      <c r="AI277" t="inlineStr">
        <is>
          <t>Prime</t>
        </is>
      </c>
      <c r="AJ277" t="inlineStr">
        <is>
          <t>Established</t>
        </is>
      </c>
      <c r="AK277" t="inlineStr">
        <is>
          <t>Prime resilient / selective</t>
        </is>
      </c>
      <c r="AL277" t="inlineStr">
        <is>
          <t>Better support from quality, branding, and scarcer prime stock; still entry-price sensitive.</t>
        </is>
      </c>
      <c r="AM277" s="9" t="n">
        <v>11</v>
      </c>
      <c r="AN277" s="9" t="n">
        <v>4.75</v>
      </c>
      <c r="AO277" s="10" t="n">
        <v>0.55</v>
      </c>
      <c r="AP277" s="13" t="n">
        <v>0.02</v>
      </c>
      <c r="AQ277" s="13" t="n">
        <v>0</v>
      </c>
      <c r="AR277" s="13" t="n">
        <v>0</v>
      </c>
      <c r="AS277" s="13" t="n">
        <v>0.03</v>
      </c>
      <c r="AT277" s="13" t="n">
        <v>0</v>
      </c>
      <c r="AU277" s="13" t="n">
        <v>0</v>
      </c>
      <c r="AV277" s="13" t="n">
        <v>-0.005</v>
      </c>
      <c r="AW277" s="13" t="n">
        <v>0.0805</v>
      </c>
      <c r="AX277" s="13" t="n">
        <v>0.025</v>
      </c>
      <c r="AY277" s="12" t="n">
        <v>6078893</v>
      </c>
      <c r="AZ277" s="12" t="n">
        <v>6266900</v>
      </c>
      <c r="BA277" s="12" t="n">
        <v>6454907</v>
      </c>
      <c r="BB277" s="12" t="n">
        <v>6235565</v>
      </c>
      <c r="BC277" s="12" t="n">
        <v>6423572</v>
      </c>
      <c r="BD277" s="12" t="n">
        <v>6611580</v>
      </c>
      <c r="BE277" s="12" t="n">
        <v>6584162</v>
      </c>
      <c r="BF277" t="inlineStr">
        <is>
          <t>Frozen values from same rules-based model as formula sheet.</t>
        </is>
      </c>
      <c r="BG277" t="inlineStr">
        <is>
          <t>2026-03-17</t>
        </is>
      </c>
      <c r="BH277" t="inlineStr">
        <is>
          <t>DLD / Digital Dubai / CBUAE / Savills / Knight Frank-Moody’s / Reuters</t>
        </is>
      </c>
    </row>
    <row r="278">
      <c r="A278" t="n">
        <v>277</v>
      </c>
      <c r="B278" t="inlineStr">
        <is>
          <t>Marina Gate 1</t>
        </is>
      </c>
      <c r="C278" t="inlineStr">
        <is>
          <t>Select Group</t>
        </is>
      </c>
      <c r="D278" t="inlineStr">
        <is>
          <t>Dubai Marina</t>
        </is>
      </c>
      <c r="E278" t="inlineStr">
        <is>
          <t>Apartments</t>
        </is>
      </c>
      <c r="F278" t="inlineStr">
        <is>
          <t>Marina / Prime</t>
        </is>
      </c>
      <c r="G278" t="inlineStr">
        <is>
          <t>Resale (2.5M+)</t>
        </is>
      </c>
      <c r="H278" t="inlineStr">
        <is>
          <t>2200</t>
        </is>
      </c>
      <c r="I278" t="inlineStr">
        <is>
          <t>25</t>
        </is>
      </c>
      <c r="J278" t="inlineStr">
        <is>
          <t>Completed</t>
        </is>
      </c>
      <c r="K278" t="inlineStr">
        <is>
          <t>2016</t>
        </is>
      </c>
      <c r="L278" t="inlineStr">
        <is>
          <t>6.0-6.5</t>
        </is>
      </c>
      <c r="M278" t="inlineStr">
        <is>
          <t>5-7</t>
        </is>
      </c>
      <c r="N278" t="inlineStr">
        <is>
          <t>11.0-13.5</t>
        </is>
      </c>
      <c r="O278" t="inlineStr">
        <is>
          <t>American Univ. Dubai</t>
        </is>
      </c>
      <c r="P278" t="inlineStr">
        <is>
          <t>Saudi German Hospital</t>
        </is>
      </c>
      <c r="Q278" t="inlineStr">
        <is>
          <t>Dubai Marina Mall</t>
        </is>
      </c>
      <c r="R278" t="inlineStr">
        <is>
          <t>Sheikh Zayed E11</t>
        </is>
      </c>
      <c r="S278" t="inlineStr">
        <is>
          <t>20</t>
        </is>
      </c>
      <c r="T278" t="inlineStr">
        <is>
          <t>2</t>
        </is>
      </c>
      <c r="U278" t="inlineStr">
        <is>
          <t>25</t>
        </is>
      </c>
      <c r="V278" t="inlineStr">
        <is>
          <t>30</t>
        </is>
      </c>
      <c r="W278" t="n">
        <v>2</v>
      </c>
      <c r="X278" s="12" t="n">
        <v>2500000</v>
      </c>
      <c r="Y278" s="12" t="n">
        <v>2500000</v>
      </c>
      <c r="Z278" s="9" t="n">
        <v>6</v>
      </c>
      <c r="AA278" s="9" t="n">
        <v>6.5</v>
      </c>
      <c r="AB278" s="9" t="n">
        <v>5</v>
      </c>
      <c r="AC278" s="9" t="n">
        <v>7</v>
      </c>
      <c r="AD278" s="9" t="n">
        <v>11</v>
      </c>
      <c r="AE278" s="9" t="n">
        <v>13.5</v>
      </c>
      <c r="AF278" t="n">
        <v>2016</v>
      </c>
      <c r="AH278" t="inlineStr">
        <is>
          <t>Apartment</t>
        </is>
      </c>
      <c r="AI278" t="inlineStr">
        <is>
          <t>Prime</t>
        </is>
      </c>
      <c r="AJ278" t="inlineStr">
        <is>
          <t>Established</t>
        </is>
      </c>
      <c r="AK278" t="inlineStr">
        <is>
          <t>Prime resilient / selective</t>
        </is>
      </c>
      <c r="AL278" t="inlineStr">
        <is>
          <t>Better support from quality, branding, and scarcer prime stock; still entry-price sensitive.</t>
        </is>
      </c>
      <c r="AM278" s="9" t="n">
        <v>6</v>
      </c>
      <c r="AN278" s="9" t="n">
        <v>6.25</v>
      </c>
      <c r="AO278" s="10" t="n">
        <v>0.55</v>
      </c>
      <c r="AP278" s="13" t="n">
        <v>0.02</v>
      </c>
      <c r="AQ278" s="13" t="n">
        <v>0</v>
      </c>
      <c r="AR278" s="13" t="n">
        <v>0</v>
      </c>
      <c r="AS278" s="13" t="n">
        <v>0.03</v>
      </c>
      <c r="AT278" s="13" t="n">
        <v>0</v>
      </c>
      <c r="AU278" s="13" t="n">
        <v>0.0025</v>
      </c>
      <c r="AV278" s="13" t="n">
        <v>-0.005</v>
      </c>
      <c r="AW278" s="13" t="n">
        <v>0.05300000000000001</v>
      </c>
      <c r="AX278" s="13" t="n">
        <v>0.0275</v>
      </c>
      <c r="AY278" s="12" t="n">
        <v>2553525</v>
      </c>
      <c r="AZ278" s="12" t="n">
        <v>2632500</v>
      </c>
      <c r="BA278" s="12" t="n">
        <v>2711475</v>
      </c>
      <c r="BB278" s="12" t="n">
        <v>2625919</v>
      </c>
      <c r="BC278" s="12" t="n">
        <v>2704894</v>
      </c>
      <c r="BD278" s="12" t="n">
        <v>2783869</v>
      </c>
      <c r="BE278" s="12" t="n">
        <v>2779278</v>
      </c>
      <c r="BF278" t="inlineStr">
        <is>
          <t>Frozen values from same rules-based model as formula sheet.</t>
        </is>
      </c>
      <c r="BG278" t="inlineStr">
        <is>
          <t>2026-03-17</t>
        </is>
      </c>
      <c r="BH278" t="inlineStr">
        <is>
          <t>DLD / Digital Dubai / CBUAE / Savills / Knight Frank-Moody’s / Reuters</t>
        </is>
      </c>
    </row>
    <row r="279">
      <c r="A279" t="n">
        <v>278</v>
      </c>
      <c r="B279" t="inlineStr">
        <is>
          <t>Marina Gate 2</t>
        </is>
      </c>
      <c r="C279" t="inlineStr">
        <is>
          <t>Select Group</t>
        </is>
      </c>
      <c r="D279" t="inlineStr">
        <is>
          <t>Dubai Marina</t>
        </is>
      </c>
      <c r="E279" t="inlineStr">
        <is>
          <t>Apartments</t>
        </is>
      </c>
      <c r="F279" t="inlineStr">
        <is>
          <t>Marina / Prime</t>
        </is>
      </c>
      <c r="G279" t="inlineStr">
        <is>
          <t>Resale (2.5M+)</t>
        </is>
      </c>
      <c r="H279" t="inlineStr">
        <is>
          <t>2200</t>
        </is>
      </c>
      <c r="I279" t="inlineStr">
        <is>
          <t>25</t>
        </is>
      </c>
      <c r="J279" t="inlineStr">
        <is>
          <t>Completed</t>
        </is>
      </c>
      <c r="K279" t="inlineStr">
        <is>
          <t>2018</t>
        </is>
      </c>
      <c r="L279" t="inlineStr">
        <is>
          <t>6.0-6.5</t>
        </is>
      </c>
      <c r="M279" t="inlineStr">
        <is>
          <t>5-7</t>
        </is>
      </c>
      <c r="N279" t="inlineStr">
        <is>
          <t>11.0-13.5</t>
        </is>
      </c>
      <c r="O279" t="inlineStr">
        <is>
          <t>American Univ. Dubai</t>
        </is>
      </c>
      <c r="P279" t="inlineStr">
        <is>
          <t>Saudi German Hospital</t>
        </is>
      </c>
      <c r="Q279" t="inlineStr">
        <is>
          <t>Dubai Marina Mall</t>
        </is>
      </c>
      <c r="R279" t="inlineStr">
        <is>
          <t>Sheikh Zayed E11</t>
        </is>
      </c>
      <c r="S279" t="inlineStr">
        <is>
          <t>20</t>
        </is>
      </c>
      <c r="T279" t="inlineStr">
        <is>
          <t>2</t>
        </is>
      </c>
      <c r="U279" t="inlineStr">
        <is>
          <t>25</t>
        </is>
      </c>
      <c r="V279" t="inlineStr">
        <is>
          <t>30</t>
        </is>
      </c>
      <c r="W279" t="n">
        <v>2</v>
      </c>
      <c r="X279" s="12" t="n">
        <v>2500000</v>
      </c>
      <c r="Y279" s="12" t="n">
        <v>2500000</v>
      </c>
      <c r="Z279" s="9" t="n">
        <v>6</v>
      </c>
      <c r="AA279" s="9" t="n">
        <v>6.5</v>
      </c>
      <c r="AB279" s="9" t="n">
        <v>5</v>
      </c>
      <c r="AC279" s="9" t="n">
        <v>7</v>
      </c>
      <c r="AD279" s="9" t="n">
        <v>11</v>
      </c>
      <c r="AE279" s="9" t="n">
        <v>13.5</v>
      </c>
      <c r="AF279" t="n">
        <v>2018</v>
      </c>
      <c r="AH279" t="inlineStr">
        <is>
          <t>Apartment</t>
        </is>
      </c>
      <c r="AI279" t="inlineStr">
        <is>
          <t>Prime</t>
        </is>
      </c>
      <c r="AJ279" t="inlineStr">
        <is>
          <t>Established</t>
        </is>
      </c>
      <c r="AK279" t="inlineStr">
        <is>
          <t>Prime resilient / selective</t>
        </is>
      </c>
      <c r="AL279" t="inlineStr">
        <is>
          <t>Better support from quality, branding, and scarcer prime stock; still entry-price sensitive.</t>
        </is>
      </c>
      <c r="AM279" s="9" t="n">
        <v>6</v>
      </c>
      <c r="AN279" s="9" t="n">
        <v>6.25</v>
      </c>
      <c r="AO279" s="10" t="n">
        <v>0.55</v>
      </c>
      <c r="AP279" s="13" t="n">
        <v>0.02</v>
      </c>
      <c r="AQ279" s="13" t="n">
        <v>0</v>
      </c>
      <c r="AR279" s="13" t="n">
        <v>0</v>
      </c>
      <c r="AS279" s="13" t="n">
        <v>0.03</v>
      </c>
      <c r="AT279" s="13" t="n">
        <v>0</v>
      </c>
      <c r="AU279" s="13" t="n">
        <v>0.0025</v>
      </c>
      <c r="AV279" s="13" t="n">
        <v>-0.005</v>
      </c>
      <c r="AW279" s="13" t="n">
        <v>0.05300000000000001</v>
      </c>
      <c r="AX279" s="13" t="n">
        <v>0.0275</v>
      </c>
      <c r="AY279" s="12" t="n">
        <v>2553525</v>
      </c>
      <c r="AZ279" s="12" t="n">
        <v>2632500</v>
      </c>
      <c r="BA279" s="12" t="n">
        <v>2711475</v>
      </c>
      <c r="BB279" s="12" t="n">
        <v>2625919</v>
      </c>
      <c r="BC279" s="12" t="n">
        <v>2704894</v>
      </c>
      <c r="BD279" s="12" t="n">
        <v>2783869</v>
      </c>
      <c r="BE279" s="12" t="n">
        <v>2779278</v>
      </c>
      <c r="BF279" t="inlineStr">
        <is>
          <t>Frozen values from same rules-based model as formula sheet.</t>
        </is>
      </c>
      <c r="BG279" t="inlineStr">
        <is>
          <t>2026-03-17</t>
        </is>
      </c>
      <c r="BH279" t="inlineStr">
        <is>
          <t>DLD / Digital Dubai / CBUAE / Savills / Knight Frank-Moody’s / Reuters</t>
        </is>
      </c>
    </row>
    <row r="280">
      <c r="A280" t="n">
        <v>279</v>
      </c>
      <c r="B280" t="inlineStr">
        <is>
          <t>Jumeirah Living Marina Gate</t>
        </is>
      </c>
      <c r="C280" t="inlineStr">
        <is>
          <t>Select Group</t>
        </is>
      </c>
      <c r="D280" t="inlineStr">
        <is>
          <t>Dubai Marina</t>
        </is>
      </c>
      <c r="E280" t="inlineStr">
        <is>
          <t>Branded Apts</t>
        </is>
      </c>
      <c r="F280" t="inlineStr">
        <is>
          <t>Luxury / Service</t>
        </is>
      </c>
      <c r="G280" t="inlineStr">
        <is>
          <t>Resale (3.5M+)</t>
        </is>
      </c>
      <c r="H280" t="inlineStr">
        <is>
          <t>3000</t>
        </is>
      </c>
      <c r="I280" t="inlineStr">
        <is>
          <t>30</t>
        </is>
      </c>
      <c r="J280" t="inlineStr">
        <is>
          <t>Completed</t>
        </is>
      </c>
      <c r="K280" t="inlineStr">
        <is>
          <t>2020</t>
        </is>
      </c>
      <c r="L280" t="inlineStr">
        <is>
          <t>5.5-6.0</t>
        </is>
      </c>
      <c r="M280" t="inlineStr">
        <is>
          <t>5-7</t>
        </is>
      </c>
      <c r="N280" t="inlineStr">
        <is>
          <t>10.5-13.0</t>
        </is>
      </c>
      <c r="O280" t="inlineStr">
        <is>
          <t>American Univ. Dubai</t>
        </is>
      </c>
      <c r="P280" t="inlineStr">
        <is>
          <t>Saudi German Hospital</t>
        </is>
      </c>
      <c r="Q280" t="inlineStr">
        <is>
          <t>Dubai Marina Mall</t>
        </is>
      </c>
      <c r="R280" t="inlineStr">
        <is>
          <t>Sheikh Zayed E11</t>
        </is>
      </c>
      <c r="S280" t="inlineStr">
        <is>
          <t>20</t>
        </is>
      </c>
      <c r="T280" t="inlineStr">
        <is>
          <t>2</t>
        </is>
      </c>
      <c r="U280" t="inlineStr">
        <is>
          <t>25</t>
        </is>
      </c>
      <c r="V280" t="inlineStr">
        <is>
          <t>30</t>
        </is>
      </c>
      <c r="W280" t="n">
        <v>2</v>
      </c>
      <c r="X280" s="12" t="n">
        <v>3500000</v>
      </c>
      <c r="Y280" s="12" t="n">
        <v>3500000</v>
      </c>
      <c r="Z280" s="9" t="n">
        <v>5.5</v>
      </c>
      <c r="AA280" s="9" t="n">
        <v>6</v>
      </c>
      <c r="AB280" s="9" t="n">
        <v>5</v>
      </c>
      <c r="AC280" s="9" t="n">
        <v>7</v>
      </c>
      <c r="AD280" s="9" t="n">
        <v>10.5</v>
      </c>
      <c r="AE280" s="9" t="n">
        <v>13</v>
      </c>
      <c r="AF280" t="n">
        <v>2020</v>
      </c>
      <c r="AH280" t="inlineStr">
        <is>
          <t>Apartment</t>
        </is>
      </c>
      <c r="AI280" t="inlineStr">
        <is>
          <t>Prime</t>
        </is>
      </c>
      <c r="AJ280" t="inlineStr">
        <is>
          <t>Established</t>
        </is>
      </c>
      <c r="AK280" t="inlineStr">
        <is>
          <t>Prime resilient / selective</t>
        </is>
      </c>
      <c r="AL280" t="inlineStr">
        <is>
          <t>Better support from quality, branding, and scarcer prime stock; still entry-price sensitive.</t>
        </is>
      </c>
      <c r="AM280" s="9" t="n">
        <v>6</v>
      </c>
      <c r="AN280" s="9" t="n">
        <v>5.75</v>
      </c>
      <c r="AO280" s="10" t="n">
        <v>0.55</v>
      </c>
      <c r="AP280" s="13" t="n">
        <v>0.02</v>
      </c>
      <c r="AQ280" s="13" t="n">
        <v>0</v>
      </c>
      <c r="AR280" s="13" t="n">
        <v>0</v>
      </c>
      <c r="AS280" s="13" t="n">
        <v>0.03</v>
      </c>
      <c r="AT280" s="13" t="n">
        <v>0</v>
      </c>
      <c r="AU280" s="13" t="n">
        <v>0</v>
      </c>
      <c r="AV280" s="13" t="n">
        <v>-0.005</v>
      </c>
      <c r="AW280" s="13" t="n">
        <v>0.05300000000000001</v>
      </c>
      <c r="AX280" s="13" t="n">
        <v>0.025</v>
      </c>
      <c r="AY280" s="12" t="n">
        <v>3574935</v>
      </c>
      <c r="AZ280" s="12" t="n">
        <v>3685500</v>
      </c>
      <c r="BA280" s="12" t="n">
        <v>3796065</v>
      </c>
      <c r="BB280" s="12" t="n">
        <v>3667072</v>
      </c>
      <c r="BC280" s="12" t="n">
        <v>3777637</v>
      </c>
      <c r="BD280" s="12" t="n">
        <v>3888202</v>
      </c>
      <c r="BE280" s="12" t="n">
        <v>3872078</v>
      </c>
      <c r="BF280" t="inlineStr">
        <is>
          <t>Frozen values from same rules-based model as formula sheet.</t>
        </is>
      </c>
      <c r="BG280" t="inlineStr">
        <is>
          <t>2026-03-17</t>
        </is>
      </c>
      <c r="BH280" t="inlineStr">
        <is>
          <t>DLD / Digital Dubai / CBUAE / Savills / Knight Frank-Moody’s / Reuters</t>
        </is>
      </c>
    </row>
    <row r="281">
      <c r="A281" t="n">
        <v>280</v>
      </c>
      <c r="B281" t="inlineStr">
        <is>
          <t>Studio One</t>
        </is>
      </c>
      <c r="C281" t="inlineStr">
        <is>
          <t>Select Group</t>
        </is>
      </c>
      <c r="D281" t="inlineStr">
        <is>
          <t>Dubai Marina</t>
        </is>
      </c>
      <c r="E281" t="inlineStr">
        <is>
          <t>Apartments</t>
        </is>
      </c>
      <c r="F281" t="inlineStr">
        <is>
          <t>Studio/1Bed Focus</t>
        </is>
      </c>
      <c r="G281" t="inlineStr">
        <is>
          <t>Resale (1.1M+)</t>
        </is>
      </c>
      <c r="H281" t="inlineStr">
        <is>
          <t>1800</t>
        </is>
      </c>
      <c r="I281" t="inlineStr">
        <is>
          <t>20</t>
        </is>
      </c>
      <c r="J281" t="inlineStr">
        <is>
          <t>Completed</t>
        </is>
      </c>
      <c r="K281" t="inlineStr">
        <is>
          <t>2019</t>
        </is>
      </c>
      <c r="L281" t="inlineStr">
        <is>
          <t>6.5-7.5</t>
        </is>
      </c>
      <c r="M281" t="inlineStr">
        <is>
          <t>5-7</t>
        </is>
      </c>
      <c r="N281" t="inlineStr">
        <is>
          <t>11.5-14.5</t>
        </is>
      </c>
      <c r="O281" t="inlineStr">
        <is>
          <t>American Univ. Dubai</t>
        </is>
      </c>
      <c r="P281" t="inlineStr">
        <is>
          <t>Saudi German Hospital</t>
        </is>
      </c>
      <c r="Q281" t="inlineStr">
        <is>
          <t>Dubai Marina Mall</t>
        </is>
      </c>
      <c r="R281" t="inlineStr">
        <is>
          <t>Sheikh Zayed E11</t>
        </is>
      </c>
      <c r="S281" t="inlineStr">
        <is>
          <t>20</t>
        </is>
      </c>
      <c r="T281" t="inlineStr">
        <is>
          <t>2</t>
        </is>
      </c>
      <c r="U281" t="inlineStr">
        <is>
          <t>25</t>
        </is>
      </c>
      <c r="V281" t="inlineStr">
        <is>
          <t>30</t>
        </is>
      </c>
      <c r="W281" t="n">
        <v>2</v>
      </c>
      <c r="X281" s="12" t="n">
        <v>1100000</v>
      </c>
      <c r="Y281" s="12" t="n">
        <v>1100000</v>
      </c>
      <c r="Z281" s="9" t="n">
        <v>6.5</v>
      </c>
      <c r="AA281" s="9" t="n">
        <v>7.5</v>
      </c>
      <c r="AB281" s="9" t="n">
        <v>5</v>
      </c>
      <c r="AC281" s="9" t="n">
        <v>7</v>
      </c>
      <c r="AD281" s="9" t="n">
        <v>11.5</v>
      </c>
      <c r="AE281" s="9" t="n">
        <v>14.5</v>
      </c>
      <c r="AF281" t="n">
        <v>2019</v>
      </c>
      <c r="AH281" t="inlineStr">
        <is>
          <t>Apartment</t>
        </is>
      </c>
      <c r="AI281" t="inlineStr">
        <is>
          <t>Prime</t>
        </is>
      </c>
      <c r="AJ281" t="inlineStr">
        <is>
          <t>Established</t>
        </is>
      </c>
      <c r="AK281" t="inlineStr">
        <is>
          <t>Prime resilient / selective</t>
        </is>
      </c>
      <c r="AL281" t="inlineStr">
        <is>
          <t>Better support from quality, branding, and scarcer prime stock; still entry-price sensitive.</t>
        </is>
      </c>
      <c r="AM281" s="9" t="n">
        <v>6</v>
      </c>
      <c r="AN281" s="9" t="n">
        <v>7</v>
      </c>
      <c r="AO281" s="10" t="n">
        <v>0.55</v>
      </c>
      <c r="AP281" s="13" t="n">
        <v>0.02</v>
      </c>
      <c r="AQ281" s="13" t="n">
        <v>0</v>
      </c>
      <c r="AR281" s="13" t="n">
        <v>0</v>
      </c>
      <c r="AS281" s="13" t="n">
        <v>0.03</v>
      </c>
      <c r="AT281" s="13" t="n">
        <v>0</v>
      </c>
      <c r="AU281" s="13" t="n">
        <v>0.0025</v>
      </c>
      <c r="AV281" s="13" t="n">
        <v>-0.005</v>
      </c>
      <c r="AW281" s="13" t="n">
        <v>0.05300000000000001</v>
      </c>
      <c r="AX281" s="13" t="n">
        <v>0.0275</v>
      </c>
      <c r="AY281" s="12" t="n">
        <v>1123551</v>
      </c>
      <c r="AZ281" s="12" t="n">
        <v>1158300</v>
      </c>
      <c r="BA281" s="12" t="n">
        <v>1193049</v>
      </c>
      <c r="BB281" s="12" t="n">
        <v>1155404</v>
      </c>
      <c r="BC281" s="12" t="n">
        <v>1190153</v>
      </c>
      <c r="BD281" s="12" t="n">
        <v>1224902</v>
      </c>
      <c r="BE281" s="12" t="n">
        <v>1222882</v>
      </c>
      <c r="BF281" t="inlineStr">
        <is>
          <t>Frozen values from same rules-based model as formula sheet.</t>
        </is>
      </c>
      <c r="BG281" t="inlineStr">
        <is>
          <t>2026-03-17</t>
        </is>
      </c>
      <c r="BH281" t="inlineStr">
        <is>
          <t>DLD / Digital Dubai / CBUAE / Savills / Knight Frank-Moody’s / Reuters</t>
        </is>
      </c>
    </row>
    <row r="282">
      <c r="A282" t="n">
        <v>281</v>
      </c>
      <c r="B282" t="inlineStr">
        <is>
          <t>The Torch</t>
        </is>
      </c>
      <c r="C282" t="inlineStr">
        <is>
          <t>Select Group</t>
        </is>
      </c>
      <c r="D282" t="inlineStr">
        <is>
          <t>Dubai Marina</t>
        </is>
      </c>
      <c r="E282" t="inlineStr">
        <is>
          <t>Apartments</t>
        </is>
      </c>
      <c r="F282" t="inlineStr">
        <is>
          <t>High-Rise</t>
        </is>
      </c>
      <c r="G282" t="inlineStr">
        <is>
          <t>Resale</t>
        </is>
      </c>
      <c r="H282" t="inlineStr">
        <is>
          <t>1400</t>
        </is>
      </c>
      <c r="I282" t="inlineStr">
        <is>
          <t>20</t>
        </is>
      </c>
      <c r="J282" t="inlineStr">
        <is>
          <t>Completed</t>
        </is>
      </c>
      <c r="K282" t="inlineStr">
        <is>
          <t>2011</t>
        </is>
      </c>
      <c r="L282" t="inlineStr">
        <is>
          <t>7.0-7.5</t>
        </is>
      </c>
      <c r="M282" t="inlineStr">
        <is>
          <t>4-6</t>
        </is>
      </c>
      <c r="N282" t="inlineStr">
        <is>
          <t>11.0-13.5</t>
        </is>
      </c>
      <c r="O282" t="inlineStr">
        <is>
          <t>American Univ. Dubai</t>
        </is>
      </c>
      <c r="P282" t="inlineStr">
        <is>
          <t>Saudi German Hospital</t>
        </is>
      </c>
      <c r="Q282" t="inlineStr">
        <is>
          <t>Dubai Marina Mall</t>
        </is>
      </c>
      <c r="R282" t="inlineStr">
        <is>
          <t>Sheikh Zayed E11</t>
        </is>
      </c>
      <c r="S282" t="inlineStr">
        <is>
          <t>20</t>
        </is>
      </c>
      <c r="T282" t="inlineStr">
        <is>
          <t>2</t>
        </is>
      </c>
      <c r="U282" t="inlineStr">
        <is>
          <t>25</t>
        </is>
      </c>
      <c r="V282" t="inlineStr">
        <is>
          <t>30</t>
        </is>
      </c>
      <c r="W282" t="n">
        <v>2</v>
      </c>
      <c r="X282" s="12" t="n"/>
      <c r="Y282" s="12" t="n"/>
      <c r="Z282" s="9" t="n">
        <v>7</v>
      </c>
      <c r="AA282" s="9" t="n">
        <v>7.5</v>
      </c>
      <c r="AB282" s="9" t="n">
        <v>4</v>
      </c>
      <c r="AC282" s="9" t="n">
        <v>6</v>
      </c>
      <c r="AD282" s="9" t="n">
        <v>11</v>
      </c>
      <c r="AE282" s="9" t="n">
        <v>13.5</v>
      </c>
      <c r="AF282" t="n">
        <v>2011</v>
      </c>
      <c r="AH282" t="inlineStr">
        <is>
          <t>Apartment</t>
        </is>
      </c>
      <c r="AI282" t="inlineStr">
        <is>
          <t>Prime</t>
        </is>
      </c>
      <c r="AJ282" t="inlineStr">
        <is>
          <t>Established</t>
        </is>
      </c>
      <c r="AK282" t="inlineStr">
        <is>
          <t>Prime resilient / selective</t>
        </is>
      </c>
      <c r="AL282" t="inlineStr">
        <is>
          <t>Better support from quality, branding, and scarcer prime stock; still entry-price sensitive.</t>
        </is>
      </c>
      <c r="AM282" s="9" t="n">
        <v>5</v>
      </c>
      <c r="AN282" s="9" t="n">
        <v>7.25</v>
      </c>
      <c r="AO282" s="10" t="n">
        <v>0.55</v>
      </c>
      <c r="AP282" s="13" t="n">
        <v>0.02</v>
      </c>
      <c r="AQ282" s="13" t="n">
        <v>0</v>
      </c>
      <c r="AR282" s="13" t="n">
        <v>0</v>
      </c>
      <c r="AS282" s="13" t="n">
        <v>0.03</v>
      </c>
      <c r="AT282" s="13" t="n">
        <v>0</v>
      </c>
      <c r="AU282" s="13" t="n">
        <v>0.0025</v>
      </c>
      <c r="AV282" s="13" t="n">
        <v>-0.005</v>
      </c>
      <c r="AW282" s="13" t="n">
        <v>0.0475</v>
      </c>
      <c r="AX282" s="13" t="n">
        <v>0.0275</v>
      </c>
      <c r="AY282" s="12" t="n"/>
      <c r="AZ282" s="12" t="n"/>
      <c r="BA282" s="12" t="n"/>
      <c r="BB282" s="12" t="n"/>
      <c r="BC282" s="12" t="n"/>
      <c r="BD282" s="12" t="n"/>
      <c r="BE282" s="12" t="n"/>
      <c r="BF282" t="inlineStr">
        <is>
          <t>Frozen values from same rules-based model as formula sheet.</t>
        </is>
      </c>
      <c r="BG282" t="inlineStr">
        <is>
          <t>2026-03-17</t>
        </is>
      </c>
      <c r="BH282" t="inlineStr">
        <is>
          <t>DLD / Digital Dubai / CBUAE / Savills / Knight Frank-Moody’s / Reuters</t>
        </is>
      </c>
    </row>
    <row r="283">
      <c r="A283" t="n">
        <v>282</v>
      </c>
      <c r="B283" t="inlineStr">
        <is>
          <t>No.9</t>
        </is>
      </c>
      <c r="C283" t="inlineStr">
        <is>
          <t>Select Group</t>
        </is>
      </c>
      <c r="D283" t="inlineStr">
        <is>
          <t>Dubai Marina</t>
        </is>
      </c>
      <c r="E283" t="inlineStr">
        <is>
          <t>Apartments</t>
        </is>
      </c>
      <c r="F283" t="inlineStr">
        <is>
          <t>Waterfront</t>
        </is>
      </c>
      <c r="G283" t="inlineStr">
        <is>
          <t>Resale</t>
        </is>
      </c>
      <c r="H283" t="inlineStr">
        <is>
          <t>1600</t>
        </is>
      </c>
      <c r="I283" t="inlineStr">
        <is>
          <t>20</t>
        </is>
      </c>
      <c r="J283" t="inlineStr">
        <is>
          <t>Completed</t>
        </is>
      </c>
      <c r="K283" t="inlineStr">
        <is>
          <t>2018</t>
        </is>
      </c>
      <c r="L283" t="inlineStr">
        <is>
          <t>6.5-7.0</t>
        </is>
      </c>
      <c r="M283" t="inlineStr">
        <is>
          <t>5-7</t>
        </is>
      </c>
      <c r="N283" t="inlineStr">
        <is>
          <t>11.5-14.0</t>
        </is>
      </c>
      <c r="O283" t="inlineStr">
        <is>
          <t>American Univ. Dubai</t>
        </is>
      </c>
      <c r="P283" t="inlineStr">
        <is>
          <t>Saudi German Hospital</t>
        </is>
      </c>
      <c r="Q283" t="inlineStr">
        <is>
          <t>Dubai Marina Mall</t>
        </is>
      </c>
      <c r="R283" t="inlineStr">
        <is>
          <t>Sheikh Zayed E11</t>
        </is>
      </c>
      <c r="S283" t="inlineStr">
        <is>
          <t>20</t>
        </is>
      </c>
      <c r="T283" t="inlineStr">
        <is>
          <t>2</t>
        </is>
      </c>
      <c r="U283" t="inlineStr">
        <is>
          <t>25</t>
        </is>
      </c>
      <c r="V283" t="inlineStr">
        <is>
          <t>30</t>
        </is>
      </c>
      <c r="W283" t="n">
        <v>2</v>
      </c>
      <c r="X283" s="12" t="n"/>
      <c r="Y283" s="12" t="n"/>
      <c r="Z283" s="9" t="n">
        <v>6.5</v>
      </c>
      <c r="AA283" s="9" t="n">
        <v>7</v>
      </c>
      <c r="AB283" s="9" t="n">
        <v>5</v>
      </c>
      <c r="AC283" s="9" t="n">
        <v>7</v>
      </c>
      <c r="AD283" s="9" t="n">
        <v>11.5</v>
      </c>
      <c r="AE283" s="9" t="n">
        <v>14</v>
      </c>
      <c r="AF283" t="n">
        <v>2018</v>
      </c>
      <c r="AH283" t="inlineStr">
        <is>
          <t>Apartment</t>
        </is>
      </c>
      <c r="AI283" t="inlineStr">
        <is>
          <t>Prime</t>
        </is>
      </c>
      <c r="AJ283" t="inlineStr">
        <is>
          <t>Established</t>
        </is>
      </c>
      <c r="AK283" t="inlineStr">
        <is>
          <t>Prime resilient / selective</t>
        </is>
      </c>
      <c r="AL283" t="inlineStr">
        <is>
          <t>Better support from quality, branding, and scarcer prime stock; still entry-price sensitive.</t>
        </is>
      </c>
      <c r="AM283" s="9" t="n">
        <v>6</v>
      </c>
      <c r="AN283" s="9" t="n">
        <v>6.75</v>
      </c>
      <c r="AO283" s="10" t="n">
        <v>0.55</v>
      </c>
      <c r="AP283" s="13" t="n">
        <v>0.02</v>
      </c>
      <c r="AQ283" s="13" t="n">
        <v>0</v>
      </c>
      <c r="AR283" s="13" t="n">
        <v>0</v>
      </c>
      <c r="AS283" s="13" t="n">
        <v>0.03</v>
      </c>
      <c r="AT283" s="13" t="n">
        <v>0</v>
      </c>
      <c r="AU283" s="13" t="n">
        <v>0.0025</v>
      </c>
      <c r="AV283" s="13" t="n">
        <v>-0.005</v>
      </c>
      <c r="AW283" s="13" t="n">
        <v>0.05300000000000001</v>
      </c>
      <c r="AX283" s="13" t="n">
        <v>0.0275</v>
      </c>
      <c r="AY283" s="12" t="n"/>
      <c r="AZ283" s="12" t="n"/>
      <c r="BA283" s="12" t="n"/>
      <c r="BB283" s="12" t="n"/>
      <c r="BC283" s="12" t="n"/>
      <c r="BD283" s="12" t="n"/>
      <c r="BE283" s="12" t="n"/>
      <c r="BF283" t="inlineStr">
        <is>
          <t>Frozen values from same rules-based model as formula sheet.</t>
        </is>
      </c>
      <c r="BG283" t="inlineStr">
        <is>
          <t>2026-03-17</t>
        </is>
      </c>
      <c r="BH283" t="inlineStr">
        <is>
          <t>DLD / Digital Dubai / CBUAE / Savills / Knight Frank-Moody’s / Reuters</t>
        </is>
      </c>
    </row>
    <row r="284">
      <c r="A284" t="n">
        <v>283</v>
      </c>
      <c r="B284" t="inlineStr">
        <is>
          <t>Botanica</t>
        </is>
      </c>
      <c r="C284" t="inlineStr">
        <is>
          <t>Select Group</t>
        </is>
      </c>
      <c r="D284" t="inlineStr">
        <is>
          <t>Dubai Marina</t>
        </is>
      </c>
      <c r="E284" t="inlineStr">
        <is>
          <t>Apartments</t>
        </is>
      </c>
      <c r="F284" t="inlineStr">
        <is>
          <t>Green / Tower</t>
        </is>
      </c>
      <c r="G284" t="inlineStr">
        <is>
          <t>Resale</t>
        </is>
      </c>
      <c r="H284" t="inlineStr">
        <is>
          <t>1500</t>
        </is>
      </c>
      <c r="I284" t="inlineStr">
        <is>
          <t>20</t>
        </is>
      </c>
      <c r="J284" t="inlineStr">
        <is>
          <t>Completed</t>
        </is>
      </c>
      <c r="K284" t="inlineStr">
        <is>
          <t>2011</t>
        </is>
      </c>
      <c r="L284" t="inlineStr">
        <is>
          <t>6.5-7.0</t>
        </is>
      </c>
      <c r="M284" t="inlineStr">
        <is>
          <t>4-6</t>
        </is>
      </c>
      <c r="N284" t="inlineStr">
        <is>
          <t>10.5-13.0</t>
        </is>
      </c>
      <c r="O284" t="inlineStr">
        <is>
          <t>American Univ. Dubai</t>
        </is>
      </c>
      <c r="P284" t="inlineStr">
        <is>
          <t>Saudi German Hospital</t>
        </is>
      </c>
      <c r="Q284" t="inlineStr">
        <is>
          <t>Dubai Marina Mall</t>
        </is>
      </c>
      <c r="R284" t="inlineStr">
        <is>
          <t>Sheikh Zayed E11</t>
        </is>
      </c>
      <c r="S284" t="inlineStr">
        <is>
          <t>20</t>
        </is>
      </c>
      <c r="T284" t="inlineStr">
        <is>
          <t>2</t>
        </is>
      </c>
      <c r="U284" t="inlineStr">
        <is>
          <t>25</t>
        </is>
      </c>
      <c r="V284" t="inlineStr">
        <is>
          <t>30</t>
        </is>
      </c>
      <c r="W284" t="n">
        <v>2</v>
      </c>
      <c r="X284" s="12" t="n"/>
      <c r="Y284" s="12" t="n"/>
      <c r="Z284" s="9" t="n">
        <v>6.5</v>
      </c>
      <c r="AA284" s="9" t="n">
        <v>7</v>
      </c>
      <c r="AB284" s="9" t="n">
        <v>4</v>
      </c>
      <c r="AC284" s="9" t="n">
        <v>6</v>
      </c>
      <c r="AD284" s="9" t="n">
        <v>10.5</v>
      </c>
      <c r="AE284" s="9" t="n">
        <v>13</v>
      </c>
      <c r="AF284" t="n">
        <v>2011</v>
      </c>
      <c r="AH284" t="inlineStr">
        <is>
          <t>Apartment</t>
        </is>
      </c>
      <c r="AI284" t="inlineStr">
        <is>
          <t>Prime</t>
        </is>
      </c>
      <c r="AJ284" t="inlineStr">
        <is>
          <t>Established</t>
        </is>
      </c>
      <c r="AK284" t="inlineStr">
        <is>
          <t>Prime resilient / selective</t>
        </is>
      </c>
      <c r="AL284" t="inlineStr">
        <is>
          <t>Better support from quality, branding, and scarcer prime stock; still entry-price sensitive.</t>
        </is>
      </c>
      <c r="AM284" s="9" t="n">
        <v>5</v>
      </c>
      <c r="AN284" s="9" t="n">
        <v>6.75</v>
      </c>
      <c r="AO284" s="10" t="n">
        <v>0.55</v>
      </c>
      <c r="AP284" s="13" t="n">
        <v>0.02</v>
      </c>
      <c r="AQ284" s="13" t="n">
        <v>0</v>
      </c>
      <c r="AR284" s="13" t="n">
        <v>0</v>
      </c>
      <c r="AS284" s="13" t="n">
        <v>0.03</v>
      </c>
      <c r="AT284" s="13" t="n">
        <v>0</v>
      </c>
      <c r="AU284" s="13" t="n">
        <v>0.0025</v>
      </c>
      <c r="AV284" s="13" t="n">
        <v>-0.005</v>
      </c>
      <c r="AW284" s="13" t="n">
        <v>0.0475</v>
      </c>
      <c r="AX284" s="13" t="n">
        <v>0.0275</v>
      </c>
      <c r="AY284" s="12" t="n"/>
      <c r="AZ284" s="12" t="n"/>
      <c r="BA284" s="12" t="n"/>
      <c r="BB284" s="12" t="n"/>
      <c r="BC284" s="12" t="n"/>
      <c r="BD284" s="12" t="n"/>
      <c r="BE284" s="12" t="n"/>
      <c r="BF284" t="inlineStr">
        <is>
          <t>Frozen values from same rules-based model as formula sheet.</t>
        </is>
      </c>
      <c r="BG284" t="inlineStr">
        <is>
          <t>2026-03-17</t>
        </is>
      </c>
      <c r="BH284" t="inlineStr">
        <is>
          <t>DLD / Digital Dubai / CBUAE / Savills / Knight Frank-Moody’s / Reuters</t>
        </is>
      </c>
    </row>
    <row r="285">
      <c r="A285" t="n">
        <v>284</v>
      </c>
      <c r="B285" t="inlineStr">
        <is>
          <t>Six Senses Residences The Palm</t>
        </is>
      </c>
      <c r="C285" t="inlineStr">
        <is>
          <t>Select Group</t>
        </is>
      </c>
      <c r="D285" t="inlineStr">
        <is>
          <t>Palm Jumeirah</t>
        </is>
      </c>
      <c r="E285" t="inlineStr">
        <is>
          <t>Branded Villas/Apts</t>
        </is>
      </c>
      <c r="F285" t="inlineStr">
        <is>
          <t>Ultra-Luxury / Wellness</t>
        </is>
      </c>
      <c r="G285" t="inlineStr">
        <is>
          <t>25M+</t>
        </is>
      </c>
      <c r="H285" t="inlineStr">
        <is>
          <t>5000</t>
        </is>
      </c>
      <c r="I285" t="inlineStr">
        <is>
          <t>40+</t>
        </is>
      </c>
      <c r="J285" t="inlineStr">
        <is>
          <t>60/40</t>
        </is>
      </c>
      <c r="K285" t="inlineStr">
        <is>
          <t>2022</t>
        </is>
      </c>
      <c r="L285" t="inlineStr">
        <is>
          <t>3.5-4.0</t>
        </is>
      </c>
      <c r="M285" t="inlineStr">
        <is>
          <t>8-12</t>
        </is>
      </c>
      <c r="N285" t="inlineStr">
        <is>
          <t>11.5-16.0</t>
        </is>
      </c>
      <c r="O285" t="inlineStr">
        <is>
          <t>Chevalier College</t>
        </is>
      </c>
      <c r="P285" t="inlineStr">
        <is>
          <t>Emirates Hospital</t>
        </is>
      </c>
      <c r="Q285" t="inlineStr">
        <is>
          <t>Nakheel Mall</t>
        </is>
      </c>
      <c r="R285" t="inlineStr">
        <is>
          <t>Sheikh Zayed E11</t>
        </is>
      </c>
      <c r="S285" t="inlineStr">
        <is>
          <t>20</t>
        </is>
      </c>
      <c r="T285" t="inlineStr">
        <is>
          <t>10</t>
        </is>
      </c>
      <c r="U285" t="inlineStr">
        <is>
          <t>25</t>
        </is>
      </c>
      <c r="V285" t="inlineStr">
        <is>
          <t>35</t>
        </is>
      </c>
      <c r="W285" t="n">
        <v>2</v>
      </c>
      <c r="X285" s="12" t="n">
        <v>25000000</v>
      </c>
      <c r="Y285" s="12" t="n">
        <v>25000000</v>
      </c>
      <c r="Z285" s="9" t="n">
        <v>3.5</v>
      </c>
      <c r="AA285" s="9" t="n">
        <v>4</v>
      </c>
      <c r="AB285" s="9" t="n">
        <v>8</v>
      </c>
      <c r="AC285" s="9" t="n">
        <v>12</v>
      </c>
      <c r="AD285" s="9" t="n">
        <v>11.5</v>
      </c>
      <c r="AE285" s="9" t="n">
        <v>16</v>
      </c>
      <c r="AF285" t="n">
        <v>2022</v>
      </c>
      <c r="AH285" t="inlineStr">
        <is>
          <t>Villa</t>
        </is>
      </c>
      <c r="AI285" t="inlineStr">
        <is>
          <t>Prime</t>
        </is>
      </c>
      <c r="AJ285" t="inlineStr">
        <is>
          <t>Established</t>
        </is>
      </c>
      <c r="AK285" t="inlineStr">
        <is>
          <t>Prime resilient / selective</t>
        </is>
      </c>
      <c r="AL285" t="inlineStr">
        <is>
          <t>Better support from quality, branding, and scarcer prime stock; still entry-price sensitive.</t>
        </is>
      </c>
      <c r="AM285" s="9" t="n">
        <v>10</v>
      </c>
      <c r="AN285" s="9" t="n">
        <v>3.75</v>
      </c>
      <c r="AO285" s="10" t="n">
        <v>0.55</v>
      </c>
      <c r="AP285" s="13" t="n">
        <v>0.02</v>
      </c>
      <c r="AQ285" s="13" t="n">
        <v>0.015</v>
      </c>
      <c r="AR285" s="13" t="n">
        <v>0</v>
      </c>
      <c r="AS285" s="13" t="n">
        <v>0.03</v>
      </c>
      <c r="AT285" s="13" t="n">
        <v>0</v>
      </c>
      <c r="AU285" s="13" t="n">
        <v>0</v>
      </c>
      <c r="AV285" s="13" t="n">
        <v>-0.005</v>
      </c>
      <c r="AW285" s="13" t="n">
        <v>0.09000000000000001</v>
      </c>
      <c r="AX285" s="13" t="n">
        <v>0.025</v>
      </c>
      <c r="AY285" s="12" t="n">
        <v>26432500</v>
      </c>
      <c r="AZ285" s="12" t="n">
        <v>27250000</v>
      </c>
      <c r="BA285" s="12" t="n">
        <v>28067500</v>
      </c>
      <c r="BB285" s="12" t="n">
        <v>27113750</v>
      </c>
      <c r="BC285" s="12" t="n">
        <v>27931250</v>
      </c>
      <c r="BD285" s="12" t="n">
        <v>28748750</v>
      </c>
      <c r="BE285" s="12" t="n">
        <v>28629531</v>
      </c>
      <c r="BF285" t="inlineStr">
        <is>
          <t>Frozen values from same rules-based model as formula sheet.</t>
        </is>
      </c>
      <c r="BG285" t="inlineStr">
        <is>
          <t>2026-03-17</t>
        </is>
      </c>
      <c r="BH285" t="inlineStr">
        <is>
          <t>DLD / Digital Dubai / CBUAE / Savills / Knight Frank-Moody’s / Reuters</t>
        </is>
      </c>
    </row>
    <row r="286">
      <c r="A286" t="n">
        <v>285</v>
      </c>
      <c r="B286" t="inlineStr">
        <is>
          <t>Peninsula One</t>
        </is>
      </c>
      <c r="C286" t="inlineStr">
        <is>
          <t>Select Group</t>
        </is>
      </c>
      <c r="D286" t="inlineStr">
        <is>
          <t>Business Bay</t>
        </is>
      </c>
      <c r="E286" t="inlineStr">
        <is>
          <t>Apartments</t>
        </is>
      </c>
      <c r="F286" t="inlineStr">
        <is>
          <t>Canal / City</t>
        </is>
      </c>
      <c r="G286" t="inlineStr">
        <is>
          <t>1.8M</t>
        </is>
      </c>
      <c r="H286" t="inlineStr">
        <is>
          <t>2000</t>
        </is>
      </c>
      <c r="I286" t="inlineStr">
        <is>
          <t>22</t>
        </is>
      </c>
      <c r="J286" t="inlineStr">
        <is>
          <t>60/40</t>
        </is>
      </c>
      <c r="K286" t="inlineStr">
        <is>
          <t>2021</t>
        </is>
      </c>
      <c r="L286" t="inlineStr">
        <is>
          <t>6.5-7.0</t>
        </is>
      </c>
      <c r="M286" t="inlineStr">
        <is>
          <t>6-8</t>
        </is>
      </c>
      <c r="N286" t="inlineStr">
        <is>
          <t>12.5-15.0</t>
        </is>
      </c>
      <c r="O286" t="inlineStr">
        <is>
          <t>Hartland Intl</t>
        </is>
      </c>
      <c r="P286" t="inlineStr">
        <is>
          <t>Emirates Hospital BB</t>
        </is>
      </c>
      <c r="Q286" t="inlineStr">
        <is>
          <t>Dubai Mall</t>
        </is>
      </c>
      <c r="R286" t="inlineStr">
        <is>
          <t>Al Khail E44</t>
        </is>
      </c>
      <c r="S286" t="inlineStr">
        <is>
          <t>5</t>
        </is>
      </c>
      <c r="T286" t="inlineStr">
        <is>
          <t>20</t>
        </is>
      </c>
      <c r="U286" t="inlineStr">
        <is>
          <t>15</t>
        </is>
      </c>
      <c r="V286" t="inlineStr">
        <is>
          <t>35</t>
        </is>
      </c>
      <c r="W286" t="n">
        <v>2</v>
      </c>
      <c r="X286" s="12" t="n">
        <v>1800000</v>
      </c>
      <c r="Y286" s="12" t="n">
        <v>1800000</v>
      </c>
      <c r="Z286" s="9" t="n">
        <v>6.5</v>
      </c>
      <c r="AA286" s="9" t="n">
        <v>7</v>
      </c>
      <c r="AB286" s="9" t="n">
        <v>6</v>
      </c>
      <c r="AC286" s="9" t="n">
        <v>8</v>
      </c>
      <c r="AD286" s="9" t="n">
        <v>12.5</v>
      </c>
      <c r="AE286" s="9" t="n">
        <v>15</v>
      </c>
      <c r="AF286" t="n">
        <v>2021</v>
      </c>
      <c r="AH286" t="inlineStr">
        <is>
          <t>Apartment</t>
        </is>
      </c>
      <c r="AI286" t="inlineStr">
        <is>
          <t>Prime</t>
        </is>
      </c>
      <c r="AJ286" t="inlineStr">
        <is>
          <t>Established</t>
        </is>
      </c>
      <c r="AK286" t="inlineStr">
        <is>
          <t>Prime resilient / selective</t>
        </is>
      </c>
      <c r="AL286" t="inlineStr">
        <is>
          <t>Better support from quality, branding, and scarcer prime stock; still entry-price sensitive.</t>
        </is>
      </c>
      <c r="AM286" s="9" t="n">
        <v>7</v>
      </c>
      <c r="AN286" s="9" t="n">
        <v>6.75</v>
      </c>
      <c r="AO286" s="10" t="n">
        <v>0.55</v>
      </c>
      <c r="AP286" s="13" t="n">
        <v>0.02</v>
      </c>
      <c r="AQ286" s="13" t="n">
        <v>0</v>
      </c>
      <c r="AR286" s="13" t="n">
        <v>0</v>
      </c>
      <c r="AS286" s="13" t="n">
        <v>0.03</v>
      </c>
      <c r="AT286" s="13" t="n">
        <v>0</v>
      </c>
      <c r="AU286" s="13" t="n">
        <v>0.0025</v>
      </c>
      <c r="AV286" s="13" t="n">
        <v>-0.005</v>
      </c>
      <c r="AW286" s="13" t="n">
        <v>0.05850000000000001</v>
      </c>
      <c r="AX286" s="13" t="n">
        <v>0.0275</v>
      </c>
      <c r="AY286" s="12" t="n">
        <v>1848141</v>
      </c>
      <c r="AZ286" s="12" t="n">
        <v>1905300</v>
      </c>
      <c r="BA286" s="12" t="n">
        <v>1962459</v>
      </c>
      <c r="BB286" s="12" t="n">
        <v>1900537</v>
      </c>
      <c r="BC286" s="12" t="n">
        <v>1957696</v>
      </c>
      <c r="BD286" s="12" t="n">
        <v>2014855</v>
      </c>
      <c r="BE286" s="12" t="n">
        <v>2011532</v>
      </c>
      <c r="BF286" t="inlineStr">
        <is>
          <t>Frozen values from same rules-based model as formula sheet.</t>
        </is>
      </c>
      <c r="BG286" t="inlineStr">
        <is>
          <t>2026-03-17</t>
        </is>
      </c>
      <c r="BH286" t="inlineStr">
        <is>
          <t>DLD / Digital Dubai / CBUAE / Savills / Knight Frank-Moody’s / Reuters</t>
        </is>
      </c>
    </row>
    <row r="287">
      <c r="A287" t="n">
        <v>286</v>
      </c>
      <c r="B287" t="inlineStr">
        <is>
          <t>Peninsula Two</t>
        </is>
      </c>
      <c r="C287" t="inlineStr">
        <is>
          <t>Select Group</t>
        </is>
      </c>
      <c r="D287" t="inlineStr">
        <is>
          <t>Business Bay</t>
        </is>
      </c>
      <c r="E287" t="inlineStr">
        <is>
          <t>Apartments</t>
        </is>
      </c>
      <c r="F287" t="inlineStr">
        <is>
          <t>Canal / City</t>
        </is>
      </c>
      <c r="G287" t="inlineStr">
        <is>
          <t>1.8M</t>
        </is>
      </c>
      <c r="H287" t="inlineStr">
        <is>
          <t>2000</t>
        </is>
      </c>
      <c r="I287" t="inlineStr">
        <is>
          <t>22</t>
        </is>
      </c>
      <c r="J287" t="inlineStr">
        <is>
          <t>60/40</t>
        </is>
      </c>
      <c r="K287" t="inlineStr">
        <is>
          <t>2021</t>
        </is>
      </c>
      <c r="L287" t="inlineStr">
        <is>
          <t>6.5-7.0</t>
        </is>
      </c>
      <c r="M287" t="inlineStr">
        <is>
          <t>6-8</t>
        </is>
      </c>
      <c r="N287" t="inlineStr">
        <is>
          <t>12.5-15.0</t>
        </is>
      </c>
      <c r="O287" t="inlineStr">
        <is>
          <t>Hartland Intl</t>
        </is>
      </c>
      <c r="P287" t="inlineStr">
        <is>
          <t>Emirates Hospital BB</t>
        </is>
      </c>
      <c r="Q287" t="inlineStr">
        <is>
          <t>Dubai Mall</t>
        </is>
      </c>
      <c r="R287" t="inlineStr">
        <is>
          <t>Al Khail E44</t>
        </is>
      </c>
      <c r="S287" t="inlineStr">
        <is>
          <t>5</t>
        </is>
      </c>
      <c r="T287" t="inlineStr">
        <is>
          <t>20</t>
        </is>
      </c>
      <c r="U287" t="inlineStr">
        <is>
          <t>15</t>
        </is>
      </c>
      <c r="V287" t="inlineStr">
        <is>
          <t>35</t>
        </is>
      </c>
      <c r="W287" t="n">
        <v>2</v>
      </c>
      <c r="X287" s="12" t="n">
        <v>1800000</v>
      </c>
      <c r="Y287" s="12" t="n">
        <v>1800000</v>
      </c>
      <c r="Z287" s="9" t="n">
        <v>6.5</v>
      </c>
      <c r="AA287" s="9" t="n">
        <v>7</v>
      </c>
      <c r="AB287" s="9" t="n">
        <v>6</v>
      </c>
      <c r="AC287" s="9" t="n">
        <v>8</v>
      </c>
      <c r="AD287" s="9" t="n">
        <v>12.5</v>
      </c>
      <c r="AE287" s="9" t="n">
        <v>15</v>
      </c>
      <c r="AF287" t="n">
        <v>2021</v>
      </c>
      <c r="AH287" t="inlineStr">
        <is>
          <t>Apartment</t>
        </is>
      </c>
      <c r="AI287" t="inlineStr">
        <is>
          <t>Prime</t>
        </is>
      </c>
      <c r="AJ287" t="inlineStr">
        <is>
          <t>Established</t>
        </is>
      </c>
      <c r="AK287" t="inlineStr">
        <is>
          <t>Prime resilient / selective</t>
        </is>
      </c>
      <c r="AL287" t="inlineStr">
        <is>
          <t>Better support from quality, branding, and scarcer prime stock; still entry-price sensitive.</t>
        </is>
      </c>
      <c r="AM287" s="9" t="n">
        <v>7</v>
      </c>
      <c r="AN287" s="9" t="n">
        <v>6.75</v>
      </c>
      <c r="AO287" s="10" t="n">
        <v>0.55</v>
      </c>
      <c r="AP287" s="13" t="n">
        <v>0.02</v>
      </c>
      <c r="AQ287" s="13" t="n">
        <v>0</v>
      </c>
      <c r="AR287" s="13" t="n">
        <v>0</v>
      </c>
      <c r="AS287" s="13" t="n">
        <v>0.03</v>
      </c>
      <c r="AT287" s="13" t="n">
        <v>0</v>
      </c>
      <c r="AU287" s="13" t="n">
        <v>0.0025</v>
      </c>
      <c r="AV287" s="13" t="n">
        <v>-0.005</v>
      </c>
      <c r="AW287" s="13" t="n">
        <v>0.05850000000000001</v>
      </c>
      <c r="AX287" s="13" t="n">
        <v>0.0275</v>
      </c>
      <c r="AY287" s="12" t="n">
        <v>1848141</v>
      </c>
      <c r="AZ287" s="12" t="n">
        <v>1905300</v>
      </c>
      <c r="BA287" s="12" t="n">
        <v>1962459</v>
      </c>
      <c r="BB287" s="12" t="n">
        <v>1900537</v>
      </c>
      <c r="BC287" s="12" t="n">
        <v>1957696</v>
      </c>
      <c r="BD287" s="12" t="n">
        <v>2014855</v>
      </c>
      <c r="BE287" s="12" t="n">
        <v>2011532</v>
      </c>
      <c r="BF287" t="inlineStr">
        <is>
          <t>Frozen values from same rules-based model as formula sheet.</t>
        </is>
      </c>
      <c r="BG287" t="inlineStr">
        <is>
          <t>2026-03-17</t>
        </is>
      </c>
      <c r="BH287" t="inlineStr">
        <is>
          <t>DLD / Digital Dubai / CBUAE / Savills / Knight Frank-Moody’s / Reuters</t>
        </is>
      </c>
    </row>
    <row r="288">
      <c r="A288" t="n">
        <v>287</v>
      </c>
      <c r="B288" t="inlineStr">
        <is>
          <t>Peninsula Three</t>
        </is>
      </c>
      <c r="C288" t="inlineStr">
        <is>
          <t>Select Group</t>
        </is>
      </c>
      <c r="D288" t="inlineStr">
        <is>
          <t>Business Bay</t>
        </is>
      </c>
      <c r="E288" t="inlineStr">
        <is>
          <t>Apartments</t>
        </is>
      </c>
      <c r="F288" t="inlineStr">
        <is>
          <t>Canal / City</t>
        </is>
      </c>
      <c r="G288" t="inlineStr">
        <is>
          <t>1.9M</t>
        </is>
      </c>
      <c r="H288" t="inlineStr">
        <is>
          <t>2100</t>
        </is>
      </c>
      <c r="I288" t="inlineStr">
        <is>
          <t>22</t>
        </is>
      </c>
      <c r="J288" t="inlineStr">
        <is>
          <t>60/40</t>
        </is>
      </c>
      <c r="K288" t="inlineStr">
        <is>
          <t>2022</t>
        </is>
      </c>
      <c r="L288" t="inlineStr">
        <is>
          <t>6.5-7.0</t>
        </is>
      </c>
      <c r="M288" t="inlineStr">
        <is>
          <t>6-8</t>
        </is>
      </c>
      <c r="N288" t="inlineStr">
        <is>
          <t>12.5-15.0</t>
        </is>
      </c>
      <c r="O288" t="inlineStr">
        <is>
          <t>Hartland Intl</t>
        </is>
      </c>
      <c r="P288" t="inlineStr">
        <is>
          <t>Emirates Hospital BB</t>
        </is>
      </c>
      <c r="Q288" t="inlineStr">
        <is>
          <t>Dubai Mall</t>
        </is>
      </c>
      <c r="R288" t="inlineStr">
        <is>
          <t>Al Khail E44</t>
        </is>
      </c>
      <c r="S288" t="inlineStr">
        <is>
          <t>5</t>
        </is>
      </c>
      <c r="T288" t="inlineStr">
        <is>
          <t>20</t>
        </is>
      </c>
      <c r="U288" t="inlineStr">
        <is>
          <t>15</t>
        </is>
      </c>
      <c r="V288" t="inlineStr">
        <is>
          <t>35</t>
        </is>
      </c>
      <c r="W288" t="n">
        <v>2</v>
      </c>
      <c r="X288" s="12" t="n">
        <v>1900000</v>
      </c>
      <c r="Y288" s="12" t="n">
        <v>1900000</v>
      </c>
      <c r="Z288" s="9" t="n">
        <v>6.5</v>
      </c>
      <c r="AA288" s="9" t="n">
        <v>7</v>
      </c>
      <c r="AB288" s="9" t="n">
        <v>6</v>
      </c>
      <c r="AC288" s="9" t="n">
        <v>8</v>
      </c>
      <c r="AD288" s="9" t="n">
        <v>12.5</v>
      </c>
      <c r="AE288" s="9" t="n">
        <v>15</v>
      </c>
      <c r="AF288" t="n">
        <v>2022</v>
      </c>
      <c r="AH288" t="inlineStr">
        <is>
          <t>Apartment</t>
        </is>
      </c>
      <c r="AI288" t="inlineStr">
        <is>
          <t>Prime</t>
        </is>
      </c>
      <c r="AJ288" t="inlineStr">
        <is>
          <t>Established</t>
        </is>
      </c>
      <c r="AK288" t="inlineStr">
        <is>
          <t>Prime resilient / selective</t>
        </is>
      </c>
      <c r="AL288" t="inlineStr">
        <is>
          <t>Better support from quality, branding, and scarcer prime stock; still entry-price sensitive.</t>
        </is>
      </c>
      <c r="AM288" s="9" t="n">
        <v>7</v>
      </c>
      <c r="AN288" s="9" t="n">
        <v>6.75</v>
      </c>
      <c r="AO288" s="10" t="n">
        <v>0.55</v>
      </c>
      <c r="AP288" s="13" t="n">
        <v>0.02</v>
      </c>
      <c r="AQ288" s="13" t="n">
        <v>0</v>
      </c>
      <c r="AR288" s="13" t="n">
        <v>0</v>
      </c>
      <c r="AS288" s="13" t="n">
        <v>0.03</v>
      </c>
      <c r="AT288" s="13" t="n">
        <v>0</v>
      </c>
      <c r="AU288" s="13" t="n">
        <v>0.0025</v>
      </c>
      <c r="AV288" s="13" t="n">
        <v>-0.005</v>
      </c>
      <c r="AW288" s="13" t="n">
        <v>0.05850000000000001</v>
      </c>
      <c r="AX288" s="13" t="n">
        <v>0.0275</v>
      </c>
      <c r="AY288" s="12" t="n">
        <v>1950816</v>
      </c>
      <c r="AZ288" s="12" t="n">
        <v>2011150</v>
      </c>
      <c r="BA288" s="12" t="n">
        <v>2071484</v>
      </c>
      <c r="BB288" s="12" t="n">
        <v>2006122</v>
      </c>
      <c r="BC288" s="12" t="n">
        <v>2066457</v>
      </c>
      <c r="BD288" s="12" t="n">
        <v>2126791</v>
      </c>
      <c r="BE288" s="12" t="n">
        <v>2123284</v>
      </c>
      <c r="BF288" t="inlineStr">
        <is>
          <t>Frozen values from same rules-based model as formula sheet.</t>
        </is>
      </c>
      <c r="BG288" t="inlineStr">
        <is>
          <t>2026-03-17</t>
        </is>
      </c>
      <c r="BH288" t="inlineStr">
        <is>
          <t>DLD / Digital Dubai / CBUAE / Savills / Knight Frank-Moody’s / Reuters</t>
        </is>
      </c>
    </row>
    <row r="289">
      <c r="A289" t="n">
        <v>288</v>
      </c>
      <c r="B289" t="inlineStr">
        <is>
          <t>Peninsula Four (The Plaza)</t>
        </is>
      </c>
      <c r="C289" t="inlineStr">
        <is>
          <t>Select Group</t>
        </is>
      </c>
      <c r="D289" t="inlineStr">
        <is>
          <t>Business Bay</t>
        </is>
      </c>
      <c r="E289" t="inlineStr">
        <is>
          <t>Apartments</t>
        </is>
      </c>
      <c r="F289" t="inlineStr">
        <is>
          <t>Canal / Luxury</t>
        </is>
      </c>
      <c r="G289" t="inlineStr">
        <is>
          <t>2.2M</t>
        </is>
      </c>
      <c r="H289" t="inlineStr">
        <is>
          <t>2300</t>
        </is>
      </c>
      <c r="I289" t="inlineStr">
        <is>
          <t>22</t>
        </is>
      </c>
      <c r="J289" t="inlineStr">
        <is>
          <t>60/40</t>
        </is>
      </c>
      <c r="K289" t="inlineStr">
        <is>
          <t>2022</t>
        </is>
      </c>
      <c r="L289" t="inlineStr">
        <is>
          <t>6.0-6.5</t>
        </is>
      </c>
      <c r="M289" t="inlineStr">
        <is>
          <t>7-9</t>
        </is>
      </c>
      <c r="N289" t="inlineStr">
        <is>
          <t>13.0-15.5</t>
        </is>
      </c>
      <c r="O289" t="inlineStr">
        <is>
          <t>Hartland Intl</t>
        </is>
      </c>
      <c r="P289" t="inlineStr">
        <is>
          <t>Emirates Hospital BB</t>
        </is>
      </c>
      <c r="Q289" t="inlineStr">
        <is>
          <t>Dubai Mall</t>
        </is>
      </c>
      <c r="R289" t="inlineStr">
        <is>
          <t>Al Khail E44</t>
        </is>
      </c>
      <c r="S289" t="inlineStr">
        <is>
          <t>5</t>
        </is>
      </c>
      <c r="T289" t="inlineStr">
        <is>
          <t>20</t>
        </is>
      </c>
      <c r="U289" t="inlineStr">
        <is>
          <t>15</t>
        </is>
      </c>
      <c r="V289" t="inlineStr">
        <is>
          <t>35</t>
        </is>
      </c>
      <c r="W289" t="n">
        <v>2</v>
      </c>
      <c r="X289" s="12" t="n">
        <v>2200000</v>
      </c>
      <c r="Y289" s="12" t="n">
        <v>2200000</v>
      </c>
      <c r="Z289" s="9" t="n">
        <v>6</v>
      </c>
      <c r="AA289" s="9" t="n">
        <v>6.5</v>
      </c>
      <c r="AB289" s="9" t="n">
        <v>7</v>
      </c>
      <c r="AC289" s="9" t="n">
        <v>9</v>
      </c>
      <c r="AD289" s="9" t="n">
        <v>13</v>
      </c>
      <c r="AE289" s="9" t="n">
        <v>15.5</v>
      </c>
      <c r="AF289" t="n">
        <v>2022</v>
      </c>
      <c r="AH289" t="inlineStr">
        <is>
          <t>Apartment</t>
        </is>
      </c>
      <c r="AI289" t="inlineStr">
        <is>
          <t>Prime</t>
        </is>
      </c>
      <c r="AJ289" t="inlineStr">
        <is>
          <t>Established</t>
        </is>
      </c>
      <c r="AK289" t="inlineStr">
        <is>
          <t>Prime resilient / selective</t>
        </is>
      </c>
      <c r="AL289" t="inlineStr">
        <is>
          <t>Better support from quality, branding, and scarcer prime stock; still entry-price sensitive.</t>
        </is>
      </c>
      <c r="AM289" s="9" t="n">
        <v>8</v>
      </c>
      <c r="AN289" s="9" t="n">
        <v>6.25</v>
      </c>
      <c r="AO289" s="10" t="n">
        <v>0.55</v>
      </c>
      <c r="AP289" s="13" t="n">
        <v>0.02</v>
      </c>
      <c r="AQ289" s="13" t="n">
        <v>0</v>
      </c>
      <c r="AR289" s="13" t="n">
        <v>0</v>
      </c>
      <c r="AS289" s="13" t="n">
        <v>0.03</v>
      </c>
      <c r="AT289" s="13" t="n">
        <v>0</v>
      </c>
      <c r="AU289" s="13" t="n">
        <v>0.0025</v>
      </c>
      <c r="AV289" s="13" t="n">
        <v>-0.005</v>
      </c>
      <c r="AW289" s="13" t="n">
        <v>0.064</v>
      </c>
      <c r="AX289" s="13" t="n">
        <v>0.0275</v>
      </c>
      <c r="AY289" s="12" t="n">
        <v>2270576</v>
      </c>
      <c r="AZ289" s="12" t="n">
        <v>2340800</v>
      </c>
      <c r="BA289" s="12" t="n">
        <v>2411024</v>
      </c>
      <c r="BB289" s="12" t="n">
        <v>2334948</v>
      </c>
      <c r="BC289" s="12" t="n">
        <v>2405172</v>
      </c>
      <c r="BD289" s="12" t="n">
        <v>2475396</v>
      </c>
      <c r="BE289" s="12" t="n">
        <v>2471314</v>
      </c>
      <c r="BF289" t="inlineStr">
        <is>
          <t>Frozen values from same rules-based model as formula sheet.</t>
        </is>
      </c>
      <c r="BG289" t="inlineStr">
        <is>
          <t>2026-03-17</t>
        </is>
      </c>
      <c r="BH289" t="inlineStr">
        <is>
          <t>DLD / Digital Dubai / CBUAE / Savills / Knight Frank-Moody’s / Reuters</t>
        </is>
      </c>
    </row>
    <row r="290">
      <c r="A290" t="n">
        <v>289</v>
      </c>
      <c r="B290" t="inlineStr">
        <is>
          <t>Peninsula Five</t>
        </is>
      </c>
      <c r="C290" t="inlineStr">
        <is>
          <t>Select Group</t>
        </is>
      </c>
      <c r="D290" t="inlineStr">
        <is>
          <t>Business Bay</t>
        </is>
      </c>
      <c r="E290" t="inlineStr">
        <is>
          <t>Apartments</t>
        </is>
      </c>
      <c r="F290" t="inlineStr">
        <is>
          <t>Canal / Premium</t>
        </is>
      </c>
      <c r="G290" t="inlineStr">
        <is>
          <t>2.4M</t>
        </is>
      </c>
      <c r="H290" t="inlineStr">
        <is>
          <t>2400</t>
        </is>
      </c>
      <c r="I290" t="inlineStr">
        <is>
          <t>22</t>
        </is>
      </c>
      <c r="J290" t="inlineStr">
        <is>
          <t>60/40</t>
        </is>
      </c>
      <c r="K290" t="inlineStr">
        <is>
          <t>2022</t>
        </is>
      </c>
      <c r="L290" t="inlineStr">
        <is>
          <t>6.0-6.5</t>
        </is>
      </c>
      <c r="M290" t="inlineStr">
        <is>
          <t>7-9</t>
        </is>
      </c>
      <c r="N290" t="inlineStr">
        <is>
          <t>13.0-15.5</t>
        </is>
      </c>
      <c r="O290" t="inlineStr">
        <is>
          <t>Hartland Intl</t>
        </is>
      </c>
      <c r="P290" t="inlineStr">
        <is>
          <t>Emirates Hospital BB</t>
        </is>
      </c>
      <c r="Q290" t="inlineStr">
        <is>
          <t>Dubai Mall</t>
        </is>
      </c>
      <c r="R290" t="inlineStr">
        <is>
          <t>Al Khail E44</t>
        </is>
      </c>
      <c r="S290" t="inlineStr">
        <is>
          <t>5</t>
        </is>
      </c>
      <c r="T290" t="inlineStr">
        <is>
          <t>20</t>
        </is>
      </c>
      <c r="U290" t="inlineStr">
        <is>
          <t>15</t>
        </is>
      </c>
      <c r="V290" t="inlineStr">
        <is>
          <t>35</t>
        </is>
      </c>
      <c r="W290" t="n">
        <v>2</v>
      </c>
      <c r="X290" s="12" t="n">
        <v>2400000</v>
      </c>
      <c r="Y290" s="12" t="n">
        <v>2400000</v>
      </c>
      <c r="Z290" s="9" t="n">
        <v>6</v>
      </c>
      <c r="AA290" s="9" t="n">
        <v>6.5</v>
      </c>
      <c r="AB290" s="9" t="n">
        <v>7</v>
      </c>
      <c r="AC290" s="9" t="n">
        <v>9</v>
      </c>
      <c r="AD290" s="9" t="n">
        <v>13</v>
      </c>
      <c r="AE290" s="9" t="n">
        <v>15.5</v>
      </c>
      <c r="AF290" t="n">
        <v>2022</v>
      </c>
      <c r="AH290" t="inlineStr">
        <is>
          <t>Apartment</t>
        </is>
      </c>
      <c r="AI290" t="inlineStr">
        <is>
          <t>Prime</t>
        </is>
      </c>
      <c r="AJ290" t="inlineStr">
        <is>
          <t>Established</t>
        </is>
      </c>
      <c r="AK290" t="inlineStr">
        <is>
          <t>Prime resilient / selective</t>
        </is>
      </c>
      <c r="AL290" t="inlineStr">
        <is>
          <t>Better support from quality, branding, and scarcer prime stock; still entry-price sensitive.</t>
        </is>
      </c>
      <c r="AM290" s="9" t="n">
        <v>8</v>
      </c>
      <c r="AN290" s="9" t="n">
        <v>6.25</v>
      </c>
      <c r="AO290" s="10" t="n">
        <v>0.55</v>
      </c>
      <c r="AP290" s="13" t="n">
        <v>0.02</v>
      </c>
      <c r="AQ290" s="13" t="n">
        <v>0</v>
      </c>
      <c r="AR290" s="13" t="n">
        <v>0</v>
      </c>
      <c r="AS290" s="13" t="n">
        <v>0.03</v>
      </c>
      <c r="AT290" s="13" t="n">
        <v>0</v>
      </c>
      <c r="AU290" s="13" t="n">
        <v>0.0025</v>
      </c>
      <c r="AV290" s="13" t="n">
        <v>-0.005</v>
      </c>
      <c r="AW290" s="13" t="n">
        <v>0.064</v>
      </c>
      <c r="AX290" s="13" t="n">
        <v>0.0275</v>
      </c>
      <c r="AY290" s="12" t="n">
        <v>2476992</v>
      </c>
      <c r="AZ290" s="12" t="n">
        <v>2553600</v>
      </c>
      <c r="BA290" s="12" t="n">
        <v>2630208</v>
      </c>
      <c r="BB290" s="12" t="n">
        <v>2547216</v>
      </c>
      <c r="BC290" s="12" t="n">
        <v>2623824</v>
      </c>
      <c r="BD290" s="12" t="n">
        <v>2700432</v>
      </c>
      <c r="BE290" s="12" t="n">
        <v>2695979</v>
      </c>
      <c r="BF290" t="inlineStr">
        <is>
          <t>Frozen values from same rules-based model as formula sheet.</t>
        </is>
      </c>
      <c r="BG290" t="inlineStr">
        <is>
          <t>2026-03-17</t>
        </is>
      </c>
      <c r="BH290" t="inlineStr">
        <is>
          <t>DLD / Digital Dubai / CBUAE / Savills / Knight Frank-Moody’s / Reuters</t>
        </is>
      </c>
    </row>
    <row r="291">
      <c r="A291" t="n">
        <v>290</v>
      </c>
      <c r="B291" t="inlineStr">
        <is>
          <t>Jumeirah Living Business Bay</t>
        </is>
      </c>
      <c r="C291" t="inlineStr">
        <is>
          <t>Select Group</t>
        </is>
      </c>
      <c r="D291" t="inlineStr">
        <is>
          <t>Business Bay</t>
        </is>
      </c>
      <c r="E291" t="inlineStr">
        <is>
          <t>Branded Apts</t>
        </is>
      </c>
      <c r="F291" t="inlineStr">
        <is>
          <t>Luxury / Service</t>
        </is>
      </c>
      <c r="G291" t="inlineStr">
        <is>
          <t>3.5M</t>
        </is>
      </c>
      <c r="H291" t="inlineStr">
        <is>
          <t>3000</t>
        </is>
      </c>
      <c r="I291" t="inlineStr">
        <is>
          <t>30</t>
        </is>
      </c>
      <c r="J291" t="inlineStr">
        <is>
          <t>60/40</t>
        </is>
      </c>
      <c r="K291" t="inlineStr">
        <is>
          <t>2022</t>
        </is>
      </c>
      <c r="L291" t="inlineStr">
        <is>
          <t>5.0-5.5</t>
        </is>
      </c>
      <c r="M291" t="inlineStr">
        <is>
          <t>7-9</t>
        </is>
      </c>
      <c r="N291" t="inlineStr">
        <is>
          <t>12.0-14.5</t>
        </is>
      </c>
      <c r="O291" t="inlineStr">
        <is>
          <t>Hartland Intl</t>
        </is>
      </c>
      <c r="P291" t="inlineStr">
        <is>
          <t>Emirates Hospital BB</t>
        </is>
      </c>
      <c r="Q291" t="inlineStr">
        <is>
          <t>Dubai Mall</t>
        </is>
      </c>
      <c r="R291" t="inlineStr">
        <is>
          <t>Al Khail E44</t>
        </is>
      </c>
      <c r="S291" t="inlineStr">
        <is>
          <t>5</t>
        </is>
      </c>
      <c r="T291" t="inlineStr">
        <is>
          <t>20</t>
        </is>
      </c>
      <c r="U291" t="inlineStr">
        <is>
          <t>15</t>
        </is>
      </c>
      <c r="V291" t="inlineStr">
        <is>
          <t>35</t>
        </is>
      </c>
      <c r="W291" t="n">
        <v>2</v>
      </c>
      <c r="X291" s="12" t="n">
        <v>3500000</v>
      </c>
      <c r="Y291" s="12" t="n">
        <v>3500000</v>
      </c>
      <c r="Z291" s="9" t="n">
        <v>5</v>
      </c>
      <c r="AA291" s="9" t="n">
        <v>5.5</v>
      </c>
      <c r="AB291" s="9" t="n">
        <v>7</v>
      </c>
      <c r="AC291" s="9" t="n">
        <v>9</v>
      </c>
      <c r="AD291" s="9" t="n">
        <v>12</v>
      </c>
      <c r="AE291" s="9" t="n">
        <v>14.5</v>
      </c>
      <c r="AF291" t="n">
        <v>2022</v>
      </c>
      <c r="AH291" t="inlineStr">
        <is>
          <t>Apartment</t>
        </is>
      </c>
      <c r="AI291" t="inlineStr">
        <is>
          <t>Prime</t>
        </is>
      </c>
      <c r="AJ291" t="inlineStr">
        <is>
          <t>Established</t>
        </is>
      </c>
      <c r="AK291" t="inlineStr">
        <is>
          <t>Prime resilient / selective</t>
        </is>
      </c>
      <c r="AL291" t="inlineStr">
        <is>
          <t>Better support from quality, branding, and scarcer prime stock; still entry-price sensitive.</t>
        </is>
      </c>
      <c r="AM291" s="9" t="n">
        <v>8</v>
      </c>
      <c r="AN291" s="9" t="n">
        <v>5.25</v>
      </c>
      <c r="AO291" s="10" t="n">
        <v>0.55</v>
      </c>
      <c r="AP291" s="13" t="n">
        <v>0.02</v>
      </c>
      <c r="AQ291" s="13" t="n">
        <v>0</v>
      </c>
      <c r="AR291" s="13" t="n">
        <v>0</v>
      </c>
      <c r="AS291" s="13" t="n">
        <v>0.03</v>
      </c>
      <c r="AT291" s="13" t="n">
        <v>0</v>
      </c>
      <c r="AU291" s="13" t="n">
        <v>0</v>
      </c>
      <c r="AV291" s="13" t="n">
        <v>-0.005</v>
      </c>
      <c r="AW291" s="13" t="n">
        <v>0.064</v>
      </c>
      <c r="AX291" s="13" t="n">
        <v>0.025</v>
      </c>
      <c r="AY291" s="12" t="n">
        <v>3612280</v>
      </c>
      <c r="AZ291" s="12" t="n">
        <v>3724000</v>
      </c>
      <c r="BA291" s="12" t="n">
        <v>3835720</v>
      </c>
      <c r="BB291" s="12" t="n">
        <v>3705380</v>
      </c>
      <c r="BC291" s="12" t="n">
        <v>3817100</v>
      </c>
      <c r="BD291" s="12" t="n">
        <v>3928820</v>
      </c>
      <c r="BE291" s="12" t="n">
        <v>3912527</v>
      </c>
      <c r="BF291" t="inlineStr">
        <is>
          <t>Frozen values from same rules-based model as formula sheet.</t>
        </is>
      </c>
      <c r="BG291" t="inlineStr">
        <is>
          <t>2026-03-17</t>
        </is>
      </c>
      <c r="BH291" t="inlineStr">
        <is>
          <t>DLD / Digital Dubai / CBUAE / Savills / Knight Frank-Moody’s / Reuters</t>
        </is>
      </c>
    </row>
    <row r="292">
      <c r="A292" t="n">
        <v>291</v>
      </c>
      <c r="B292" t="inlineStr">
        <is>
          <t>Nautica One</t>
        </is>
      </c>
      <c r="C292" t="inlineStr">
        <is>
          <t>Select Group</t>
        </is>
      </c>
      <c r="D292" t="inlineStr">
        <is>
          <t>Dubai Maritime City</t>
        </is>
      </c>
      <c r="E292" t="inlineStr">
        <is>
          <t>Apartments</t>
        </is>
      </c>
      <c r="F292" t="inlineStr">
        <is>
          <t>Sea View / Tower</t>
        </is>
      </c>
      <c r="G292" t="inlineStr">
        <is>
          <t>1.6M</t>
        </is>
      </c>
      <c r="H292" t="inlineStr">
        <is>
          <t>1900</t>
        </is>
      </c>
      <c r="I292" t="inlineStr">
        <is>
          <t>20</t>
        </is>
      </c>
      <c r="J292" t="inlineStr">
        <is>
          <t>60/40</t>
        </is>
      </c>
      <c r="K292" t="inlineStr">
        <is>
          <t>2023</t>
        </is>
      </c>
      <c r="L292" t="inlineStr">
        <is>
          <t>6.5-7.0</t>
        </is>
      </c>
      <c r="M292" t="inlineStr">
        <is>
          <t>8-10</t>
        </is>
      </c>
      <c r="N292" t="inlineStr">
        <is>
          <t>14.5-17.0</t>
        </is>
      </c>
      <c r="O292" t="inlineStr">
        <is>
          <t>New Academy School</t>
        </is>
      </c>
      <c r="P292" t="inlineStr">
        <is>
          <t>Aster Hospital Mankhool</t>
        </is>
      </c>
      <c r="Q292" t="inlineStr">
        <is>
          <t>Dubai Mall</t>
        </is>
      </c>
      <c r="R292" t="inlineStr">
        <is>
          <t>Al Khaleej / E11</t>
        </is>
      </c>
      <c r="S292" t="inlineStr">
        <is>
          <t>15</t>
        </is>
      </c>
      <c r="T292" t="inlineStr">
        <is>
          <t>25</t>
        </is>
      </c>
      <c r="U292" t="inlineStr">
        <is>
          <t>15</t>
        </is>
      </c>
      <c r="V292" t="inlineStr">
        <is>
          <t>45</t>
        </is>
      </c>
      <c r="W292" t="n">
        <v>2</v>
      </c>
      <c r="X292" s="12" t="n">
        <v>1600000</v>
      </c>
      <c r="Y292" s="12" t="n">
        <v>1600000</v>
      </c>
      <c r="Z292" s="9" t="n">
        <v>6.5</v>
      </c>
      <c r="AA292" s="9" t="n">
        <v>7</v>
      </c>
      <c r="AB292" s="9" t="n">
        <v>8</v>
      </c>
      <c r="AC292" s="9" t="n">
        <v>10</v>
      </c>
      <c r="AD292" s="9" t="n">
        <v>14.5</v>
      </c>
      <c r="AE292" s="9" t="n">
        <v>17</v>
      </c>
      <c r="AF292" t="n">
        <v>2023</v>
      </c>
      <c r="AH292" t="inlineStr">
        <is>
          <t>Apartment</t>
        </is>
      </c>
      <c r="AI292" t="inlineStr">
        <is>
          <t>MainstreamSelective</t>
        </is>
      </c>
      <c r="AJ292" t="inlineStr">
        <is>
          <t>Established</t>
        </is>
      </c>
      <c r="AK292" t="inlineStr">
        <is>
          <t>Balanced / selective</t>
        </is>
      </c>
      <c r="AL292" t="inlineStr">
        <is>
          <t>Market remains active but increasingly differentiated by developer, micro-location, livability, and pricing discipline.</t>
        </is>
      </c>
      <c r="AM292" s="9" t="n">
        <v>9</v>
      </c>
      <c r="AN292" s="9" t="n">
        <v>6.75</v>
      </c>
      <c r="AO292" s="10" t="n">
        <v>0.55</v>
      </c>
      <c r="AP292" s="13" t="n">
        <v>0</v>
      </c>
      <c r="AQ292" s="13" t="n">
        <v>0</v>
      </c>
      <c r="AR292" s="13" t="n">
        <v>0</v>
      </c>
      <c r="AS292" s="13" t="n">
        <v>0.01</v>
      </c>
      <c r="AT292" s="13" t="n">
        <v>0</v>
      </c>
      <c r="AU292" s="13" t="n">
        <v>0.0025</v>
      </c>
      <c r="AV292" s="13" t="n">
        <v>-0.005</v>
      </c>
      <c r="AW292" s="13" t="n">
        <v>0.0495</v>
      </c>
      <c r="AX292" s="13" t="n">
        <v>0.007500000000000001</v>
      </c>
      <c r="AY292" s="12" t="n">
        <v>1628824</v>
      </c>
      <c r="AZ292" s="12" t="n">
        <v>1679200</v>
      </c>
      <c r="BA292" s="12" t="n">
        <v>1729576</v>
      </c>
      <c r="BB292" s="12" t="n">
        <v>1641418</v>
      </c>
      <c r="BC292" s="12" t="n">
        <v>1691794</v>
      </c>
      <c r="BD292" s="12" t="n">
        <v>1742170</v>
      </c>
      <c r="BE292" s="12" t="n">
        <v>1704482</v>
      </c>
      <c r="BF292" t="inlineStr">
        <is>
          <t>Frozen values from same rules-based model as formula sheet.</t>
        </is>
      </c>
      <c r="BG292" t="inlineStr">
        <is>
          <t>2026-03-17</t>
        </is>
      </c>
      <c r="BH292" t="inlineStr">
        <is>
          <t>DLD / Digital Dubai / CBUAE / Savills / Knight Frank-Moody’s / Reuters</t>
        </is>
      </c>
    </row>
    <row r="293">
      <c r="A293" t="n">
        <v>292</v>
      </c>
      <c r="B293" t="inlineStr">
        <is>
          <t>Nautica Two</t>
        </is>
      </c>
      <c r="C293" t="inlineStr">
        <is>
          <t>Select Group</t>
        </is>
      </c>
      <c r="D293" t="inlineStr">
        <is>
          <t>Dubai Maritime City</t>
        </is>
      </c>
      <c r="E293" t="inlineStr">
        <is>
          <t>Apartments</t>
        </is>
      </c>
      <c r="F293" t="inlineStr">
        <is>
          <t>Sea View / Tower</t>
        </is>
      </c>
      <c r="G293" t="inlineStr">
        <is>
          <t>1.6M</t>
        </is>
      </c>
      <c r="H293" t="inlineStr">
        <is>
          <t>1900</t>
        </is>
      </c>
      <c r="I293" t="inlineStr">
        <is>
          <t>20</t>
        </is>
      </c>
      <c r="J293" t="inlineStr">
        <is>
          <t>60/40</t>
        </is>
      </c>
      <c r="K293" t="inlineStr">
        <is>
          <t>2023</t>
        </is>
      </c>
      <c r="L293" t="inlineStr">
        <is>
          <t>6.5-7.0</t>
        </is>
      </c>
      <c r="M293" t="inlineStr">
        <is>
          <t>8-10</t>
        </is>
      </c>
      <c r="N293" t="inlineStr">
        <is>
          <t>14.5-17.0</t>
        </is>
      </c>
      <c r="O293" t="inlineStr">
        <is>
          <t>New Academy School</t>
        </is>
      </c>
      <c r="P293" t="inlineStr">
        <is>
          <t>Aster Hospital Mankhool</t>
        </is>
      </c>
      <c r="Q293" t="inlineStr">
        <is>
          <t>Dubai Mall</t>
        </is>
      </c>
      <c r="R293" t="inlineStr">
        <is>
          <t>Al Khaleej / E11</t>
        </is>
      </c>
      <c r="S293" t="inlineStr">
        <is>
          <t>15</t>
        </is>
      </c>
      <c r="T293" t="inlineStr">
        <is>
          <t>25</t>
        </is>
      </c>
      <c r="U293" t="inlineStr">
        <is>
          <t>15</t>
        </is>
      </c>
      <c r="V293" t="inlineStr">
        <is>
          <t>45</t>
        </is>
      </c>
      <c r="W293" t="n">
        <v>2</v>
      </c>
      <c r="X293" s="12" t="n">
        <v>1600000</v>
      </c>
      <c r="Y293" s="12" t="n">
        <v>1600000</v>
      </c>
      <c r="Z293" s="9" t="n">
        <v>6.5</v>
      </c>
      <c r="AA293" s="9" t="n">
        <v>7</v>
      </c>
      <c r="AB293" s="9" t="n">
        <v>8</v>
      </c>
      <c r="AC293" s="9" t="n">
        <v>10</v>
      </c>
      <c r="AD293" s="9" t="n">
        <v>14.5</v>
      </c>
      <c r="AE293" s="9" t="n">
        <v>17</v>
      </c>
      <c r="AF293" t="n">
        <v>2023</v>
      </c>
      <c r="AH293" t="inlineStr">
        <is>
          <t>Apartment</t>
        </is>
      </c>
      <c r="AI293" t="inlineStr">
        <is>
          <t>MainstreamSelective</t>
        </is>
      </c>
      <c r="AJ293" t="inlineStr">
        <is>
          <t>Established</t>
        </is>
      </c>
      <c r="AK293" t="inlineStr">
        <is>
          <t>Balanced / selective</t>
        </is>
      </c>
      <c r="AL293" t="inlineStr">
        <is>
          <t>Market remains active but increasingly differentiated by developer, micro-location, livability, and pricing discipline.</t>
        </is>
      </c>
      <c r="AM293" s="9" t="n">
        <v>9</v>
      </c>
      <c r="AN293" s="9" t="n">
        <v>6.75</v>
      </c>
      <c r="AO293" s="10" t="n">
        <v>0.55</v>
      </c>
      <c r="AP293" s="13" t="n">
        <v>0</v>
      </c>
      <c r="AQ293" s="13" t="n">
        <v>0</v>
      </c>
      <c r="AR293" s="13" t="n">
        <v>0</v>
      </c>
      <c r="AS293" s="13" t="n">
        <v>0.01</v>
      </c>
      <c r="AT293" s="13" t="n">
        <v>0</v>
      </c>
      <c r="AU293" s="13" t="n">
        <v>0.0025</v>
      </c>
      <c r="AV293" s="13" t="n">
        <v>-0.005</v>
      </c>
      <c r="AW293" s="13" t="n">
        <v>0.0495</v>
      </c>
      <c r="AX293" s="13" t="n">
        <v>0.007500000000000001</v>
      </c>
      <c r="AY293" s="12" t="n">
        <v>1628824</v>
      </c>
      <c r="AZ293" s="12" t="n">
        <v>1679200</v>
      </c>
      <c r="BA293" s="12" t="n">
        <v>1729576</v>
      </c>
      <c r="BB293" s="12" t="n">
        <v>1641418</v>
      </c>
      <c r="BC293" s="12" t="n">
        <v>1691794</v>
      </c>
      <c r="BD293" s="12" t="n">
        <v>1742170</v>
      </c>
      <c r="BE293" s="12" t="n">
        <v>1704482</v>
      </c>
      <c r="BF293" t="inlineStr">
        <is>
          <t>Frozen values from same rules-based model as formula sheet.</t>
        </is>
      </c>
      <c r="BG293" t="inlineStr">
        <is>
          <t>2026-03-17</t>
        </is>
      </c>
      <c r="BH293" t="inlineStr">
        <is>
          <t>DLD / Digital Dubai / CBUAE / Savills / Knight Frank-Moody’s / Reuters</t>
        </is>
      </c>
    </row>
    <row r="294">
      <c r="A294" t="n">
        <v>293</v>
      </c>
      <c r="B294" t="inlineStr">
        <is>
          <t>Vela</t>
        </is>
      </c>
      <c r="C294" t="inlineStr">
        <is>
          <t>Omniyat</t>
        </is>
      </c>
      <c r="D294" t="inlineStr">
        <is>
          <t>Business Bay (Marasi)</t>
        </is>
      </c>
      <c r="E294" t="inlineStr">
        <is>
          <t>Ultra-Luxury Apts</t>
        </is>
      </c>
      <c r="F294" t="inlineStr">
        <is>
          <t>Dorchester Collection</t>
        </is>
      </c>
      <c r="G294" t="inlineStr">
        <is>
          <t>30M+</t>
        </is>
      </c>
      <c r="H294" t="inlineStr">
        <is>
          <t>5000+</t>
        </is>
      </c>
      <c r="I294" t="inlineStr">
        <is>
          <t>50+</t>
        </is>
      </c>
      <c r="J294" t="inlineStr">
        <is>
          <t>60/40</t>
        </is>
      </c>
      <c r="K294" t="inlineStr">
        <is>
          <t>2023</t>
        </is>
      </c>
      <c r="L294" t="inlineStr">
        <is>
          <t>3.5-4.5</t>
        </is>
      </c>
      <c r="M294" t="inlineStr">
        <is>
          <t>8-12</t>
        </is>
      </c>
      <c r="N294" t="inlineStr">
        <is>
          <t>11.5-16.5</t>
        </is>
      </c>
      <c r="O294" t="inlineStr">
        <is>
          <t>Hartland Intl</t>
        </is>
      </c>
      <c r="P294" t="inlineStr">
        <is>
          <t>Emirates Hospital BB</t>
        </is>
      </c>
      <c r="Q294" t="inlineStr">
        <is>
          <t>Dubai Mall</t>
        </is>
      </c>
      <c r="R294" t="inlineStr">
        <is>
          <t>Al Khail E44</t>
        </is>
      </c>
      <c r="S294" t="inlineStr">
        <is>
          <t>5</t>
        </is>
      </c>
      <c r="T294" t="inlineStr">
        <is>
          <t>20</t>
        </is>
      </c>
      <c r="U294" t="inlineStr">
        <is>
          <t>15</t>
        </is>
      </c>
      <c r="V294" t="inlineStr">
        <is>
          <t>35</t>
        </is>
      </c>
      <c r="W294" t="n">
        <v>2</v>
      </c>
      <c r="X294" s="12" t="n">
        <v>30000000</v>
      </c>
      <c r="Y294" s="12" t="n">
        <v>30000000</v>
      </c>
      <c r="Z294" s="9" t="n">
        <v>3.5</v>
      </c>
      <c r="AA294" s="9" t="n">
        <v>4.5</v>
      </c>
      <c r="AB294" s="9" t="n">
        <v>8</v>
      </c>
      <c r="AC294" s="9" t="n">
        <v>12</v>
      </c>
      <c r="AD294" s="9" t="n">
        <v>11.5</v>
      </c>
      <c r="AE294" s="9" t="n">
        <v>16.5</v>
      </c>
      <c r="AF294" t="n">
        <v>2023</v>
      </c>
      <c r="AH294" t="inlineStr">
        <is>
          <t>Apartment</t>
        </is>
      </c>
      <c r="AI294" t="inlineStr">
        <is>
          <t>MainstreamSelective</t>
        </is>
      </c>
      <c r="AJ294" t="inlineStr">
        <is>
          <t>Established</t>
        </is>
      </c>
      <c r="AK294" t="inlineStr">
        <is>
          <t>Balanced / selective</t>
        </is>
      </c>
      <c r="AL294" t="inlineStr">
        <is>
          <t>Market remains active but increasingly differentiated by developer, micro-location, livability, and pricing discipline.</t>
        </is>
      </c>
      <c r="AM294" s="9" t="n">
        <v>10</v>
      </c>
      <c r="AN294" s="9" t="n">
        <v>4</v>
      </c>
      <c r="AO294" s="10" t="n">
        <v>0.55</v>
      </c>
      <c r="AP294" s="13" t="n">
        <v>0</v>
      </c>
      <c r="AQ294" s="13" t="n">
        <v>0</v>
      </c>
      <c r="AR294" s="13" t="n">
        <v>0</v>
      </c>
      <c r="AS294" s="13" t="n">
        <v>0.01</v>
      </c>
      <c r="AT294" s="13" t="n">
        <v>0</v>
      </c>
      <c r="AU294" s="13" t="n">
        <v>0</v>
      </c>
      <c r="AV294" s="13" t="n">
        <v>-0.005</v>
      </c>
      <c r="AW294" s="13" t="n">
        <v>0.05500000000000001</v>
      </c>
      <c r="AX294" s="13" t="n">
        <v>0.005</v>
      </c>
      <c r="AY294" s="12" t="n">
        <v>30700500</v>
      </c>
      <c r="AZ294" s="12" t="n">
        <v>31650000</v>
      </c>
      <c r="BA294" s="12" t="n">
        <v>32599500</v>
      </c>
      <c r="BB294" s="12" t="n">
        <v>30858750</v>
      </c>
      <c r="BC294" s="12" t="n">
        <v>31808250</v>
      </c>
      <c r="BD294" s="12" t="n">
        <v>32757750</v>
      </c>
      <c r="BE294" s="12" t="n">
        <v>31967291</v>
      </c>
      <c r="BF294" t="inlineStr">
        <is>
          <t>Frozen values from same rules-based model as formula sheet.</t>
        </is>
      </c>
      <c r="BG294" t="inlineStr">
        <is>
          <t>2026-03-17</t>
        </is>
      </c>
      <c r="BH294" t="inlineStr">
        <is>
          <t>DLD / Digital Dubai / CBUAE / Savills / Knight Frank-Moody’s / Reuters</t>
        </is>
      </c>
    </row>
    <row r="295">
      <c r="A295" t="n">
        <v>294</v>
      </c>
      <c r="B295" t="inlineStr">
        <is>
          <t>Vela Viento</t>
        </is>
      </c>
      <c r="C295" t="inlineStr">
        <is>
          <t>Omniyat</t>
        </is>
      </c>
      <c r="D295" t="inlineStr">
        <is>
          <t>Business Bay (Marasi)</t>
        </is>
      </c>
      <c r="E295" t="inlineStr">
        <is>
          <t>Ultra-Luxury Apts</t>
        </is>
      </c>
      <c r="F295" t="inlineStr">
        <is>
          <t>Dorchester Collection</t>
        </is>
      </c>
      <c r="G295" t="inlineStr">
        <is>
          <t>35M+</t>
        </is>
      </c>
      <c r="H295" t="inlineStr">
        <is>
          <t>5500+</t>
        </is>
      </c>
      <c r="I295" t="inlineStr">
        <is>
          <t>50+</t>
        </is>
      </c>
      <c r="J295" t="inlineStr">
        <is>
          <t>60/40</t>
        </is>
      </c>
      <c r="K295" t="inlineStr">
        <is>
          <t>2023</t>
        </is>
      </c>
      <c r="L295" t="inlineStr">
        <is>
          <t>3.5-4.5</t>
        </is>
      </c>
      <c r="M295" t="inlineStr">
        <is>
          <t>8-12</t>
        </is>
      </c>
      <c r="N295" t="inlineStr">
        <is>
          <t>11.5-16.5</t>
        </is>
      </c>
      <c r="O295" t="inlineStr">
        <is>
          <t>Hartland Intl</t>
        </is>
      </c>
      <c r="P295" t="inlineStr">
        <is>
          <t>Emirates Hospital BB</t>
        </is>
      </c>
      <c r="Q295" t="inlineStr">
        <is>
          <t>Dubai Mall</t>
        </is>
      </c>
      <c r="R295" t="inlineStr">
        <is>
          <t>Al Khail E44</t>
        </is>
      </c>
      <c r="S295" t="inlineStr">
        <is>
          <t>5</t>
        </is>
      </c>
      <c r="T295" t="inlineStr">
        <is>
          <t>20</t>
        </is>
      </c>
      <c r="U295" t="inlineStr">
        <is>
          <t>15</t>
        </is>
      </c>
      <c r="V295" t="inlineStr">
        <is>
          <t>35</t>
        </is>
      </c>
      <c r="W295" t="n">
        <v>2</v>
      </c>
      <c r="X295" s="12" t="n">
        <v>35000000</v>
      </c>
      <c r="Y295" s="12" t="n">
        <v>35000000</v>
      </c>
      <c r="Z295" s="9" t="n">
        <v>3.5</v>
      </c>
      <c r="AA295" s="9" t="n">
        <v>4.5</v>
      </c>
      <c r="AB295" s="9" t="n">
        <v>8</v>
      </c>
      <c r="AC295" s="9" t="n">
        <v>12</v>
      </c>
      <c r="AD295" s="9" t="n">
        <v>11.5</v>
      </c>
      <c r="AE295" s="9" t="n">
        <v>16.5</v>
      </c>
      <c r="AF295" t="n">
        <v>2023</v>
      </c>
      <c r="AH295" t="inlineStr">
        <is>
          <t>Apartment</t>
        </is>
      </c>
      <c r="AI295" t="inlineStr">
        <is>
          <t>MainstreamSelective</t>
        </is>
      </c>
      <c r="AJ295" t="inlineStr">
        <is>
          <t>Established</t>
        </is>
      </c>
      <c r="AK295" t="inlineStr">
        <is>
          <t>Balanced / selective</t>
        </is>
      </c>
      <c r="AL295" t="inlineStr">
        <is>
          <t>Market remains active but increasingly differentiated by developer, micro-location, livability, and pricing discipline.</t>
        </is>
      </c>
      <c r="AM295" s="9" t="n">
        <v>10</v>
      </c>
      <c r="AN295" s="9" t="n">
        <v>4</v>
      </c>
      <c r="AO295" s="10" t="n">
        <v>0.55</v>
      </c>
      <c r="AP295" s="13" t="n">
        <v>0</v>
      </c>
      <c r="AQ295" s="13" t="n">
        <v>0</v>
      </c>
      <c r="AR295" s="13" t="n">
        <v>0</v>
      </c>
      <c r="AS295" s="13" t="n">
        <v>0.01</v>
      </c>
      <c r="AT295" s="13" t="n">
        <v>0</v>
      </c>
      <c r="AU295" s="13" t="n">
        <v>0</v>
      </c>
      <c r="AV295" s="13" t="n">
        <v>-0.005</v>
      </c>
      <c r="AW295" s="13" t="n">
        <v>0.05500000000000001</v>
      </c>
      <c r="AX295" s="13" t="n">
        <v>0.005</v>
      </c>
      <c r="AY295" s="12" t="n">
        <v>35817250</v>
      </c>
      <c r="AZ295" s="12" t="n">
        <v>36925000</v>
      </c>
      <c r="BA295" s="12" t="n">
        <v>38032750</v>
      </c>
      <c r="BB295" s="12" t="n">
        <v>36001875</v>
      </c>
      <c r="BC295" s="12" t="n">
        <v>37109625</v>
      </c>
      <c r="BD295" s="12" t="n">
        <v>38217375</v>
      </c>
      <c r="BE295" s="12" t="n">
        <v>37295173</v>
      </c>
      <c r="BF295" t="inlineStr">
        <is>
          <t>Frozen values from same rules-based model as formula sheet.</t>
        </is>
      </c>
      <c r="BG295" t="inlineStr">
        <is>
          <t>2026-03-17</t>
        </is>
      </c>
      <c r="BH295" t="inlineStr">
        <is>
          <t>DLD / Digital Dubai / CBUAE / Savills / Knight Frank-Moody’s / Reuters</t>
        </is>
      </c>
    </row>
    <row r="296">
      <c r="A296" t="n">
        <v>295</v>
      </c>
      <c r="B296" t="inlineStr">
        <is>
          <t>The Lana</t>
        </is>
      </c>
      <c r="C296" t="inlineStr">
        <is>
          <t>Omniyat</t>
        </is>
      </c>
      <c r="D296" t="inlineStr">
        <is>
          <t>Business Bay</t>
        </is>
      </c>
      <c r="E296" t="inlineStr">
        <is>
          <t>Hotel/Residences</t>
        </is>
      </c>
      <c r="F296" t="inlineStr">
        <is>
          <t>Dorchester / Icon</t>
        </is>
      </c>
      <c r="I296" t="inlineStr">
        <is>
          <t>50+</t>
        </is>
      </c>
      <c r="J296" t="inlineStr">
        <is>
          <t>Completed</t>
        </is>
      </c>
      <c r="K296" t="inlineStr">
        <is>
          <t>2023</t>
        </is>
      </c>
      <c r="L296" t="inlineStr">
        <is>
          <t>3.5-4.5</t>
        </is>
      </c>
      <c r="M296" t="inlineStr">
        <is>
          <t>5-8</t>
        </is>
      </c>
      <c r="N296" t="inlineStr">
        <is>
          <t>8.5-12.5</t>
        </is>
      </c>
      <c r="O296" t="inlineStr">
        <is>
          <t>Hartland Intl</t>
        </is>
      </c>
      <c r="P296" t="inlineStr">
        <is>
          <t>Emirates Hospital BB</t>
        </is>
      </c>
      <c r="Q296" t="inlineStr">
        <is>
          <t>Dubai Mall</t>
        </is>
      </c>
      <c r="R296" t="inlineStr">
        <is>
          <t>Al Khail E44</t>
        </is>
      </c>
      <c r="S296" t="inlineStr">
        <is>
          <t>5</t>
        </is>
      </c>
      <c r="T296" t="inlineStr">
        <is>
          <t>20</t>
        </is>
      </c>
      <c r="U296" t="inlineStr">
        <is>
          <t>15</t>
        </is>
      </c>
      <c r="V296" t="inlineStr">
        <is>
          <t>35</t>
        </is>
      </c>
      <c r="W296" t="n">
        <v>2</v>
      </c>
      <c r="X296" s="12" t="n"/>
      <c r="Y296" s="12" t="n"/>
      <c r="Z296" s="9" t="n">
        <v>3.5</v>
      </c>
      <c r="AA296" s="9" t="n">
        <v>4.5</v>
      </c>
      <c r="AB296" s="9" t="n">
        <v>5</v>
      </c>
      <c r="AC296" s="9" t="n">
        <v>8</v>
      </c>
      <c r="AD296" s="9" t="n">
        <v>8.5</v>
      </c>
      <c r="AE296" s="9" t="n">
        <v>12.5</v>
      </c>
      <c r="AF296" t="n">
        <v>2023</v>
      </c>
      <c r="AH296" t="inlineStr">
        <is>
          <t>Apartment</t>
        </is>
      </c>
      <c r="AI296" t="inlineStr">
        <is>
          <t>Prime</t>
        </is>
      </c>
      <c r="AJ296" t="inlineStr">
        <is>
          <t>Established</t>
        </is>
      </c>
      <c r="AK296" t="inlineStr">
        <is>
          <t>Prime resilient / selective</t>
        </is>
      </c>
      <c r="AL296" t="inlineStr">
        <is>
          <t>Better support from quality, branding, and scarcer prime stock; still entry-price sensitive.</t>
        </is>
      </c>
      <c r="AM296" s="9" t="n">
        <v>6.5</v>
      </c>
      <c r="AN296" s="9" t="n">
        <v>4</v>
      </c>
      <c r="AO296" s="10" t="n">
        <v>0.55</v>
      </c>
      <c r="AP296" s="13" t="n">
        <v>0.02</v>
      </c>
      <c r="AQ296" s="13" t="n">
        <v>0</v>
      </c>
      <c r="AR296" s="13" t="n">
        <v>0</v>
      </c>
      <c r="AS296" s="13" t="n">
        <v>0.03</v>
      </c>
      <c r="AT296" s="13" t="n">
        <v>0</v>
      </c>
      <c r="AU296" s="13" t="n">
        <v>0</v>
      </c>
      <c r="AV296" s="13" t="n">
        <v>-0.005</v>
      </c>
      <c r="AW296" s="13" t="n">
        <v>0.05575000000000001</v>
      </c>
      <c r="AX296" s="13" t="n">
        <v>0.025</v>
      </c>
      <c r="AY296" s="12" t="n"/>
      <c r="AZ296" s="12" t="n"/>
      <c r="BA296" s="12" t="n"/>
      <c r="BB296" s="12" t="n"/>
      <c r="BC296" s="12" t="n"/>
      <c r="BD296" s="12" t="n"/>
      <c r="BE296" s="12" t="n"/>
      <c r="BF296" t="inlineStr">
        <is>
          <t>Frozen values from same rules-based model as formula sheet.</t>
        </is>
      </c>
      <c r="BG296" t="inlineStr">
        <is>
          <t>2026-03-17</t>
        </is>
      </c>
      <c r="BH296" t="inlineStr">
        <is>
          <t>DLD / Digital Dubai / CBUAE / Savills / Knight Frank-Moody’s / Reuters</t>
        </is>
      </c>
    </row>
    <row r="297">
      <c r="A297" t="n">
        <v>296</v>
      </c>
      <c r="B297" t="inlineStr">
        <is>
          <t>The Opus</t>
        </is>
      </c>
      <c r="C297" t="inlineStr">
        <is>
          <t>Omniyat</t>
        </is>
      </c>
      <c r="D297" t="inlineStr">
        <is>
          <t>Business Bay</t>
        </is>
      </c>
      <c r="E297" t="inlineStr">
        <is>
          <t>Apartments/Office</t>
        </is>
      </c>
      <c r="F297" t="inlineStr">
        <is>
          <t>Zaha Hadid / Icon</t>
        </is>
      </c>
      <c r="G297" t="inlineStr">
        <is>
          <t>Resale (3M+)</t>
        </is>
      </c>
      <c r="H297" t="inlineStr">
        <is>
          <t>2500</t>
        </is>
      </c>
      <c r="I297" t="inlineStr">
        <is>
          <t>35</t>
        </is>
      </c>
      <c r="J297" t="inlineStr">
        <is>
          <t>Completed</t>
        </is>
      </c>
      <c r="K297" t="inlineStr">
        <is>
          <t>2018</t>
        </is>
      </c>
      <c r="L297" t="inlineStr">
        <is>
          <t>5.0-5.5</t>
        </is>
      </c>
      <c r="M297" t="inlineStr">
        <is>
          <t>5-7</t>
        </is>
      </c>
      <c r="N297" t="inlineStr">
        <is>
          <t>10.0-12.5</t>
        </is>
      </c>
      <c r="O297" t="inlineStr">
        <is>
          <t>Hartland Intl</t>
        </is>
      </c>
      <c r="P297" t="inlineStr">
        <is>
          <t>Emirates Hospital BB</t>
        </is>
      </c>
      <c r="Q297" t="inlineStr">
        <is>
          <t>Bay Avenue</t>
        </is>
      </c>
      <c r="R297" t="inlineStr">
        <is>
          <t>Sheikh Zayed E11</t>
        </is>
      </c>
      <c r="S297" t="inlineStr">
        <is>
          <t>5</t>
        </is>
      </c>
      <c r="T297" t="inlineStr">
        <is>
          <t>20</t>
        </is>
      </c>
      <c r="U297" t="inlineStr">
        <is>
          <t>15</t>
        </is>
      </c>
      <c r="V297" t="inlineStr">
        <is>
          <t>35</t>
        </is>
      </c>
      <c r="W297" t="n">
        <v>2</v>
      </c>
      <c r="X297" s="12" t="n">
        <v>3000000</v>
      </c>
      <c r="Y297" s="12" t="n">
        <v>3000000</v>
      </c>
      <c r="Z297" s="9" t="n">
        <v>5</v>
      </c>
      <c r="AA297" s="9" t="n">
        <v>5.5</v>
      </c>
      <c r="AB297" s="9" t="n">
        <v>5</v>
      </c>
      <c r="AC297" s="9" t="n">
        <v>7</v>
      </c>
      <c r="AD297" s="9" t="n">
        <v>10</v>
      </c>
      <c r="AE297" s="9" t="n">
        <v>12.5</v>
      </c>
      <c r="AF297" t="n">
        <v>2018</v>
      </c>
      <c r="AH297" t="inlineStr">
        <is>
          <t>Apartment</t>
        </is>
      </c>
      <c r="AI297" t="inlineStr">
        <is>
          <t>Prime</t>
        </is>
      </c>
      <c r="AJ297" t="inlineStr">
        <is>
          <t>Established</t>
        </is>
      </c>
      <c r="AK297" t="inlineStr">
        <is>
          <t>Prime resilient / selective</t>
        </is>
      </c>
      <c r="AL297" t="inlineStr">
        <is>
          <t>Better support from quality, branding, and scarcer prime stock; still entry-price sensitive.</t>
        </is>
      </c>
      <c r="AM297" s="9" t="n">
        <v>6</v>
      </c>
      <c r="AN297" s="9" t="n">
        <v>5.25</v>
      </c>
      <c r="AO297" s="10" t="n">
        <v>0.55</v>
      </c>
      <c r="AP297" s="13" t="n">
        <v>0.02</v>
      </c>
      <c r="AQ297" s="13" t="n">
        <v>0</v>
      </c>
      <c r="AR297" s="13" t="n">
        <v>0</v>
      </c>
      <c r="AS297" s="13" t="n">
        <v>0.03</v>
      </c>
      <c r="AT297" s="13" t="n">
        <v>0</v>
      </c>
      <c r="AU297" s="13" t="n">
        <v>0</v>
      </c>
      <c r="AV297" s="13" t="n">
        <v>-0.005</v>
      </c>
      <c r="AW297" s="13" t="n">
        <v>0.05300000000000001</v>
      </c>
      <c r="AX297" s="13" t="n">
        <v>0.025</v>
      </c>
      <c r="AY297" s="12" t="n">
        <v>3064230</v>
      </c>
      <c r="AZ297" s="12" t="n">
        <v>3159000</v>
      </c>
      <c r="BA297" s="12" t="n">
        <v>3253770</v>
      </c>
      <c r="BB297" s="12" t="n">
        <v>3143205</v>
      </c>
      <c r="BC297" s="12" t="n">
        <v>3237975</v>
      </c>
      <c r="BD297" s="12" t="n">
        <v>3332745</v>
      </c>
      <c r="BE297" s="12" t="n">
        <v>3318924</v>
      </c>
      <c r="BF297" t="inlineStr">
        <is>
          <t>Frozen values from same rules-based model as formula sheet.</t>
        </is>
      </c>
      <c r="BG297" t="inlineStr">
        <is>
          <t>2026-03-17</t>
        </is>
      </c>
      <c r="BH297" t="inlineStr">
        <is>
          <t>DLD / Digital Dubai / CBUAE / Savills / Knight Frank-Moody’s / Reuters</t>
        </is>
      </c>
    </row>
    <row r="298">
      <c r="A298" t="n">
        <v>297</v>
      </c>
      <c r="B298" t="inlineStr">
        <is>
          <t>Orla</t>
        </is>
      </c>
      <c r="C298" t="inlineStr">
        <is>
          <t>Omniyat</t>
        </is>
      </c>
      <c r="D298" t="inlineStr">
        <is>
          <t>Palm Jumeirah</t>
        </is>
      </c>
      <c r="E298" t="inlineStr">
        <is>
          <t>Ultra-Luxury Apts</t>
        </is>
      </c>
      <c r="F298" t="inlineStr">
        <is>
          <t>Dorchester / Beach</t>
        </is>
      </c>
      <c r="G298" t="inlineStr">
        <is>
          <t>25M+</t>
        </is>
      </c>
      <c r="H298" t="inlineStr">
        <is>
          <t>6000+</t>
        </is>
      </c>
      <c r="I298" t="inlineStr">
        <is>
          <t>50+</t>
        </is>
      </c>
      <c r="J298" t="inlineStr">
        <is>
          <t>60/40</t>
        </is>
      </c>
      <c r="K298" t="inlineStr">
        <is>
          <t>2022</t>
        </is>
      </c>
      <c r="L298" t="inlineStr">
        <is>
          <t>3.0-3.5</t>
        </is>
      </c>
      <c r="M298" t="inlineStr">
        <is>
          <t>8-12</t>
        </is>
      </c>
      <c r="N298" t="inlineStr">
        <is>
          <t>11.0-15.5</t>
        </is>
      </c>
      <c r="O298" t="inlineStr">
        <is>
          <t>Chevalier College</t>
        </is>
      </c>
      <c r="P298" t="inlineStr">
        <is>
          <t>Emirates Hospital</t>
        </is>
      </c>
      <c r="Q298" t="inlineStr">
        <is>
          <t>Nakheel Mall</t>
        </is>
      </c>
      <c r="R298" t="inlineStr">
        <is>
          <t>Sheikh Zayed E11</t>
        </is>
      </c>
      <c r="S298" t="inlineStr">
        <is>
          <t>20</t>
        </is>
      </c>
      <c r="T298" t="inlineStr">
        <is>
          <t>10</t>
        </is>
      </c>
      <c r="U298" t="inlineStr">
        <is>
          <t>25</t>
        </is>
      </c>
      <c r="V298" t="inlineStr">
        <is>
          <t>35</t>
        </is>
      </c>
      <c r="W298" t="n">
        <v>2</v>
      </c>
      <c r="X298" s="12" t="n">
        <v>25000000</v>
      </c>
      <c r="Y298" s="12" t="n">
        <v>25000000</v>
      </c>
      <c r="Z298" s="9" t="n">
        <v>3</v>
      </c>
      <c r="AA298" s="9" t="n">
        <v>3.5</v>
      </c>
      <c r="AB298" s="9" t="n">
        <v>8</v>
      </c>
      <c r="AC298" s="9" t="n">
        <v>12</v>
      </c>
      <c r="AD298" s="9" t="n">
        <v>11</v>
      </c>
      <c r="AE298" s="9" t="n">
        <v>15.5</v>
      </c>
      <c r="AF298" t="n">
        <v>2022</v>
      </c>
      <c r="AH298" t="inlineStr">
        <is>
          <t>Apartment</t>
        </is>
      </c>
      <c r="AI298" t="inlineStr">
        <is>
          <t>Prime</t>
        </is>
      </c>
      <c r="AJ298" t="inlineStr">
        <is>
          <t>Established</t>
        </is>
      </c>
      <c r="AK298" t="inlineStr">
        <is>
          <t>Prime resilient / selective</t>
        </is>
      </c>
      <c r="AL298" t="inlineStr">
        <is>
          <t>Better support from quality, branding, and scarcer prime stock; still entry-price sensitive.</t>
        </is>
      </c>
      <c r="AM298" s="9" t="n">
        <v>10</v>
      </c>
      <c r="AN298" s="9" t="n">
        <v>3.25</v>
      </c>
      <c r="AO298" s="10" t="n">
        <v>0.55</v>
      </c>
      <c r="AP298" s="13" t="n">
        <v>0.02</v>
      </c>
      <c r="AQ298" s="13" t="n">
        <v>0</v>
      </c>
      <c r="AR298" s="13" t="n">
        <v>0</v>
      </c>
      <c r="AS298" s="13" t="n">
        <v>0.03</v>
      </c>
      <c r="AT298" s="13" t="n">
        <v>0</v>
      </c>
      <c r="AU298" s="13" t="n">
        <v>0</v>
      </c>
      <c r="AV298" s="13" t="n">
        <v>-0.005</v>
      </c>
      <c r="AW298" s="13" t="n">
        <v>0.07500000000000001</v>
      </c>
      <c r="AX298" s="13" t="n">
        <v>0.025</v>
      </c>
      <c r="AY298" s="12" t="n">
        <v>26068750</v>
      </c>
      <c r="AZ298" s="12" t="n">
        <v>26875000</v>
      </c>
      <c r="BA298" s="12" t="n">
        <v>27681250</v>
      </c>
      <c r="BB298" s="12" t="n">
        <v>26740625</v>
      </c>
      <c r="BC298" s="12" t="n">
        <v>27546875</v>
      </c>
      <c r="BD298" s="12" t="n">
        <v>28353125</v>
      </c>
      <c r="BE298" s="12" t="n">
        <v>28235547</v>
      </c>
      <c r="BF298" t="inlineStr">
        <is>
          <t>Frozen values from same rules-based model as formula sheet.</t>
        </is>
      </c>
      <c r="BG298" t="inlineStr">
        <is>
          <t>2026-03-17</t>
        </is>
      </c>
      <c r="BH298" t="inlineStr">
        <is>
          <t>DLD / Digital Dubai / CBUAE / Savills / Knight Frank-Moody’s / Reuters</t>
        </is>
      </c>
    </row>
    <row r="299">
      <c r="A299" t="n">
        <v>298</v>
      </c>
      <c r="B299" t="inlineStr">
        <is>
          <t>Orla Infinity</t>
        </is>
      </c>
      <c r="C299" t="inlineStr">
        <is>
          <t>Omniyat</t>
        </is>
      </c>
      <c r="D299" t="inlineStr">
        <is>
          <t>Palm Jumeirah</t>
        </is>
      </c>
      <c r="E299" t="inlineStr">
        <is>
          <t>Ultra-Luxury Apts</t>
        </is>
      </c>
      <c r="F299" t="inlineStr">
        <is>
          <t>Dorchester / Beach</t>
        </is>
      </c>
      <c r="G299" t="inlineStr">
        <is>
          <t>30M+</t>
        </is>
      </c>
      <c r="H299" t="inlineStr">
        <is>
          <t>6500+</t>
        </is>
      </c>
      <c r="I299" t="inlineStr">
        <is>
          <t>50+</t>
        </is>
      </c>
      <c r="J299" t="inlineStr">
        <is>
          <t>60/40</t>
        </is>
      </c>
      <c r="K299" t="inlineStr">
        <is>
          <t>2023</t>
        </is>
      </c>
      <c r="L299" t="inlineStr">
        <is>
          <t>3.0-3.5</t>
        </is>
      </c>
      <c r="M299" t="inlineStr">
        <is>
          <t>8-12</t>
        </is>
      </c>
      <c r="N299" t="inlineStr">
        <is>
          <t>11.0-15.5</t>
        </is>
      </c>
      <c r="O299" t="inlineStr">
        <is>
          <t>Chevalier College</t>
        </is>
      </c>
      <c r="P299" t="inlineStr">
        <is>
          <t>Emirates Hospital</t>
        </is>
      </c>
      <c r="Q299" t="inlineStr">
        <is>
          <t>Nakheel Mall</t>
        </is>
      </c>
      <c r="R299" t="inlineStr">
        <is>
          <t>Sheikh Zayed E11</t>
        </is>
      </c>
      <c r="S299" t="inlineStr">
        <is>
          <t>20</t>
        </is>
      </c>
      <c r="T299" t="inlineStr">
        <is>
          <t>10</t>
        </is>
      </c>
      <c r="U299" t="inlineStr">
        <is>
          <t>25</t>
        </is>
      </c>
      <c r="V299" t="inlineStr">
        <is>
          <t>35</t>
        </is>
      </c>
      <c r="W299" t="n">
        <v>2</v>
      </c>
      <c r="X299" s="12" t="n">
        <v>30000000</v>
      </c>
      <c r="Y299" s="12" t="n">
        <v>30000000</v>
      </c>
      <c r="Z299" s="9" t="n">
        <v>3</v>
      </c>
      <c r="AA299" s="9" t="n">
        <v>3.5</v>
      </c>
      <c r="AB299" s="9" t="n">
        <v>8</v>
      </c>
      <c r="AC299" s="9" t="n">
        <v>12</v>
      </c>
      <c r="AD299" s="9" t="n">
        <v>11</v>
      </c>
      <c r="AE299" s="9" t="n">
        <v>15.5</v>
      </c>
      <c r="AF299" t="n">
        <v>2023</v>
      </c>
      <c r="AH299" t="inlineStr">
        <is>
          <t>Apartment</t>
        </is>
      </c>
      <c r="AI299" t="inlineStr">
        <is>
          <t>Prime</t>
        </is>
      </c>
      <c r="AJ299" t="inlineStr">
        <is>
          <t>Established</t>
        </is>
      </c>
      <c r="AK299" t="inlineStr">
        <is>
          <t>Prime resilient / selective</t>
        </is>
      </c>
      <c r="AL299" t="inlineStr">
        <is>
          <t>Better support from quality, branding, and scarcer prime stock; still entry-price sensitive.</t>
        </is>
      </c>
      <c r="AM299" s="9" t="n">
        <v>10</v>
      </c>
      <c r="AN299" s="9" t="n">
        <v>3.25</v>
      </c>
      <c r="AO299" s="10" t="n">
        <v>0.55</v>
      </c>
      <c r="AP299" s="13" t="n">
        <v>0.02</v>
      </c>
      <c r="AQ299" s="13" t="n">
        <v>0</v>
      </c>
      <c r="AR299" s="13" t="n">
        <v>0</v>
      </c>
      <c r="AS299" s="13" t="n">
        <v>0.03</v>
      </c>
      <c r="AT299" s="13" t="n">
        <v>0</v>
      </c>
      <c r="AU299" s="13" t="n">
        <v>0</v>
      </c>
      <c r="AV299" s="13" t="n">
        <v>-0.005</v>
      </c>
      <c r="AW299" s="13" t="n">
        <v>0.07500000000000001</v>
      </c>
      <c r="AX299" s="13" t="n">
        <v>0.025</v>
      </c>
      <c r="AY299" s="12" t="n">
        <v>31282500</v>
      </c>
      <c r="AZ299" s="12" t="n">
        <v>32250000</v>
      </c>
      <c r="BA299" s="12" t="n">
        <v>33217500</v>
      </c>
      <c r="BB299" s="12" t="n">
        <v>32088750</v>
      </c>
      <c r="BC299" s="12" t="n">
        <v>33056250</v>
      </c>
      <c r="BD299" s="12" t="n">
        <v>34023750</v>
      </c>
      <c r="BE299" s="12" t="n">
        <v>33882656</v>
      </c>
      <c r="BF299" t="inlineStr">
        <is>
          <t>Frozen values from same rules-based model as formula sheet.</t>
        </is>
      </c>
      <c r="BG299" t="inlineStr">
        <is>
          <t>2026-03-17</t>
        </is>
      </c>
      <c r="BH299" t="inlineStr">
        <is>
          <t>DLD / Digital Dubai / CBUAE / Savills / Knight Frank-Moody’s / Reuters</t>
        </is>
      </c>
    </row>
    <row r="300">
      <c r="A300" t="n">
        <v>299</v>
      </c>
      <c r="B300" t="inlineStr">
        <is>
          <t>One at Palm Jumeirah</t>
        </is>
      </c>
      <c r="C300" t="inlineStr">
        <is>
          <t>Omniyat</t>
        </is>
      </c>
      <c r="D300" t="inlineStr">
        <is>
          <t>Palm Jumeirah</t>
        </is>
      </c>
      <c r="E300" t="inlineStr">
        <is>
          <t>Ultra-Luxury Apts</t>
        </is>
      </c>
      <c r="F300" t="inlineStr">
        <is>
          <t>Dorchester / Beach</t>
        </is>
      </c>
      <c r="G300" t="inlineStr">
        <is>
          <t>Resale (20M+)</t>
        </is>
      </c>
      <c r="H300" t="inlineStr">
        <is>
          <t>5000+</t>
        </is>
      </c>
      <c r="I300" t="inlineStr">
        <is>
          <t>50+</t>
        </is>
      </c>
      <c r="J300" t="inlineStr">
        <is>
          <t>Completed</t>
        </is>
      </c>
      <c r="K300" t="inlineStr">
        <is>
          <t>2017</t>
        </is>
      </c>
      <c r="L300" t="inlineStr">
        <is>
          <t>4.0-4.5</t>
        </is>
      </c>
      <c r="M300" t="inlineStr">
        <is>
          <t>5-7</t>
        </is>
      </c>
      <c r="N300" t="inlineStr">
        <is>
          <t>9.0-11.5</t>
        </is>
      </c>
      <c r="O300" t="inlineStr">
        <is>
          <t>Chevalier College</t>
        </is>
      </c>
      <c r="P300" t="inlineStr">
        <is>
          <t>Emirates Hospital</t>
        </is>
      </c>
      <c r="Q300" t="inlineStr">
        <is>
          <t>Nakheel Mall</t>
        </is>
      </c>
      <c r="R300" t="inlineStr">
        <is>
          <t>Sheikh Zayed E11</t>
        </is>
      </c>
      <c r="S300" t="inlineStr">
        <is>
          <t>20</t>
        </is>
      </c>
      <c r="T300" t="inlineStr">
        <is>
          <t>10</t>
        </is>
      </c>
      <c r="U300" t="inlineStr">
        <is>
          <t>25</t>
        </is>
      </c>
      <c r="V300" t="inlineStr">
        <is>
          <t>35</t>
        </is>
      </c>
      <c r="W300" t="n">
        <v>2</v>
      </c>
      <c r="X300" s="12" t="n">
        <v>20000000</v>
      </c>
      <c r="Y300" s="12" t="n">
        <v>20000000</v>
      </c>
      <c r="Z300" s="9" t="n">
        <v>4</v>
      </c>
      <c r="AA300" s="9" t="n">
        <v>4.5</v>
      </c>
      <c r="AB300" s="9" t="n">
        <v>5</v>
      </c>
      <c r="AC300" s="9" t="n">
        <v>7</v>
      </c>
      <c r="AD300" s="9" t="n">
        <v>9</v>
      </c>
      <c r="AE300" s="9" t="n">
        <v>11.5</v>
      </c>
      <c r="AF300" t="n">
        <v>2017</v>
      </c>
      <c r="AH300" t="inlineStr">
        <is>
          <t>Apartment</t>
        </is>
      </c>
      <c r="AI300" t="inlineStr">
        <is>
          <t>Prime</t>
        </is>
      </c>
      <c r="AJ300" t="inlineStr">
        <is>
          <t>Established</t>
        </is>
      </c>
      <c r="AK300" t="inlineStr">
        <is>
          <t>Prime resilient / selective</t>
        </is>
      </c>
      <c r="AL300" t="inlineStr">
        <is>
          <t>Better support from quality, branding, and scarcer prime stock; still entry-price sensitive.</t>
        </is>
      </c>
      <c r="AM300" s="9" t="n">
        <v>6</v>
      </c>
      <c r="AN300" s="9" t="n">
        <v>4.25</v>
      </c>
      <c r="AO300" s="10" t="n">
        <v>0.55</v>
      </c>
      <c r="AP300" s="13" t="n">
        <v>0.02</v>
      </c>
      <c r="AQ300" s="13" t="n">
        <v>0</v>
      </c>
      <c r="AR300" s="13" t="n">
        <v>0</v>
      </c>
      <c r="AS300" s="13" t="n">
        <v>0.03</v>
      </c>
      <c r="AT300" s="13" t="n">
        <v>0</v>
      </c>
      <c r="AU300" s="13" t="n">
        <v>0</v>
      </c>
      <c r="AV300" s="13" t="n">
        <v>-0.005</v>
      </c>
      <c r="AW300" s="13" t="n">
        <v>0.05300000000000001</v>
      </c>
      <c r="AX300" s="13" t="n">
        <v>0.025</v>
      </c>
      <c r="AY300" s="12" t="n">
        <v>20428200</v>
      </c>
      <c r="AZ300" s="12" t="n">
        <v>21060000</v>
      </c>
      <c r="BA300" s="12" t="n">
        <v>21691800</v>
      </c>
      <c r="BB300" s="12" t="n">
        <v>20954700</v>
      </c>
      <c r="BC300" s="12" t="n">
        <v>21586500</v>
      </c>
      <c r="BD300" s="12" t="n">
        <v>22218300</v>
      </c>
      <c r="BE300" s="12" t="n">
        <v>22126162</v>
      </c>
      <c r="BF300" t="inlineStr">
        <is>
          <t>Frozen values from same rules-based model as formula sheet.</t>
        </is>
      </c>
      <c r="BG300" t="inlineStr">
        <is>
          <t>2026-03-17</t>
        </is>
      </c>
      <c r="BH300" t="inlineStr">
        <is>
          <t>DLD / Digital Dubai / CBUAE / Savills / Knight Frank-Moody’s / Reuters</t>
        </is>
      </c>
    </row>
    <row r="301">
      <c r="A301" t="n">
        <v>300</v>
      </c>
      <c r="B301" t="inlineStr">
        <is>
          <t>Ava at Palm Jumeirah</t>
        </is>
      </c>
      <c r="C301" t="inlineStr">
        <is>
          <t>Omniyat</t>
        </is>
      </c>
      <c r="D301" t="inlineStr">
        <is>
          <t>Palm Jumeirah</t>
        </is>
      </c>
      <c r="E301" t="inlineStr">
        <is>
          <t>Ultra-Luxury Apts</t>
        </is>
      </c>
      <c r="F301" t="inlineStr">
        <is>
          <t>Dorchester / Private</t>
        </is>
      </c>
      <c r="G301" t="inlineStr">
        <is>
          <t>40M+</t>
        </is>
      </c>
      <c r="H301" t="inlineStr">
        <is>
          <t>6000+</t>
        </is>
      </c>
      <c r="I301" t="inlineStr">
        <is>
          <t>50+</t>
        </is>
      </c>
      <c r="J301" t="inlineStr">
        <is>
          <t>60/40</t>
        </is>
      </c>
      <c r="K301" t="inlineStr">
        <is>
          <t>2022</t>
        </is>
      </c>
      <c r="L301" t="inlineStr">
        <is>
          <t>3.0-3.5</t>
        </is>
      </c>
      <c r="M301" t="inlineStr">
        <is>
          <t>8-12</t>
        </is>
      </c>
      <c r="N301" t="inlineStr">
        <is>
          <t>11.0-15.5</t>
        </is>
      </c>
      <c r="O301" t="inlineStr">
        <is>
          <t>Chevalier College</t>
        </is>
      </c>
      <c r="P301" t="inlineStr">
        <is>
          <t>Emirates Hospital</t>
        </is>
      </c>
      <c r="Q301" t="inlineStr">
        <is>
          <t>Nakheel Mall</t>
        </is>
      </c>
      <c r="R301" t="inlineStr">
        <is>
          <t>Sheikh Zayed E11</t>
        </is>
      </c>
      <c r="S301" t="inlineStr">
        <is>
          <t>20</t>
        </is>
      </c>
      <c r="T301" t="inlineStr">
        <is>
          <t>10</t>
        </is>
      </c>
      <c r="U301" t="inlineStr">
        <is>
          <t>25</t>
        </is>
      </c>
      <c r="V301" t="inlineStr">
        <is>
          <t>35</t>
        </is>
      </c>
      <c r="W301" t="n">
        <v>2</v>
      </c>
      <c r="X301" s="12" t="n">
        <v>40000000</v>
      </c>
      <c r="Y301" s="12" t="n">
        <v>40000000</v>
      </c>
      <c r="Z301" s="9" t="n">
        <v>3</v>
      </c>
      <c r="AA301" s="9" t="n">
        <v>3.5</v>
      </c>
      <c r="AB301" s="9" t="n">
        <v>8</v>
      </c>
      <c r="AC301" s="9" t="n">
        <v>12</v>
      </c>
      <c r="AD301" s="9" t="n">
        <v>11</v>
      </c>
      <c r="AE301" s="9" t="n">
        <v>15.5</v>
      </c>
      <c r="AF301" t="n">
        <v>2022</v>
      </c>
      <c r="AH301" t="inlineStr">
        <is>
          <t>Apartment</t>
        </is>
      </c>
      <c r="AI301" t="inlineStr">
        <is>
          <t>Prime</t>
        </is>
      </c>
      <c r="AJ301" t="inlineStr">
        <is>
          <t>Established</t>
        </is>
      </c>
      <c r="AK301" t="inlineStr">
        <is>
          <t>Prime resilient / selective</t>
        </is>
      </c>
      <c r="AL301" t="inlineStr">
        <is>
          <t>Better support from quality, branding, and scarcer prime stock; still entry-price sensitive.</t>
        </is>
      </c>
      <c r="AM301" s="9" t="n">
        <v>10</v>
      </c>
      <c r="AN301" s="9" t="n">
        <v>3.25</v>
      </c>
      <c r="AO301" s="10" t="n">
        <v>0.55</v>
      </c>
      <c r="AP301" s="13" t="n">
        <v>0.02</v>
      </c>
      <c r="AQ301" s="13" t="n">
        <v>0</v>
      </c>
      <c r="AR301" s="13" t="n">
        <v>0</v>
      </c>
      <c r="AS301" s="13" t="n">
        <v>0.03</v>
      </c>
      <c r="AT301" s="13" t="n">
        <v>0</v>
      </c>
      <c r="AU301" s="13" t="n">
        <v>0</v>
      </c>
      <c r="AV301" s="13" t="n">
        <v>-0.005</v>
      </c>
      <c r="AW301" s="13" t="n">
        <v>0.07500000000000001</v>
      </c>
      <c r="AX301" s="13" t="n">
        <v>0.025</v>
      </c>
      <c r="AY301" s="12" t="n">
        <v>41710000</v>
      </c>
      <c r="AZ301" s="12" t="n">
        <v>43000000</v>
      </c>
      <c r="BA301" s="12" t="n">
        <v>44290000</v>
      </c>
      <c r="BB301" s="12" t="n">
        <v>42785000</v>
      </c>
      <c r="BC301" s="12" t="n">
        <v>44075000</v>
      </c>
      <c r="BD301" s="12" t="n">
        <v>45365000</v>
      </c>
      <c r="BE301" s="12" t="n">
        <v>45176875</v>
      </c>
      <c r="BF301" t="inlineStr">
        <is>
          <t>Frozen values from same rules-based model as formula sheet.</t>
        </is>
      </c>
      <c r="BG301" t="inlineStr">
        <is>
          <t>2026-03-17</t>
        </is>
      </c>
      <c r="BH301" t="inlineStr">
        <is>
          <t>DLD / Digital Dubai / CBUAE / Savills / Knight Frank-Moody’s / Reuters</t>
        </is>
      </c>
    </row>
    <row r="302">
      <c r="A302" t="n">
        <v>301</v>
      </c>
      <c r="B302" t="inlineStr">
        <is>
          <t>Anwa</t>
        </is>
      </c>
      <c r="C302" t="inlineStr">
        <is>
          <t>Omniyat</t>
        </is>
      </c>
      <c r="D302" t="inlineStr">
        <is>
          <t>Dubai Maritime City</t>
        </is>
      </c>
      <c r="E302" t="inlineStr">
        <is>
          <t>Apartments</t>
        </is>
      </c>
      <c r="F302" t="inlineStr">
        <is>
          <t>Sea View / Luxury</t>
        </is>
      </c>
      <c r="G302" t="inlineStr">
        <is>
          <t>Resale (2M+)</t>
        </is>
      </c>
      <c r="H302" t="inlineStr">
        <is>
          <t>1800</t>
        </is>
      </c>
      <c r="I302" t="inlineStr">
        <is>
          <t>25</t>
        </is>
      </c>
      <c r="J302" t="inlineStr">
        <is>
          <t>Completed</t>
        </is>
      </c>
      <c r="K302" t="inlineStr">
        <is>
          <t>2021</t>
        </is>
      </c>
      <c r="L302" t="inlineStr">
        <is>
          <t>6.0-6.5</t>
        </is>
      </c>
      <c r="M302" t="inlineStr">
        <is>
          <t>6-8</t>
        </is>
      </c>
      <c r="N302" t="inlineStr">
        <is>
          <t>12.0-14.5</t>
        </is>
      </c>
      <c r="O302" t="inlineStr">
        <is>
          <t>New Academy School</t>
        </is>
      </c>
      <c r="P302" t="inlineStr">
        <is>
          <t>Aster Hospital Mankhool</t>
        </is>
      </c>
      <c r="Q302" t="inlineStr">
        <is>
          <t>Dubai Mall</t>
        </is>
      </c>
      <c r="R302" t="inlineStr">
        <is>
          <t>Al Khaleej / E11</t>
        </is>
      </c>
      <c r="S302" t="inlineStr">
        <is>
          <t>15</t>
        </is>
      </c>
      <c r="T302" t="inlineStr">
        <is>
          <t>25</t>
        </is>
      </c>
      <c r="U302" t="inlineStr">
        <is>
          <t>15</t>
        </is>
      </c>
      <c r="V302" t="inlineStr">
        <is>
          <t>45</t>
        </is>
      </c>
      <c r="W302" t="n">
        <v>2</v>
      </c>
      <c r="X302" s="12" t="n">
        <v>2000000</v>
      </c>
      <c r="Y302" s="12" t="n">
        <v>2000000</v>
      </c>
      <c r="Z302" s="9" t="n">
        <v>6</v>
      </c>
      <c r="AA302" s="9" t="n">
        <v>6.5</v>
      </c>
      <c r="AB302" s="9" t="n">
        <v>6</v>
      </c>
      <c r="AC302" s="9" t="n">
        <v>8</v>
      </c>
      <c r="AD302" s="9" t="n">
        <v>12</v>
      </c>
      <c r="AE302" s="9" t="n">
        <v>14.5</v>
      </c>
      <c r="AF302" t="n">
        <v>2021</v>
      </c>
      <c r="AH302" t="inlineStr">
        <is>
          <t>Apartment</t>
        </is>
      </c>
      <c r="AI302" t="inlineStr">
        <is>
          <t>MainstreamSelective</t>
        </is>
      </c>
      <c r="AJ302" t="inlineStr">
        <is>
          <t>Established</t>
        </is>
      </c>
      <c r="AK302" t="inlineStr">
        <is>
          <t>Balanced / selective</t>
        </is>
      </c>
      <c r="AL302" t="inlineStr">
        <is>
          <t>Market remains active but increasingly differentiated by developer, micro-location, livability, and pricing discipline.</t>
        </is>
      </c>
      <c r="AM302" s="9" t="n">
        <v>7</v>
      </c>
      <c r="AN302" s="9" t="n">
        <v>6.25</v>
      </c>
      <c r="AO302" s="10" t="n">
        <v>0.55</v>
      </c>
      <c r="AP302" s="13" t="n">
        <v>0</v>
      </c>
      <c r="AQ302" s="13" t="n">
        <v>0</v>
      </c>
      <c r="AR302" s="13" t="n">
        <v>0</v>
      </c>
      <c r="AS302" s="13" t="n">
        <v>0.01</v>
      </c>
      <c r="AT302" s="13" t="n">
        <v>0</v>
      </c>
      <c r="AU302" s="13" t="n">
        <v>0.0025</v>
      </c>
      <c r="AV302" s="13" t="n">
        <v>-0.005</v>
      </c>
      <c r="AW302" s="13" t="n">
        <v>0.03850000000000001</v>
      </c>
      <c r="AX302" s="13" t="n">
        <v>0.007500000000000001</v>
      </c>
      <c r="AY302" s="12" t="n">
        <v>2014690</v>
      </c>
      <c r="AZ302" s="12" t="n">
        <v>2077000</v>
      </c>
      <c r="BA302" s="12" t="n">
        <v>2139310</v>
      </c>
      <c r="BB302" s="12" t="n">
        <v>2030268</v>
      </c>
      <c r="BC302" s="12" t="n">
        <v>2092578</v>
      </c>
      <c r="BD302" s="12" t="n">
        <v>2154888</v>
      </c>
      <c r="BE302" s="12" t="n">
        <v>2108272</v>
      </c>
      <c r="BF302" t="inlineStr">
        <is>
          <t>Frozen values from same rules-based model as formula sheet.</t>
        </is>
      </c>
      <c r="BG302" t="inlineStr">
        <is>
          <t>2026-03-17</t>
        </is>
      </c>
      <c r="BH302" t="inlineStr">
        <is>
          <t>DLD / Digital Dubai / CBUAE / Savills / Knight Frank-Moody’s / Reuters</t>
        </is>
      </c>
    </row>
    <row r="303">
      <c r="A303" t="n">
        <v>302</v>
      </c>
      <c r="B303" t="inlineStr">
        <is>
          <t>Anwa Aria</t>
        </is>
      </c>
      <c r="C303" t="inlineStr">
        <is>
          <t>Omniyat</t>
        </is>
      </c>
      <c r="D303" t="inlineStr">
        <is>
          <t>Dubai Maritime City</t>
        </is>
      </c>
      <c r="E303" t="inlineStr">
        <is>
          <t>Apartments</t>
        </is>
      </c>
      <c r="F303" t="inlineStr">
        <is>
          <t>Sea View / Luxury</t>
        </is>
      </c>
      <c r="G303" t="inlineStr">
        <is>
          <t>2.2M</t>
        </is>
      </c>
      <c r="H303" t="inlineStr">
        <is>
          <t>2000</t>
        </is>
      </c>
      <c r="I303" t="inlineStr">
        <is>
          <t>25</t>
        </is>
      </c>
      <c r="J303" t="inlineStr">
        <is>
          <t>60/40</t>
        </is>
      </c>
      <c r="K303" t="inlineStr">
        <is>
          <t>2023</t>
        </is>
      </c>
      <c r="L303" t="inlineStr">
        <is>
          <t>6.0-6.5</t>
        </is>
      </c>
      <c r="M303" t="inlineStr">
        <is>
          <t>8-10</t>
        </is>
      </c>
      <c r="N303" t="inlineStr">
        <is>
          <t>14.0-16.5</t>
        </is>
      </c>
      <c r="O303" t="inlineStr">
        <is>
          <t>New Academy School</t>
        </is>
      </c>
      <c r="P303" t="inlineStr">
        <is>
          <t>Aster Hospital Mankhool</t>
        </is>
      </c>
      <c r="Q303" t="inlineStr">
        <is>
          <t>Dubai Mall</t>
        </is>
      </c>
      <c r="R303" t="inlineStr">
        <is>
          <t>Al Khaleej / E11</t>
        </is>
      </c>
      <c r="S303" t="inlineStr">
        <is>
          <t>15</t>
        </is>
      </c>
      <c r="T303" t="inlineStr">
        <is>
          <t>25</t>
        </is>
      </c>
      <c r="U303" t="inlineStr">
        <is>
          <t>15</t>
        </is>
      </c>
      <c r="V303" t="inlineStr">
        <is>
          <t>45</t>
        </is>
      </c>
      <c r="W303" t="n">
        <v>2</v>
      </c>
      <c r="X303" s="12" t="n">
        <v>2200000</v>
      </c>
      <c r="Y303" s="12" t="n">
        <v>2200000</v>
      </c>
      <c r="Z303" s="9" t="n">
        <v>6</v>
      </c>
      <c r="AA303" s="9" t="n">
        <v>6.5</v>
      </c>
      <c r="AB303" s="9" t="n">
        <v>8</v>
      </c>
      <c r="AC303" s="9" t="n">
        <v>10</v>
      </c>
      <c r="AD303" s="9" t="n">
        <v>14</v>
      </c>
      <c r="AE303" s="9" t="n">
        <v>16.5</v>
      </c>
      <c r="AF303" t="n">
        <v>2023</v>
      </c>
      <c r="AH303" t="inlineStr">
        <is>
          <t>Apartment</t>
        </is>
      </c>
      <c r="AI303" t="inlineStr">
        <is>
          <t>MainstreamSelective</t>
        </is>
      </c>
      <c r="AJ303" t="inlineStr">
        <is>
          <t>Established</t>
        </is>
      </c>
      <c r="AK303" t="inlineStr">
        <is>
          <t>Balanced / selective</t>
        </is>
      </c>
      <c r="AL303" t="inlineStr">
        <is>
          <t>Market remains active but increasingly differentiated by developer, micro-location, livability, and pricing discipline.</t>
        </is>
      </c>
      <c r="AM303" s="9" t="n">
        <v>9</v>
      </c>
      <c r="AN303" s="9" t="n">
        <v>6.25</v>
      </c>
      <c r="AO303" s="10" t="n">
        <v>0.55</v>
      </c>
      <c r="AP303" s="13" t="n">
        <v>0</v>
      </c>
      <c r="AQ303" s="13" t="n">
        <v>0</v>
      </c>
      <c r="AR303" s="13" t="n">
        <v>0</v>
      </c>
      <c r="AS303" s="13" t="n">
        <v>0.01</v>
      </c>
      <c r="AT303" s="13" t="n">
        <v>0</v>
      </c>
      <c r="AU303" s="13" t="n">
        <v>0.0025</v>
      </c>
      <c r="AV303" s="13" t="n">
        <v>-0.005</v>
      </c>
      <c r="AW303" s="13" t="n">
        <v>0.0495</v>
      </c>
      <c r="AX303" s="13" t="n">
        <v>0.007500000000000001</v>
      </c>
      <c r="AY303" s="12" t="n">
        <v>2239633</v>
      </c>
      <c r="AZ303" s="12" t="n">
        <v>2308900</v>
      </c>
      <c r="BA303" s="12" t="n">
        <v>2378167</v>
      </c>
      <c r="BB303" s="12" t="n">
        <v>2256950</v>
      </c>
      <c r="BC303" s="12" t="n">
        <v>2326217</v>
      </c>
      <c r="BD303" s="12" t="n">
        <v>2395484</v>
      </c>
      <c r="BE303" s="12" t="n">
        <v>2343663</v>
      </c>
      <c r="BF303" t="inlineStr">
        <is>
          <t>Frozen values from same rules-based model as formula sheet.</t>
        </is>
      </c>
      <c r="BG303" t="inlineStr">
        <is>
          <t>2026-03-17</t>
        </is>
      </c>
      <c r="BH303" t="inlineStr">
        <is>
          <t>DLD / Digital Dubai / CBUAE / Savills / Knight Frank-Moody’s / Reuters</t>
        </is>
      </c>
    </row>
    <row r="304">
      <c r="A304" t="n">
        <v>303</v>
      </c>
      <c r="B304" t="inlineStr">
        <is>
          <t>Armani Beach Residences</t>
        </is>
      </c>
      <c r="C304" t="inlineStr">
        <is>
          <t>Arada</t>
        </is>
      </c>
      <c r="D304" t="inlineStr">
        <is>
          <t>Palm Jumeirah</t>
        </is>
      </c>
      <c r="E304" t="inlineStr">
        <is>
          <t>Branded Apts</t>
        </is>
      </c>
      <c r="F304" t="inlineStr">
        <is>
          <t>Ultra-Luxury / Design</t>
        </is>
      </c>
      <c r="G304" t="inlineStr">
        <is>
          <t>20M+</t>
        </is>
      </c>
      <c r="H304" t="inlineStr">
        <is>
          <t>6000</t>
        </is>
      </c>
      <c r="I304" t="inlineStr">
        <is>
          <t>45+</t>
        </is>
      </c>
      <c r="J304" t="inlineStr">
        <is>
          <t>60/40</t>
        </is>
      </c>
      <c r="K304" t="inlineStr">
        <is>
          <t>2023</t>
        </is>
      </c>
      <c r="L304" t="inlineStr">
        <is>
          <t>3.5-4.0</t>
        </is>
      </c>
      <c r="M304" t="inlineStr">
        <is>
          <t>8-12</t>
        </is>
      </c>
      <c r="N304" t="inlineStr">
        <is>
          <t>11.5-16.0</t>
        </is>
      </c>
      <c r="O304" t="inlineStr">
        <is>
          <t>Chevalier College</t>
        </is>
      </c>
      <c r="P304" t="inlineStr">
        <is>
          <t>Emirates Hospital</t>
        </is>
      </c>
      <c r="Q304" t="inlineStr">
        <is>
          <t>Nakheel Mall</t>
        </is>
      </c>
      <c r="R304" t="inlineStr">
        <is>
          <t>Sheikh Zayed E11</t>
        </is>
      </c>
      <c r="S304" t="inlineStr">
        <is>
          <t>20</t>
        </is>
      </c>
      <c r="T304" t="inlineStr">
        <is>
          <t>10</t>
        </is>
      </c>
      <c r="U304" t="inlineStr">
        <is>
          <t>25</t>
        </is>
      </c>
      <c r="V304" t="inlineStr">
        <is>
          <t>35</t>
        </is>
      </c>
      <c r="W304" t="n">
        <v>2</v>
      </c>
      <c r="X304" s="12" t="n">
        <v>20000000</v>
      </c>
      <c r="Y304" s="12" t="n">
        <v>20000000</v>
      </c>
      <c r="Z304" s="9" t="n">
        <v>3.5</v>
      </c>
      <c r="AA304" s="9" t="n">
        <v>4</v>
      </c>
      <c r="AB304" s="9" t="n">
        <v>8</v>
      </c>
      <c r="AC304" s="9" t="n">
        <v>12</v>
      </c>
      <c r="AD304" s="9" t="n">
        <v>11.5</v>
      </c>
      <c r="AE304" s="9" t="n">
        <v>16</v>
      </c>
      <c r="AF304" t="n">
        <v>2023</v>
      </c>
      <c r="AH304" t="inlineStr">
        <is>
          <t>Apartment</t>
        </is>
      </c>
      <c r="AI304" t="inlineStr">
        <is>
          <t>Prime</t>
        </is>
      </c>
      <c r="AJ304" t="inlineStr">
        <is>
          <t>Established</t>
        </is>
      </c>
      <c r="AK304" t="inlineStr">
        <is>
          <t>Prime resilient / selective</t>
        </is>
      </c>
      <c r="AL304" t="inlineStr">
        <is>
          <t>Better support from quality, branding, and scarcer prime stock; still entry-price sensitive.</t>
        </is>
      </c>
      <c r="AM304" s="9" t="n">
        <v>10</v>
      </c>
      <c r="AN304" s="9" t="n">
        <v>3.75</v>
      </c>
      <c r="AO304" s="10" t="n">
        <v>0.55</v>
      </c>
      <c r="AP304" s="13" t="n">
        <v>0.02</v>
      </c>
      <c r="AQ304" s="13" t="n">
        <v>0</v>
      </c>
      <c r="AR304" s="13" t="n">
        <v>0</v>
      </c>
      <c r="AS304" s="13" t="n">
        <v>0.03</v>
      </c>
      <c r="AT304" s="13" t="n">
        <v>0</v>
      </c>
      <c r="AU304" s="13" t="n">
        <v>0</v>
      </c>
      <c r="AV304" s="13" t="n">
        <v>-0.005</v>
      </c>
      <c r="AW304" s="13" t="n">
        <v>0.07500000000000001</v>
      </c>
      <c r="AX304" s="13" t="n">
        <v>0.025</v>
      </c>
      <c r="AY304" s="12" t="n">
        <v>20855000</v>
      </c>
      <c r="AZ304" s="12" t="n">
        <v>21500000</v>
      </c>
      <c r="BA304" s="12" t="n">
        <v>22145000</v>
      </c>
      <c r="BB304" s="12" t="n">
        <v>21392500</v>
      </c>
      <c r="BC304" s="12" t="n">
        <v>22037500</v>
      </c>
      <c r="BD304" s="12" t="n">
        <v>22682500</v>
      </c>
      <c r="BE304" s="12" t="n">
        <v>22588438</v>
      </c>
      <c r="BF304" t="inlineStr">
        <is>
          <t>Frozen values from same rules-based model as formula sheet.</t>
        </is>
      </c>
      <c r="BG304" t="inlineStr">
        <is>
          <t>2026-03-17</t>
        </is>
      </c>
      <c r="BH304" t="inlineStr">
        <is>
          <t>DLD / Digital Dubai / CBUAE / Savills / Knight Frank-Moody’s / Reuters</t>
        </is>
      </c>
    </row>
    <row r="305">
      <c r="A305" t="n">
        <v>304</v>
      </c>
      <c r="B305" t="inlineStr">
        <is>
          <t>W Residences Dubai Harbour</t>
        </is>
      </c>
      <c r="C305" t="inlineStr">
        <is>
          <t>Arada</t>
        </is>
      </c>
      <c r="D305" t="inlineStr">
        <is>
          <t>Dubai Harbour</t>
        </is>
      </c>
      <c r="E305" t="inlineStr">
        <is>
          <t>Branded Apts</t>
        </is>
      </c>
      <c r="F305" t="inlineStr">
        <is>
          <t>Luxury / Hotel</t>
        </is>
      </c>
      <c r="G305" t="inlineStr">
        <is>
          <t>4.5M</t>
        </is>
      </c>
      <c r="H305" t="inlineStr">
        <is>
          <t>3500</t>
        </is>
      </c>
      <c r="I305" t="inlineStr">
        <is>
          <t>35+</t>
        </is>
      </c>
      <c r="J305" t="inlineStr">
        <is>
          <t>60/40</t>
        </is>
      </c>
      <c r="K305" t="inlineStr">
        <is>
          <t>2024</t>
        </is>
      </c>
      <c r="L305" t="inlineStr">
        <is>
          <t>5.0-5.5</t>
        </is>
      </c>
      <c r="M305" t="inlineStr">
        <is>
          <t>10-12</t>
        </is>
      </c>
      <c r="N305" t="inlineStr">
        <is>
          <t>15.0-17.5</t>
        </is>
      </c>
      <c r="O305" t="inlineStr">
        <is>
          <t>American Univ. Dubai</t>
        </is>
      </c>
      <c r="P305" t="inlineStr">
        <is>
          <t>Saudi German Hospital</t>
        </is>
      </c>
      <c r="Q305" t="inlineStr">
        <is>
          <t>Dubai Marina Mall</t>
        </is>
      </c>
      <c r="R305" t="inlineStr">
        <is>
          <t>Sheikh Zayed E11</t>
        </is>
      </c>
      <c r="S305" t="inlineStr">
        <is>
          <t>20</t>
        </is>
      </c>
      <c r="T305" t="inlineStr">
        <is>
          <t>5</t>
        </is>
      </c>
      <c r="U305" t="inlineStr">
        <is>
          <t>25</t>
        </is>
      </c>
      <c r="V305" t="inlineStr">
        <is>
          <t>30</t>
        </is>
      </c>
      <c r="W305" t="n">
        <v>2</v>
      </c>
      <c r="X305" s="12" t="n">
        <v>4500000</v>
      </c>
      <c r="Y305" s="12" t="n">
        <v>4500000</v>
      </c>
      <c r="Z305" s="9" t="n">
        <v>5</v>
      </c>
      <c r="AA305" s="9" t="n">
        <v>5.5</v>
      </c>
      <c r="AB305" s="9" t="n">
        <v>10</v>
      </c>
      <c r="AC305" s="9" t="n">
        <v>12</v>
      </c>
      <c r="AD305" s="9" t="n">
        <v>15</v>
      </c>
      <c r="AE305" s="9" t="n">
        <v>17.5</v>
      </c>
      <c r="AF305" t="n">
        <v>2024</v>
      </c>
      <c r="AH305" t="inlineStr">
        <is>
          <t>Apartment</t>
        </is>
      </c>
      <c r="AI305" t="inlineStr">
        <is>
          <t>MainstreamSelective</t>
        </is>
      </c>
      <c r="AJ305" t="inlineStr">
        <is>
          <t>Established</t>
        </is>
      </c>
      <c r="AK305" t="inlineStr">
        <is>
          <t>Balanced / selective</t>
        </is>
      </c>
      <c r="AL305" t="inlineStr">
        <is>
          <t>Market remains active but increasingly differentiated by developer, micro-location, livability, and pricing discipline.</t>
        </is>
      </c>
      <c r="AM305" s="9" t="n">
        <v>11</v>
      </c>
      <c r="AN305" s="9" t="n">
        <v>5.25</v>
      </c>
      <c r="AO305" s="10" t="n">
        <v>0.55</v>
      </c>
      <c r="AP305" s="13" t="n">
        <v>0</v>
      </c>
      <c r="AQ305" s="13" t="n">
        <v>0</v>
      </c>
      <c r="AR305" s="13" t="n">
        <v>0</v>
      </c>
      <c r="AS305" s="13" t="n">
        <v>0.01</v>
      </c>
      <c r="AT305" s="13" t="n">
        <v>0</v>
      </c>
      <c r="AU305" s="13" t="n">
        <v>0</v>
      </c>
      <c r="AV305" s="13" t="n">
        <v>-0.005</v>
      </c>
      <c r="AW305" s="13" t="n">
        <v>0.06050000000000001</v>
      </c>
      <c r="AX305" s="13" t="n">
        <v>0.005</v>
      </c>
      <c r="AY305" s="12" t="n">
        <v>4629082</v>
      </c>
      <c r="AZ305" s="12" t="n">
        <v>4772250</v>
      </c>
      <c r="BA305" s="12" t="n">
        <v>4915418</v>
      </c>
      <c r="BB305" s="12" t="n">
        <v>4652944</v>
      </c>
      <c r="BC305" s="12" t="n">
        <v>4796111</v>
      </c>
      <c r="BD305" s="12" t="n">
        <v>4939279</v>
      </c>
      <c r="BE305" s="12" t="n">
        <v>4820092</v>
      </c>
      <c r="BF305" t="inlineStr">
        <is>
          <t>Frozen values from same rules-based model as formula sheet.</t>
        </is>
      </c>
      <c r="BG305" t="inlineStr">
        <is>
          <t>2026-03-17</t>
        </is>
      </c>
      <c r="BH305" t="inlineStr">
        <is>
          <t>DLD / Digital Dubai / CBUAE / Savills / Knight Frank-Moody’s / Reuters</t>
        </is>
      </c>
    </row>
    <row r="306">
      <c r="A306" t="n">
        <v>305</v>
      </c>
      <c r="B306" t="inlineStr">
        <is>
          <t>Jouri Hills</t>
        </is>
      </c>
      <c r="C306" t="inlineStr">
        <is>
          <t>Arada</t>
        </is>
      </c>
      <c r="D306" t="inlineStr">
        <is>
          <t>Jumeirah Golf Estates</t>
        </is>
      </c>
      <c r="E306" t="inlineStr">
        <is>
          <t>Villas</t>
        </is>
      </c>
      <c r="F306" t="inlineStr">
        <is>
          <t>Golf / Luxury</t>
        </is>
      </c>
      <c r="G306" t="inlineStr">
        <is>
          <t>4.5M</t>
        </is>
      </c>
      <c r="H306" t="inlineStr">
        <is>
          <t>1800</t>
        </is>
      </c>
      <c r="I306" t="inlineStr">
        <is>
          <t>20</t>
        </is>
      </c>
      <c r="J306" t="inlineStr">
        <is>
          <t>60/40</t>
        </is>
      </c>
      <c r="K306" t="inlineStr">
        <is>
          <t>2022</t>
        </is>
      </c>
      <c r="L306" t="inlineStr">
        <is>
          <t>5.5-6.0</t>
        </is>
      </c>
      <c r="M306" t="inlineStr">
        <is>
          <t>6-9</t>
        </is>
      </c>
      <c r="N306" t="inlineStr">
        <is>
          <t>11.5-15.0</t>
        </is>
      </c>
      <c r="O306" t="inlineStr">
        <is>
          <t>Victory Heights</t>
        </is>
      </c>
      <c r="P306" t="inlineStr">
        <is>
          <t>NMC Royal DIP</t>
        </is>
      </c>
      <c r="Q306" t="inlineStr">
        <is>
          <t>City Centre Me'aisem</t>
        </is>
      </c>
      <c r="R306" t="inlineStr">
        <is>
          <t>E311 / Yalayis</t>
        </is>
      </c>
      <c r="S306" t="inlineStr">
        <is>
          <t>25</t>
        </is>
      </c>
      <c r="T306" t="inlineStr">
        <is>
          <t>20</t>
        </is>
      </c>
      <c r="U306" t="inlineStr">
        <is>
          <t>30</t>
        </is>
      </c>
      <c r="V306" t="inlineStr">
        <is>
          <t>20</t>
        </is>
      </c>
      <c r="W306" t="n">
        <v>2</v>
      </c>
      <c r="X306" s="12" t="n">
        <v>4500000</v>
      </c>
      <c r="Y306" s="12" t="n">
        <v>4500000</v>
      </c>
      <c r="Z306" s="9" t="n">
        <v>5.5</v>
      </c>
      <c r="AA306" s="9" t="n">
        <v>6</v>
      </c>
      <c r="AB306" s="9" t="n">
        <v>6</v>
      </c>
      <c r="AC306" s="9" t="n">
        <v>9</v>
      </c>
      <c r="AD306" s="9" t="n">
        <v>11.5</v>
      </c>
      <c r="AE306" s="9" t="n">
        <v>15</v>
      </c>
      <c r="AF306" t="n">
        <v>2022</v>
      </c>
      <c r="AH306" t="inlineStr">
        <is>
          <t>Villa</t>
        </is>
      </c>
      <c r="AI306" t="inlineStr">
        <is>
          <t>MainstreamSelective</t>
        </is>
      </c>
      <c r="AJ306" t="inlineStr">
        <is>
          <t>Established</t>
        </is>
      </c>
      <c r="AK306" t="inlineStr">
        <is>
          <t>Family-villa resilient</t>
        </is>
      </c>
      <c r="AL306" t="inlineStr">
        <is>
          <t>Villa/townhouse demand remains relatively firmer, though growth should be slower than the post-2020 surge.</t>
        </is>
      </c>
      <c r="AM306" s="9" t="n">
        <v>7.5</v>
      </c>
      <c r="AN306" s="9" t="n">
        <v>5.75</v>
      </c>
      <c r="AO306" s="10" t="n">
        <v>0.55</v>
      </c>
      <c r="AP306" s="13" t="n">
        <v>0</v>
      </c>
      <c r="AQ306" s="13" t="n">
        <v>0.015</v>
      </c>
      <c r="AR306" s="13" t="n">
        <v>0</v>
      </c>
      <c r="AS306" s="13" t="n">
        <v>0.025</v>
      </c>
      <c r="AT306" s="13" t="n">
        <v>0</v>
      </c>
      <c r="AU306" s="13" t="n">
        <v>0</v>
      </c>
      <c r="AV306" s="13" t="n">
        <v>-0.005</v>
      </c>
      <c r="AW306" s="13" t="n">
        <v>0.05625</v>
      </c>
      <c r="AX306" s="13" t="n">
        <v>0.02</v>
      </c>
      <c r="AY306" s="12" t="n">
        <v>4610531</v>
      </c>
      <c r="AZ306" s="12" t="n">
        <v>4753125</v>
      </c>
      <c r="BA306" s="12" t="n">
        <v>4895719</v>
      </c>
      <c r="BB306" s="12" t="n">
        <v>4705594</v>
      </c>
      <c r="BC306" s="12" t="n">
        <v>4848188</v>
      </c>
      <c r="BD306" s="12" t="n">
        <v>4990781</v>
      </c>
      <c r="BE306" s="12" t="n">
        <v>4945151</v>
      </c>
      <c r="BF306" t="inlineStr">
        <is>
          <t>Frozen values from same rules-based model as formula sheet.</t>
        </is>
      </c>
      <c r="BG306" t="inlineStr">
        <is>
          <t>2026-03-17</t>
        </is>
      </c>
      <c r="BH306" t="inlineStr">
        <is>
          <t>DLD / Digital Dubai / CBUAE / Savills / Knight Frank-Moody’s / Reuters</t>
        </is>
      </c>
    </row>
    <row r="307">
      <c r="A307" t="n">
        <v>306</v>
      </c>
      <c r="B307" t="inlineStr">
        <is>
          <t>South Garden</t>
        </is>
      </c>
      <c r="C307" t="inlineStr">
        <is>
          <t>Wasl Asset Management</t>
        </is>
      </c>
      <c r="D307" t="inlineStr">
        <is>
          <t>Wasl Gate (Jebel Ali)</t>
        </is>
      </c>
      <c r="E307" t="inlineStr">
        <is>
          <t>Apartments</t>
        </is>
      </c>
      <c r="F307" t="inlineStr">
        <is>
          <t>Community / Garden</t>
        </is>
      </c>
      <c r="G307" t="inlineStr">
        <is>
          <t>TBA</t>
        </is>
      </c>
      <c r="H307" t="inlineStr">
        <is>
          <t>TBA</t>
        </is>
      </c>
      <c r="I307" t="inlineStr">
        <is>
          <t>15</t>
        </is>
      </c>
      <c r="J307" t="inlineStr">
        <is>
          <t>TBA</t>
        </is>
      </c>
      <c r="K307" t="inlineStr">
        <is>
          <t>2024</t>
        </is>
      </c>
      <c r="L307" t="inlineStr">
        <is>
          <t>7.0-7.5</t>
        </is>
      </c>
      <c r="M307" t="inlineStr">
        <is>
          <t>8-10</t>
        </is>
      </c>
      <c r="N307" t="inlineStr">
        <is>
          <t>15.0-17.5</t>
        </is>
      </c>
      <c r="O307" t="inlineStr">
        <is>
          <t>The Arbor School</t>
        </is>
      </c>
      <c r="P307" t="inlineStr">
        <is>
          <t>Aster Cedars Jebel Ali</t>
        </is>
      </c>
      <c r="Q307" t="inlineStr">
        <is>
          <t>Ibn Battuta Mall</t>
        </is>
      </c>
      <c r="R307" t="inlineStr">
        <is>
          <t>Sheikh Zayed E11</t>
        </is>
      </c>
      <c r="S307" t="inlineStr">
        <is>
          <t>25</t>
        </is>
      </c>
      <c r="T307" t="inlineStr">
        <is>
          <t>10</t>
        </is>
      </c>
      <c r="U307" t="inlineStr">
        <is>
          <t>35</t>
        </is>
      </c>
      <c r="V307" t="inlineStr">
        <is>
          <t>20</t>
        </is>
      </c>
      <c r="W307" t="n">
        <v>2</v>
      </c>
      <c r="X307" s="12" t="n"/>
      <c r="Y307" s="12" t="n"/>
      <c r="Z307" s="9" t="n">
        <v>7</v>
      </c>
      <c r="AA307" s="9" t="n">
        <v>7.5</v>
      </c>
      <c r="AB307" s="9" t="n">
        <v>8</v>
      </c>
      <c r="AC307" s="9" t="n">
        <v>10</v>
      </c>
      <c r="AD307" s="9" t="n">
        <v>15</v>
      </c>
      <c r="AE307" s="9" t="n">
        <v>17.5</v>
      </c>
      <c r="AF307" t="n">
        <v>2024</v>
      </c>
      <c r="AH307" t="inlineStr">
        <is>
          <t>Apartment</t>
        </is>
      </c>
      <c r="AI307" t="inlineStr">
        <is>
          <t>MainstreamSelective</t>
        </is>
      </c>
      <c r="AJ307" t="inlineStr">
        <is>
          <t>Established</t>
        </is>
      </c>
      <c r="AK307" t="inlineStr">
        <is>
          <t>Balanced / selective</t>
        </is>
      </c>
      <c r="AL307" t="inlineStr">
        <is>
          <t>Market remains active but increasingly differentiated by developer, micro-location, livability, and pricing discipline.</t>
        </is>
      </c>
      <c r="AM307" s="9" t="n">
        <v>9</v>
      </c>
      <c r="AN307" s="9" t="n">
        <v>7.25</v>
      </c>
      <c r="AO307" s="10" t="n">
        <v>0.55</v>
      </c>
      <c r="AP307" s="13" t="n">
        <v>0</v>
      </c>
      <c r="AQ307" s="13" t="n">
        <v>0</v>
      </c>
      <c r="AR307" s="13" t="n">
        <v>0</v>
      </c>
      <c r="AS307" s="13" t="n">
        <v>0.01</v>
      </c>
      <c r="AT307" s="13" t="n">
        <v>0</v>
      </c>
      <c r="AU307" s="13" t="n">
        <v>0.0025</v>
      </c>
      <c r="AV307" s="13" t="n">
        <v>-0.005</v>
      </c>
      <c r="AW307" s="13" t="n">
        <v>0.0495</v>
      </c>
      <c r="AX307" s="13" t="n">
        <v>0.007500000000000001</v>
      </c>
      <c r="AY307" s="12" t="n"/>
      <c r="AZ307" s="12" t="n"/>
      <c r="BA307" s="12" t="n"/>
      <c r="BB307" s="12" t="n"/>
      <c r="BC307" s="12" t="n"/>
      <c r="BD307" s="12" t="n"/>
      <c r="BE307" s="12" t="n"/>
      <c r="BF307" t="inlineStr">
        <is>
          <t>Frozen values from same rules-based model as formula sheet.</t>
        </is>
      </c>
      <c r="BG307" t="inlineStr">
        <is>
          <t>2026-03-17</t>
        </is>
      </c>
      <c r="BH307" t="inlineStr">
        <is>
          <t>DLD / Digital Dubai / CBUAE / Savills / Knight Frank-Moody’s / Reuters</t>
        </is>
      </c>
    </row>
    <row r="308">
      <c r="A308" t="n">
        <v>307</v>
      </c>
      <c r="B308" t="inlineStr">
        <is>
          <t>Hillside Residences</t>
        </is>
      </c>
      <c r="C308" t="inlineStr">
        <is>
          <t>Wasl Asset Management</t>
        </is>
      </c>
      <c r="D308" t="inlineStr">
        <is>
          <t>Wasl Gate</t>
        </is>
      </c>
      <c r="E308" t="inlineStr">
        <is>
          <t>Apartments</t>
        </is>
      </c>
      <c r="F308" t="inlineStr">
        <is>
          <t>Community / Hill</t>
        </is>
      </c>
      <c r="G308" t="inlineStr">
        <is>
          <t>1.2M</t>
        </is>
      </c>
      <c r="H308" t="inlineStr">
        <is>
          <t>1100</t>
        </is>
      </c>
      <c r="I308" t="inlineStr">
        <is>
          <t>15</t>
        </is>
      </c>
      <c r="J308" t="inlineStr">
        <is>
          <t>60/40</t>
        </is>
      </c>
      <c r="K308" t="inlineStr">
        <is>
          <t>2023</t>
        </is>
      </c>
      <c r="L308" t="inlineStr">
        <is>
          <t>7.0-7.5</t>
        </is>
      </c>
      <c r="M308" t="inlineStr">
        <is>
          <t>8-10</t>
        </is>
      </c>
      <c r="N308" t="inlineStr">
        <is>
          <t>15.0-17.5</t>
        </is>
      </c>
      <c r="O308" t="inlineStr">
        <is>
          <t>The Arbor School</t>
        </is>
      </c>
      <c r="P308" t="inlineStr">
        <is>
          <t>Aster Cedars Jebel Ali</t>
        </is>
      </c>
      <c r="Q308" t="inlineStr">
        <is>
          <t>Ibn Battuta Mall</t>
        </is>
      </c>
      <c r="R308" t="inlineStr">
        <is>
          <t>Sheikh Zayed E11</t>
        </is>
      </c>
      <c r="S308" t="inlineStr">
        <is>
          <t>25</t>
        </is>
      </c>
      <c r="T308" t="inlineStr">
        <is>
          <t>10</t>
        </is>
      </c>
      <c r="U308" t="inlineStr">
        <is>
          <t>35</t>
        </is>
      </c>
      <c r="V308" t="inlineStr">
        <is>
          <t>20</t>
        </is>
      </c>
      <c r="W308" t="n">
        <v>2</v>
      </c>
      <c r="X308" s="12" t="n">
        <v>1200000</v>
      </c>
      <c r="Y308" s="12" t="n">
        <v>1200000</v>
      </c>
      <c r="Z308" s="9" t="n">
        <v>7</v>
      </c>
      <c r="AA308" s="9" t="n">
        <v>7.5</v>
      </c>
      <c r="AB308" s="9" t="n">
        <v>8</v>
      </c>
      <c r="AC308" s="9" t="n">
        <v>10</v>
      </c>
      <c r="AD308" s="9" t="n">
        <v>15</v>
      </c>
      <c r="AE308" s="9" t="n">
        <v>17.5</v>
      </c>
      <c r="AF308" t="n">
        <v>2023</v>
      </c>
      <c r="AH308" t="inlineStr">
        <is>
          <t>Apartment</t>
        </is>
      </c>
      <c r="AI308" t="inlineStr">
        <is>
          <t>MainstreamSelective</t>
        </is>
      </c>
      <c r="AJ308" t="inlineStr">
        <is>
          <t>Established</t>
        </is>
      </c>
      <c r="AK308" t="inlineStr">
        <is>
          <t>Balanced / selective</t>
        </is>
      </c>
      <c r="AL308" t="inlineStr">
        <is>
          <t>Market remains active but increasingly differentiated by developer, micro-location, livability, and pricing discipline.</t>
        </is>
      </c>
      <c r="AM308" s="9" t="n">
        <v>9</v>
      </c>
      <c r="AN308" s="9" t="n">
        <v>7.25</v>
      </c>
      <c r="AO308" s="10" t="n">
        <v>0.55</v>
      </c>
      <c r="AP308" s="13" t="n">
        <v>0</v>
      </c>
      <c r="AQ308" s="13" t="n">
        <v>0</v>
      </c>
      <c r="AR308" s="13" t="n">
        <v>0</v>
      </c>
      <c r="AS308" s="13" t="n">
        <v>0.01</v>
      </c>
      <c r="AT308" s="13" t="n">
        <v>0</v>
      </c>
      <c r="AU308" s="13" t="n">
        <v>0.0025</v>
      </c>
      <c r="AV308" s="13" t="n">
        <v>-0.005</v>
      </c>
      <c r="AW308" s="13" t="n">
        <v>0.0495</v>
      </c>
      <c r="AX308" s="13" t="n">
        <v>0.007500000000000001</v>
      </c>
      <c r="AY308" s="12" t="n">
        <v>1221618</v>
      </c>
      <c r="AZ308" s="12" t="n">
        <v>1259400</v>
      </c>
      <c r="BA308" s="12" t="n">
        <v>1297182</v>
      </c>
      <c r="BB308" s="12" t="n">
        <v>1231064</v>
      </c>
      <c r="BC308" s="12" t="n">
        <v>1268846</v>
      </c>
      <c r="BD308" s="12" t="n">
        <v>1306628</v>
      </c>
      <c r="BE308" s="12" t="n">
        <v>1278362</v>
      </c>
      <c r="BF308" t="inlineStr">
        <is>
          <t>Frozen values from same rules-based model as formula sheet.</t>
        </is>
      </c>
      <c r="BG308" t="inlineStr">
        <is>
          <t>2026-03-17</t>
        </is>
      </c>
      <c r="BH308" t="inlineStr">
        <is>
          <t>DLD / Digital Dubai / CBUAE / Savills / Knight Frank-Moody’s / Reuters</t>
        </is>
      </c>
    </row>
    <row r="309">
      <c r="A309" t="n">
        <v>308</v>
      </c>
      <c r="B309" t="inlineStr">
        <is>
          <t>Gardenia Townhomes</t>
        </is>
      </c>
      <c r="C309" t="inlineStr">
        <is>
          <t>Wasl Asset Management</t>
        </is>
      </c>
      <c r="D309" t="inlineStr">
        <is>
          <t>Wasl Gate</t>
        </is>
      </c>
      <c r="E309" t="inlineStr">
        <is>
          <t>Townhouses</t>
        </is>
      </c>
      <c r="F309" t="inlineStr">
        <is>
          <t>Family / Gated</t>
        </is>
      </c>
      <c r="G309" t="inlineStr">
        <is>
          <t>Resale (1.8M+)</t>
        </is>
      </c>
      <c r="H309" t="inlineStr">
        <is>
          <t>1000</t>
        </is>
      </c>
      <c r="I309" t="inlineStr">
        <is>
          <t>12</t>
        </is>
      </c>
      <c r="J309" t="inlineStr">
        <is>
          <t>Completed</t>
        </is>
      </c>
      <c r="K309" t="inlineStr">
        <is>
          <t>2021</t>
        </is>
      </c>
      <c r="L309" t="inlineStr">
        <is>
          <t>6.5-7.0</t>
        </is>
      </c>
      <c r="M309" t="inlineStr">
        <is>
          <t>5-7</t>
        </is>
      </c>
      <c r="N309" t="inlineStr">
        <is>
          <t>11.5-14.0</t>
        </is>
      </c>
      <c r="O309" t="inlineStr">
        <is>
          <t>The Arbor School</t>
        </is>
      </c>
      <c r="P309" t="inlineStr">
        <is>
          <t>Aster Cedars Jebel Ali</t>
        </is>
      </c>
      <c r="Q309" t="inlineStr">
        <is>
          <t>Ibn Battuta Mall</t>
        </is>
      </c>
      <c r="R309" t="inlineStr">
        <is>
          <t>Sheikh Zayed E11</t>
        </is>
      </c>
      <c r="S309" t="inlineStr">
        <is>
          <t>25</t>
        </is>
      </c>
      <c r="T309" t="inlineStr">
        <is>
          <t>10</t>
        </is>
      </c>
      <c r="U309" t="inlineStr">
        <is>
          <t>35</t>
        </is>
      </c>
      <c r="V309" t="inlineStr">
        <is>
          <t>20</t>
        </is>
      </c>
      <c r="W309" t="n">
        <v>2</v>
      </c>
      <c r="X309" s="12" t="n">
        <v>1800000</v>
      </c>
      <c r="Y309" s="12" t="n">
        <v>1800000</v>
      </c>
      <c r="Z309" s="9" t="n">
        <v>6.5</v>
      </c>
      <c r="AA309" s="9" t="n">
        <v>7</v>
      </c>
      <c r="AB309" s="9" t="n">
        <v>5</v>
      </c>
      <c r="AC309" s="9" t="n">
        <v>7</v>
      </c>
      <c r="AD309" s="9" t="n">
        <v>11.5</v>
      </c>
      <c r="AE309" s="9" t="n">
        <v>14</v>
      </c>
      <c r="AF309" t="n">
        <v>2021</v>
      </c>
      <c r="AH309" t="inlineStr">
        <is>
          <t>Townhouse</t>
        </is>
      </c>
      <c r="AI309" t="inlineStr">
        <is>
          <t>MainstreamSelective</t>
        </is>
      </c>
      <c r="AJ309" t="inlineStr">
        <is>
          <t>Established</t>
        </is>
      </c>
      <c r="AK309" t="inlineStr">
        <is>
          <t>Family-villa resilient</t>
        </is>
      </c>
      <c r="AL309" t="inlineStr">
        <is>
          <t>Villa/townhouse demand remains relatively firmer, though growth should be slower than the post-2020 surge.</t>
        </is>
      </c>
      <c r="AM309" s="9" t="n">
        <v>6</v>
      </c>
      <c r="AN309" s="9" t="n">
        <v>6.75</v>
      </c>
      <c r="AO309" s="10" t="n">
        <v>0.55</v>
      </c>
      <c r="AP309" s="13" t="n">
        <v>0</v>
      </c>
      <c r="AQ309" s="13" t="n">
        <v>0.015</v>
      </c>
      <c r="AR309" s="13" t="n">
        <v>0</v>
      </c>
      <c r="AS309" s="13" t="n">
        <v>0.025</v>
      </c>
      <c r="AT309" s="13" t="n">
        <v>0</v>
      </c>
      <c r="AU309" s="13" t="n">
        <v>0.0025</v>
      </c>
      <c r="AV309" s="13" t="n">
        <v>-0.005</v>
      </c>
      <c r="AW309" s="13" t="n">
        <v>0.048</v>
      </c>
      <c r="AX309" s="13" t="n">
        <v>0.0225</v>
      </c>
      <c r="AY309" s="12" t="n">
        <v>1829808</v>
      </c>
      <c r="AZ309" s="12" t="n">
        <v>1886400</v>
      </c>
      <c r="BA309" s="12" t="n">
        <v>1942992</v>
      </c>
      <c r="BB309" s="12" t="n">
        <v>1872252</v>
      </c>
      <c r="BC309" s="12" t="n">
        <v>1928844</v>
      </c>
      <c r="BD309" s="12" t="n">
        <v>1985436</v>
      </c>
      <c r="BE309" s="12" t="n">
        <v>1972243</v>
      </c>
      <c r="BF309" t="inlineStr">
        <is>
          <t>Frozen values from same rules-based model as formula sheet.</t>
        </is>
      </c>
      <c r="BG309" t="inlineStr">
        <is>
          <t>2026-03-17</t>
        </is>
      </c>
      <c r="BH309" t="inlineStr">
        <is>
          <t>DLD / Digital Dubai / CBUAE / Savills / Knight Frank-Moody’s / Reuters</t>
        </is>
      </c>
    </row>
    <row r="310">
      <c r="A310" t="n">
        <v>309</v>
      </c>
      <c r="B310" t="inlineStr">
        <is>
          <t>The Nook</t>
        </is>
      </c>
      <c r="C310" t="inlineStr">
        <is>
          <t>Wasl Asset Management</t>
        </is>
      </c>
      <c r="D310" t="inlineStr">
        <is>
          <t>Wasl Gate</t>
        </is>
      </c>
      <c r="E310" t="inlineStr">
        <is>
          <t>Apartments</t>
        </is>
      </c>
      <c r="F310" t="inlineStr">
        <is>
          <t>Budget</t>
        </is>
      </c>
      <c r="G310" t="inlineStr">
        <is>
          <t>Resale (500k+)</t>
        </is>
      </c>
      <c r="H310" t="inlineStr">
        <is>
          <t>800</t>
        </is>
      </c>
      <c r="I310" t="inlineStr">
        <is>
          <t>12</t>
        </is>
      </c>
      <c r="J310" t="inlineStr">
        <is>
          <t>Completed</t>
        </is>
      </c>
      <c r="K310" t="inlineStr">
        <is>
          <t>2020</t>
        </is>
      </c>
      <c r="L310" t="inlineStr">
        <is>
          <t>7.5-8.0</t>
        </is>
      </c>
      <c r="M310" t="inlineStr">
        <is>
          <t>5-7</t>
        </is>
      </c>
      <c r="N310" t="inlineStr">
        <is>
          <t>12.5-15.0</t>
        </is>
      </c>
      <c r="O310" t="inlineStr">
        <is>
          <t>The Arbor School</t>
        </is>
      </c>
      <c r="P310" t="inlineStr">
        <is>
          <t>Aster Cedars Jebel Ali</t>
        </is>
      </c>
      <c r="Q310" t="inlineStr">
        <is>
          <t>Ibn Battuta Mall</t>
        </is>
      </c>
      <c r="R310" t="inlineStr">
        <is>
          <t>Sheikh Zayed E11</t>
        </is>
      </c>
      <c r="S310" t="inlineStr">
        <is>
          <t>25</t>
        </is>
      </c>
      <c r="T310" t="inlineStr">
        <is>
          <t>10</t>
        </is>
      </c>
      <c r="U310" t="inlineStr">
        <is>
          <t>35</t>
        </is>
      </c>
      <c r="V310" t="inlineStr">
        <is>
          <t>20</t>
        </is>
      </c>
      <c r="W310" t="n">
        <v>2</v>
      </c>
      <c r="X310" s="12" t="n">
        <v>500000</v>
      </c>
      <c r="Y310" s="12" t="n">
        <v>500000</v>
      </c>
      <c r="Z310" s="9" t="n">
        <v>7.5</v>
      </c>
      <c r="AA310" s="9" t="n">
        <v>8</v>
      </c>
      <c r="AB310" s="9" t="n">
        <v>5</v>
      </c>
      <c r="AC310" s="9" t="n">
        <v>7</v>
      </c>
      <c r="AD310" s="9" t="n">
        <v>12.5</v>
      </c>
      <c r="AE310" s="9" t="n">
        <v>15</v>
      </c>
      <c r="AF310" t="n">
        <v>2020</v>
      </c>
      <c r="AH310" t="inlineStr">
        <is>
          <t>Apartment</t>
        </is>
      </c>
      <c r="AI310" t="inlineStr">
        <is>
          <t>MainstreamSelective</t>
        </is>
      </c>
      <c r="AJ310" t="inlineStr">
        <is>
          <t>Established</t>
        </is>
      </c>
      <c r="AK310" t="inlineStr">
        <is>
          <t>Balanced / selective</t>
        </is>
      </c>
      <c r="AL310" t="inlineStr">
        <is>
          <t>Market remains active but increasingly differentiated by developer, micro-location, livability, and pricing discipline.</t>
        </is>
      </c>
      <c r="AM310" s="9" t="n">
        <v>6</v>
      </c>
      <c r="AN310" s="9" t="n">
        <v>7.75</v>
      </c>
      <c r="AO310" s="10" t="n">
        <v>0.55</v>
      </c>
      <c r="AP310" s="13" t="n">
        <v>0</v>
      </c>
      <c r="AQ310" s="13" t="n">
        <v>0</v>
      </c>
      <c r="AR310" s="13" t="n">
        <v>0</v>
      </c>
      <c r="AS310" s="13" t="n">
        <v>0.01</v>
      </c>
      <c r="AT310" s="13" t="n">
        <v>0</v>
      </c>
      <c r="AU310" s="13" t="n">
        <v>0.0025</v>
      </c>
      <c r="AV310" s="13" t="n">
        <v>-0.005</v>
      </c>
      <c r="AW310" s="13" t="n">
        <v>0.033</v>
      </c>
      <c r="AX310" s="13" t="n">
        <v>0.007500000000000001</v>
      </c>
      <c r="AY310" s="12" t="n">
        <v>501005</v>
      </c>
      <c r="AZ310" s="12" t="n">
        <v>516500</v>
      </c>
      <c r="BA310" s="12" t="n">
        <v>531995</v>
      </c>
      <c r="BB310" s="12" t="n">
        <v>504879</v>
      </c>
      <c r="BC310" s="12" t="n">
        <v>520374</v>
      </c>
      <c r="BD310" s="12" t="n">
        <v>535869</v>
      </c>
      <c r="BE310" s="12" t="n">
        <v>524277</v>
      </c>
      <c r="BF310" t="inlineStr">
        <is>
          <t>Frozen values from same rules-based model as formula sheet.</t>
        </is>
      </c>
      <c r="BG310" t="inlineStr">
        <is>
          <t>2026-03-17</t>
        </is>
      </c>
      <c r="BH310" t="inlineStr">
        <is>
          <t>DLD / Digital Dubai / CBUAE / Savills / Knight Frank-Moody’s / Reuters</t>
        </is>
      </c>
    </row>
    <row r="311">
      <c r="A311" t="n">
        <v>310</v>
      </c>
      <c r="B311" t="inlineStr">
        <is>
          <t>Park Gate Residences</t>
        </is>
      </c>
      <c r="C311" t="inlineStr">
        <is>
          <t>Wasl Asset Management</t>
        </is>
      </c>
      <c r="D311" t="inlineStr">
        <is>
          <t>Zabeel (Wasl 1)</t>
        </is>
      </c>
      <c r="E311" t="inlineStr">
        <is>
          <t>Apartments</t>
        </is>
      </c>
      <c r="F311" t="inlineStr">
        <is>
          <t>Park View / City</t>
        </is>
      </c>
      <c r="G311" t="inlineStr">
        <is>
          <t>Resale (2M+)</t>
        </is>
      </c>
      <c r="H311" t="inlineStr">
        <is>
          <t>1800</t>
        </is>
      </c>
      <c r="I311" t="inlineStr">
        <is>
          <t>20</t>
        </is>
      </c>
      <c r="J311" t="inlineStr">
        <is>
          <t>Completed</t>
        </is>
      </c>
      <c r="K311" t="inlineStr">
        <is>
          <t>2020</t>
        </is>
      </c>
      <c r="L311" t="inlineStr">
        <is>
          <t>6.0-6.5</t>
        </is>
      </c>
      <c r="M311" t="inlineStr">
        <is>
          <t>5-7</t>
        </is>
      </c>
      <c r="N311" t="inlineStr">
        <is>
          <t>11.0-13.5</t>
        </is>
      </c>
      <c r="O311" t="inlineStr">
        <is>
          <t>Dubai English Speaking</t>
        </is>
      </c>
      <c r="P311" t="inlineStr">
        <is>
          <t>American Hospital</t>
        </is>
      </c>
      <c r="Q311" t="inlineStr">
        <is>
          <t>WAFI Mall</t>
        </is>
      </c>
      <c r="R311" t="inlineStr">
        <is>
          <t>Sheikh Zayed E11</t>
        </is>
      </c>
      <c r="S311" t="inlineStr">
        <is>
          <t>10</t>
        </is>
      </c>
      <c r="T311" t="inlineStr">
        <is>
          <t>25</t>
        </is>
      </c>
      <c r="U311" t="inlineStr">
        <is>
          <t>10</t>
        </is>
      </c>
      <c r="V311" t="inlineStr">
        <is>
          <t>40</t>
        </is>
      </c>
      <c r="W311" t="n">
        <v>2</v>
      </c>
      <c r="X311" s="12" t="n">
        <v>2000000</v>
      </c>
      <c r="Y311" s="12" t="n">
        <v>2000000</v>
      </c>
      <c r="Z311" s="9" t="n">
        <v>6</v>
      </c>
      <c r="AA311" s="9" t="n">
        <v>6.5</v>
      </c>
      <c r="AB311" s="9" t="n">
        <v>5</v>
      </c>
      <c r="AC311" s="9" t="n">
        <v>7</v>
      </c>
      <c r="AD311" s="9" t="n">
        <v>11</v>
      </c>
      <c r="AE311" s="9" t="n">
        <v>13.5</v>
      </c>
      <c r="AF311" t="n">
        <v>2020</v>
      </c>
      <c r="AH311" t="inlineStr">
        <is>
          <t>Apartment</t>
        </is>
      </c>
      <c r="AI311" t="inlineStr">
        <is>
          <t>MainstreamSelective</t>
        </is>
      </c>
      <c r="AJ311" t="inlineStr">
        <is>
          <t>Established</t>
        </is>
      </c>
      <c r="AK311" t="inlineStr">
        <is>
          <t>Balanced / selective</t>
        </is>
      </c>
      <c r="AL311" t="inlineStr">
        <is>
          <t>Market remains active but increasingly differentiated by developer, micro-location, livability, and pricing discipline.</t>
        </is>
      </c>
      <c r="AM311" s="9" t="n">
        <v>6</v>
      </c>
      <c r="AN311" s="9" t="n">
        <v>6.25</v>
      </c>
      <c r="AO311" s="10" t="n">
        <v>0.55</v>
      </c>
      <c r="AP311" s="13" t="n">
        <v>0</v>
      </c>
      <c r="AQ311" s="13" t="n">
        <v>0</v>
      </c>
      <c r="AR311" s="13" t="n">
        <v>0</v>
      </c>
      <c r="AS311" s="13" t="n">
        <v>0.01</v>
      </c>
      <c r="AT311" s="13" t="n">
        <v>0</v>
      </c>
      <c r="AU311" s="13" t="n">
        <v>0.0025</v>
      </c>
      <c r="AV311" s="13" t="n">
        <v>-0.005</v>
      </c>
      <c r="AW311" s="13" t="n">
        <v>0.033</v>
      </c>
      <c r="AX311" s="13" t="n">
        <v>0.007500000000000001</v>
      </c>
      <c r="AY311" s="12" t="n">
        <v>2004020</v>
      </c>
      <c r="AZ311" s="12" t="n">
        <v>2066000</v>
      </c>
      <c r="BA311" s="12" t="n">
        <v>2127980</v>
      </c>
      <c r="BB311" s="12" t="n">
        <v>2019515</v>
      </c>
      <c r="BC311" s="12" t="n">
        <v>2081495</v>
      </c>
      <c r="BD311" s="12" t="n">
        <v>2143475</v>
      </c>
      <c r="BE311" s="12" t="n">
        <v>2097106</v>
      </c>
      <c r="BF311" t="inlineStr">
        <is>
          <t>Frozen values from same rules-based model as formula sheet.</t>
        </is>
      </c>
      <c r="BG311" t="inlineStr">
        <is>
          <t>2026-03-17</t>
        </is>
      </c>
      <c r="BH311" t="inlineStr">
        <is>
          <t>DLD / Digital Dubai / CBUAE / Savills / Knight Frank-Moody’s / Reuters</t>
        </is>
      </c>
    </row>
    <row r="312">
      <c r="A312" t="n">
        <v>311</v>
      </c>
      <c r="B312" t="inlineStr">
        <is>
          <t>1 Residences</t>
        </is>
      </c>
      <c r="C312" t="inlineStr">
        <is>
          <t>Wasl Asset Management</t>
        </is>
      </c>
      <c r="D312" t="inlineStr">
        <is>
          <t>Zabeel (Wasl 1)</t>
        </is>
      </c>
      <c r="E312" t="inlineStr">
        <is>
          <t>Apartments</t>
        </is>
      </c>
      <c r="F312" t="inlineStr">
        <is>
          <t>Park View / City</t>
        </is>
      </c>
      <c r="G312" t="inlineStr">
        <is>
          <t>1.8M</t>
        </is>
      </c>
      <c r="H312" t="inlineStr">
        <is>
          <t>1900</t>
        </is>
      </c>
      <c r="I312" t="inlineStr">
        <is>
          <t>20</t>
        </is>
      </c>
      <c r="J312" t="inlineStr">
        <is>
          <t>Completed</t>
        </is>
      </c>
      <c r="K312" t="inlineStr">
        <is>
          <t>2022</t>
        </is>
      </c>
      <c r="L312" t="inlineStr">
        <is>
          <t>6.0-6.5</t>
        </is>
      </c>
      <c r="M312" t="inlineStr">
        <is>
          <t>6-8</t>
        </is>
      </c>
      <c r="N312" t="inlineStr">
        <is>
          <t>12.0-14.5</t>
        </is>
      </c>
      <c r="O312" t="inlineStr">
        <is>
          <t>Dubai English Speaking</t>
        </is>
      </c>
      <c r="P312" t="inlineStr">
        <is>
          <t>American Hospital</t>
        </is>
      </c>
      <c r="Q312" t="inlineStr">
        <is>
          <t>WAFI Mall</t>
        </is>
      </c>
      <c r="R312" t="inlineStr">
        <is>
          <t>Sheikh Zayed E11</t>
        </is>
      </c>
      <c r="S312" t="inlineStr">
        <is>
          <t>10</t>
        </is>
      </c>
      <c r="T312" t="inlineStr">
        <is>
          <t>25</t>
        </is>
      </c>
      <c r="U312" t="inlineStr">
        <is>
          <t>10</t>
        </is>
      </c>
      <c r="V312" t="inlineStr">
        <is>
          <t>40</t>
        </is>
      </c>
      <c r="W312" t="n">
        <v>2</v>
      </c>
      <c r="X312" s="12" t="n">
        <v>1800000</v>
      </c>
      <c r="Y312" s="12" t="n">
        <v>1800000</v>
      </c>
      <c r="Z312" s="9" t="n">
        <v>6</v>
      </c>
      <c r="AA312" s="9" t="n">
        <v>6.5</v>
      </c>
      <c r="AB312" s="9" t="n">
        <v>6</v>
      </c>
      <c r="AC312" s="9" t="n">
        <v>8</v>
      </c>
      <c r="AD312" s="9" t="n">
        <v>12</v>
      </c>
      <c r="AE312" s="9" t="n">
        <v>14.5</v>
      </c>
      <c r="AF312" t="n">
        <v>2022</v>
      </c>
      <c r="AH312" t="inlineStr">
        <is>
          <t>Apartment</t>
        </is>
      </c>
      <c r="AI312" t="inlineStr">
        <is>
          <t>MainstreamSelective</t>
        </is>
      </c>
      <c r="AJ312" t="inlineStr">
        <is>
          <t>Established</t>
        </is>
      </c>
      <c r="AK312" t="inlineStr">
        <is>
          <t>Balanced / selective</t>
        </is>
      </c>
      <c r="AL312" t="inlineStr">
        <is>
          <t>Market remains active but increasingly differentiated by developer, micro-location, livability, and pricing discipline.</t>
        </is>
      </c>
      <c r="AM312" s="9" t="n">
        <v>7</v>
      </c>
      <c r="AN312" s="9" t="n">
        <v>6.25</v>
      </c>
      <c r="AO312" s="10" t="n">
        <v>0.55</v>
      </c>
      <c r="AP312" s="13" t="n">
        <v>0</v>
      </c>
      <c r="AQ312" s="13" t="n">
        <v>0</v>
      </c>
      <c r="AR312" s="13" t="n">
        <v>0</v>
      </c>
      <c r="AS312" s="13" t="n">
        <v>0.01</v>
      </c>
      <c r="AT312" s="13" t="n">
        <v>0</v>
      </c>
      <c r="AU312" s="13" t="n">
        <v>0.0025</v>
      </c>
      <c r="AV312" s="13" t="n">
        <v>-0.005</v>
      </c>
      <c r="AW312" s="13" t="n">
        <v>0.03850000000000001</v>
      </c>
      <c r="AX312" s="13" t="n">
        <v>0.007500000000000001</v>
      </c>
      <c r="AY312" s="12" t="n">
        <v>1813221</v>
      </c>
      <c r="AZ312" s="12" t="n">
        <v>1869300</v>
      </c>
      <c r="BA312" s="12" t="n">
        <v>1925379</v>
      </c>
      <c r="BB312" s="12" t="n">
        <v>1827241</v>
      </c>
      <c r="BC312" s="12" t="n">
        <v>1883320</v>
      </c>
      <c r="BD312" s="12" t="n">
        <v>1939399</v>
      </c>
      <c r="BE312" s="12" t="n">
        <v>1897445</v>
      </c>
      <c r="BF312" t="inlineStr">
        <is>
          <t>Frozen values from same rules-based model as formula sheet.</t>
        </is>
      </c>
      <c r="BG312" t="inlineStr">
        <is>
          <t>2026-03-17</t>
        </is>
      </c>
      <c r="BH312" t="inlineStr">
        <is>
          <t>DLD / Digital Dubai / CBUAE / Savills / Knight Frank-Moody’s / Reuters</t>
        </is>
      </c>
    </row>
    <row r="313">
      <c r="A313" t="n">
        <v>312</v>
      </c>
      <c r="B313" t="inlineStr">
        <is>
          <t>One B Tower</t>
        </is>
      </c>
      <c r="C313" t="inlineStr">
        <is>
          <t>Wasl Asset Management</t>
        </is>
      </c>
      <c r="D313" t="inlineStr">
        <is>
          <t>Sheikh Zayed Road</t>
        </is>
      </c>
      <c r="E313" t="inlineStr">
        <is>
          <t>Apartments</t>
        </is>
      </c>
      <c r="F313" t="inlineStr">
        <is>
          <t>High-Rise / Luxury</t>
        </is>
      </c>
      <c r="G313" t="inlineStr">
        <is>
          <t>2.5M</t>
        </is>
      </c>
      <c r="H313" t="inlineStr">
        <is>
          <t>2200</t>
        </is>
      </c>
      <c r="I313" t="inlineStr">
        <is>
          <t>22</t>
        </is>
      </c>
      <c r="J313" t="inlineStr">
        <is>
          <t>60/40</t>
        </is>
      </c>
      <c r="K313" t="inlineStr">
        <is>
          <t>2024</t>
        </is>
      </c>
      <c r="L313" t="inlineStr">
        <is>
          <t>6.0-6.5</t>
        </is>
      </c>
      <c r="M313" t="inlineStr">
        <is>
          <t>8-10</t>
        </is>
      </c>
      <c r="N313" t="inlineStr">
        <is>
          <t>14.0-16.5</t>
        </is>
      </c>
      <c r="O313" t="inlineStr">
        <is>
          <t>Hartland Intl</t>
        </is>
      </c>
      <c r="P313" t="inlineStr">
        <is>
          <t>Mediclinic Dubai Mall</t>
        </is>
      </c>
      <c r="Q313" t="inlineStr">
        <is>
          <t>Dubai Mall</t>
        </is>
      </c>
      <c r="R313" t="inlineStr">
        <is>
          <t>Sheikh Zayed E11</t>
        </is>
      </c>
      <c r="S313" t="inlineStr">
        <is>
          <t>5</t>
        </is>
      </c>
      <c r="T313" t="inlineStr">
        <is>
          <t>15</t>
        </is>
      </c>
      <c r="U313" t="inlineStr">
        <is>
          <t>15</t>
        </is>
      </c>
      <c r="V313" t="inlineStr">
        <is>
          <t>35</t>
        </is>
      </c>
      <c r="W313" t="n">
        <v>2</v>
      </c>
      <c r="X313" s="12" t="n">
        <v>2500000</v>
      </c>
      <c r="Y313" s="12" t="n">
        <v>2500000</v>
      </c>
      <c r="Z313" s="9" t="n">
        <v>6</v>
      </c>
      <c r="AA313" s="9" t="n">
        <v>6.5</v>
      </c>
      <c r="AB313" s="9" t="n">
        <v>8</v>
      </c>
      <c r="AC313" s="9" t="n">
        <v>10</v>
      </c>
      <c r="AD313" s="9" t="n">
        <v>14</v>
      </c>
      <c r="AE313" s="9" t="n">
        <v>16.5</v>
      </c>
      <c r="AF313" t="n">
        <v>2024</v>
      </c>
      <c r="AH313" t="inlineStr">
        <is>
          <t>Apartment</t>
        </is>
      </c>
      <c r="AI313" t="inlineStr">
        <is>
          <t>MainstreamSelective</t>
        </is>
      </c>
      <c r="AJ313" t="inlineStr">
        <is>
          <t>Established</t>
        </is>
      </c>
      <c r="AK313" t="inlineStr">
        <is>
          <t>Balanced / selective</t>
        </is>
      </c>
      <c r="AL313" t="inlineStr">
        <is>
          <t>Market remains active but increasingly differentiated by developer, micro-location, livability, and pricing discipline.</t>
        </is>
      </c>
      <c r="AM313" s="9" t="n">
        <v>9</v>
      </c>
      <c r="AN313" s="9" t="n">
        <v>6.25</v>
      </c>
      <c r="AO313" s="10" t="n">
        <v>0.55</v>
      </c>
      <c r="AP313" s="13" t="n">
        <v>0</v>
      </c>
      <c r="AQ313" s="13" t="n">
        <v>0</v>
      </c>
      <c r="AR313" s="13" t="n">
        <v>0</v>
      </c>
      <c r="AS313" s="13" t="n">
        <v>0.01</v>
      </c>
      <c r="AT313" s="13" t="n">
        <v>0</v>
      </c>
      <c r="AU313" s="13" t="n">
        <v>0.0025</v>
      </c>
      <c r="AV313" s="13" t="n">
        <v>-0.005</v>
      </c>
      <c r="AW313" s="13" t="n">
        <v>0.0495</v>
      </c>
      <c r="AX313" s="13" t="n">
        <v>0.007500000000000001</v>
      </c>
      <c r="AY313" s="12" t="n">
        <v>2545038</v>
      </c>
      <c r="AZ313" s="12" t="n">
        <v>2623750</v>
      </c>
      <c r="BA313" s="12" t="n">
        <v>2702462</v>
      </c>
      <c r="BB313" s="12" t="n">
        <v>2564716</v>
      </c>
      <c r="BC313" s="12" t="n">
        <v>2643428</v>
      </c>
      <c r="BD313" s="12" t="n">
        <v>2722141</v>
      </c>
      <c r="BE313" s="12" t="n">
        <v>2663254</v>
      </c>
      <c r="BF313" t="inlineStr">
        <is>
          <t>Frozen values from same rules-based model as formula sheet.</t>
        </is>
      </c>
      <c r="BG313" t="inlineStr">
        <is>
          <t>2026-03-17</t>
        </is>
      </c>
      <c r="BH313" t="inlineStr">
        <is>
          <t>DLD / Digital Dubai / CBUAE / Savills / Knight Frank-Moody’s / Reuters</t>
        </is>
      </c>
    </row>
    <row r="314">
      <c r="A314" t="n">
        <v>313</v>
      </c>
      <c r="B314" t="inlineStr">
        <is>
          <t>Wasl Tower</t>
        </is>
      </c>
      <c r="C314" t="inlineStr">
        <is>
          <t>Wasl Asset Management</t>
        </is>
      </c>
      <c r="D314" t="inlineStr">
        <is>
          <t>Sheikh Zayed Road</t>
        </is>
      </c>
      <c r="E314" t="inlineStr">
        <is>
          <t>Mixed/Hotel</t>
        </is>
      </c>
      <c r="F314" t="inlineStr">
        <is>
          <t>Mandarin Oriental</t>
        </is>
      </c>
      <c r="I314" t="inlineStr">
        <is>
          <t>TBA</t>
        </is>
      </c>
      <c r="J314" t="inlineStr">
        <is>
          <t>Under Const</t>
        </is>
      </c>
      <c r="K314" t="inlineStr">
        <is>
          <t>2024</t>
        </is>
      </c>
      <c r="L314" t="inlineStr">
        <is>
          <t>4.5-5.5</t>
        </is>
      </c>
      <c r="M314" t="inlineStr">
        <is>
          <t>8-10</t>
        </is>
      </c>
      <c r="N314" t="inlineStr">
        <is>
          <t>12.5-15.5</t>
        </is>
      </c>
      <c r="O314" t="inlineStr">
        <is>
          <t>Hartland Intl</t>
        </is>
      </c>
      <c r="P314" t="inlineStr">
        <is>
          <t>Mediclinic Dubai Mall</t>
        </is>
      </c>
      <c r="Q314" t="inlineStr">
        <is>
          <t>Dubai Mall</t>
        </is>
      </c>
      <c r="R314" t="inlineStr">
        <is>
          <t>Sheikh Zayed E11</t>
        </is>
      </c>
      <c r="S314" t="inlineStr">
        <is>
          <t>5</t>
        </is>
      </c>
      <c r="T314" t="inlineStr">
        <is>
          <t>15</t>
        </is>
      </c>
      <c r="U314" t="inlineStr">
        <is>
          <t>15</t>
        </is>
      </c>
      <c r="V314" t="inlineStr">
        <is>
          <t>35</t>
        </is>
      </c>
      <c r="W314" t="n">
        <v>2</v>
      </c>
      <c r="X314" s="12" t="n"/>
      <c r="Y314" s="12" t="n"/>
      <c r="Z314" s="9" t="n">
        <v>4.5</v>
      </c>
      <c r="AA314" s="9" t="n">
        <v>5.5</v>
      </c>
      <c r="AB314" s="9" t="n">
        <v>8</v>
      </c>
      <c r="AC314" s="9" t="n">
        <v>10</v>
      </c>
      <c r="AD314" s="9" t="n">
        <v>12.5</v>
      </c>
      <c r="AE314" s="9" t="n">
        <v>15.5</v>
      </c>
      <c r="AF314" t="n">
        <v>2024</v>
      </c>
      <c r="AH314" t="inlineStr">
        <is>
          <t>Mixed/Other</t>
        </is>
      </c>
      <c r="AI314" t="inlineStr">
        <is>
          <t>MainstreamSelective</t>
        </is>
      </c>
      <c r="AJ314" t="inlineStr">
        <is>
          <t>Established</t>
        </is>
      </c>
      <c r="AK314" t="inlineStr">
        <is>
          <t>Balanced / selective</t>
        </is>
      </c>
      <c r="AL314" t="inlineStr">
        <is>
          <t>Market remains active but increasingly differentiated by developer, micro-location, livability, and pricing discipline.</t>
        </is>
      </c>
      <c r="AM314" s="9" t="n">
        <v>9</v>
      </c>
      <c r="AN314" s="9" t="n">
        <v>5</v>
      </c>
      <c r="AO314" s="10" t="n">
        <v>0.55</v>
      </c>
      <c r="AP314" s="13" t="n">
        <v>0</v>
      </c>
      <c r="AQ314" s="13" t="n">
        <v>0</v>
      </c>
      <c r="AR314" s="13" t="n">
        <v>0</v>
      </c>
      <c r="AS314" s="13" t="n">
        <v>0.01</v>
      </c>
      <c r="AT314" s="13" t="n">
        <v>0</v>
      </c>
      <c r="AU314" s="13" t="n">
        <v>0</v>
      </c>
      <c r="AV314" s="13" t="n">
        <v>-0.005</v>
      </c>
      <c r="AW314" s="13" t="n">
        <v>0.0495</v>
      </c>
      <c r="AX314" s="13" t="n">
        <v>0.005</v>
      </c>
      <c r="AY314" s="12" t="n"/>
      <c r="AZ314" s="12" t="n"/>
      <c r="BA314" s="12" t="n"/>
      <c r="BB314" s="12" t="n"/>
      <c r="BC314" s="12" t="n"/>
      <c r="BD314" s="12" t="n"/>
      <c r="BE314" s="12" t="n"/>
      <c r="BF314" t="inlineStr">
        <is>
          <t>Frozen values from same rules-based model as formula sheet.</t>
        </is>
      </c>
      <c r="BG314" t="inlineStr">
        <is>
          <t>2026-03-17</t>
        </is>
      </c>
      <c r="BH314" t="inlineStr">
        <is>
          <t>DLD / Digital Dubai / CBUAE / Savills / Knight Frank-Moody’s / Reuters</t>
        </is>
      </c>
    </row>
    <row r="315">
      <c r="A315" t="n">
        <v>314</v>
      </c>
      <c r="B315" t="inlineStr">
        <is>
          <t>Riviera Heights</t>
        </is>
      </c>
      <c r="C315" t="inlineStr">
        <is>
          <t>Wasl Asset Management</t>
        </is>
      </c>
      <c r="D315" t="inlineStr">
        <is>
          <t>MBR City</t>
        </is>
      </c>
      <c r="E315" t="inlineStr">
        <is>
          <t>Apartments</t>
        </is>
      </c>
      <c r="F315" t="inlineStr">
        <is>
          <t>Mid-Rise</t>
        </is>
      </c>
      <c r="G315" t="inlineStr">
        <is>
          <t>TBA</t>
        </is>
      </c>
      <c r="H315" t="inlineStr">
        <is>
          <t>TBA</t>
        </is>
      </c>
      <c r="I315" t="inlineStr">
        <is>
          <t>18</t>
        </is>
      </c>
      <c r="J315" t="inlineStr">
        <is>
          <t>TBA</t>
        </is>
      </c>
      <c r="K315" t="inlineStr">
        <is>
          <t>2024</t>
        </is>
      </c>
      <c r="L315" t="inlineStr">
        <is>
          <t>6.5-7.0</t>
        </is>
      </c>
      <c r="M315" t="inlineStr">
        <is>
          <t>8-10</t>
        </is>
      </c>
      <c r="N315" t="inlineStr">
        <is>
          <t>14.5-17.0</t>
        </is>
      </c>
      <c r="O315" t="inlineStr">
        <is>
          <t>Hartland Intl</t>
        </is>
      </c>
      <c r="P315" t="inlineStr">
        <is>
          <t>American Hospital</t>
        </is>
      </c>
      <c r="Q315" t="inlineStr">
        <is>
          <t>Dubai Mall</t>
        </is>
      </c>
      <c r="R315" t="inlineStr">
        <is>
          <t>Ras Al Khor / E44</t>
        </is>
      </c>
      <c r="S315" t="inlineStr">
        <is>
          <t>12</t>
        </is>
      </c>
      <c r="T315" t="inlineStr">
        <is>
          <t>25</t>
        </is>
      </c>
      <c r="U315" t="inlineStr">
        <is>
          <t>15</t>
        </is>
      </c>
      <c r="V315" t="inlineStr">
        <is>
          <t>40</t>
        </is>
      </c>
      <c r="W315" t="n">
        <v>2</v>
      </c>
      <c r="X315" s="12" t="n"/>
      <c r="Y315" s="12" t="n"/>
      <c r="Z315" s="9" t="n">
        <v>6.5</v>
      </c>
      <c r="AA315" s="9" t="n">
        <v>7</v>
      </c>
      <c r="AB315" s="9" t="n">
        <v>8</v>
      </c>
      <c r="AC315" s="9" t="n">
        <v>10</v>
      </c>
      <c r="AD315" s="9" t="n">
        <v>14.5</v>
      </c>
      <c r="AE315" s="9" t="n">
        <v>17</v>
      </c>
      <c r="AF315" t="n">
        <v>2024</v>
      </c>
      <c r="AH315" t="inlineStr">
        <is>
          <t>Apartment</t>
        </is>
      </c>
      <c r="AI315" t="inlineStr">
        <is>
          <t>MainstreamSelective</t>
        </is>
      </c>
      <c r="AJ315" t="inlineStr">
        <is>
          <t>Established</t>
        </is>
      </c>
      <c r="AK315" t="inlineStr">
        <is>
          <t>Balanced / selective</t>
        </is>
      </c>
      <c r="AL315" t="inlineStr">
        <is>
          <t>Market remains active but increasingly differentiated by developer, micro-location, livability, and pricing discipline.</t>
        </is>
      </c>
      <c r="AM315" s="9" t="n">
        <v>9</v>
      </c>
      <c r="AN315" s="9" t="n">
        <v>6.75</v>
      </c>
      <c r="AO315" s="10" t="n">
        <v>0.55</v>
      </c>
      <c r="AP315" s="13" t="n">
        <v>0</v>
      </c>
      <c r="AQ315" s="13" t="n">
        <v>0</v>
      </c>
      <c r="AR315" s="13" t="n">
        <v>0</v>
      </c>
      <c r="AS315" s="13" t="n">
        <v>0.01</v>
      </c>
      <c r="AT315" s="13" t="n">
        <v>0</v>
      </c>
      <c r="AU315" s="13" t="n">
        <v>0.0025</v>
      </c>
      <c r="AV315" s="13" t="n">
        <v>-0.005</v>
      </c>
      <c r="AW315" s="13" t="n">
        <v>0.0495</v>
      </c>
      <c r="AX315" s="13" t="n">
        <v>0.007500000000000001</v>
      </c>
      <c r="AY315" s="12" t="n"/>
      <c r="AZ315" s="12" t="n"/>
      <c r="BA315" s="12" t="n"/>
      <c r="BB315" s="12" t="n"/>
      <c r="BC315" s="12" t="n"/>
      <c r="BD315" s="12" t="n"/>
      <c r="BE315" s="12" t="n"/>
      <c r="BF315" t="inlineStr">
        <is>
          <t>Frozen values from same rules-based model as formula sheet.</t>
        </is>
      </c>
      <c r="BG315" t="inlineStr">
        <is>
          <t>2026-03-17</t>
        </is>
      </c>
      <c r="BH315" t="inlineStr">
        <is>
          <t>DLD / Digital Dubai / CBUAE / Savills / Knight Frank-Moody’s / Reuters</t>
        </is>
      </c>
    </row>
    <row r="316">
      <c r="A316" t="n">
        <v>315</v>
      </c>
      <c r="B316" t="inlineStr">
        <is>
          <t>Wasl 51</t>
        </is>
      </c>
      <c r="C316" t="inlineStr">
        <is>
          <t>Wasl Asset Management</t>
        </is>
      </c>
      <c r="D316" t="inlineStr">
        <is>
          <t>Jumeirah 1</t>
        </is>
      </c>
      <c r="E316" t="inlineStr">
        <is>
          <t>Villas/Apts</t>
        </is>
      </c>
      <c r="F316" t="inlineStr">
        <is>
          <t>Luxury / Boutique</t>
        </is>
      </c>
      <c r="G316" t="inlineStr">
        <is>
          <t>Rental Only</t>
        </is>
      </c>
      <c r="J316" t="inlineStr">
        <is>
          <t>Completed</t>
        </is>
      </c>
      <c r="K316" t="inlineStr">
        <is>
          <t>2019</t>
        </is>
      </c>
      <c r="O316" t="inlineStr">
        <is>
          <t>Jumeirah Baccalaureate</t>
        </is>
      </c>
      <c r="P316" t="inlineStr">
        <is>
          <t>Valiant Clinic</t>
        </is>
      </c>
      <c r="Q316" t="inlineStr">
        <is>
          <t>Mercato Mall</t>
        </is>
      </c>
      <c r="R316" t="inlineStr">
        <is>
          <t>Jumeirah St / D94</t>
        </is>
      </c>
      <c r="S316" t="inlineStr">
        <is>
          <t>15</t>
        </is>
      </c>
      <c r="T316" t="inlineStr">
        <is>
          <t>20</t>
        </is>
      </c>
      <c r="U316" t="inlineStr">
        <is>
          <t>20</t>
        </is>
      </c>
      <c r="V316" t="inlineStr">
        <is>
          <t>40</t>
        </is>
      </c>
      <c r="W316" t="n">
        <v>2</v>
      </c>
      <c r="X316" s="12" t="n"/>
      <c r="Y316" s="12" t="n"/>
      <c r="Z316" s="9" t="n"/>
      <c r="AA316" s="9" t="n"/>
      <c r="AB316" s="9" t="n"/>
      <c r="AC316" s="9" t="n"/>
      <c r="AD316" s="9" t="n"/>
      <c r="AE316" s="9" t="n"/>
      <c r="AF316" t="n">
        <v>2019</v>
      </c>
      <c r="AH316" t="inlineStr">
        <is>
          <t>Villa</t>
        </is>
      </c>
      <c r="AI316" t="inlineStr">
        <is>
          <t>MainstreamSelective</t>
        </is>
      </c>
      <c r="AJ316" t="inlineStr">
        <is>
          <t>Established</t>
        </is>
      </c>
      <c r="AK316" t="inlineStr">
        <is>
          <t>Family-villa resilient</t>
        </is>
      </c>
      <c r="AL316" t="inlineStr">
        <is>
          <t>Villa/townhouse demand remains relatively firmer, though growth should be slower than the post-2020 surge.</t>
        </is>
      </c>
      <c r="AM316" s="9" t="n">
        <v>0</v>
      </c>
      <c r="AN316" s="9" t="n">
        <v>0</v>
      </c>
      <c r="AO316" s="10" t="n">
        <v>0.55</v>
      </c>
      <c r="AP316" s="13" t="n">
        <v>0</v>
      </c>
      <c r="AQ316" s="13" t="n">
        <v>0.015</v>
      </c>
      <c r="AR316" s="13" t="n">
        <v>0</v>
      </c>
      <c r="AS316" s="13" t="n">
        <v>0.025</v>
      </c>
      <c r="AT316" s="13" t="n">
        <v>0</v>
      </c>
      <c r="AU316" s="13" t="n">
        <v>0</v>
      </c>
      <c r="AV316" s="13" t="n">
        <v>-0.005</v>
      </c>
      <c r="AW316" s="13" t="n">
        <v>0.015</v>
      </c>
      <c r="AX316" s="13" t="n">
        <v>0.02</v>
      </c>
      <c r="AY316" s="12" t="n"/>
      <c r="AZ316" s="12" t="n"/>
      <c r="BA316" s="12" t="n"/>
      <c r="BB316" s="12" t="n"/>
      <c r="BC316" s="12" t="n"/>
      <c r="BD316" s="12" t="n"/>
      <c r="BE316" s="12" t="n"/>
      <c r="BF316" t="inlineStr">
        <is>
          <t>Frozen values from same rules-based model as formula sheet.</t>
        </is>
      </c>
      <c r="BG316" t="inlineStr">
        <is>
          <t>2026-03-17</t>
        </is>
      </c>
      <c r="BH316" t="inlineStr">
        <is>
          <t>DLD / Digital Dubai / CBUAE / Savills / Knight Frank-Moody’s / Reuters</t>
        </is>
      </c>
    </row>
    <row r="317">
      <c r="A317" t="n">
        <v>316</v>
      </c>
      <c r="B317" t="inlineStr">
        <is>
          <t>Diamondz</t>
        </is>
      </c>
      <c r="C317" t="inlineStr">
        <is>
          <t>Danube Properties</t>
        </is>
      </c>
      <c r="D317" t="inlineStr">
        <is>
          <t>JLT</t>
        </is>
      </c>
      <c r="E317" t="inlineStr">
        <is>
          <t>Apartments</t>
        </is>
      </c>
      <c r="F317" t="inlineStr">
        <is>
          <t>Luxury / High-Rise</t>
        </is>
      </c>
      <c r="G317" t="inlineStr">
        <is>
          <t>1.1M</t>
        </is>
      </c>
      <c r="H317" t="inlineStr">
        <is>
          <t>1800</t>
        </is>
      </c>
      <c r="I317" t="inlineStr">
        <is>
          <t>18</t>
        </is>
      </c>
      <c r="J317" t="inlineStr">
        <is>
          <t>1% Monthly</t>
        </is>
      </c>
      <c r="K317" t="inlineStr">
        <is>
          <t>2024</t>
        </is>
      </c>
      <c r="L317" t="inlineStr">
        <is>
          <t>6.5-7.0</t>
        </is>
      </c>
      <c r="M317" t="inlineStr">
        <is>
          <t>6-9</t>
        </is>
      </c>
      <c r="N317" t="inlineStr">
        <is>
          <t>12.5-16.0</t>
        </is>
      </c>
      <c r="O317" t="inlineStr">
        <is>
          <t>Emirates Intl School</t>
        </is>
      </c>
      <c r="P317" t="inlineStr">
        <is>
          <t>Saudi German Hospital</t>
        </is>
      </c>
      <c r="Q317" t="inlineStr">
        <is>
          <t>Dubai Marina Mall</t>
        </is>
      </c>
      <c r="R317" t="inlineStr">
        <is>
          <t>Sheikh Zayed E11</t>
        </is>
      </c>
      <c r="S317" t="inlineStr">
        <is>
          <t>20</t>
        </is>
      </c>
      <c r="T317" t="inlineStr">
        <is>
          <t>5</t>
        </is>
      </c>
      <c r="U317" t="inlineStr">
        <is>
          <t>25</t>
        </is>
      </c>
      <c r="V317" t="inlineStr">
        <is>
          <t>30</t>
        </is>
      </c>
      <c r="W317" t="n">
        <v>2</v>
      </c>
      <c r="X317" s="12" t="n">
        <v>1100000</v>
      </c>
      <c r="Y317" s="12" t="n">
        <v>1100000</v>
      </c>
      <c r="Z317" s="9" t="n">
        <v>6.5</v>
      </c>
      <c r="AA317" s="9" t="n">
        <v>7</v>
      </c>
      <c r="AB317" s="9" t="n">
        <v>6</v>
      </c>
      <c r="AC317" s="9" t="n">
        <v>9</v>
      </c>
      <c r="AD317" s="9" t="n">
        <v>12.5</v>
      </c>
      <c r="AE317" s="9" t="n">
        <v>16</v>
      </c>
      <c r="AF317" t="n">
        <v>2024</v>
      </c>
      <c r="AH317" t="inlineStr">
        <is>
          <t>Apartment</t>
        </is>
      </c>
      <c r="AI317" t="inlineStr">
        <is>
          <t>MainstreamSelective</t>
        </is>
      </c>
      <c r="AJ317" t="inlineStr">
        <is>
          <t>MidTier</t>
        </is>
      </c>
      <c r="AK317" t="inlineStr">
        <is>
          <t>Balanced / selective</t>
        </is>
      </c>
      <c r="AL317" t="inlineStr">
        <is>
          <t>Market remains active but increasingly differentiated by developer, micro-location, livability, and pricing discipline.</t>
        </is>
      </c>
      <c r="AM317" s="9" t="n">
        <v>7.5</v>
      </c>
      <c r="AN317" s="9" t="n">
        <v>6.75</v>
      </c>
      <c r="AO317" s="10" t="n">
        <v>0.55</v>
      </c>
      <c r="AP317" s="13" t="n">
        <v>0</v>
      </c>
      <c r="AQ317" s="13" t="n">
        <v>0</v>
      </c>
      <c r="AR317" s="13" t="n">
        <v>0</v>
      </c>
      <c r="AS317" s="13" t="n">
        <v>0.01</v>
      </c>
      <c r="AT317" s="13" t="n">
        <v>-0.005</v>
      </c>
      <c r="AU317" s="13" t="n">
        <v>0.0025</v>
      </c>
      <c r="AV317" s="13" t="n">
        <v>-0.005</v>
      </c>
      <c r="AW317" s="13" t="n">
        <v>0.04125</v>
      </c>
      <c r="AX317" s="13" t="n">
        <v>0.0025</v>
      </c>
      <c r="AY317" s="12" t="n">
        <v>1111014</v>
      </c>
      <c r="AZ317" s="12" t="n">
        <v>1145375</v>
      </c>
      <c r="BA317" s="12" t="n">
        <v>1179736</v>
      </c>
      <c r="BB317" s="12" t="n">
        <v>1113877</v>
      </c>
      <c r="BC317" s="12" t="n">
        <v>1148238</v>
      </c>
      <c r="BD317" s="12" t="n">
        <v>1182600</v>
      </c>
      <c r="BE317" s="12" t="n">
        <v>1151109</v>
      </c>
      <c r="BF317" t="inlineStr">
        <is>
          <t>Frozen values from same rules-based model as formula sheet.</t>
        </is>
      </c>
      <c r="BG317" t="inlineStr">
        <is>
          <t>2026-03-17</t>
        </is>
      </c>
      <c r="BH317" t="inlineStr">
        <is>
          <t>DLD / Digital Dubai / CBUAE / Savills / Knight Frank-Moody’s / Reuters</t>
        </is>
      </c>
    </row>
    <row r="318">
      <c r="A318" t="n">
        <v>317</v>
      </c>
      <c r="B318" t="inlineStr">
        <is>
          <t>Viewz</t>
        </is>
      </c>
      <c r="C318" t="inlineStr">
        <is>
          <t>Danube Properties</t>
        </is>
      </c>
      <c r="D318" t="inlineStr">
        <is>
          <t>JLT</t>
        </is>
      </c>
      <c r="E318" t="inlineStr">
        <is>
          <t>Branded Apts (Aston Martin)</t>
        </is>
      </c>
      <c r="F318" t="inlineStr">
        <is>
          <t>Luxury / View</t>
        </is>
      </c>
      <c r="G318" t="inlineStr">
        <is>
          <t>1.2M</t>
        </is>
      </c>
      <c r="H318" t="inlineStr">
        <is>
          <t>1900</t>
        </is>
      </c>
      <c r="I318" t="inlineStr">
        <is>
          <t>18</t>
        </is>
      </c>
      <c r="J318" t="inlineStr">
        <is>
          <t>1% Monthly</t>
        </is>
      </c>
      <c r="K318" t="inlineStr">
        <is>
          <t>2023</t>
        </is>
      </c>
      <c r="L318" t="inlineStr">
        <is>
          <t>6.5-7.0</t>
        </is>
      </c>
      <c r="M318" t="inlineStr">
        <is>
          <t>6-9</t>
        </is>
      </c>
      <c r="N318" t="inlineStr">
        <is>
          <t>12.5-16.0</t>
        </is>
      </c>
      <c r="O318" t="inlineStr">
        <is>
          <t>Emirates Intl School</t>
        </is>
      </c>
      <c r="P318" t="inlineStr">
        <is>
          <t>Saudi German Hospital</t>
        </is>
      </c>
      <c r="Q318" t="inlineStr">
        <is>
          <t>Dubai Marina Mall</t>
        </is>
      </c>
      <c r="R318" t="inlineStr">
        <is>
          <t>Sheikh Zayed E11</t>
        </is>
      </c>
      <c r="S318" t="inlineStr">
        <is>
          <t>20</t>
        </is>
      </c>
      <c r="T318" t="inlineStr">
        <is>
          <t>5</t>
        </is>
      </c>
      <c r="U318" t="inlineStr">
        <is>
          <t>25</t>
        </is>
      </c>
      <c r="V318" t="inlineStr">
        <is>
          <t>30</t>
        </is>
      </c>
      <c r="W318" t="n">
        <v>2</v>
      </c>
      <c r="X318" s="12" t="n">
        <v>1200000</v>
      </c>
      <c r="Y318" s="12" t="n">
        <v>1200000</v>
      </c>
      <c r="Z318" s="9" t="n">
        <v>6.5</v>
      </c>
      <c r="AA318" s="9" t="n">
        <v>7</v>
      </c>
      <c r="AB318" s="9" t="n">
        <v>6</v>
      </c>
      <c r="AC318" s="9" t="n">
        <v>9</v>
      </c>
      <c r="AD318" s="9" t="n">
        <v>12.5</v>
      </c>
      <c r="AE318" s="9" t="n">
        <v>16</v>
      </c>
      <c r="AF318" t="n">
        <v>2023</v>
      </c>
      <c r="AH318" t="inlineStr">
        <is>
          <t>Apartment</t>
        </is>
      </c>
      <c r="AI318" t="inlineStr">
        <is>
          <t>MainstreamSelective</t>
        </is>
      </c>
      <c r="AJ318" t="inlineStr">
        <is>
          <t>MidTier</t>
        </is>
      </c>
      <c r="AK318" t="inlineStr">
        <is>
          <t>Balanced / selective</t>
        </is>
      </c>
      <c r="AL318" t="inlineStr">
        <is>
          <t>Market remains active but increasingly differentiated by developer, micro-location, livability, and pricing discipline.</t>
        </is>
      </c>
      <c r="AM318" s="9" t="n">
        <v>7.5</v>
      </c>
      <c r="AN318" s="9" t="n">
        <v>6.75</v>
      </c>
      <c r="AO318" s="10" t="n">
        <v>0.55</v>
      </c>
      <c r="AP318" s="13" t="n">
        <v>0</v>
      </c>
      <c r="AQ318" s="13" t="n">
        <v>0</v>
      </c>
      <c r="AR318" s="13" t="n">
        <v>0</v>
      </c>
      <c r="AS318" s="13" t="n">
        <v>0.01</v>
      </c>
      <c r="AT318" s="13" t="n">
        <v>-0.005</v>
      </c>
      <c r="AU318" s="13" t="n">
        <v>0.0025</v>
      </c>
      <c r="AV318" s="13" t="n">
        <v>-0.005</v>
      </c>
      <c r="AW318" s="13" t="n">
        <v>0.04125</v>
      </c>
      <c r="AX318" s="13" t="n">
        <v>0.0025</v>
      </c>
      <c r="AY318" s="12" t="n">
        <v>1212015</v>
      </c>
      <c r="AZ318" s="12" t="n">
        <v>1249500</v>
      </c>
      <c r="BA318" s="12" t="n">
        <v>1286985</v>
      </c>
      <c r="BB318" s="12" t="n">
        <v>1215139</v>
      </c>
      <c r="BC318" s="12" t="n">
        <v>1252624</v>
      </c>
      <c r="BD318" s="12" t="n">
        <v>1290109</v>
      </c>
      <c r="BE318" s="12" t="n">
        <v>1255755</v>
      </c>
      <c r="BF318" t="inlineStr">
        <is>
          <t>Frozen values from same rules-based model as formula sheet.</t>
        </is>
      </c>
      <c r="BG318" t="inlineStr">
        <is>
          <t>2026-03-17</t>
        </is>
      </c>
      <c r="BH318" t="inlineStr">
        <is>
          <t>DLD / Digital Dubai / CBUAE / Savills / Knight Frank-Moody’s / Reuters</t>
        </is>
      </c>
    </row>
    <row r="319">
      <c r="A319" t="n">
        <v>318</v>
      </c>
      <c r="B319" t="inlineStr">
        <is>
          <t>Bayz 101</t>
        </is>
      </c>
      <c r="C319" t="inlineStr">
        <is>
          <t>Danube Properties</t>
        </is>
      </c>
      <c r="D319" t="inlineStr">
        <is>
          <t>Business Bay</t>
        </is>
      </c>
      <c r="E319" t="inlineStr">
        <is>
          <t>Apartments</t>
        </is>
      </c>
      <c r="F319" t="inlineStr">
        <is>
          <t>High-Rise / City</t>
        </is>
      </c>
      <c r="G319" t="inlineStr">
        <is>
          <t>1.3M</t>
        </is>
      </c>
      <c r="H319" t="inlineStr">
        <is>
          <t>2000</t>
        </is>
      </c>
      <c r="I319" t="inlineStr">
        <is>
          <t>18</t>
        </is>
      </c>
      <c r="J319" t="inlineStr">
        <is>
          <t>1% Monthly</t>
        </is>
      </c>
      <c r="K319" t="inlineStr">
        <is>
          <t>2024</t>
        </is>
      </c>
      <c r="L319" t="inlineStr">
        <is>
          <t>6.5-7.0</t>
        </is>
      </c>
      <c r="M319" t="inlineStr">
        <is>
          <t>6-9</t>
        </is>
      </c>
      <c r="N319" t="inlineStr">
        <is>
          <t>12.5-16.0</t>
        </is>
      </c>
      <c r="O319" t="inlineStr">
        <is>
          <t>Hartland Intl</t>
        </is>
      </c>
      <c r="P319" t="inlineStr">
        <is>
          <t>Emirates Hospital BB</t>
        </is>
      </c>
      <c r="Q319" t="inlineStr">
        <is>
          <t>Dubai Mall</t>
        </is>
      </c>
      <c r="R319" t="inlineStr">
        <is>
          <t>Al Khail E44</t>
        </is>
      </c>
      <c r="S319" t="inlineStr">
        <is>
          <t>5</t>
        </is>
      </c>
      <c r="T319" t="inlineStr">
        <is>
          <t>20</t>
        </is>
      </c>
      <c r="U319" t="inlineStr">
        <is>
          <t>15</t>
        </is>
      </c>
      <c r="V319" t="inlineStr">
        <is>
          <t>35</t>
        </is>
      </c>
      <c r="W319" t="n">
        <v>2</v>
      </c>
      <c r="X319" s="12" t="n">
        <v>1300000</v>
      </c>
      <c r="Y319" s="12" t="n">
        <v>1300000</v>
      </c>
      <c r="Z319" s="9" t="n">
        <v>6.5</v>
      </c>
      <c r="AA319" s="9" t="n">
        <v>7</v>
      </c>
      <c r="AB319" s="9" t="n">
        <v>6</v>
      </c>
      <c r="AC319" s="9" t="n">
        <v>9</v>
      </c>
      <c r="AD319" s="9" t="n">
        <v>12.5</v>
      </c>
      <c r="AE319" s="9" t="n">
        <v>16</v>
      </c>
      <c r="AF319" t="n">
        <v>2024</v>
      </c>
      <c r="AH319" t="inlineStr">
        <is>
          <t>Apartment</t>
        </is>
      </c>
      <c r="AI319" t="inlineStr">
        <is>
          <t>Prime</t>
        </is>
      </c>
      <c r="AJ319" t="inlineStr">
        <is>
          <t>MidTier</t>
        </is>
      </c>
      <c r="AK319" t="inlineStr">
        <is>
          <t>Prime resilient / selective</t>
        </is>
      </c>
      <c r="AL319" t="inlineStr">
        <is>
          <t>Better support from quality, branding, and scarcer prime stock; still entry-price sensitive.</t>
        </is>
      </c>
      <c r="AM319" s="9" t="n">
        <v>7.5</v>
      </c>
      <c r="AN319" s="9" t="n">
        <v>6.75</v>
      </c>
      <c r="AO319" s="10" t="n">
        <v>0.55</v>
      </c>
      <c r="AP319" s="13" t="n">
        <v>0.02</v>
      </c>
      <c r="AQ319" s="13" t="n">
        <v>0</v>
      </c>
      <c r="AR319" s="13" t="n">
        <v>0</v>
      </c>
      <c r="AS319" s="13" t="n">
        <v>0.03</v>
      </c>
      <c r="AT319" s="13" t="n">
        <v>-0.005</v>
      </c>
      <c r="AU319" s="13" t="n">
        <v>0.0025</v>
      </c>
      <c r="AV319" s="13" t="n">
        <v>-0.005</v>
      </c>
      <c r="AW319" s="13" t="n">
        <v>0.06125</v>
      </c>
      <c r="AX319" s="13" t="n">
        <v>0.0225</v>
      </c>
      <c r="AY319" s="12" t="n">
        <v>1338236</v>
      </c>
      <c r="AZ319" s="12" t="n">
        <v>1379625</v>
      </c>
      <c r="BA319" s="12" t="n">
        <v>1421014</v>
      </c>
      <c r="BB319" s="12" t="n">
        <v>1369278</v>
      </c>
      <c r="BC319" s="12" t="n">
        <v>1410667</v>
      </c>
      <c r="BD319" s="12" t="n">
        <v>1452055</v>
      </c>
      <c r="BE319" s="12" t="n">
        <v>1442407</v>
      </c>
      <c r="BF319" t="inlineStr">
        <is>
          <t>Frozen values from same rules-based model as formula sheet.</t>
        </is>
      </c>
      <c r="BG319" t="inlineStr">
        <is>
          <t>2026-03-17</t>
        </is>
      </c>
      <c r="BH319" t="inlineStr">
        <is>
          <t>DLD / Digital Dubai / CBUAE / Savills / Knight Frank-Moody’s / Reuters</t>
        </is>
      </c>
    </row>
    <row r="320">
      <c r="A320" t="n">
        <v>319</v>
      </c>
      <c r="B320" t="inlineStr">
        <is>
          <t>Bayz 102</t>
        </is>
      </c>
      <c r="C320" t="inlineStr">
        <is>
          <t>Danube Properties</t>
        </is>
      </c>
      <c r="D320" t="inlineStr">
        <is>
          <t>Business Bay</t>
        </is>
      </c>
      <c r="E320" t="inlineStr">
        <is>
          <t>Apartments</t>
        </is>
      </c>
      <c r="F320" t="inlineStr">
        <is>
          <t>High-Rise / City</t>
        </is>
      </c>
      <c r="G320" t="inlineStr">
        <is>
          <t>1.35M</t>
        </is>
      </c>
      <c r="H320" t="inlineStr">
        <is>
          <t>2000</t>
        </is>
      </c>
      <c r="I320" t="inlineStr">
        <is>
          <t>18</t>
        </is>
      </c>
      <c r="J320" t="inlineStr">
        <is>
          <t>1% Monthly</t>
        </is>
      </c>
      <c r="K320" t="inlineStr">
        <is>
          <t>2024</t>
        </is>
      </c>
      <c r="L320" t="inlineStr">
        <is>
          <t>6.5-7.0</t>
        </is>
      </c>
      <c r="M320" t="inlineStr">
        <is>
          <t>6-9</t>
        </is>
      </c>
      <c r="N320" t="inlineStr">
        <is>
          <t>12.5-16.0</t>
        </is>
      </c>
      <c r="O320" t="inlineStr">
        <is>
          <t>Hartland Intl</t>
        </is>
      </c>
      <c r="P320" t="inlineStr">
        <is>
          <t>Emirates Hospital BB</t>
        </is>
      </c>
      <c r="Q320" t="inlineStr">
        <is>
          <t>Dubai Mall</t>
        </is>
      </c>
      <c r="R320" t="inlineStr">
        <is>
          <t>Al Khail E44</t>
        </is>
      </c>
      <c r="S320" t="inlineStr">
        <is>
          <t>5</t>
        </is>
      </c>
      <c r="T320" t="inlineStr">
        <is>
          <t>20</t>
        </is>
      </c>
      <c r="U320" t="inlineStr">
        <is>
          <t>15</t>
        </is>
      </c>
      <c r="V320" t="inlineStr">
        <is>
          <t>35</t>
        </is>
      </c>
      <c r="W320" t="n">
        <v>2</v>
      </c>
      <c r="X320" s="12" t="n">
        <v>1350000</v>
      </c>
      <c r="Y320" s="12" t="n">
        <v>1350000</v>
      </c>
      <c r="Z320" s="9" t="n">
        <v>6.5</v>
      </c>
      <c r="AA320" s="9" t="n">
        <v>7</v>
      </c>
      <c r="AB320" s="9" t="n">
        <v>6</v>
      </c>
      <c r="AC320" s="9" t="n">
        <v>9</v>
      </c>
      <c r="AD320" s="9" t="n">
        <v>12.5</v>
      </c>
      <c r="AE320" s="9" t="n">
        <v>16</v>
      </c>
      <c r="AF320" t="n">
        <v>2024</v>
      </c>
      <c r="AH320" t="inlineStr">
        <is>
          <t>Apartment</t>
        </is>
      </c>
      <c r="AI320" t="inlineStr">
        <is>
          <t>Prime</t>
        </is>
      </c>
      <c r="AJ320" t="inlineStr">
        <is>
          <t>MidTier</t>
        </is>
      </c>
      <c r="AK320" t="inlineStr">
        <is>
          <t>Prime resilient / selective</t>
        </is>
      </c>
      <c r="AL320" t="inlineStr">
        <is>
          <t>Better support from quality, branding, and scarcer prime stock; still entry-price sensitive.</t>
        </is>
      </c>
      <c r="AM320" s="9" t="n">
        <v>7.5</v>
      </c>
      <c r="AN320" s="9" t="n">
        <v>6.75</v>
      </c>
      <c r="AO320" s="10" t="n">
        <v>0.55</v>
      </c>
      <c r="AP320" s="13" t="n">
        <v>0.02</v>
      </c>
      <c r="AQ320" s="13" t="n">
        <v>0</v>
      </c>
      <c r="AR320" s="13" t="n">
        <v>0</v>
      </c>
      <c r="AS320" s="13" t="n">
        <v>0.03</v>
      </c>
      <c r="AT320" s="13" t="n">
        <v>-0.005</v>
      </c>
      <c r="AU320" s="13" t="n">
        <v>0.0025</v>
      </c>
      <c r="AV320" s="13" t="n">
        <v>-0.005</v>
      </c>
      <c r="AW320" s="13" t="n">
        <v>0.06125</v>
      </c>
      <c r="AX320" s="13" t="n">
        <v>0.0225</v>
      </c>
      <c r="AY320" s="12" t="n">
        <v>1389707</v>
      </c>
      <c r="AZ320" s="12" t="n">
        <v>1432688</v>
      </c>
      <c r="BA320" s="12" t="n">
        <v>1475669</v>
      </c>
      <c r="BB320" s="12" t="n">
        <v>1421943</v>
      </c>
      <c r="BC320" s="12" t="n">
        <v>1464923</v>
      </c>
      <c r="BD320" s="12" t="n">
        <v>1507904</v>
      </c>
      <c r="BE320" s="12" t="n">
        <v>1497884</v>
      </c>
      <c r="BF320" t="inlineStr">
        <is>
          <t>Frozen values from same rules-based model as formula sheet.</t>
        </is>
      </c>
      <c r="BG320" t="inlineStr">
        <is>
          <t>2026-03-17</t>
        </is>
      </c>
      <c r="BH320" t="inlineStr">
        <is>
          <t>DLD / Digital Dubai / CBUAE / Savills / Knight Frank-Moody’s / Reuters</t>
        </is>
      </c>
    </row>
    <row r="321">
      <c r="A321" t="n">
        <v>320</v>
      </c>
      <c r="B321" t="inlineStr">
        <is>
          <t>Oceanz</t>
        </is>
      </c>
      <c r="C321" t="inlineStr">
        <is>
          <t>Danube Properties</t>
        </is>
      </c>
      <c r="D321" t="inlineStr">
        <is>
          <t>Dubai Maritime City</t>
        </is>
      </c>
      <c r="E321" t="inlineStr">
        <is>
          <t>Apartments</t>
        </is>
      </c>
      <c r="F321" t="inlineStr">
        <is>
          <t>Sea View</t>
        </is>
      </c>
      <c r="G321" t="inlineStr">
        <is>
          <t>1.1M</t>
        </is>
      </c>
      <c r="H321" t="inlineStr">
        <is>
          <t>1800</t>
        </is>
      </c>
      <c r="I321" t="inlineStr">
        <is>
          <t>18</t>
        </is>
      </c>
      <c r="J321" t="inlineStr">
        <is>
          <t>1% Monthly</t>
        </is>
      </c>
      <c r="K321" t="inlineStr">
        <is>
          <t>2023</t>
        </is>
      </c>
      <c r="L321" t="inlineStr">
        <is>
          <t>6.5-7.0</t>
        </is>
      </c>
      <c r="M321" t="inlineStr">
        <is>
          <t>8-10</t>
        </is>
      </c>
      <c r="N321" t="inlineStr">
        <is>
          <t>14.5-17.0</t>
        </is>
      </c>
      <c r="O321" t="inlineStr">
        <is>
          <t>New Academy School</t>
        </is>
      </c>
      <c r="P321" t="inlineStr">
        <is>
          <t>Aster Hospital Mankhool</t>
        </is>
      </c>
      <c r="Q321" t="inlineStr">
        <is>
          <t>Dubai Mall</t>
        </is>
      </c>
      <c r="R321" t="inlineStr">
        <is>
          <t>Al Khaleej / E11</t>
        </is>
      </c>
      <c r="S321" t="inlineStr">
        <is>
          <t>15</t>
        </is>
      </c>
      <c r="T321" t="inlineStr">
        <is>
          <t>25</t>
        </is>
      </c>
      <c r="U321" t="inlineStr">
        <is>
          <t>15</t>
        </is>
      </c>
      <c r="V321" t="inlineStr">
        <is>
          <t>45</t>
        </is>
      </c>
      <c r="W321" t="n">
        <v>2</v>
      </c>
      <c r="X321" s="12" t="n">
        <v>1100000</v>
      </c>
      <c r="Y321" s="12" t="n">
        <v>1100000</v>
      </c>
      <c r="Z321" s="9" t="n">
        <v>6.5</v>
      </c>
      <c r="AA321" s="9" t="n">
        <v>7</v>
      </c>
      <c r="AB321" s="9" t="n">
        <v>8</v>
      </c>
      <c r="AC321" s="9" t="n">
        <v>10</v>
      </c>
      <c r="AD321" s="9" t="n">
        <v>14.5</v>
      </c>
      <c r="AE321" s="9" t="n">
        <v>17</v>
      </c>
      <c r="AF321" t="n">
        <v>2023</v>
      </c>
      <c r="AH321" t="inlineStr">
        <is>
          <t>Apartment</t>
        </is>
      </c>
      <c r="AI321" t="inlineStr">
        <is>
          <t>MainstreamSelective</t>
        </is>
      </c>
      <c r="AJ321" t="inlineStr">
        <is>
          <t>MidTier</t>
        </is>
      </c>
      <c r="AK321" t="inlineStr">
        <is>
          <t>Balanced / selective</t>
        </is>
      </c>
      <c r="AL321" t="inlineStr">
        <is>
          <t>Market remains active but increasingly differentiated by developer, micro-location, livability, and pricing discipline.</t>
        </is>
      </c>
      <c r="AM321" s="9" t="n">
        <v>9</v>
      </c>
      <c r="AN321" s="9" t="n">
        <v>6.75</v>
      </c>
      <c r="AO321" s="10" t="n">
        <v>0.55</v>
      </c>
      <c r="AP321" s="13" t="n">
        <v>0</v>
      </c>
      <c r="AQ321" s="13" t="n">
        <v>0</v>
      </c>
      <c r="AR321" s="13" t="n">
        <v>0</v>
      </c>
      <c r="AS321" s="13" t="n">
        <v>0.01</v>
      </c>
      <c r="AT321" s="13" t="n">
        <v>-0.005</v>
      </c>
      <c r="AU321" s="13" t="n">
        <v>0.0025</v>
      </c>
      <c r="AV321" s="13" t="n">
        <v>-0.005</v>
      </c>
      <c r="AW321" s="13" t="n">
        <v>0.0495</v>
      </c>
      <c r="AX321" s="13" t="n">
        <v>0.0025</v>
      </c>
      <c r="AY321" s="12" t="n">
        <v>1119816</v>
      </c>
      <c r="AZ321" s="12" t="n">
        <v>1154450</v>
      </c>
      <c r="BA321" s="12" t="n">
        <v>1189084</v>
      </c>
      <c r="BB321" s="12" t="n">
        <v>1122703</v>
      </c>
      <c r="BC321" s="12" t="n">
        <v>1157336</v>
      </c>
      <c r="BD321" s="12" t="n">
        <v>1191970</v>
      </c>
      <c r="BE321" s="12" t="n">
        <v>1160229</v>
      </c>
      <c r="BF321" t="inlineStr">
        <is>
          <t>Frozen values from same rules-based model as formula sheet.</t>
        </is>
      </c>
      <c r="BG321" t="inlineStr">
        <is>
          <t>2026-03-17</t>
        </is>
      </c>
      <c r="BH321" t="inlineStr">
        <is>
          <t>DLD / Digital Dubai / CBUAE / Savills / Knight Frank-Moody’s / Reuters</t>
        </is>
      </c>
    </row>
    <row r="322">
      <c r="A322" t="n">
        <v>321</v>
      </c>
      <c r="B322" t="inlineStr">
        <is>
          <t>Sportz</t>
        </is>
      </c>
      <c r="C322" t="inlineStr">
        <is>
          <t>Danube Properties</t>
        </is>
      </c>
      <c r="D322" t="inlineStr">
        <is>
          <t>Dubai Sports City</t>
        </is>
      </c>
      <c r="E322" t="inlineStr">
        <is>
          <t>Apartments</t>
        </is>
      </c>
      <c r="F322" t="inlineStr">
        <is>
          <t>Sports Amenities</t>
        </is>
      </c>
      <c r="G322" t="inlineStr">
        <is>
          <t>900k</t>
        </is>
      </c>
      <c r="H322" t="inlineStr">
        <is>
          <t>1300</t>
        </is>
      </c>
      <c r="I322" t="inlineStr">
        <is>
          <t>15</t>
        </is>
      </c>
      <c r="J322" t="inlineStr">
        <is>
          <t>1% Monthly</t>
        </is>
      </c>
      <c r="K322" t="inlineStr">
        <is>
          <t>2023</t>
        </is>
      </c>
      <c r="L322" t="inlineStr">
        <is>
          <t>7.5-8.0</t>
        </is>
      </c>
      <c r="M322" t="inlineStr">
        <is>
          <t>6-8</t>
        </is>
      </c>
      <c r="N322" t="inlineStr">
        <is>
          <t>13.5-16.0</t>
        </is>
      </c>
      <c r="O322" t="inlineStr">
        <is>
          <t>Victory Heights</t>
        </is>
      </c>
      <c r="P322" t="inlineStr">
        <is>
          <t>NMC Royal DIP</t>
        </is>
      </c>
      <c r="Q322" t="inlineStr">
        <is>
          <t>City Centre Me'aisem</t>
        </is>
      </c>
      <c r="R322" t="inlineStr">
        <is>
          <t>E311 / Hessa St</t>
        </is>
      </c>
      <c r="S322" t="inlineStr">
        <is>
          <t>20</t>
        </is>
      </c>
      <c r="T322" t="inlineStr">
        <is>
          <t>15</t>
        </is>
      </c>
      <c r="U322" t="inlineStr">
        <is>
          <t>25</t>
        </is>
      </c>
      <c r="V322" t="inlineStr">
        <is>
          <t>25</t>
        </is>
      </c>
      <c r="W322" t="n">
        <v>2</v>
      </c>
      <c r="X322" s="12" t="n">
        <v>900000</v>
      </c>
      <c r="Y322" s="12" t="n">
        <v>900000</v>
      </c>
      <c r="Z322" s="9" t="n">
        <v>7.5</v>
      </c>
      <c r="AA322" s="9" t="n">
        <v>8</v>
      </c>
      <c r="AB322" s="9" t="n">
        <v>6</v>
      </c>
      <c r="AC322" s="9" t="n">
        <v>8</v>
      </c>
      <c r="AD322" s="9" t="n">
        <v>13.5</v>
      </c>
      <c r="AE322" s="9" t="n">
        <v>16</v>
      </c>
      <c r="AF322" t="n">
        <v>2023</v>
      </c>
      <c r="AH322" t="inlineStr">
        <is>
          <t>Apartment</t>
        </is>
      </c>
      <c r="AI322" t="inlineStr">
        <is>
          <t>MainstreamSelective</t>
        </is>
      </c>
      <c r="AJ322" t="inlineStr">
        <is>
          <t>MidTier</t>
        </is>
      </c>
      <c r="AK322" t="inlineStr">
        <is>
          <t>Balanced / selective</t>
        </is>
      </c>
      <c r="AL322" t="inlineStr">
        <is>
          <t>Market remains active but increasingly differentiated by developer, micro-location, livability, and pricing discipline.</t>
        </is>
      </c>
      <c r="AM322" s="9" t="n">
        <v>7</v>
      </c>
      <c r="AN322" s="9" t="n">
        <v>7.75</v>
      </c>
      <c r="AO322" s="10" t="n">
        <v>0.55</v>
      </c>
      <c r="AP322" s="13" t="n">
        <v>0</v>
      </c>
      <c r="AQ322" s="13" t="n">
        <v>0</v>
      </c>
      <c r="AR322" s="13" t="n">
        <v>0</v>
      </c>
      <c r="AS322" s="13" t="n">
        <v>0.01</v>
      </c>
      <c r="AT322" s="13" t="n">
        <v>-0.005</v>
      </c>
      <c r="AU322" s="13" t="n">
        <v>0.0025</v>
      </c>
      <c r="AV322" s="13" t="n">
        <v>-0.005</v>
      </c>
      <c r="AW322" s="13" t="n">
        <v>0.03850000000000001</v>
      </c>
      <c r="AX322" s="13" t="n">
        <v>0.0025</v>
      </c>
      <c r="AY322" s="12" t="n">
        <v>906610</v>
      </c>
      <c r="AZ322" s="12" t="n">
        <v>934650</v>
      </c>
      <c r="BA322" s="12" t="n">
        <v>962690</v>
      </c>
      <c r="BB322" s="12" t="n">
        <v>908947</v>
      </c>
      <c r="BC322" s="12" t="n">
        <v>936987</v>
      </c>
      <c r="BD322" s="12" t="n">
        <v>965026</v>
      </c>
      <c r="BE322" s="12" t="n">
        <v>939329</v>
      </c>
      <c r="BF322" t="inlineStr">
        <is>
          <t>Frozen values from same rules-based model as formula sheet.</t>
        </is>
      </c>
      <c r="BG322" t="inlineStr">
        <is>
          <t>2026-03-17</t>
        </is>
      </c>
      <c r="BH322" t="inlineStr">
        <is>
          <t>DLD / Digital Dubai / CBUAE / Savills / Knight Frank-Moody’s / Reuters</t>
        </is>
      </c>
    </row>
    <row r="323">
      <c r="A323" t="n">
        <v>322</v>
      </c>
      <c r="B323" t="inlineStr">
        <is>
          <t>Eleganz</t>
        </is>
      </c>
      <c r="C323" t="inlineStr">
        <is>
          <t>Danube Properties</t>
        </is>
      </c>
      <c r="D323" t="inlineStr">
        <is>
          <t>JVC</t>
        </is>
      </c>
      <c r="E323" t="inlineStr">
        <is>
          <t>Apartments</t>
        </is>
      </c>
      <c r="F323" t="inlineStr">
        <is>
          <t>Ready to Move</t>
        </is>
      </c>
      <c r="G323" t="inlineStr">
        <is>
          <t>1.1M</t>
        </is>
      </c>
      <c r="H323" t="inlineStr">
        <is>
          <t>1400</t>
        </is>
      </c>
      <c r="I323" t="inlineStr">
        <is>
          <t>15</t>
        </is>
      </c>
      <c r="J323" t="inlineStr">
        <is>
          <t>1% Monthly</t>
        </is>
      </c>
      <c r="K323" t="inlineStr">
        <is>
          <t>2023</t>
        </is>
      </c>
      <c r="L323" t="inlineStr">
        <is>
          <t>7.5-8.0</t>
        </is>
      </c>
      <c r="M323" t="inlineStr">
        <is>
          <t>5-7</t>
        </is>
      </c>
      <c r="N323" t="inlineStr">
        <is>
          <t>12.5-15.0</t>
        </is>
      </c>
      <c r="O323" t="inlineStr">
        <is>
          <t>JSS International</t>
        </is>
      </c>
      <c r="P323" t="inlineStr">
        <is>
          <t>Saudi German Hospital</t>
        </is>
      </c>
      <c r="Q323" t="inlineStr">
        <is>
          <t>Circle Mall</t>
        </is>
      </c>
      <c r="R323" t="inlineStr">
        <is>
          <t>Hessa St / E44</t>
        </is>
      </c>
      <c r="S323" t="inlineStr">
        <is>
          <t>20</t>
        </is>
      </c>
      <c r="T323" t="inlineStr">
        <is>
          <t>15</t>
        </is>
      </c>
      <c r="U323" t="inlineStr">
        <is>
          <t>25</t>
        </is>
      </c>
      <c r="V323" t="inlineStr">
        <is>
          <t>30</t>
        </is>
      </c>
      <c r="W323" t="n">
        <v>2</v>
      </c>
      <c r="X323" s="12" t="n">
        <v>1100000</v>
      </c>
      <c r="Y323" s="12" t="n">
        <v>1100000</v>
      </c>
      <c r="Z323" s="9" t="n">
        <v>7.5</v>
      </c>
      <c r="AA323" s="9" t="n">
        <v>8</v>
      </c>
      <c r="AB323" s="9" t="n">
        <v>5</v>
      </c>
      <c r="AC323" s="9" t="n">
        <v>7</v>
      </c>
      <c r="AD323" s="9" t="n">
        <v>12.5</v>
      </c>
      <c r="AE323" s="9" t="n">
        <v>15</v>
      </c>
      <c r="AF323" t="n">
        <v>2023</v>
      </c>
      <c r="AH323" t="inlineStr">
        <is>
          <t>Apartment</t>
        </is>
      </c>
      <c r="AI323" t="inlineStr">
        <is>
          <t>SupplySensitiveApartment</t>
        </is>
      </c>
      <c r="AJ323" t="inlineStr">
        <is>
          <t>MidTier</t>
        </is>
      </c>
      <c r="AK323" t="inlineStr">
        <is>
          <t>Supply-sensitive / selective</t>
        </is>
      </c>
      <c r="AL323" t="inlineStr">
        <is>
          <t>Higher delivery risk in more price-sensitive apartment clusters; building selection and exit liquidity matter.</t>
        </is>
      </c>
      <c r="AM323" s="9" t="n">
        <v>6</v>
      </c>
      <c r="AN323" s="9" t="n">
        <v>7.75</v>
      </c>
      <c r="AO323" s="10" t="n">
        <v>0.55</v>
      </c>
      <c r="AP323" s="13" t="n">
        <v>0</v>
      </c>
      <c r="AQ323" s="13" t="n">
        <v>0</v>
      </c>
      <c r="AR323" s="13" t="n">
        <v>-0.01</v>
      </c>
      <c r="AS323" s="13" t="n">
        <v>-0.01</v>
      </c>
      <c r="AT323" s="13" t="n">
        <v>-0.005</v>
      </c>
      <c r="AU323" s="13" t="n">
        <v>0.0025</v>
      </c>
      <c r="AV323" s="13" t="n">
        <v>-0.005</v>
      </c>
      <c r="AW323" s="13" t="n">
        <v>0.023</v>
      </c>
      <c r="AX323" s="13" t="n">
        <v>-0.0175</v>
      </c>
      <c r="AY323" s="12" t="n">
        <v>1091541</v>
      </c>
      <c r="AZ323" s="12" t="n">
        <v>1125300</v>
      </c>
      <c r="BA323" s="12" t="n">
        <v>1159059</v>
      </c>
      <c r="BB323" s="12" t="n">
        <v>1071848</v>
      </c>
      <c r="BC323" s="12" t="n">
        <v>1105607</v>
      </c>
      <c r="BD323" s="12" t="n">
        <v>1139366</v>
      </c>
      <c r="BE323" s="12" t="n">
        <v>1086259</v>
      </c>
      <c r="BF323" t="inlineStr">
        <is>
          <t>Frozen values from same rules-based model as formula sheet.</t>
        </is>
      </c>
      <c r="BG323" t="inlineStr">
        <is>
          <t>2026-03-17</t>
        </is>
      </c>
      <c r="BH323" t="inlineStr">
        <is>
          <t>DLD / Digital Dubai / CBUAE / Savills / Knight Frank-Moody’s / Reuters</t>
        </is>
      </c>
    </row>
    <row r="324">
      <c r="A324" t="n">
        <v>323</v>
      </c>
      <c r="B324" t="inlineStr">
        <is>
          <t>Elitz 1</t>
        </is>
      </c>
      <c r="C324" t="inlineStr">
        <is>
          <t>Danube Properties</t>
        </is>
      </c>
      <c r="D324" t="inlineStr">
        <is>
          <t>JVC</t>
        </is>
      </c>
      <c r="E324" t="inlineStr">
        <is>
          <t>Apartments</t>
        </is>
      </c>
      <c r="F324" t="inlineStr">
        <is>
          <t>High-Rise</t>
        </is>
      </c>
      <c r="G324" t="inlineStr">
        <is>
          <t>1.0M</t>
        </is>
      </c>
      <c r="H324" t="inlineStr">
        <is>
          <t>1400</t>
        </is>
      </c>
      <c r="I324" t="inlineStr">
        <is>
          <t>15</t>
        </is>
      </c>
      <c r="J324" t="inlineStr">
        <is>
          <t>1% Monthly</t>
        </is>
      </c>
      <c r="K324" t="inlineStr">
        <is>
          <t>2022</t>
        </is>
      </c>
      <c r="L324" t="inlineStr">
        <is>
          <t>7.5-8.0</t>
        </is>
      </c>
      <c r="M324" t="inlineStr">
        <is>
          <t>6-8</t>
        </is>
      </c>
      <c r="N324" t="inlineStr">
        <is>
          <t>13.5-16.0</t>
        </is>
      </c>
      <c r="O324" t="inlineStr">
        <is>
          <t>JSS International</t>
        </is>
      </c>
      <c r="P324" t="inlineStr">
        <is>
          <t>Saudi German Hospital</t>
        </is>
      </c>
      <c r="Q324" t="inlineStr">
        <is>
          <t>Circle Mall</t>
        </is>
      </c>
      <c r="R324" t="inlineStr">
        <is>
          <t>Hessa St / E44</t>
        </is>
      </c>
      <c r="S324" t="inlineStr">
        <is>
          <t>20</t>
        </is>
      </c>
      <c r="T324" t="inlineStr">
        <is>
          <t>15</t>
        </is>
      </c>
      <c r="U324" t="inlineStr">
        <is>
          <t>25</t>
        </is>
      </c>
      <c r="V324" t="inlineStr">
        <is>
          <t>30</t>
        </is>
      </c>
      <c r="W324" t="n">
        <v>2</v>
      </c>
      <c r="X324" s="12" t="n">
        <v>1000000</v>
      </c>
      <c r="Y324" s="12" t="n">
        <v>1000000</v>
      </c>
      <c r="Z324" s="9" t="n">
        <v>7.5</v>
      </c>
      <c r="AA324" s="9" t="n">
        <v>8</v>
      </c>
      <c r="AB324" s="9" t="n">
        <v>6</v>
      </c>
      <c r="AC324" s="9" t="n">
        <v>8</v>
      </c>
      <c r="AD324" s="9" t="n">
        <v>13.5</v>
      </c>
      <c r="AE324" s="9" t="n">
        <v>16</v>
      </c>
      <c r="AF324" t="n">
        <v>2022</v>
      </c>
      <c r="AH324" t="inlineStr">
        <is>
          <t>Apartment</t>
        </is>
      </c>
      <c r="AI324" t="inlineStr">
        <is>
          <t>SupplySensitiveApartment</t>
        </is>
      </c>
      <c r="AJ324" t="inlineStr">
        <is>
          <t>MidTier</t>
        </is>
      </c>
      <c r="AK324" t="inlineStr">
        <is>
          <t>Supply-sensitive / selective</t>
        </is>
      </c>
      <c r="AL324" t="inlineStr">
        <is>
          <t>Higher delivery risk in more price-sensitive apartment clusters; building selection and exit liquidity matter.</t>
        </is>
      </c>
      <c r="AM324" s="9" t="n">
        <v>7</v>
      </c>
      <c r="AN324" s="9" t="n">
        <v>7.75</v>
      </c>
      <c r="AO324" s="10" t="n">
        <v>0.55</v>
      </c>
      <c r="AP324" s="13" t="n">
        <v>0</v>
      </c>
      <c r="AQ324" s="13" t="n">
        <v>0</v>
      </c>
      <c r="AR324" s="13" t="n">
        <v>-0.01</v>
      </c>
      <c r="AS324" s="13" t="n">
        <v>-0.01</v>
      </c>
      <c r="AT324" s="13" t="n">
        <v>-0.005</v>
      </c>
      <c r="AU324" s="13" t="n">
        <v>0.0025</v>
      </c>
      <c r="AV324" s="13" t="n">
        <v>-0.005</v>
      </c>
      <c r="AW324" s="13" t="n">
        <v>0.0285</v>
      </c>
      <c r="AX324" s="13" t="n">
        <v>-0.0175</v>
      </c>
      <c r="AY324" s="12" t="n">
        <v>997645</v>
      </c>
      <c r="AZ324" s="12" t="n">
        <v>1028500</v>
      </c>
      <c r="BA324" s="12" t="n">
        <v>1059355</v>
      </c>
      <c r="BB324" s="12" t="n">
        <v>979646</v>
      </c>
      <c r="BC324" s="12" t="n">
        <v>1010501</v>
      </c>
      <c r="BD324" s="12" t="n">
        <v>1041356</v>
      </c>
      <c r="BE324" s="12" t="n">
        <v>992817</v>
      </c>
      <c r="BF324" t="inlineStr">
        <is>
          <t>Frozen values from same rules-based model as formula sheet.</t>
        </is>
      </c>
      <c r="BG324" t="inlineStr">
        <is>
          <t>2026-03-17</t>
        </is>
      </c>
      <c r="BH324" t="inlineStr">
        <is>
          <t>DLD / Digital Dubai / CBUAE / Savills / Knight Frank-Moody’s / Reuters</t>
        </is>
      </c>
    </row>
    <row r="325">
      <c r="A325" t="n">
        <v>324</v>
      </c>
      <c r="B325" t="inlineStr">
        <is>
          <t>Elitz 2</t>
        </is>
      </c>
      <c r="C325" t="inlineStr">
        <is>
          <t>Danube Properties</t>
        </is>
      </c>
      <c r="D325" t="inlineStr">
        <is>
          <t>JVC</t>
        </is>
      </c>
      <c r="E325" t="inlineStr">
        <is>
          <t>Apartments</t>
        </is>
      </c>
      <c r="F325" t="inlineStr">
        <is>
          <t>High-Rise</t>
        </is>
      </c>
      <c r="G325" t="inlineStr">
        <is>
          <t>1.0M</t>
        </is>
      </c>
      <c r="H325" t="inlineStr">
        <is>
          <t>1400</t>
        </is>
      </c>
      <c r="I325" t="inlineStr">
        <is>
          <t>15</t>
        </is>
      </c>
      <c r="J325" t="inlineStr">
        <is>
          <t>1% Monthly</t>
        </is>
      </c>
      <c r="K325" t="inlineStr">
        <is>
          <t>2023</t>
        </is>
      </c>
      <c r="L325" t="inlineStr">
        <is>
          <t>7.5-8.0</t>
        </is>
      </c>
      <c r="M325" t="inlineStr">
        <is>
          <t>6-8</t>
        </is>
      </c>
      <c r="N325" t="inlineStr">
        <is>
          <t>13.5-16.0</t>
        </is>
      </c>
      <c r="O325" t="inlineStr">
        <is>
          <t>JSS International</t>
        </is>
      </c>
      <c r="P325" t="inlineStr">
        <is>
          <t>Saudi German Hospital</t>
        </is>
      </c>
      <c r="Q325" t="inlineStr">
        <is>
          <t>Circle Mall</t>
        </is>
      </c>
      <c r="R325" t="inlineStr">
        <is>
          <t>Hessa St / E44</t>
        </is>
      </c>
      <c r="S325" t="inlineStr">
        <is>
          <t>20</t>
        </is>
      </c>
      <c r="T325" t="inlineStr">
        <is>
          <t>15</t>
        </is>
      </c>
      <c r="U325" t="inlineStr">
        <is>
          <t>25</t>
        </is>
      </c>
      <c r="V325" t="inlineStr">
        <is>
          <t>30</t>
        </is>
      </c>
      <c r="W325" t="n">
        <v>2</v>
      </c>
      <c r="X325" s="12" t="n">
        <v>1000000</v>
      </c>
      <c r="Y325" s="12" t="n">
        <v>1000000</v>
      </c>
      <c r="Z325" s="9" t="n">
        <v>7.5</v>
      </c>
      <c r="AA325" s="9" t="n">
        <v>8</v>
      </c>
      <c r="AB325" s="9" t="n">
        <v>6</v>
      </c>
      <c r="AC325" s="9" t="n">
        <v>8</v>
      </c>
      <c r="AD325" s="9" t="n">
        <v>13.5</v>
      </c>
      <c r="AE325" s="9" t="n">
        <v>16</v>
      </c>
      <c r="AF325" t="n">
        <v>2023</v>
      </c>
      <c r="AH325" t="inlineStr">
        <is>
          <t>Apartment</t>
        </is>
      </c>
      <c r="AI325" t="inlineStr">
        <is>
          <t>SupplySensitiveApartment</t>
        </is>
      </c>
      <c r="AJ325" t="inlineStr">
        <is>
          <t>MidTier</t>
        </is>
      </c>
      <c r="AK325" t="inlineStr">
        <is>
          <t>Supply-sensitive / selective</t>
        </is>
      </c>
      <c r="AL325" t="inlineStr">
        <is>
          <t>Higher delivery risk in more price-sensitive apartment clusters; building selection and exit liquidity matter.</t>
        </is>
      </c>
      <c r="AM325" s="9" t="n">
        <v>7</v>
      </c>
      <c r="AN325" s="9" t="n">
        <v>7.75</v>
      </c>
      <c r="AO325" s="10" t="n">
        <v>0.55</v>
      </c>
      <c r="AP325" s="13" t="n">
        <v>0</v>
      </c>
      <c r="AQ325" s="13" t="n">
        <v>0</v>
      </c>
      <c r="AR325" s="13" t="n">
        <v>-0.01</v>
      </c>
      <c r="AS325" s="13" t="n">
        <v>-0.01</v>
      </c>
      <c r="AT325" s="13" t="n">
        <v>-0.005</v>
      </c>
      <c r="AU325" s="13" t="n">
        <v>0.0025</v>
      </c>
      <c r="AV325" s="13" t="n">
        <v>-0.005</v>
      </c>
      <c r="AW325" s="13" t="n">
        <v>0.0285</v>
      </c>
      <c r="AX325" s="13" t="n">
        <v>-0.0175</v>
      </c>
      <c r="AY325" s="12" t="n">
        <v>997645</v>
      </c>
      <c r="AZ325" s="12" t="n">
        <v>1028500</v>
      </c>
      <c r="BA325" s="12" t="n">
        <v>1059355</v>
      </c>
      <c r="BB325" s="12" t="n">
        <v>979646</v>
      </c>
      <c r="BC325" s="12" t="n">
        <v>1010501</v>
      </c>
      <c r="BD325" s="12" t="n">
        <v>1041356</v>
      </c>
      <c r="BE325" s="12" t="n">
        <v>992817</v>
      </c>
      <c r="BF325" t="inlineStr">
        <is>
          <t>Frozen values from same rules-based model as formula sheet.</t>
        </is>
      </c>
      <c r="BG325" t="inlineStr">
        <is>
          <t>2026-03-17</t>
        </is>
      </c>
      <c r="BH325" t="inlineStr">
        <is>
          <t>DLD / Digital Dubai / CBUAE / Savills / Knight Frank-Moody’s / Reuters</t>
        </is>
      </c>
    </row>
    <row r="326">
      <c r="A326" t="n">
        <v>325</v>
      </c>
      <c r="B326" t="inlineStr">
        <is>
          <t>Elitz 3</t>
        </is>
      </c>
      <c r="C326" t="inlineStr">
        <is>
          <t>Danube Properties</t>
        </is>
      </c>
      <c r="D326" t="inlineStr">
        <is>
          <t>JVC</t>
        </is>
      </c>
      <c r="E326" t="inlineStr">
        <is>
          <t>Apartments</t>
        </is>
      </c>
      <c r="F326" t="inlineStr">
        <is>
          <t>High-Rise</t>
        </is>
      </c>
      <c r="G326" t="inlineStr">
        <is>
          <t>1.0M</t>
        </is>
      </c>
      <c r="H326" t="inlineStr">
        <is>
          <t>1400</t>
        </is>
      </c>
      <c r="I326" t="inlineStr">
        <is>
          <t>15</t>
        </is>
      </c>
      <c r="J326" t="inlineStr">
        <is>
          <t>1% Monthly</t>
        </is>
      </c>
      <c r="K326" t="inlineStr">
        <is>
          <t>2023</t>
        </is>
      </c>
      <c r="L326" t="inlineStr">
        <is>
          <t>7.5-8.0</t>
        </is>
      </c>
      <c r="M326" t="inlineStr">
        <is>
          <t>6-8</t>
        </is>
      </c>
      <c r="N326" t="inlineStr">
        <is>
          <t>13.5-16.0</t>
        </is>
      </c>
      <c r="O326" t="inlineStr">
        <is>
          <t>JSS International</t>
        </is>
      </c>
      <c r="P326" t="inlineStr">
        <is>
          <t>Saudi German Hospital</t>
        </is>
      </c>
      <c r="Q326" t="inlineStr">
        <is>
          <t>Circle Mall</t>
        </is>
      </c>
      <c r="R326" t="inlineStr">
        <is>
          <t>Hessa St / E44</t>
        </is>
      </c>
      <c r="S326" t="inlineStr">
        <is>
          <t>20</t>
        </is>
      </c>
      <c r="T326" t="inlineStr">
        <is>
          <t>15</t>
        </is>
      </c>
      <c r="U326" t="inlineStr">
        <is>
          <t>25</t>
        </is>
      </c>
      <c r="V326" t="inlineStr">
        <is>
          <t>30</t>
        </is>
      </c>
      <c r="W326" t="n">
        <v>2</v>
      </c>
      <c r="X326" s="12" t="n">
        <v>1000000</v>
      </c>
      <c r="Y326" s="12" t="n">
        <v>1000000</v>
      </c>
      <c r="Z326" s="9" t="n">
        <v>7.5</v>
      </c>
      <c r="AA326" s="9" t="n">
        <v>8</v>
      </c>
      <c r="AB326" s="9" t="n">
        <v>6</v>
      </c>
      <c r="AC326" s="9" t="n">
        <v>8</v>
      </c>
      <c r="AD326" s="9" t="n">
        <v>13.5</v>
      </c>
      <c r="AE326" s="9" t="n">
        <v>16</v>
      </c>
      <c r="AF326" t="n">
        <v>2023</v>
      </c>
      <c r="AH326" t="inlineStr">
        <is>
          <t>Apartment</t>
        </is>
      </c>
      <c r="AI326" t="inlineStr">
        <is>
          <t>SupplySensitiveApartment</t>
        </is>
      </c>
      <c r="AJ326" t="inlineStr">
        <is>
          <t>MidTier</t>
        </is>
      </c>
      <c r="AK326" t="inlineStr">
        <is>
          <t>Supply-sensitive / selective</t>
        </is>
      </c>
      <c r="AL326" t="inlineStr">
        <is>
          <t>Higher delivery risk in more price-sensitive apartment clusters; building selection and exit liquidity matter.</t>
        </is>
      </c>
      <c r="AM326" s="9" t="n">
        <v>7</v>
      </c>
      <c r="AN326" s="9" t="n">
        <v>7.75</v>
      </c>
      <c r="AO326" s="10" t="n">
        <v>0.55</v>
      </c>
      <c r="AP326" s="13" t="n">
        <v>0</v>
      </c>
      <c r="AQ326" s="13" t="n">
        <v>0</v>
      </c>
      <c r="AR326" s="13" t="n">
        <v>-0.01</v>
      </c>
      <c r="AS326" s="13" t="n">
        <v>-0.01</v>
      </c>
      <c r="AT326" s="13" t="n">
        <v>-0.005</v>
      </c>
      <c r="AU326" s="13" t="n">
        <v>0.0025</v>
      </c>
      <c r="AV326" s="13" t="n">
        <v>-0.005</v>
      </c>
      <c r="AW326" s="13" t="n">
        <v>0.0285</v>
      </c>
      <c r="AX326" s="13" t="n">
        <v>-0.0175</v>
      </c>
      <c r="AY326" s="12" t="n">
        <v>997645</v>
      </c>
      <c r="AZ326" s="12" t="n">
        <v>1028500</v>
      </c>
      <c r="BA326" s="12" t="n">
        <v>1059355</v>
      </c>
      <c r="BB326" s="12" t="n">
        <v>979646</v>
      </c>
      <c r="BC326" s="12" t="n">
        <v>1010501</v>
      </c>
      <c r="BD326" s="12" t="n">
        <v>1041356</v>
      </c>
      <c r="BE326" s="12" t="n">
        <v>992817</v>
      </c>
      <c r="BF326" t="inlineStr">
        <is>
          <t>Frozen values from same rules-based model as formula sheet.</t>
        </is>
      </c>
      <c r="BG326" t="inlineStr">
        <is>
          <t>2026-03-17</t>
        </is>
      </c>
      <c r="BH326" t="inlineStr">
        <is>
          <t>DLD / Digital Dubai / CBUAE / Savills / Knight Frank-Moody’s / Reuters</t>
        </is>
      </c>
    </row>
    <row r="327">
      <c r="A327" t="n">
        <v>326</v>
      </c>
      <c r="B327" t="inlineStr">
        <is>
          <t>Fashionz</t>
        </is>
      </c>
      <c r="C327" t="inlineStr">
        <is>
          <t>Danube Properties</t>
        </is>
      </c>
      <c r="D327" t="inlineStr">
        <is>
          <t>JVT</t>
        </is>
      </c>
      <c r="E327" t="inlineStr">
        <is>
          <t>Branded Apts (Fashion TV)</t>
        </is>
      </c>
      <c r="F327" t="inlineStr">
        <is>
          <t>Style / Tower</t>
        </is>
      </c>
      <c r="G327" t="inlineStr">
        <is>
          <t>900k</t>
        </is>
      </c>
      <c r="H327" t="inlineStr">
        <is>
          <t>1300</t>
        </is>
      </c>
      <c r="I327" t="inlineStr">
        <is>
          <t>15</t>
        </is>
      </c>
      <c r="J327" t="inlineStr">
        <is>
          <t>1% Monthly</t>
        </is>
      </c>
      <c r="K327" t="inlineStr">
        <is>
          <t>2023</t>
        </is>
      </c>
      <c r="L327" t="inlineStr">
        <is>
          <t>7.0-7.5</t>
        </is>
      </c>
      <c r="M327" t="inlineStr">
        <is>
          <t>6-8</t>
        </is>
      </c>
      <c r="N327" t="inlineStr">
        <is>
          <t>13.0-15.5</t>
        </is>
      </c>
      <c r="O327" t="inlineStr">
        <is>
          <t>Sunmarke School</t>
        </is>
      </c>
      <c r="P327" t="inlineStr">
        <is>
          <t>NMC Royal DIP</t>
        </is>
      </c>
      <c r="Q327" t="inlineStr">
        <is>
          <t>Circle Mall</t>
        </is>
      </c>
      <c r="R327" t="inlineStr">
        <is>
          <t>E311 / Yalayis</t>
        </is>
      </c>
      <c r="S327" t="inlineStr">
        <is>
          <t>20</t>
        </is>
      </c>
      <c r="T327" t="inlineStr">
        <is>
          <t>15</t>
        </is>
      </c>
      <c r="U327" t="inlineStr">
        <is>
          <t>30</t>
        </is>
      </c>
      <c r="V327" t="inlineStr">
        <is>
          <t>20</t>
        </is>
      </c>
      <c r="W327" t="n">
        <v>2</v>
      </c>
      <c r="X327" s="12" t="n">
        <v>900000</v>
      </c>
      <c r="Y327" s="12" t="n">
        <v>900000</v>
      </c>
      <c r="Z327" s="9" t="n">
        <v>7</v>
      </c>
      <c r="AA327" s="9" t="n">
        <v>7.5</v>
      </c>
      <c r="AB327" s="9" t="n">
        <v>6</v>
      </c>
      <c r="AC327" s="9" t="n">
        <v>8</v>
      </c>
      <c r="AD327" s="9" t="n">
        <v>13</v>
      </c>
      <c r="AE327" s="9" t="n">
        <v>15.5</v>
      </c>
      <c r="AF327" t="n">
        <v>2023</v>
      </c>
      <c r="AH327" t="inlineStr">
        <is>
          <t>Apartment</t>
        </is>
      </c>
      <c r="AI327" t="inlineStr">
        <is>
          <t>SupplySensitiveApartment</t>
        </is>
      </c>
      <c r="AJ327" t="inlineStr">
        <is>
          <t>MidTier</t>
        </is>
      </c>
      <c r="AK327" t="inlineStr">
        <is>
          <t>Supply-sensitive / selective</t>
        </is>
      </c>
      <c r="AL327" t="inlineStr">
        <is>
          <t>Higher delivery risk in more price-sensitive apartment clusters; building selection and exit liquidity matter.</t>
        </is>
      </c>
      <c r="AM327" s="9" t="n">
        <v>7</v>
      </c>
      <c r="AN327" s="9" t="n">
        <v>7.25</v>
      </c>
      <c r="AO327" s="10" t="n">
        <v>0.55</v>
      </c>
      <c r="AP327" s="13" t="n">
        <v>0</v>
      </c>
      <c r="AQ327" s="13" t="n">
        <v>0</v>
      </c>
      <c r="AR327" s="13" t="n">
        <v>-0.01</v>
      </c>
      <c r="AS327" s="13" t="n">
        <v>-0.01</v>
      </c>
      <c r="AT327" s="13" t="n">
        <v>-0.005</v>
      </c>
      <c r="AU327" s="13" t="n">
        <v>0.0025</v>
      </c>
      <c r="AV327" s="13" t="n">
        <v>-0.005</v>
      </c>
      <c r="AW327" s="13" t="n">
        <v>0.0285</v>
      </c>
      <c r="AX327" s="13" t="n">
        <v>-0.0175</v>
      </c>
      <c r="AY327" s="12" t="n">
        <v>897880</v>
      </c>
      <c r="AZ327" s="12" t="n">
        <v>925650</v>
      </c>
      <c r="BA327" s="12" t="n">
        <v>953420</v>
      </c>
      <c r="BB327" s="12" t="n">
        <v>881682</v>
      </c>
      <c r="BC327" s="12" t="n">
        <v>909451</v>
      </c>
      <c r="BD327" s="12" t="n">
        <v>937221</v>
      </c>
      <c r="BE327" s="12" t="n">
        <v>893536</v>
      </c>
      <c r="BF327" t="inlineStr">
        <is>
          <t>Frozen values from same rules-based model as formula sheet.</t>
        </is>
      </c>
      <c r="BG327" t="inlineStr">
        <is>
          <t>2026-03-17</t>
        </is>
      </c>
      <c r="BH327" t="inlineStr">
        <is>
          <t>DLD / Digital Dubai / CBUAE / Savills / Knight Frank-Moody’s / Reuters</t>
        </is>
      </c>
    </row>
    <row r="328">
      <c r="A328" t="n">
        <v>327</v>
      </c>
      <c r="B328" t="inlineStr">
        <is>
          <t>Gemz</t>
        </is>
      </c>
      <c r="C328" t="inlineStr">
        <is>
          <t>Danube Properties</t>
        </is>
      </c>
      <c r="D328" t="inlineStr">
        <is>
          <t>Al Furjan</t>
        </is>
      </c>
      <c r="E328" t="inlineStr">
        <is>
          <t>Apartments</t>
        </is>
      </c>
      <c r="F328" t="inlineStr">
        <is>
          <t>Pyramid Design</t>
        </is>
      </c>
      <c r="G328" t="inlineStr">
        <is>
          <t>900k</t>
        </is>
      </c>
      <c r="H328" t="inlineStr">
        <is>
          <t>1200</t>
        </is>
      </c>
      <c r="I328" t="inlineStr">
        <is>
          <t>12</t>
        </is>
      </c>
      <c r="J328" t="inlineStr">
        <is>
          <t>1% Monthly</t>
        </is>
      </c>
      <c r="K328" t="inlineStr">
        <is>
          <t>2022</t>
        </is>
      </c>
      <c r="L328" t="inlineStr">
        <is>
          <t>7.0-7.5</t>
        </is>
      </c>
      <c r="M328" t="inlineStr">
        <is>
          <t>6-8</t>
        </is>
      </c>
      <c r="N328" t="inlineStr">
        <is>
          <t>13.0-15.5</t>
        </is>
      </c>
      <c r="O328" t="inlineStr">
        <is>
          <t>The Arbor School</t>
        </is>
      </c>
      <c r="P328" t="inlineStr">
        <is>
          <t>NMC Royal DIP</t>
        </is>
      </c>
      <c r="Q328" t="inlineStr">
        <is>
          <t>Ibn Battuta Mall</t>
        </is>
      </c>
      <c r="R328" t="inlineStr">
        <is>
          <t>Yalayis / E311</t>
        </is>
      </c>
      <c r="S328" t="inlineStr">
        <is>
          <t>25</t>
        </is>
      </c>
      <c r="T328" t="inlineStr">
        <is>
          <t>15</t>
        </is>
      </c>
      <c r="U328" t="inlineStr">
        <is>
          <t>30</t>
        </is>
      </c>
      <c r="V328" t="inlineStr">
        <is>
          <t>20</t>
        </is>
      </c>
      <c r="W328" t="n">
        <v>2</v>
      </c>
      <c r="X328" s="12" t="n">
        <v>900000</v>
      </c>
      <c r="Y328" s="12" t="n">
        <v>900000</v>
      </c>
      <c r="Z328" s="9" t="n">
        <v>7</v>
      </c>
      <c r="AA328" s="9" t="n">
        <v>7.5</v>
      </c>
      <c r="AB328" s="9" t="n">
        <v>6</v>
      </c>
      <c r="AC328" s="9" t="n">
        <v>8</v>
      </c>
      <c r="AD328" s="9" t="n">
        <v>13</v>
      </c>
      <c r="AE328" s="9" t="n">
        <v>15.5</v>
      </c>
      <c r="AF328" t="n">
        <v>2022</v>
      </c>
      <c r="AH328" t="inlineStr">
        <is>
          <t>Apartment</t>
        </is>
      </c>
      <c r="AI328" t="inlineStr">
        <is>
          <t>SupplySensitiveApartment</t>
        </is>
      </c>
      <c r="AJ328" t="inlineStr">
        <is>
          <t>MidTier</t>
        </is>
      </c>
      <c r="AK328" t="inlineStr">
        <is>
          <t>Supply-sensitive / selective</t>
        </is>
      </c>
      <c r="AL328" t="inlineStr">
        <is>
          <t>Higher delivery risk in more price-sensitive apartment clusters; building selection and exit liquidity matter.</t>
        </is>
      </c>
      <c r="AM328" s="9" t="n">
        <v>7</v>
      </c>
      <c r="AN328" s="9" t="n">
        <v>7.25</v>
      </c>
      <c r="AO328" s="10" t="n">
        <v>0.55</v>
      </c>
      <c r="AP328" s="13" t="n">
        <v>0</v>
      </c>
      <c r="AQ328" s="13" t="n">
        <v>0</v>
      </c>
      <c r="AR328" s="13" t="n">
        <v>-0.01</v>
      </c>
      <c r="AS328" s="13" t="n">
        <v>-0.01</v>
      </c>
      <c r="AT328" s="13" t="n">
        <v>-0.005</v>
      </c>
      <c r="AU328" s="13" t="n">
        <v>0.0025</v>
      </c>
      <c r="AV328" s="13" t="n">
        <v>-0.005</v>
      </c>
      <c r="AW328" s="13" t="n">
        <v>0.0285</v>
      </c>
      <c r="AX328" s="13" t="n">
        <v>-0.0175</v>
      </c>
      <c r="AY328" s="12" t="n">
        <v>897880</v>
      </c>
      <c r="AZ328" s="12" t="n">
        <v>925650</v>
      </c>
      <c r="BA328" s="12" t="n">
        <v>953420</v>
      </c>
      <c r="BB328" s="12" t="n">
        <v>881682</v>
      </c>
      <c r="BC328" s="12" t="n">
        <v>909451</v>
      </c>
      <c r="BD328" s="12" t="n">
        <v>937221</v>
      </c>
      <c r="BE328" s="12" t="n">
        <v>893536</v>
      </c>
      <c r="BF328" t="inlineStr">
        <is>
          <t>Frozen values from same rules-based model as formula sheet.</t>
        </is>
      </c>
      <c r="BG328" t="inlineStr">
        <is>
          <t>2026-03-17</t>
        </is>
      </c>
      <c r="BH328" t="inlineStr">
        <is>
          <t>DLD / Digital Dubai / CBUAE / Savills / Knight Frank-Moody’s / Reuters</t>
        </is>
      </c>
    </row>
    <row r="329">
      <c r="A329" t="n">
        <v>328</v>
      </c>
      <c r="B329" t="inlineStr">
        <is>
          <t>Pearlz</t>
        </is>
      </c>
      <c r="C329" t="inlineStr">
        <is>
          <t>Danube Properties</t>
        </is>
      </c>
      <c r="D329" t="inlineStr">
        <is>
          <t>Al Furjan</t>
        </is>
      </c>
      <c r="E329" t="inlineStr">
        <is>
          <t>Apartments</t>
        </is>
      </c>
      <c r="F329" t="inlineStr">
        <is>
          <t>Budget / Family</t>
        </is>
      </c>
      <c r="G329" t="inlineStr">
        <is>
          <t>850k</t>
        </is>
      </c>
      <c r="H329" t="inlineStr">
        <is>
          <t>1100</t>
        </is>
      </c>
      <c r="I329" t="inlineStr">
        <is>
          <t>12</t>
        </is>
      </c>
      <c r="J329" t="inlineStr">
        <is>
          <t>1% Monthly</t>
        </is>
      </c>
      <c r="K329" t="inlineStr">
        <is>
          <t>2022</t>
        </is>
      </c>
      <c r="L329" t="inlineStr">
        <is>
          <t>7.0-7.5</t>
        </is>
      </c>
      <c r="M329" t="inlineStr">
        <is>
          <t>6-8</t>
        </is>
      </c>
      <c r="N329" t="inlineStr">
        <is>
          <t>13.0-15.5</t>
        </is>
      </c>
      <c r="O329" t="inlineStr">
        <is>
          <t>The Arbor School</t>
        </is>
      </c>
      <c r="P329" t="inlineStr">
        <is>
          <t>NMC Royal DIP</t>
        </is>
      </c>
      <c r="Q329" t="inlineStr">
        <is>
          <t>Ibn Battuta Mall</t>
        </is>
      </c>
      <c r="R329" t="inlineStr">
        <is>
          <t>Yalayis / E311</t>
        </is>
      </c>
      <c r="S329" t="inlineStr">
        <is>
          <t>25</t>
        </is>
      </c>
      <c r="T329" t="inlineStr">
        <is>
          <t>15</t>
        </is>
      </c>
      <c r="U329" t="inlineStr">
        <is>
          <t>30</t>
        </is>
      </c>
      <c r="V329" t="inlineStr">
        <is>
          <t>20</t>
        </is>
      </c>
      <c r="W329" t="n">
        <v>2</v>
      </c>
      <c r="X329" s="12" t="n">
        <v>850000</v>
      </c>
      <c r="Y329" s="12" t="n">
        <v>850000</v>
      </c>
      <c r="Z329" s="9" t="n">
        <v>7</v>
      </c>
      <c r="AA329" s="9" t="n">
        <v>7.5</v>
      </c>
      <c r="AB329" s="9" t="n">
        <v>6</v>
      </c>
      <c r="AC329" s="9" t="n">
        <v>8</v>
      </c>
      <c r="AD329" s="9" t="n">
        <v>13</v>
      </c>
      <c r="AE329" s="9" t="n">
        <v>15.5</v>
      </c>
      <c r="AF329" t="n">
        <v>2022</v>
      </c>
      <c r="AH329" t="inlineStr">
        <is>
          <t>Apartment</t>
        </is>
      </c>
      <c r="AI329" t="inlineStr">
        <is>
          <t>SupplySensitiveApartment</t>
        </is>
      </c>
      <c r="AJ329" t="inlineStr">
        <is>
          <t>MidTier</t>
        </is>
      </c>
      <c r="AK329" t="inlineStr">
        <is>
          <t>Supply-sensitive / selective</t>
        </is>
      </c>
      <c r="AL329" t="inlineStr">
        <is>
          <t>Higher delivery risk in more price-sensitive apartment clusters; building selection and exit liquidity matter.</t>
        </is>
      </c>
      <c r="AM329" s="9" t="n">
        <v>7</v>
      </c>
      <c r="AN329" s="9" t="n">
        <v>7.25</v>
      </c>
      <c r="AO329" s="10" t="n">
        <v>0.55</v>
      </c>
      <c r="AP329" s="13" t="n">
        <v>0</v>
      </c>
      <c r="AQ329" s="13" t="n">
        <v>0</v>
      </c>
      <c r="AR329" s="13" t="n">
        <v>-0.01</v>
      </c>
      <c r="AS329" s="13" t="n">
        <v>-0.01</v>
      </c>
      <c r="AT329" s="13" t="n">
        <v>-0.005</v>
      </c>
      <c r="AU329" s="13" t="n">
        <v>0.0025</v>
      </c>
      <c r="AV329" s="13" t="n">
        <v>-0.005</v>
      </c>
      <c r="AW329" s="13" t="n">
        <v>0.0285</v>
      </c>
      <c r="AX329" s="13" t="n">
        <v>-0.0175</v>
      </c>
      <c r="AY329" s="12" t="n">
        <v>847998</v>
      </c>
      <c r="AZ329" s="12" t="n">
        <v>874225</v>
      </c>
      <c r="BA329" s="12" t="n">
        <v>900452</v>
      </c>
      <c r="BB329" s="12" t="n">
        <v>832699</v>
      </c>
      <c r="BC329" s="12" t="n">
        <v>858926</v>
      </c>
      <c r="BD329" s="12" t="n">
        <v>885153</v>
      </c>
      <c r="BE329" s="12" t="n">
        <v>843895</v>
      </c>
      <c r="BF329" t="inlineStr">
        <is>
          <t>Frozen values from same rules-based model as formula sheet.</t>
        </is>
      </c>
      <c r="BG329" t="inlineStr">
        <is>
          <t>2026-03-17</t>
        </is>
      </c>
      <c r="BH329" t="inlineStr">
        <is>
          <t>DLD / Digital Dubai / CBUAE / Savills / Knight Frank-Moody’s / Reuters</t>
        </is>
      </c>
    </row>
    <row r="330">
      <c r="A330" t="n">
        <v>329</v>
      </c>
      <c r="B330" t="inlineStr">
        <is>
          <t>Opalz</t>
        </is>
      </c>
      <c r="C330" t="inlineStr">
        <is>
          <t>Danube Properties</t>
        </is>
      </c>
      <c r="D330" t="inlineStr">
        <is>
          <t>Arjan</t>
        </is>
      </c>
      <c r="E330" t="inlineStr">
        <is>
          <t>Apartments</t>
        </is>
      </c>
      <c r="F330" t="inlineStr">
        <is>
          <t>High-Rise / Family</t>
        </is>
      </c>
      <c r="G330" t="inlineStr">
        <is>
          <t>900k</t>
        </is>
      </c>
      <c r="H330" t="inlineStr">
        <is>
          <t>1200</t>
        </is>
      </c>
      <c r="I330" t="inlineStr">
        <is>
          <t>14</t>
        </is>
      </c>
      <c r="J330" t="inlineStr">
        <is>
          <t>1% Monthly</t>
        </is>
      </c>
      <c r="K330" t="inlineStr">
        <is>
          <t>2022</t>
        </is>
      </c>
      <c r="L330" t="inlineStr">
        <is>
          <t>7.5-8.0</t>
        </is>
      </c>
      <c r="M330" t="inlineStr">
        <is>
          <t>6-8</t>
        </is>
      </c>
      <c r="N330" t="inlineStr">
        <is>
          <t>13.5-16.0</t>
        </is>
      </c>
      <c r="O330" t="inlineStr">
        <is>
          <t>Nord Anglia</t>
        </is>
      </c>
      <c r="P330" t="inlineStr">
        <is>
          <t>Mediclinic Parkview</t>
        </is>
      </c>
      <c r="Q330" t="inlineStr">
        <is>
          <t>Dubai Hills Mall</t>
        </is>
      </c>
      <c r="R330" t="inlineStr">
        <is>
          <t>Umm Suqeim / E311</t>
        </is>
      </c>
      <c r="S330" t="inlineStr">
        <is>
          <t>20</t>
        </is>
      </c>
      <c r="T330" t="inlineStr">
        <is>
          <t>20</t>
        </is>
      </c>
      <c r="U330" t="inlineStr">
        <is>
          <t>30</t>
        </is>
      </c>
      <c r="V330" t="inlineStr">
        <is>
          <t>25</t>
        </is>
      </c>
      <c r="W330" t="n">
        <v>2</v>
      </c>
      <c r="X330" s="12" t="n">
        <v>900000</v>
      </c>
      <c r="Y330" s="12" t="n">
        <v>900000</v>
      </c>
      <c r="Z330" s="9" t="n">
        <v>7.5</v>
      </c>
      <c r="AA330" s="9" t="n">
        <v>8</v>
      </c>
      <c r="AB330" s="9" t="n">
        <v>6</v>
      </c>
      <c r="AC330" s="9" t="n">
        <v>8</v>
      </c>
      <c r="AD330" s="9" t="n">
        <v>13.5</v>
      </c>
      <c r="AE330" s="9" t="n">
        <v>16</v>
      </c>
      <c r="AF330" t="n">
        <v>2022</v>
      </c>
      <c r="AH330" t="inlineStr">
        <is>
          <t>Apartment</t>
        </is>
      </c>
      <c r="AI330" t="inlineStr">
        <is>
          <t>SupplySensitiveApartment</t>
        </is>
      </c>
      <c r="AJ330" t="inlineStr">
        <is>
          <t>MidTier</t>
        </is>
      </c>
      <c r="AK330" t="inlineStr">
        <is>
          <t>Supply-sensitive / selective</t>
        </is>
      </c>
      <c r="AL330" t="inlineStr">
        <is>
          <t>Higher delivery risk in more price-sensitive apartment clusters; building selection and exit liquidity matter.</t>
        </is>
      </c>
      <c r="AM330" s="9" t="n">
        <v>7</v>
      </c>
      <c r="AN330" s="9" t="n">
        <v>7.75</v>
      </c>
      <c r="AO330" s="10" t="n">
        <v>0.55</v>
      </c>
      <c r="AP330" s="13" t="n">
        <v>0</v>
      </c>
      <c r="AQ330" s="13" t="n">
        <v>0</v>
      </c>
      <c r="AR330" s="13" t="n">
        <v>-0.01</v>
      </c>
      <c r="AS330" s="13" t="n">
        <v>-0.01</v>
      </c>
      <c r="AT330" s="13" t="n">
        <v>-0.005</v>
      </c>
      <c r="AU330" s="13" t="n">
        <v>0.0025</v>
      </c>
      <c r="AV330" s="13" t="n">
        <v>-0.005</v>
      </c>
      <c r="AW330" s="13" t="n">
        <v>0.0285</v>
      </c>
      <c r="AX330" s="13" t="n">
        <v>-0.0175</v>
      </c>
      <c r="AY330" s="12" t="n">
        <v>897880</v>
      </c>
      <c r="AZ330" s="12" t="n">
        <v>925650</v>
      </c>
      <c r="BA330" s="12" t="n">
        <v>953420</v>
      </c>
      <c r="BB330" s="12" t="n">
        <v>881682</v>
      </c>
      <c r="BC330" s="12" t="n">
        <v>909451</v>
      </c>
      <c r="BD330" s="12" t="n">
        <v>937221</v>
      </c>
      <c r="BE330" s="12" t="n">
        <v>893536</v>
      </c>
      <c r="BF330" t="inlineStr">
        <is>
          <t>Frozen values from same rules-based model as formula sheet.</t>
        </is>
      </c>
      <c r="BG330" t="inlineStr">
        <is>
          <t>2026-03-17</t>
        </is>
      </c>
      <c r="BH330" t="inlineStr">
        <is>
          <t>DLD / Digital Dubai / CBUAE / Savills / Knight Frank-Moody’s / Reuters</t>
        </is>
      </c>
    </row>
    <row r="331">
      <c r="A331" t="n">
        <v>330</v>
      </c>
      <c r="B331" t="inlineStr">
        <is>
          <t>Petalz</t>
        </is>
      </c>
      <c r="C331" t="inlineStr">
        <is>
          <t>Danube Properties</t>
        </is>
      </c>
      <c r="D331" t="inlineStr">
        <is>
          <t>International City (Warsan)</t>
        </is>
      </c>
      <c r="E331" t="inlineStr">
        <is>
          <t>Apartments</t>
        </is>
      </c>
      <c r="F331" t="inlineStr">
        <is>
          <t>Budget</t>
        </is>
      </c>
      <c r="G331" t="inlineStr">
        <is>
          <t>700k</t>
        </is>
      </c>
      <c r="H331" t="inlineStr">
        <is>
          <t>1000</t>
        </is>
      </c>
      <c r="I331" t="inlineStr">
        <is>
          <t>12</t>
        </is>
      </c>
      <c r="J331" t="inlineStr">
        <is>
          <t>1% Monthly</t>
        </is>
      </c>
      <c r="K331" t="inlineStr">
        <is>
          <t>2022</t>
        </is>
      </c>
      <c r="L331" t="inlineStr">
        <is>
          <t>8.0-8.5</t>
        </is>
      </c>
      <c r="M331" t="inlineStr">
        <is>
          <t>5-7</t>
        </is>
      </c>
      <c r="N331" t="inlineStr">
        <is>
          <t>13.0-15.5</t>
        </is>
      </c>
      <c r="O331" t="inlineStr">
        <is>
          <t>Intl School of Arts</t>
        </is>
      </c>
      <c r="P331" t="inlineStr">
        <is>
          <t>Aster Hospital</t>
        </is>
      </c>
      <c r="Q331" t="inlineStr">
        <is>
          <t>Dragon Mart</t>
        </is>
      </c>
      <c r="R331" t="inlineStr">
        <is>
          <t>E44 / E311</t>
        </is>
      </c>
      <c r="S331" t="inlineStr">
        <is>
          <t>20</t>
        </is>
      </c>
      <c r="T331" t="inlineStr">
        <is>
          <t>30</t>
        </is>
      </c>
      <c r="U331" t="inlineStr">
        <is>
          <t>15</t>
        </is>
      </c>
      <c r="V331" t="inlineStr">
        <is>
          <t>35</t>
        </is>
      </c>
      <c r="W331" t="n">
        <v>2</v>
      </c>
      <c r="X331" s="12" t="n">
        <v>700000</v>
      </c>
      <c r="Y331" s="12" t="n">
        <v>700000</v>
      </c>
      <c r="Z331" s="9" t="n">
        <v>8</v>
      </c>
      <c r="AA331" s="9" t="n">
        <v>8.5</v>
      </c>
      <c r="AB331" s="9" t="n">
        <v>5</v>
      </c>
      <c r="AC331" s="9" t="n">
        <v>7</v>
      </c>
      <c r="AD331" s="9" t="n">
        <v>13</v>
      </c>
      <c r="AE331" s="9" t="n">
        <v>15.5</v>
      </c>
      <c r="AF331" t="n">
        <v>2022</v>
      </c>
      <c r="AH331" t="inlineStr">
        <is>
          <t>Apartment</t>
        </is>
      </c>
      <c r="AI331" t="inlineStr">
        <is>
          <t>MainstreamSelective</t>
        </is>
      </c>
      <c r="AJ331" t="inlineStr">
        <is>
          <t>MidTier</t>
        </is>
      </c>
      <c r="AK331" t="inlineStr">
        <is>
          <t>Balanced / selective</t>
        </is>
      </c>
      <c r="AL331" t="inlineStr">
        <is>
          <t>Market remains active but increasingly differentiated by developer, micro-location, livability, and pricing discipline.</t>
        </is>
      </c>
      <c r="AM331" s="9" t="n">
        <v>6</v>
      </c>
      <c r="AN331" s="9" t="n">
        <v>8.25</v>
      </c>
      <c r="AO331" s="10" t="n">
        <v>0.55</v>
      </c>
      <c r="AP331" s="13" t="n">
        <v>0</v>
      </c>
      <c r="AQ331" s="13" t="n">
        <v>0</v>
      </c>
      <c r="AR331" s="13" t="n">
        <v>0</v>
      </c>
      <c r="AS331" s="13" t="n">
        <v>0.01</v>
      </c>
      <c r="AT331" s="13" t="n">
        <v>-0.005</v>
      </c>
      <c r="AU331" s="13" t="n">
        <v>0.0025</v>
      </c>
      <c r="AV331" s="13" t="n">
        <v>-0.005</v>
      </c>
      <c r="AW331" s="13" t="n">
        <v>0.033</v>
      </c>
      <c r="AX331" s="13" t="n">
        <v>0.0025</v>
      </c>
      <c r="AY331" s="12" t="n">
        <v>701407</v>
      </c>
      <c r="AZ331" s="12" t="n">
        <v>723100</v>
      </c>
      <c r="BA331" s="12" t="n">
        <v>744793</v>
      </c>
      <c r="BB331" s="12" t="n">
        <v>703215</v>
      </c>
      <c r="BC331" s="12" t="n">
        <v>724908</v>
      </c>
      <c r="BD331" s="12" t="n">
        <v>746601</v>
      </c>
      <c r="BE331" s="12" t="n">
        <v>726720</v>
      </c>
      <c r="BF331" t="inlineStr">
        <is>
          <t>Frozen values from same rules-based model as formula sheet.</t>
        </is>
      </c>
      <c r="BG331" t="inlineStr">
        <is>
          <t>2026-03-17</t>
        </is>
      </c>
      <c r="BH331" t="inlineStr">
        <is>
          <t>DLD / Digital Dubai / CBUAE / Savills / Knight Frank-Moody’s / Reuters</t>
        </is>
      </c>
    </row>
    <row r="332">
      <c r="A332" t="n">
        <v>331</v>
      </c>
      <c r="B332" t="inlineStr">
        <is>
          <t>Skyz</t>
        </is>
      </c>
      <c r="C332" t="inlineStr">
        <is>
          <t>Danube Properties</t>
        </is>
      </c>
      <c r="D332" t="inlineStr">
        <is>
          <t>Arjan</t>
        </is>
      </c>
      <c r="E332" t="inlineStr">
        <is>
          <t>Apartments</t>
        </is>
      </c>
      <c r="F332" t="inlineStr">
        <is>
          <t>High-Rise</t>
        </is>
      </c>
      <c r="G332" t="inlineStr">
        <is>
          <t>800k</t>
        </is>
      </c>
      <c r="H332" t="inlineStr">
        <is>
          <t>1100</t>
        </is>
      </c>
      <c r="I332" t="inlineStr">
        <is>
          <t>14</t>
        </is>
      </c>
      <c r="J332" t="inlineStr">
        <is>
          <t>1% Monthly</t>
        </is>
      </c>
      <c r="K332" t="inlineStr">
        <is>
          <t>2021</t>
        </is>
      </c>
      <c r="L332" t="inlineStr">
        <is>
          <t>7.5-8.0</t>
        </is>
      </c>
      <c r="M332" t="inlineStr">
        <is>
          <t>6-8</t>
        </is>
      </c>
      <c r="N332" t="inlineStr">
        <is>
          <t>13.5-16.0</t>
        </is>
      </c>
      <c r="O332" t="inlineStr">
        <is>
          <t>Nord Anglia</t>
        </is>
      </c>
      <c r="P332" t="inlineStr">
        <is>
          <t>Mediclinic Parkview</t>
        </is>
      </c>
      <c r="Q332" t="inlineStr">
        <is>
          <t>Dubai Hills Mall</t>
        </is>
      </c>
      <c r="R332" t="inlineStr">
        <is>
          <t>Umm Suqeim / E311</t>
        </is>
      </c>
      <c r="S332" t="inlineStr">
        <is>
          <t>20</t>
        </is>
      </c>
      <c r="T332" t="inlineStr">
        <is>
          <t>20</t>
        </is>
      </c>
      <c r="U332" t="inlineStr">
        <is>
          <t>30</t>
        </is>
      </c>
      <c r="V332" t="inlineStr">
        <is>
          <t>25</t>
        </is>
      </c>
      <c r="W332" t="n">
        <v>2</v>
      </c>
      <c r="X332" s="12" t="n">
        <v>800000</v>
      </c>
      <c r="Y332" s="12" t="n">
        <v>800000</v>
      </c>
      <c r="Z332" s="9" t="n">
        <v>7.5</v>
      </c>
      <c r="AA332" s="9" t="n">
        <v>8</v>
      </c>
      <c r="AB332" s="9" t="n">
        <v>6</v>
      </c>
      <c r="AC332" s="9" t="n">
        <v>8</v>
      </c>
      <c r="AD332" s="9" t="n">
        <v>13.5</v>
      </c>
      <c r="AE332" s="9" t="n">
        <v>16</v>
      </c>
      <c r="AF332" t="n">
        <v>2021</v>
      </c>
      <c r="AH332" t="inlineStr">
        <is>
          <t>Apartment</t>
        </is>
      </c>
      <c r="AI332" t="inlineStr">
        <is>
          <t>SupplySensitiveApartment</t>
        </is>
      </c>
      <c r="AJ332" t="inlineStr">
        <is>
          <t>MidTier</t>
        </is>
      </c>
      <c r="AK332" t="inlineStr">
        <is>
          <t>Supply-sensitive / selective</t>
        </is>
      </c>
      <c r="AL332" t="inlineStr">
        <is>
          <t>Higher delivery risk in more price-sensitive apartment clusters; building selection and exit liquidity matter.</t>
        </is>
      </c>
      <c r="AM332" s="9" t="n">
        <v>7</v>
      </c>
      <c r="AN332" s="9" t="n">
        <v>7.75</v>
      </c>
      <c r="AO332" s="10" t="n">
        <v>0.55</v>
      </c>
      <c r="AP332" s="13" t="n">
        <v>0</v>
      </c>
      <c r="AQ332" s="13" t="n">
        <v>0</v>
      </c>
      <c r="AR332" s="13" t="n">
        <v>-0.01</v>
      </c>
      <c r="AS332" s="13" t="n">
        <v>-0.01</v>
      </c>
      <c r="AT332" s="13" t="n">
        <v>-0.005</v>
      </c>
      <c r="AU332" s="13" t="n">
        <v>0.0025</v>
      </c>
      <c r="AV332" s="13" t="n">
        <v>-0.005</v>
      </c>
      <c r="AW332" s="13" t="n">
        <v>0.0285</v>
      </c>
      <c r="AX332" s="13" t="n">
        <v>-0.0175</v>
      </c>
      <c r="AY332" s="12" t="n">
        <v>798116</v>
      </c>
      <c r="AZ332" s="12" t="n">
        <v>822800</v>
      </c>
      <c r="BA332" s="12" t="n">
        <v>847484</v>
      </c>
      <c r="BB332" s="12" t="n">
        <v>783717</v>
      </c>
      <c r="BC332" s="12" t="n">
        <v>808401</v>
      </c>
      <c r="BD332" s="12" t="n">
        <v>833085</v>
      </c>
      <c r="BE332" s="12" t="n">
        <v>794254</v>
      </c>
      <c r="BF332" t="inlineStr">
        <is>
          <t>Frozen values from same rules-based model as formula sheet.</t>
        </is>
      </c>
      <c r="BG332" t="inlineStr">
        <is>
          <t>2026-03-17</t>
        </is>
      </c>
      <c r="BH332" t="inlineStr">
        <is>
          <t>DLD / Digital Dubai / CBUAE / Savills / Knight Frank-Moody’s / Reuters</t>
        </is>
      </c>
    </row>
    <row r="333">
      <c r="A333" t="n">
        <v>332</v>
      </c>
      <c r="B333" t="inlineStr">
        <is>
          <t>Olivz</t>
        </is>
      </c>
      <c r="C333" t="inlineStr">
        <is>
          <t>Danube Properties</t>
        </is>
      </c>
      <c r="D333" t="inlineStr">
        <is>
          <t>International City (Warsan)</t>
        </is>
      </c>
      <c r="E333" t="inlineStr">
        <is>
          <t>Apartments</t>
        </is>
      </c>
      <c r="F333" t="inlineStr">
        <is>
          <t>Budget</t>
        </is>
      </c>
      <c r="G333" t="inlineStr">
        <is>
          <t>600k</t>
        </is>
      </c>
      <c r="H333" t="inlineStr">
        <is>
          <t>900</t>
        </is>
      </c>
      <c r="I333" t="inlineStr">
        <is>
          <t>12</t>
        </is>
      </c>
      <c r="J333" t="inlineStr">
        <is>
          <t>1% Monthly</t>
        </is>
      </c>
      <c r="K333" t="inlineStr">
        <is>
          <t>2020</t>
        </is>
      </c>
      <c r="L333" t="inlineStr">
        <is>
          <t>8.0-8.5</t>
        </is>
      </c>
      <c r="M333" t="inlineStr">
        <is>
          <t>5-7</t>
        </is>
      </c>
      <c r="N333" t="inlineStr">
        <is>
          <t>13.0-15.5</t>
        </is>
      </c>
      <c r="O333" t="inlineStr">
        <is>
          <t>Intl School of Arts</t>
        </is>
      </c>
      <c r="P333" t="inlineStr">
        <is>
          <t>Aster Hospital</t>
        </is>
      </c>
      <c r="Q333" t="inlineStr">
        <is>
          <t>Dragon Mart</t>
        </is>
      </c>
      <c r="R333" t="inlineStr">
        <is>
          <t>E44 / E311</t>
        </is>
      </c>
      <c r="S333" t="inlineStr">
        <is>
          <t>20</t>
        </is>
      </c>
      <c r="T333" t="inlineStr">
        <is>
          <t>30</t>
        </is>
      </c>
      <c r="U333" t="inlineStr">
        <is>
          <t>15</t>
        </is>
      </c>
      <c r="V333" t="inlineStr">
        <is>
          <t>35</t>
        </is>
      </c>
      <c r="W333" t="n">
        <v>2</v>
      </c>
      <c r="X333" s="12" t="n">
        <v>600000</v>
      </c>
      <c r="Y333" s="12" t="n">
        <v>600000</v>
      </c>
      <c r="Z333" s="9" t="n">
        <v>8</v>
      </c>
      <c r="AA333" s="9" t="n">
        <v>8.5</v>
      </c>
      <c r="AB333" s="9" t="n">
        <v>5</v>
      </c>
      <c r="AC333" s="9" t="n">
        <v>7</v>
      </c>
      <c r="AD333" s="9" t="n">
        <v>13</v>
      </c>
      <c r="AE333" s="9" t="n">
        <v>15.5</v>
      </c>
      <c r="AF333" t="n">
        <v>2020</v>
      </c>
      <c r="AH333" t="inlineStr">
        <is>
          <t>Apartment</t>
        </is>
      </c>
      <c r="AI333" t="inlineStr">
        <is>
          <t>MainstreamSelective</t>
        </is>
      </c>
      <c r="AJ333" t="inlineStr">
        <is>
          <t>MidTier</t>
        </is>
      </c>
      <c r="AK333" t="inlineStr">
        <is>
          <t>Balanced / selective</t>
        </is>
      </c>
      <c r="AL333" t="inlineStr">
        <is>
          <t>Market remains active but increasingly differentiated by developer, micro-location, livability, and pricing discipline.</t>
        </is>
      </c>
      <c r="AM333" s="9" t="n">
        <v>6</v>
      </c>
      <c r="AN333" s="9" t="n">
        <v>8.25</v>
      </c>
      <c r="AO333" s="10" t="n">
        <v>0.55</v>
      </c>
      <c r="AP333" s="13" t="n">
        <v>0</v>
      </c>
      <c r="AQ333" s="13" t="n">
        <v>0</v>
      </c>
      <c r="AR333" s="13" t="n">
        <v>0</v>
      </c>
      <c r="AS333" s="13" t="n">
        <v>0.01</v>
      </c>
      <c r="AT333" s="13" t="n">
        <v>-0.005</v>
      </c>
      <c r="AU333" s="13" t="n">
        <v>0.0025</v>
      </c>
      <c r="AV333" s="13" t="n">
        <v>-0.005</v>
      </c>
      <c r="AW333" s="13" t="n">
        <v>0.033</v>
      </c>
      <c r="AX333" s="13" t="n">
        <v>0.0025</v>
      </c>
      <c r="AY333" s="12" t="n">
        <v>601206</v>
      </c>
      <c r="AZ333" s="12" t="n">
        <v>619800</v>
      </c>
      <c r="BA333" s="12" t="n">
        <v>638394</v>
      </c>
      <c r="BB333" s="12" t="n">
        <v>602756</v>
      </c>
      <c r="BC333" s="12" t="n">
        <v>621350</v>
      </c>
      <c r="BD333" s="12" t="n">
        <v>639944</v>
      </c>
      <c r="BE333" s="12" t="n">
        <v>622903</v>
      </c>
      <c r="BF333" t="inlineStr">
        <is>
          <t>Frozen values from same rules-based model as formula sheet.</t>
        </is>
      </c>
      <c r="BG333" t="inlineStr">
        <is>
          <t>2026-03-17</t>
        </is>
      </c>
      <c r="BH333" t="inlineStr">
        <is>
          <t>DLD / Digital Dubai / CBUAE / Savills / Knight Frank-Moody’s / Reuters</t>
        </is>
      </c>
    </row>
    <row r="334">
      <c r="A334" t="n">
        <v>333</v>
      </c>
      <c r="B334" t="inlineStr">
        <is>
          <t>Elz</t>
        </is>
      </c>
      <c r="C334" t="inlineStr">
        <is>
          <t>Danube Properties</t>
        </is>
      </c>
      <c r="D334" t="inlineStr">
        <is>
          <t>Arjan</t>
        </is>
      </c>
      <c r="E334" t="inlineStr">
        <is>
          <t>Apartments</t>
        </is>
      </c>
      <c r="F334" t="inlineStr">
        <is>
          <t>Budget</t>
        </is>
      </c>
      <c r="G334" t="inlineStr">
        <is>
          <t>650k</t>
        </is>
      </c>
      <c r="H334" t="inlineStr">
        <is>
          <t>1000</t>
        </is>
      </c>
      <c r="I334" t="inlineStr">
        <is>
          <t>14</t>
        </is>
      </c>
      <c r="J334" t="inlineStr">
        <is>
          <t>Completed</t>
        </is>
      </c>
      <c r="K334" t="inlineStr">
        <is>
          <t>2018</t>
        </is>
      </c>
      <c r="L334" t="inlineStr">
        <is>
          <t>7.5-8.0</t>
        </is>
      </c>
      <c r="M334" t="inlineStr">
        <is>
          <t>5-7</t>
        </is>
      </c>
      <c r="N334" t="inlineStr">
        <is>
          <t>12.5-15.0</t>
        </is>
      </c>
      <c r="O334" t="inlineStr">
        <is>
          <t>Nord Anglia</t>
        </is>
      </c>
      <c r="P334" t="inlineStr">
        <is>
          <t>Mediclinic Parkview</t>
        </is>
      </c>
      <c r="Q334" t="inlineStr">
        <is>
          <t>Dubai Hills Mall</t>
        </is>
      </c>
      <c r="R334" t="inlineStr">
        <is>
          <t>Umm Suqeim / E311</t>
        </is>
      </c>
      <c r="S334" t="inlineStr">
        <is>
          <t>20</t>
        </is>
      </c>
      <c r="T334" t="inlineStr">
        <is>
          <t>20</t>
        </is>
      </c>
      <c r="U334" t="inlineStr">
        <is>
          <t>30</t>
        </is>
      </c>
      <c r="V334" t="inlineStr">
        <is>
          <t>25</t>
        </is>
      </c>
      <c r="W334" t="n">
        <v>2</v>
      </c>
      <c r="X334" s="12" t="n">
        <v>650000</v>
      </c>
      <c r="Y334" s="12" t="n">
        <v>650000</v>
      </c>
      <c r="Z334" s="9" t="n">
        <v>7.5</v>
      </c>
      <c r="AA334" s="9" t="n">
        <v>8</v>
      </c>
      <c r="AB334" s="9" t="n">
        <v>5</v>
      </c>
      <c r="AC334" s="9" t="n">
        <v>7</v>
      </c>
      <c r="AD334" s="9" t="n">
        <v>12.5</v>
      </c>
      <c r="AE334" s="9" t="n">
        <v>15</v>
      </c>
      <c r="AF334" t="n">
        <v>2018</v>
      </c>
      <c r="AH334" t="inlineStr">
        <is>
          <t>Apartment</t>
        </is>
      </c>
      <c r="AI334" t="inlineStr">
        <is>
          <t>SupplySensitiveApartment</t>
        </is>
      </c>
      <c r="AJ334" t="inlineStr">
        <is>
          <t>MidTier</t>
        </is>
      </c>
      <c r="AK334" t="inlineStr">
        <is>
          <t>Supply-sensitive / selective</t>
        </is>
      </c>
      <c r="AL334" t="inlineStr">
        <is>
          <t>Higher delivery risk in more price-sensitive apartment clusters; building selection and exit liquidity matter.</t>
        </is>
      </c>
      <c r="AM334" s="9" t="n">
        <v>6</v>
      </c>
      <c r="AN334" s="9" t="n">
        <v>7.75</v>
      </c>
      <c r="AO334" s="10" t="n">
        <v>0.55</v>
      </c>
      <c r="AP334" s="13" t="n">
        <v>0</v>
      </c>
      <c r="AQ334" s="13" t="n">
        <v>0</v>
      </c>
      <c r="AR334" s="13" t="n">
        <v>-0.01</v>
      </c>
      <c r="AS334" s="13" t="n">
        <v>-0.01</v>
      </c>
      <c r="AT334" s="13" t="n">
        <v>-0.005</v>
      </c>
      <c r="AU334" s="13" t="n">
        <v>0.0025</v>
      </c>
      <c r="AV334" s="13" t="n">
        <v>-0.005</v>
      </c>
      <c r="AW334" s="13" t="n">
        <v>0.023</v>
      </c>
      <c r="AX334" s="13" t="n">
        <v>-0.0175</v>
      </c>
      <c r="AY334" s="12" t="n">
        <v>645002</v>
      </c>
      <c r="AZ334" s="12" t="n">
        <v>664950</v>
      </c>
      <c r="BA334" s="12" t="n">
        <v>684898</v>
      </c>
      <c r="BB334" s="12" t="n">
        <v>633365</v>
      </c>
      <c r="BC334" s="12" t="n">
        <v>653313</v>
      </c>
      <c r="BD334" s="12" t="n">
        <v>673262</v>
      </c>
      <c r="BE334" s="12" t="n">
        <v>641880</v>
      </c>
      <c r="BF334" t="inlineStr">
        <is>
          <t>Frozen values from same rules-based model as formula sheet.</t>
        </is>
      </c>
      <c r="BG334" t="inlineStr">
        <is>
          <t>2026-03-17</t>
        </is>
      </c>
      <c r="BH334" t="inlineStr">
        <is>
          <t>DLD / Digital Dubai / CBUAE / Savills / Knight Frank-Moody’s / Reuters</t>
        </is>
      </c>
    </row>
    <row r="335">
      <c r="A335" t="n">
        <v>334</v>
      </c>
      <c r="B335" t="inlineStr">
        <is>
          <t>Lawz</t>
        </is>
      </c>
      <c r="C335" t="inlineStr">
        <is>
          <t>Danube Properties</t>
        </is>
      </c>
      <c r="D335" t="inlineStr">
        <is>
          <t>International City (Warsan)</t>
        </is>
      </c>
      <c r="E335" t="inlineStr">
        <is>
          <t>Apartments</t>
        </is>
      </c>
      <c r="F335" t="inlineStr">
        <is>
          <t>Budget</t>
        </is>
      </c>
      <c r="G335" t="inlineStr">
        <is>
          <t>600k</t>
        </is>
      </c>
      <c r="H335" t="inlineStr">
        <is>
          <t>900</t>
        </is>
      </c>
      <c r="I335" t="inlineStr">
        <is>
          <t>12</t>
        </is>
      </c>
      <c r="J335" t="inlineStr">
        <is>
          <t>Completed</t>
        </is>
      </c>
      <c r="K335" t="inlineStr">
        <is>
          <t>2018</t>
        </is>
      </c>
      <c r="L335" t="inlineStr">
        <is>
          <t>8.0-8.5</t>
        </is>
      </c>
      <c r="M335" t="inlineStr">
        <is>
          <t>5-7</t>
        </is>
      </c>
      <c r="N335" t="inlineStr">
        <is>
          <t>13.0-15.5</t>
        </is>
      </c>
      <c r="O335" t="inlineStr">
        <is>
          <t>Intl School of Arts</t>
        </is>
      </c>
      <c r="P335" t="inlineStr">
        <is>
          <t>Aster Hospital</t>
        </is>
      </c>
      <c r="Q335" t="inlineStr">
        <is>
          <t>Dragon Mart</t>
        </is>
      </c>
      <c r="R335" t="inlineStr">
        <is>
          <t>E44 / E311</t>
        </is>
      </c>
      <c r="S335" t="inlineStr">
        <is>
          <t>20</t>
        </is>
      </c>
      <c r="T335" t="inlineStr">
        <is>
          <t>30</t>
        </is>
      </c>
      <c r="U335" t="inlineStr">
        <is>
          <t>15</t>
        </is>
      </c>
      <c r="V335" t="inlineStr">
        <is>
          <t>35</t>
        </is>
      </c>
      <c r="W335" t="n">
        <v>2</v>
      </c>
      <c r="X335" s="12" t="n">
        <v>600000</v>
      </c>
      <c r="Y335" s="12" t="n">
        <v>600000</v>
      </c>
      <c r="Z335" s="9" t="n">
        <v>8</v>
      </c>
      <c r="AA335" s="9" t="n">
        <v>8.5</v>
      </c>
      <c r="AB335" s="9" t="n">
        <v>5</v>
      </c>
      <c r="AC335" s="9" t="n">
        <v>7</v>
      </c>
      <c r="AD335" s="9" t="n">
        <v>13</v>
      </c>
      <c r="AE335" s="9" t="n">
        <v>15.5</v>
      </c>
      <c r="AF335" t="n">
        <v>2018</v>
      </c>
      <c r="AH335" t="inlineStr">
        <is>
          <t>Apartment</t>
        </is>
      </c>
      <c r="AI335" t="inlineStr">
        <is>
          <t>MainstreamSelective</t>
        </is>
      </c>
      <c r="AJ335" t="inlineStr">
        <is>
          <t>MidTier</t>
        </is>
      </c>
      <c r="AK335" t="inlineStr">
        <is>
          <t>Balanced / selective</t>
        </is>
      </c>
      <c r="AL335" t="inlineStr">
        <is>
          <t>Market remains active but increasingly differentiated by developer, micro-location, livability, and pricing discipline.</t>
        </is>
      </c>
      <c r="AM335" s="9" t="n">
        <v>6</v>
      </c>
      <c r="AN335" s="9" t="n">
        <v>8.25</v>
      </c>
      <c r="AO335" s="10" t="n">
        <v>0.55</v>
      </c>
      <c r="AP335" s="13" t="n">
        <v>0</v>
      </c>
      <c r="AQ335" s="13" t="n">
        <v>0</v>
      </c>
      <c r="AR335" s="13" t="n">
        <v>0</v>
      </c>
      <c r="AS335" s="13" t="n">
        <v>0.01</v>
      </c>
      <c r="AT335" s="13" t="n">
        <v>-0.005</v>
      </c>
      <c r="AU335" s="13" t="n">
        <v>0.0025</v>
      </c>
      <c r="AV335" s="13" t="n">
        <v>-0.005</v>
      </c>
      <c r="AW335" s="13" t="n">
        <v>0.033</v>
      </c>
      <c r="AX335" s="13" t="n">
        <v>0.0025</v>
      </c>
      <c r="AY335" s="12" t="n">
        <v>601206</v>
      </c>
      <c r="AZ335" s="12" t="n">
        <v>619800</v>
      </c>
      <c r="BA335" s="12" t="n">
        <v>638394</v>
      </c>
      <c r="BB335" s="12" t="n">
        <v>602756</v>
      </c>
      <c r="BC335" s="12" t="n">
        <v>621350</v>
      </c>
      <c r="BD335" s="12" t="n">
        <v>639944</v>
      </c>
      <c r="BE335" s="12" t="n">
        <v>622903</v>
      </c>
      <c r="BF335" t="inlineStr">
        <is>
          <t>Frozen values from same rules-based model as formula sheet.</t>
        </is>
      </c>
      <c r="BG335" t="inlineStr">
        <is>
          <t>2026-03-17</t>
        </is>
      </c>
      <c r="BH335" t="inlineStr">
        <is>
          <t>DLD / Digital Dubai / CBUAE / Savills / Knight Frank-Moody’s / Reuters</t>
        </is>
      </c>
    </row>
    <row r="336">
      <c r="A336" t="n">
        <v>335</v>
      </c>
      <c r="B336" t="inlineStr">
        <is>
          <t>Jewelz</t>
        </is>
      </c>
      <c r="C336" t="inlineStr">
        <is>
          <t>Danube Properties</t>
        </is>
      </c>
      <c r="D336" t="inlineStr">
        <is>
          <t>Arjan</t>
        </is>
      </c>
      <c r="E336" t="inlineStr">
        <is>
          <t>Apartments</t>
        </is>
      </c>
      <c r="F336" t="inlineStr">
        <is>
          <t>Budget</t>
        </is>
      </c>
      <c r="G336" t="inlineStr">
        <is>
          <t>700k</t>
        </is>
      </c>
      <c r="H336" t="inlineStr">
        <is>
          <t>1000</t>
        </is>
      </c>
      <c r="I336" t="inlineStr">
        <is>
          <t>14</t>
        </is>
      </c>
      <c r="J336" t="inlineStr">
        <is>
          <t>Completed</t>
        </is>
      </c>
      <c r="K336" t="inlineStr">
        <is>
          <t>2018</t>
        </is>
      </c>
      <c r="L336" t="inlineStr">
        <is>
          <t>7.5-8.0</t>
        </is>
      </c>
      <c r="M336" t="inlineStr">
        <is>
          <t>5-7</t>
        </is>
      </c>
      <c r="N336" t="inlineStr">
        <is>
          <t>12.5-15.0</t>
        </is>
      </c>
      <c r="O336" t="inlineStr">
        <is>
          <t>Nord Anglia</t>
        </is>
      </c>
      <c r="P336" t="inlineStr">
        <is>
          <t>Mediclinic Parkview</t>
        </is>
      </c>
      <c r="Q336" t="inlineStr">
        <is>
          <t>Dubai Hills Mall</t>
        </is>
      </c>
      <c r="R336" t="inlineStr">
        <is>
          <t>Umm Suqeim / E311</t>
        </is>
      </c>
      <c r="S336" t="inlineStr">
        <is>
          <t>20</t>
        </is>
      </c>
      <c r="T336" t="inlineStr">
        <is>
          <t>20</t>
        </is>
      </c>
      <c r="U336" t="inlineStr">
        <is>
          <t>30</t>
        </is>
      </c>
      <c r="V336" t="inlineStr">
        <is>
          <t>25</t>
        </is>
      </c>
      <c r="W336" t="n">
        <v>2</v>
      </c>
      <c r="X336" s="12" t="n">
        <v>700000</v>
      </c>
      <c r="Y336" s="12" t="n">
        <v>700000</v>
      </c>
      <c r="Z336" s="9" t="n">
        <v>7.5</v>
      </c>
      <c r="AA336" s="9" t="n">
        <v>8</v>
      </c>
      <c r="AB336" s="9" t="n">
        <v>5</v>
      </c>
      <c r="AC336" s="9" t="n">
        <v>7</v>
      </c>
      <c r="AD336" s="9" t="n">
        <v>12.5</v>
      </c>
      <c r="AE336" s="9" t="n">
        <v>15</v>
      </c>
      <c r="AF336" t="n">
        <v>2018</v>
      </c>
      <c r="AH336" t="inlineStr">
        <is>
          <t>Apartment</t>
        </is>
      </c>
      <c r="AI336" t="inlineStr">
        <is>
          <t>SupplySensitiveApartment</t>
        </is>
      </c>
      <c r="AJ336" t="inlineStr">
        <is>
          <t>MidTier</t>
        </is>
      </c>
      <c r="AK336" t="inlineStr">
        <is>
          <t>Supply-sensitive / selective</t>
        </is>
      </c>
      <c r="AL336" t="inlineStr">
        <is>
          <t>Higher delivery risk in more price-sensitive apartment clusters; building selection and exit liquidity matter.</t>
        </is>
      </c>
      <c r="AM336" s="9" t="n">
        <v>6</v>
      </c>
      <c r="AN336" s="9" t="n">
        <v>7.75</v>
      </c>
      <c r="AO336" s="10" t="n">
        <v>0.55</v>
      </c>
      <c r="AP336" s="13" t="n">
        <v>0</v>
      </c>
      <c r="AQ336" s="13" t="n">
        <v>0</v>
      </c>
      <c r="AR336" s="13" t="n">
        <v>-0.01</v>
      </c>
      <c r="AS336" s="13" t="n">
        <v>-0.01</v>
      </c>
      <c r="AT336" s="13" t="n">
        <v>-0.005</v>
      </c>
      <c r="AU336" s="13" t="n">
        <v>0.0025</v>
      </c>
      <c r="AV336" s="13" t="n">
        <v>-0.005</v>
      </c>
      <c r="AW336" s="13" t="n">
        <v>0.023</v>
      </c>
      <c r="AX336" s="13" t="n">
        <v>-0.0175</v>
      </c>
      <c r="AY336" s="12" t="n">
        <v>694617</v>
      </c>
      <c r="AZ336" s="12" t="n">
        <v>716100</v>
      </c>
      <c r="BA336" s="12" t="n">
        <v>737583</v>
      </c>
      <c r="BB336" s="12" t="n">
        <v>682085</v>
      </c>
      <c r="BC336" s="12" t="n">
        <v>703568</v>
      </c>
      <c r="BD336" s="12" t="n">
        <v>725051</v>
      </c>
      <c r="BE336" s="12" t="n">
        <v>691256</v>
      </c>
      <c r="BF336" t="inlineStr">
        <is>
          <t>Frozen values from same rules-based model as formula sheet.</t>
        </is>
      </c>
      <c r="BG336" t="inlineStr">
        <is>
          <t>2026-03-17</t>
        </is>
      </c>
      <c r="BH336" t="inlineStr">
        <is>
          <t>DLD / Digital Dubai / CBUAE / Savills / Knight Frank-Moody’s / Reuters</t>
        </is>
      </c>
    </row>
    <row r="337">
      <c r="A337" t="n">
        <v>336</v>
      </c>
      <c r="B337" t="inlineStr">
        <is>
          <t>Wavez</t>
        </is>
      </c>
      <c r="C337" t="inlineStr">
        <is>
          <t>Danube Properties</t>
        </is>
      </c>
      <c r="D337" t="inlineStr">
        <is>
          <t>Liwan</t>
        </is>
      </c>
      <c r="E337" t="inlineStr">
        <is>
          <t>Apartments</t>
        </is>
      </c>
      <c r="F337" t="inlineStr">
        <is>
          <t>Budget</t>
        </is>
      </c>
      <c r="G337" t="inlineStr">
        <is>
          <t>600k</t>
        </is>
      </c>
      <c r="H337" t="inlineStr">
        <is>
          <t>900</t>
        </is>
      </c>
      <c r="I337" t="inlineStr">
        <is>
          <t>12</t>
        </is>
      </c>
      <c r="J337" t="inlineStr">
        <is>
          <t>Completed</t>
        </is>
      </c>
      <c r="K337" t="inlineStr">
        <is>
          <t>2019</t>
        </is>
      </c>
      <c r="L337" t="inlineStr">
        <is>
          <t>7.5-8.0</t>
        </is>
      </c>
      <c r="M337" t="inlineStr">
        <is>
          <t>5-7</t>
        </is>
      </c>
      <c r="N337" t="inlineStr">
        <is>
          <t>12.5-15.0</t>
        </is>
      </c>
      <c r="O337" t="inlineStr">
        <is>
          <t>GEMS Winchester</t>
        </is>
      </c>
      <c r="P337" t="inlineStr">
        <is>
          <t>Fakeeh University Hosp</t>
        </is>
      </c>
      <c r="Q337" t="inlineStr">
        <is>
          <t>Silicon Central</t>
        </is>
      </c>
      <c r="R337" t="inlineStr">
        <is>
          <t>E66 / E311</t>
        </is>
      </c>
      <c r="S337" t="inlineStr">
        <is>
          <t>20</t>
        </is>
      </c>
      <c r="T337" t="inlineStr">
        <is>
          <t>30</t>
        </is>
      </c>
      <c r="U337" t="inlineStr">
        <is>
          <t>20</t>
        </is>
      </c>
      <c r="V337" t="inlineStr">
        <is>
          <t>35</t>
        </is>
      </c>
      <c r="W337" t="n">
        <v>2</v>
      </c>
      <c r="X337" s="12" t="n">
        <v>600000</v>
      </c>
      <c r="Y337" s="12" t="n">
        <v>600000</v>
      </c>
      <c r="Z337" s="9" t="n">
        <v>7.5</v>
      </c>
      <c r="AA337" s="9" t="n">
        <v>8</v>
      </c>
      <c r="AB337" s="9" t="n">
        <v>5</v>
      </c>
      <c r="AC337" s="9" t="n">
        <v>7</v>
      </c>
      <c r="AD337" s="9" t="n">
        <v>12.5</v>
      </c>
      <c r="AE337" s="9" t="n">
        <v>15</v>
      </c>
      <c r="AF337" t="n">
        <v>2019</v>
      </c>
      <c r="AH337" t="inlineStr">
        <is>
          <t>Apartment</t>
        </is>
      </c>
      <c r="AI337" t="inlineStr">
        <is>
          <t>MainstreamSelective</t>
        </is>
      </c>
      <c r="AJ337" t="inlineStr">
        <is>
          <t>MidTier</t>
        </is>
      </c>
      <c r="AK337" t="inlineStr">
        <is>
          <t>Balanced / selective</t>
        </is>
      </c>
      <c r="AL337" t="inlineStr">
        <is>
          <t>Market remains active but increasingly differentiated by developer, micro-location, livability, and pricing discipline.</t>
        </is>
      </c>
      <c r="AM337" s="9" t="n">
        <v>6</v>
      </c>
      <c r="AN337" s="9" t="n">
        <v>7.75</v>
      </c>
      <c r="AO337" s="10" t="n">
        <v>0.55</v>
      </c>
      <c r="AP337" s="13" t="n">
        <v>0</v>
      </c>
      <c r="AQ337" s="13" t="n">
        <v>0</v>
      </c>
      <c r="AR337" s="13" t="n">
        <v>0</v>
      </c>
      <c r="AS337" s="13" t="n">
        <v>0.01</v>
      </c>
      <c r="AT337" s="13" t="n">
        <v>-0.005</v>
      </c>
      <c r="AU337" s="13" t="n">
        <v>0.0025</v>
      </c>
      <c r="AV337" s="13" t="n">
        <v>-0.005</v>
      </c>
      <c r="AW337" s="13" t="n">
        <v>0.033</v>
      </c>
      <c r="AX337" s="13" t="n">
        <v>0.0025</v>
      </c>
      <c r="AY337" s="12" t="n">
        <v>601206</v>
      </c>
      <c r="AZ337" s="12" t="n">
        <v>619800</v>
      </c>
      <c r="BA337" s="12" t="n">
        <v>638394</v>
      </c>
      <c r="BB337" s="12" t="n">
        <v>602756</v>
      </c>
      <c r="BC337" s="12" t="n">
        <v>621350</v>
      </c>
      <c r="BD337" s="12" t="n">
        <v>639944</v>
      </c>
      <c r="BE337" s="12" t="n">
        <v>622903</v>
      </c>
      <c r="BF337" t="inlineStr">
        <is>
          <t>Frozen values from same rules-based model as formula sheet.</t>
        </is>
      </c>
      <c r="BG337" t="inlineStr">
        <is>
          <t>2026-03-17</t>
        </is>
      </c>
      <c r="BH337" t="inlineStr">
        <is>
          <t>DLD / Digital Dubai / CBUAE / Savills / Knight Frank-Moody’s / Reuters</t>
        </is>
      </c>
    </row>
    <row r="338">
      <c r="A338" t="n">
        <v>337</v>
      </c>
      <c r="B338" t="inlineStr">
        <is>
          <t>Resortz</t>
        </is>
      </c>
      <c r="C338" t="inlineStr">
        <is>
          <t>Danube Properties</t>
        </is>
      </c>
      <c r="D338" t="inlineStr">
        <is>
          <t>Arjan</t>
        </is>
      </c>
      <c r="E338" t="inlineStr">
        <is>
          <t>Apartments</t>
        </is>
      </c>
      <c r="F338" t="inlineStr">
        <is>
          <t>Neoclassical</t>
        </is>
      </c>
      <c r="G338" t="inlineStr">
        <is>
          <t>750k</t>
        </is>
      </c>
      <c r="H338" t="inlineStr">
        <is>
          <t>1000</t>
        </is>
      </c>
      <c r="I338" t="inlineStr">
        <is>
          <t>14</t>
        </is>
      </c>
      <c r="J338" t="inlineStr">
        <is>
          <t>Completed</t>
        </is>
      </c>
      <c r="K338" t="inlineStr">
        <is>
          <t>2017</t>
        </is>
      </c>
      <c r="L338" t="inlineStr">
        <is>
          <t>7.0-7.5</t>
        </is>
      </c>
      <c r="M338" t="inlineStr">
        <is>
          <t>5-7</t>
        </is>
      </c>
      <c r="N338" t="inlineStr">
        <is>
          <t>12.0-14.5</t>
        </is>
      </c>
      <c r="O338" t="inlineStr">
        <is>
          <t>Nord Anglia</t>
        </is>
      </c>
      <c r="P338" t="inlineStr">
        <is>
          <t>Mediclinic Parkview</t>
        </is>
      </c>
      <c r="Q338" t="inlineStr">
        <is>
          <t>Dubai Hills Mall</t>
        </is>
      </c>
      <c r="R338" t="inlineStr">
        <is>
          <t>Umm Suqeim / E311</t>
        </is>
      </c>
      <c r="S338" t="inlineStr">
        <is>
          <t>20</t>
        </is>
      </c>
      <c r="T338" t="inlineStr">
        <is>
          <t>20</t>
        </is>
      </c>
      <c r="U338" t="inlineStr">
        <is>
          <t>30</t>
        </is>
      </c>
      <c r="V338" t="inlineStr">
        <is>
          <t>25</t>
        </is>
      </c>
      <c r="W338" t="n">
        <v>2</v>
      </c>
      <c r="X338" s="12" t="n">
        <v>750000</v>
      </c>
      <c r="Y338" s="12" t="n">
        <v>750000</v>
      </c>
      <c r="Z338" s="9" t="n">
        <v>7</v>
      </c>
      <c r="AA338" s="9" t="n">
        <v>7.5</v>
      </c>
      <c r="AB338" s="9" t="n">
        <v>5</v>
      </c>
      <c r="AC338" s="9" t="n">
        <v>7</v>
      </c>
      <c r="AD338" s="9" t="n">
        <v>12</v>
      </c>
      <c r="AE338" s="9" t="n">
        <v>14.5</v>
      </c>
      <c r="AF338" t="n">
        <v>2017</v>
      </c>
      <c r="AH338" t="inlineStr">
        <is>
          <t>Apartment</t>
        </is>
      </c>
      <c r="AI338" t="inlineStr">
        <is>
          <t>SupplySensitiveApartment</t>
        </is>
      </c>
      <c r="AJ338" t="inlineStr">
        <is>
          <t>MidTier</t>
        </is>
      </c>
      <c r="AK338" t="inlineStr">
        <is>
          <t>Supply-sensitive / selective</t>
        </is>
      </c>
      <c r="AL338" t="inlineStr">
        <is>
          <t>Higher delivery risk in more price-sensitive apartment clusters; building selection and exit liquidity matter.</t>
        </is>
      </c>
      <c r="AM338" s="9" t="n">
        <v>6</v>
      </c>
      <c r="AN338" s="9" t="n">
        <v>7.25</v>
      </c>
      <c r="AO338" s="10" t="n">
        <v>0.55</v>
      </c>
      <c r="AP338" s="13" t="n">
        <v>0</v>
      </c>
      <c r="AQ338" s="13" t="n">
        <v>0</v>
      </c>
      <c r="AR338" s="13" t="n">
        <v>-0.01</v>
      </c>
      <c r="AS338" s="13" t="n">
        <v>-0.01</v>
      </c>
      <c r="AT338" s="13" t="n">
        <v>-0.005</v>
      </c>
      <c r="AU338" s="13" t="n">
        <v>0.0025</v>
      </c>
      <c r="AV338" s="13" t="n">
        <v>-0.005</v>
      </c>
      <c r="AW338" s="13" t="n">
        <v>0.023</v>
      </c>
      <c r="AX338" s="13" t="n">
        <v>-0.0175</v>
      </c>
      <c r="AY338" s="12" t="n">
        <v>744232</v>
      </c>
      <c r="AZ338" s="12" t="n">
        <v>767250</v>
      </c>
      <c r="BA338" s="12" t="n">
        <v>790268</v>
      </c>
      <c r="BB338" s="12" t="n">
        <v>730806</v>
      </c>
      <c r="BC338" s="12" t="n">
        <v>753823</v>
      </c>
      <c r="BD338" s="12" t="n">
        <v>776841</v>
      </c>
      <c r="BE338" s="12" t="n">
        <v>740631</v>
      </c>
      <c r="BF338" t="inlineStr">
        <is>
          <t>Frozen values from same rules-based model as formula sheet.</t>
        </is>
      </c>
      <c r="BG338" t="inlineStr">
        <is>
          <t>2026-03-17</t>
        </is>
      </c>
      <c r="BH338" t="inlineStr">
        <is>
          <t>DLD / Digital Dubai / CBUAE / Savills / Knight Frank-Moody’s / Reuters</t>
        </is>
      </c>
    </row>
    <row r="339">
      <c r="A339" t="n">
        <v>338</v>
      </c>
      <c r="B339" t="inlineStr">
        <is>
          <t>Miraclz</t>
        </is>
      </c>
      <c r="C339" t="inlineStr">
        <is>
          <t>Danube Properties</t>
        </is>
      </c>
      <c r="D339" t="inlineStr">
        <is>
          <t>Arjan</t>
        </is>
      </c>
      <c r="E339" t="inlineStr">
        <is>
          <t>Apartments</t>
        </is>
      </c>
      <c r="F339" t="inlineStr">
        <is>
          <t>High-Rise</t>
        </is>
      </c>
      <c r="G339" t="inlineStr">
        <is>
          <t>750k</t>
        </is>
      </c>
      <c r="H339" t="inlineStr">
        <is>
          <t>1000</t>
        </is>
      </c>
      <c r="I339" t="inlineStr">
        <is>
          <t>14</t>
        </is>
      </c>
      <c r="J339" t="inlineStr">
        <is>
          <t>Completed</t>
        </is>
      </c>
      <c r="K339" t="inlineStr">
        <is>
          <t>2017</t>
        </is>
      </c>
      <c r="L339" t="inlineStr">
        <is>
          <t>7.0-7.5</t>
        </is>
      </c>
      <c r="M339" t="inlineStr">
        <is>
          <t>5-7</t>
        </is>
      </c>
      <c r="N339" t="inlineStr">
        <is>
          <t>12.0-14.5</t>
        </is>
      </c>
      <c r="O339" t="inlineStr">
        <is>
          <t>Nord Anglia</t>
        </is>
      </c>
      <c r="P339" t="inlineStr">
        <is>
          <t>Mediclinic Parkview</t>
        </is>
      </c>
      <c r="Q339" t="inlineStr">
        <is>
          <t>Dubai Hills Mall</t>
        </is>
      </c>
      <c r="R339" t="inlineStr">
        <is>
          <t>Umm Suqeim / E311</t>
        </is>
      </c>
      <c r="S339" t="inlineStr">
        <is>
          <t>20</t>
        </is>
      </c>
      <c r="T339" t="inlineStr">
        <is>
          <t>20</t>
        </is>
      </c>
      <c r="U339" t="inlineStr">
        <is>
          <t>30</t>
        </is>
      </c>
      <c r="V339" t="inlineStr">
        <is>
          <t>25</t>
        </is>
      </c>
      <c r="W339" t="n">
        <v>2</v>
      </c>
      <c r="X339" s="12" t="n">
        <v>750000</v>
      </c>
      <c r="Y339" s="12" t="n">
        <v>750000</v>
      </c>
      <c r="Z339" s="9" t="n">
        <v>7</v>
      </c>
      <c r="AA339" s="9" t="n">
        <v>7.5</v>
      </c>
      <c r="AB339" s="9" t="n">
        <v>5</v>
      </c>
      <c r="AC339" s="9" t="n">
        <v>7</v>
      </c>
      <c r="AD339" s="9" t="n">
        <v>12</v>
      </c>
      <c r="AE339" s="9" t="n">
        <v>14.5</v>
      </c>
      <c r="AF339" t="n">
        <v>2017</v>
      </c>
      <c r="AH339" t="inlineStr">
        <is>
          <t>Apartment</t>
        </is>
      </c>
      <c r="AI339" t="inlineStr">
        <is>
          <t>SupplySensitiveApartment</t>
        </is>
      </c>
      <c r="AJ339" t="inlineStr">
        <is>
          <t>MidTier</t>
        </is>
      </c>
      <c r="AK339" t="inlineStr">
        <is>
          <t>Supply-sensitive / selective</t>
        </is>
      </c>
      <c r="AL339" t="inlineStr">
        <is>
          <t>Higher delivery risk in more price-sensitive apartment clusters; building selection and exit liquidity matter.</t>
        </is>
      </c>
      <c r="AM339" s="9" t="n">
        <v>6</v>
      </c>
      <c r="AN339" s="9" t="n">
        <v>7.25</v>
      </c>
      <c r="AO339" s="10" t="n">
        <v>0.55</v>
      </c>
      <c r="AP339" s="13" t="n">
        <v>0</v>
      </c>
      <c r="AQ339" s="13" t="n">
        <v>0</v>
      </c>
      <c r="AR339" s="13" t="n">
        <v>-0.01</v>
      </c>
      <c r="AS339" s="13" t="n">
        <v>-0.01</v>
      </c>
      <c r="AT339" s="13" t="n">
        <v>-0.005</v>
      </c>
      <c r="AU339" s="13" t="n">
        <v>0.0025</v>
      </c>
      <c r="AV339" s="13" t="n">
        <v>-0.005</v>
      </c>
      <c r="AW339" s="13" t="n">
        <v>0.023</v>
      </c>
      <c r="AX339" s="13" t="n">
        <v>-0.0175</v>
      </c>
      <c r="AY339" s="12" t="n">
        <v>744232</v>
      </c>
      <c r="AZ339" s="12" t="n">
        <v>767250</v>
      </c>
      <c r="BA339" s="12" t="n">
        <v>790268</v>
      </c>
      <c r="BB339" s="12" t="n">
        <v>730806</v>
      </c>
      <c r="BC339" s="12" t="n">
        <v>753823</v>
      </c>
      <c r="BD339" s="12" t="n">
        <v>776841</v>
      </c>
      <c r="BE339" s="12" t="n">
        <v>740631</v>
      </c>
      <c r="BF339" t="inlineStr">
        <is>
          <t>Frozen values from same rules-based model as formula sheet.</t>
        </is>
      </c>
      <c r="BG339" t="inlineStr">
        <is>
          <t>2026-03-17</t>
        </is>
      </c>
      <c r="BH339" t="inlineStr">
        <is>
          <t>DLD / Digital Dubai / CBUAE / Savills / Knight Frank-Moody’s / Reuters</t>
        </is>
      </c>
    </row>
    <row r="340">
      <c r="A340" t="n">
        <v>339</v>
      </c>
      <c r="B340" t="inlineStr">
        <is>
          <t>Binghatti Skyrise</t>
        </is>
      </c>
      <c r="C340" t="inlineStr">
        <is>
          <t>Binghatti Developers</t>
        </is>
      </c>
      <c r="D340" t="inlineStr">
        <is>
          <t>Business Bay</t>
        </is>
      </c>
      <c r="E340" t="inlineStr">
        <is>
          <t>Apartments</t>
        </is>
      </c>
      <c r="F340" t="inlineStr">
        <is>
          <t>High-Rise / Canal</t>
        </is>
      </c>
      <c r="G340" t="inlineStr">
        <is>
          <t>1.2M</t>
        </is>
      </c>
      <c r="H340" t="inlineStr">
        <is>
          <t>2000</t>
        </is>
      </c>
      <c r="I340" t="inlineStr">
        <is>
          <t>18</t>
        </is>
      </c>
      <c r="J340" t="inlineStr">
        <is>
          <t>70/30</t>
        </is>
      </c>
      <c r="K340" t="inlineStr">
        <is>
          <t>2024</t>
        </is>
      </c>
      <c r="L340" t="inlineStr">
        <is>
          <t>6.0-6.5</t>
        </is>
      </c>
      <c r="M340" t="inlineStr">
        <is>
          <t>8-10</t>
        </is>
      </c>
      <c r="N340" t="inlineStr">
        <is>
          <t>14.0-16.5</t>
        </is>
      </c>
      <c r="O340" t="inlineStr">
        <is>
          <t>Hartland Intl</t>
        </is>
      </c>
      <c r="P340" t="inlineStr">
        <is>
          <t>Emirates Hospital BB</t>
        </is>
      </c>
      <c r="Q340" t="inlineStr">
        <is>
          <t>Dubai Mall</t>
        </is>
      </c>
      <c r="R340" t="inlineStr">
        <is>
          <t>Al Khail E44</t>
        </is>
      </c>
      <c r="S340" t="inlineStr">
        <is>
          <t>5</t>
        </is>
      </c>
      <c r="T340" t="inlineStr">
        <is>
          <t>20</t>
        </is>
      </c>
      <c r="U340" t="inlineStr">
        <is>
          <t>15</t>
        </is>
      </c>
      <c r="V340" t="inlineStr">
        <is>
          <t>35</t>
        </is>
      </c>
      <c r="W340" t="n">
        <v>2</v>
      </c>
      <c r="X340" s="12" t="n">
        <v>1200000</v>
      </c>
      <c r="Y340" s="12" t="n">
        <v>1200000</v>
      </c>
      <c r="Z340" s="9" t="n">
        <v>6</v>
      </c>
      <c r="AA340" s="9" t="n">
        <v>6.5</v>
      </c>
      <c r="AB340" s="9" t="n">
        <v>8</v>
      </c>
      <c r="AC340" s="9" t="n">
        <v>10</v>
      </c>
      <c r="AD340" s="9" t="n">
        <v>14</v>
      </c>
      <c r="AE340" s="9" t="n">
        <v>16.5</v>
      </c>
      <c r="AF340" t="n">
        <v>2024</v>
      </c>
      <c r="AH340" t="inlineStr">
        <is>
          <t>Apartment</t>
        </is>
      </c>
      <c r="AI340" t="inlineStr">
        <is>
          <t>Prime</t>
        </is>
      </c>
      <c r="AJ340" t="inlineStr">
        <is>
          <t>MidTier</t>
        </is>
      </c>
      <c r="AK340" t="inlineStr">
        <is>
          <t>Prime resilient / selective</t>
        </is>
      </c>
      <c r="AL340" t="inlineStr">
        <is>
          <t>Better support from quality, branding, and scarcer prime stock; still entry-price sensitive.</t>
        </is>
      </c>
      <c r="AM340" s="9" t="n">
        <v>9</v>
      </c>
      <c r="AN340" s="9" t="n">
        <v>6.25</v>
      </c>
      <c r="AO340" s="10" t="n">
        <v>0.55</v>
      </c>
      <c r="AP340" s="13" t="n">
        <v>0.02</v>
      </c>
      <c r="AQ340" s="13" t="n">
        <v>0</v>
      </c>
      <c r="AR340" s="13" t="n">
        <v>0</v>
      </c>
      <c r="AS340" s="13" t="n">
        <v>0.03</v>
      </c>
      <c r="AT340" s="13" t="n">
        <v>-0.005</v>
      </c>
      <c r="AU340" s="13" t="n">
        <v>0.0025</v>
      </c>
      <c r="AV340" s="13" t="n">
        <v>-0.005</v>
      </c>
      <c r="AW340" s="13" t="n">
        <v>0.06950000000000001</v>
      </c>
      <c r="AX340" s="13" t="n">
        <v>0.0225</v>
      </c>
      <c r="AY340" s="12" t="n">
        <v>1244898</v>
      </c>
      <c r="AZ340" s="12" t="n">
        <v>1283400</v>
      </c>
      <c r="BA340" s="12" t="n">
        <v>1321902</v>
      </c>
      <c r="BB340" s="12" t="n">
        <v>1273774</v>
      </c>
      <c r="BC340" s="12" t="n">
        <v>1312276</v>
      </c>
      <c r="BD340" s="12" t="n">
        <v>1350778</v>
      </c>
      <c r="BE340" s="12" t="n">
        <v>1341803</v>
      </c>
      <c r="BF340" t="inlineStr">
        <is>
          <t>Frozen values from same rules-based model as formula sheet.</t>
        </is>
      </c>
      <c r="BG340" t="inlineStr">
        <is>
          <t>2026-03-17</t>
        </is>
      </c>
      <c r="BH340" t="inlineStr">
        <is>
          <t>DLD / Digital Dubai / CBUAE / Savills / Knight Frank-Moody’s / Reuters</t>
        </is>
      </c>
    </row>
    <row r="341">
      <c r="A341" t="n">
        <v>340</v>
      </c>
      <c r="B341" t="inlineStr">
        <is>
          <t>Binghatti Aquarise</t>
        </is>
      </c>
      <c r="C341" t="inlineStr">
        <is>
          <t>Binghatti Developers</t>
        </is>
      </c>
      <c r="D341" t="inlineStr">
        <is>
          <t>Business Bay</t>
        </is>
      </c>
      <c r="E341" t="inlineStr">
        <is>
          <t>Apartments</t>
        </is>
      </c>
      <c r="F341" t="inlineStr">
        <is>
          <t>Canal / Modern</t>
        </is>
      </c>
      <c r="G341" t="inlineStr">
        <is>
          <t>1.3M</t>
        </is>
      </c>
      <c r="H341" t="inlineStr">
        <is>
          <t>2100</t>
        </is>
      </c>
      <c r="I341" t="inlineStr">
        <is>
          <t>18</t>
        </is>
      </c>
      <c r="J341" t="inlineStr">
        <is>
          <t>70/30</t>
        </is>
      </c>
      <c r="K341" t="inlineStr">
        <is>
          <t>2024</t>
        </is>
      </c>
      <c r="L341" t="inlineStr">
        <is>
          <t>6.0-6.5</t>
        </is>
      </c>
      <c r="M341" t="inlineStr">
        <is>
          <t>8-10</t>
        </is>
      </c>
      <c r="N341" t="inlineStr">
        <is>
          <t>14.0-16.5</t>
        </is>
      </c>
      <c r="O341" t="inlineStr">
        <is>
          <t>Hartland Intl</t>
        </is>
      </c>
      <c r="P341" t="inlineStr">
        <is>
          <t>Emirates Hospital BB</t>
        </is>
      </c>
      <c r="Q341" t="inlineStr">
        <is>
          <t>Dubai Mall</t>
        </is>
      </c>
      <c r="R341" t="inlineStr">
        <is>
          <t>Al Khail E44</t>
        </is>
      </c>
      <c r="S341" t="inlineStr">
        <is>
          <t>5</t>
        </is>
      </c>
      <c r="T341" t="inlineStr">
        <is>
          <t>20</t>
        </is>
      </c>
      <c r="U341" t="inlineStr">
        <is>
          <t>15</t>
        </is>
      </c>
      <c r="V341" t="inlineStr">
        <is>
          <t>35</t>
        </is>
      </c>
      <c r="W341" t="n">
        <v>2</v>
      </c>
      <c r="X341" s="12" t="n">
        <v>1300000</v>
      </c>
      <c r="Y341" s="12" t="n">
        <v>1300000</v>
      </c>
      <c r="Z341" s="9" t="n">
        <v>6</v>
      </c>
      <c r="AA341" s="9" t="n">
        <v>6.5</v>
      </c>
      <c r="AB341" s="9" t="n">
        <v>8</v>
      </c>
      <c r="AC341" s="9" t="n">
        <v>10</v>
      </c>
      <c r="AD341" s="9" t="n">
        <v>14</v>
      </c>
      <c r="AE341" s="9" t="n">
        <v>16.5</v>
      </c>
      <c r="AF341" t="n">
        <v>2024</v>
      </c>
      <c r="AH341" t="inlineStr">
        <is>
          <t>Apartment</t>
        </is>
      </c>
      <c r="AI341" t="inlineStr">
        <is>
          <t>Prime</t>
        </is>
      </c>
      <c r="AJ341" t="inlineStr">
        <is>
          <t>MidTier</t>
        </is>
      </c>
      <c r="AK341" t="inlineStr">
        <is>
          <t>Prime resilient / selective</t>
        </is>
      </c>
      <c r="AL341" t="inlineStr">
        <is>
          <t>Better support from quality, branding, and scarcer prime stock; still entry-price sensitive.</t>
        </is>
      </c>
      <c r="AM341" s="9" t="n">
        <v>9</v>
      </c>
      <c r="AN341" s="9" t="n">
        <v>6.25</v>
      </c>
      <c r="AO341" s="10" t="n">
        <v>0.55</v>
      </c>
      <c r="AP341" s="13" t="n">
        <v>0.02</v>
      </c>
      <c r="AQ341" s="13" t="n">
        <v>0</v>
      </c>
      <c r="AR341" s="13" t="n">
        <v>0</v>
      </c>
      <c r="AS341" s="13" t="n">
        <v>0.03</v>
      </c>
      <c r="AT341" s="13" t="n">
        <v>-0.005</v>
      </c>
      <c r="AU341" s="13" t="n">
        <v>0.0025</v>
      </c>
      <c r="AV341" s="13" t="n">
        <v>-0.005</v>
      </c>
      <c r="AW341" s="13" t="n">
        <v>0.06950000000000001</v>
      </c>
      <c r="AX341" s="13" t="n">
        <v>0.0225</v>
      </c>
      <c r="AY341" s="12" t="n">
        <v>1348640</v>
      </c>
      <c r="AZ341" s="12" t="n">
        <v>1390350</v>
      </c>
      <c r="BA341" s="12" t="n">
        <v>1432060</v>
      </c>
      <c r="BB341" s="12" t="n">
        <v>1379922</v>
      </c>
      <c r="BC341" s="12" t="n">
        <v>1421633</v>
      </c>
      <c r="BD341" s="12" t="n">
        <v>1463343</v>
      </c>
      <c r="BE341" s="12" t="n">
        <v>1453620</v>
      </c>
      <c r="BF341" t="inlineStr">
        <is>
          <t>Frozen values from same rules-based model as formula sheet.</t>
        </is>
      </c>
      <c r="BG341" t="inlineStr">
        <is>
          <t>2026-03-17</t>
        </is>
      </c>
      <c r="BH341" t="inlineStr">
        <is>
          <t>DLD / Digital Dubai / CBUAE / Savills / Knight Frank-Moody’s / Reuters</t>
        </is>
      </c>
    </row>
    <row r="342">
      <c r="A342" t="n">
        <v>341</v>
      </c>
      <c r="B342" t="inlineStr">
        <is>
          <t>Binghatti Ghost</t>
        </is>
      </c>
      <c r="C342" t="inlineStr">
        <is>
          <t>Binghatti Developers</t>
        </is>
      </c>
      <c r="D342" t="inlineStr">
        <is>
          <t>Al Jaddaf</t>
        </is>
      </c>
      <c r="E342" t="inlineStr">
        <is>
          <t>Apartments</t>
        </is>
      </c>
      <c r="F342" t="inlineStr">
        <is>
          <t>Modern / Budget</t>
        </is>
      </c>
      <c r="G342" t="inlineStr">
        <is>
          <t>800k</t>
        </is>
      </c>
      <c r="H342" t="inlineStr">
        <is>
          <t>1400</t>
        </is>
      </c>
      <c r="I342" t="inlineStr">
        <is>
          <t>15</t>
        </is>
      </c>
      <c r="J342" t="inlineStr">
        <is>
          <t>70/30</t>
        </is>
      </c>
      <c r="K342" t="inlineStr">
        <is>
          <t>2024</t>
        </is>
      </c>
      <c r="L342" t="inlineStr">
        <is>
          <t>7.0-7.5</t>
        </is>
      </c>
      <c r="M342" t="inlineStr">
        <is>
          <t>6-8</t>
        </is>
      </c>
      <c r="N342" t="inlineStr">
        <is>
          <t>13.0-15.5</t>
        </is>
      </c>
      <c r="O342" t="inlineStr">
        <is>
          <t>Swiss Intl School</t>
        </is>
      </c>
      <c r="P342" t="inlineStr">
        <is>
          <t>American Hospital</t>
        </is>
      </c>
      <c r="Q342" t="inlineStr">
        <is>
          <t>Dubai Festival City</t>
        </is>
      </c>
      <c r="R342" t="inlineStr">
        <is>
          <t>Al Khail E44</t>
        </is>
      </c>
      <c r="S342" t="inlineStr">
        <is>
          <t>10</t>
        </is>
      </c>
      <c r="T342" t="inlineStr">
        <is>
          <t>25</t>
        </is>
      </c>
      <c r="U342" t="inlineStr">
        <is>
          <t>10</t>
        </is>
      </c>
      <c r="V342" t="inlineStr">
        <is>
          <t>40</t>
        </is>
      </c>
      <c r="W342" t="n">
        <v>2</v>
      </c>
      <c r="X342" s="12" t="n">
        <v>800000</v>
      </c>
      <c r="Y342" s="12" t="n">
        <v>800000</v>
      </c>
      <c r="Z342" s="9" t="n">
        <v>7</v>
      </c>
      <c r="AA342" s="9" t="n">
        <v>7.5</v>
      </c>
      <c r="AB342" s="9" t="n">
        <v>6</v>
      </c>
      <c r="AC342" s="9" t="n">
        <v>8</v>
      </c>
      <c r="AD342" s="9" t="n">
        <v>13</v>
      </c>
      <c r="AE342" s="9" t="n">
        <v>15.5</v>
      </c>
      <c r="AF342" t="n">
        <v>2024</v>
      </c>
      <c r="AH342" t="inlineStr">
        <is>
          <t>Apartment</t>
        </is>
      </c>
      <c r="AI342" t="inlineStr">
        <is>
          <t>MainstreamSelective</t>
        </is>
      </c>
      <c r="AJ342" t="inlineStr">
        <is>
          <t>MidTier</t>
        </is>
      </c>
      <c r="AK342" t="inlineStr">
        <is>
          <t>Balanced / selective</t>
        </is>
      </c>
      <c r="AL342" t="inlineStr">
        <is>
          <t>Market remains active but increasingly differentiated by developer, micro-location, livability, and pricing discipline.</t>
        </is>
      </c>
      <c r="AM342" s="9" t="n">
        <v>7</v>
      </c>
      <c r="AN342" s="9" t="n">
        <v>7.25</v>
      </c>
      <c r="AO342" s="10" t="n">
        <v>0.55</v>
      </c>
      <c r="AP342" s="13" t="n">
        <v>0</v>
      </c>
      <c r="AQ342" s="13" t="n">
        <v>0</v>
      </c>
      <c r="AR342" s="13" t="n">
        <v>0</v>
      </c>
      <c r="AS342" s="13" t="n">
        <v>0.01</v>
      </c>
      <c r="AT342" s="13" t="n">
        <v>-0.005</v>
      </c>
      <c r="AU342" s="13" t="n">
        <v>0.0025</v>
      </c>
      <c r="AV342" s="13" t="n">
        <v>-0.005</v>
      </c>
      <c r="AW342" s="13" t="n">
        <v>0.03850000000000001</v>
      </c>
      <c r="AX342" s="13" t="n">
        <v>0.0025</v>
      </c>
      <c r="AY342" s="12" t="n">
        <v>805876</v>
      </c>
      <c r="AZ342" s="12" t="n">
        <v>830800</v>
      </c>
      <c r="BA342" s="12" t="n">
        <v>855724</v>
      </c>
      <c r="BB342" s="12" t="n">
        <v>807953</v>
      </c>
      <c r="BC342" s="12" t="n">
        <v>832877</v>
      </c>
      <c r="BD342" s="12" t="n">
        <v>857801</v>
      </c>
      <c r="BE342" s="12" t="n">
        <v>834959</v>
      </c>
      <c r="BF342" t="inlineStr">
        <is>
          <t>Frozen values from same rules-based model as formula sheet.</t>
        </is>
      </c>
      <c r="BG342" t="inlineStr">
        <is>
          <t>2026-03-17</t>
        </is>
      </c>
      <c r="BH342" t="inlineStr">
        <is>
          <t>DLD / Digital Dubai / CBUAE / Savills / Knight Frank-Moody’s / Reuters</t>
        </is>
      </c>
    </row>
    <row r="343">
      <c r="A343" t="n">
        <v>342</v>
      </c>
      <c r="B343" t="inlineStr">
        <is>
          <t>One by Binghatti</t>
        </is>
      </c>
      <c r="C343" t="inlineStr">
        <is>
          <t>Binghatti Developers</t>
        </is>
      </c>
      <c r="D343" t="inlineStr">
        <is>
          <t>Business Bay</t>
        </is>
      </c>
      <c r="E343" t="inlineStr">
        <is>
          <t>Apartments</t>
        </is>
      </c>
      <c r="F343" t="inlineStr">
        <is>
          <t>Luxury / Waterfront</t>
        </is>
      </c>
      <c r="G343" t="inlineStr">
        <is>
          <t>1.5M</t>
        </is>
      </c>
      <c r="H343" t="inlineStr">
        <is>
          <t>2200</t>
        </is>
      </c>
      <c r="I343" t="inlineStr">
        <is>
          <t>18</t>
        </is>
      </c>
      <c r="J343" t="inlineStr">
        <is>
          <t>70/30</t>
        </is>
      </c>
      <c r="K343" t="inlineStr">
        <is>
          <t>2024</t>
        </is>
      </c>
      <c r="L343" t="inlineStr">
        <is>
          <t>6.0-6.5</t>
        </is>
      </c>
      <c r="M343" t="inlineStr">
        <is>
          <t>8-10</t>
        </is>
      </c>
      <c r="N343" t="inlineStr">
        <is>
          <t>14.0-16.5</t>
        </is>
      </c>
      <c r="O343" t="inlineStr">
        <is>
          <t>Hartland Intl</t>
        </is>
      </c>
      <c r="P343" t="inlineStr">
        <is>
          <t>Emirates Hospital BB</t>
        </is>
      </c>
      <c r="Q343" t="inlineStr">
        <is>
          <t>Dubai Mall</t>
        </is>
      </c>
      <c r="R343" t="inlineStr">
        <is>
          <t>Al Khail E44</t>
        </is>
      </c>
      <c r="S343" t="inlineStr">
        <is>
          <t>5</t>
        </is>
      </c>
      <c r="T343" t="inlineStr">
        <is>
          <t>20</t>
        </is>
      </c>
      <c r="U343" t="inlineStr">
        <is>
          <t>15</t>
        </is>
      </c>
      <c r="V343" t="inlineStr">
        <is>
          <t>35</t>
        </is>
      </c>
      <c r="W343" t="n">
        <v>2</v>
      </c>
      <c r="X343" s="12" t="n">
        <v>1500000</v>
      </c>
      <c r="Y343" s="12" t="n">
        <v>1500000</v>
      </c>
      <c r="Z343" s="9" t="n">
        <v>6</v>
      </c>
      <c r="AA343" s="9" t="n">
        <v>6.5</v>
      </c>
      <c r="AB343" s="9" t="n">
        <v>8</v>
      </c>
      <c r="AC343" s="9" t="n">
        <v>10</v>
      </c>
      <c r="AD343" s="9" t="n">
        <v>14</v>
      </c>
      <c r="AE343" s="9" t="n">
        <v>16.5</v>
      </c>
      <c r="AF343" t="n">
        <v>2024</v>
      </c>
      <c r="AH343" t="inlineStr">
        <is>
          <t>Apartment</t>
        </is>
      </c>
      <c r="AI343" t="inlineStr">
        <is>
          <t>Prime</t>
        </is>
      </c>
      <c r="AJ343" t="inlineStr">
        <is>
          <t>MidTier</t>
        </is>
      </c>
      <c r="AK343" t="inlineStr">
        <is>
          <t>Prime resilient / selective</t>
        </is>
      </c>
      <c r="AL343" t="inlineStr">
        <is>
          <t>Better support from quality, branding, and scarcer prime stock; still entry-price sensitive.</t>
        </is>
      </c>
      <c r="AM343" s="9" t="n">
        <v>9</v>
      </c>
      <c r="AN343" s="9" t="n">
        <v>6.25</v>
      </c>
      <c r="AO343" s="10" t="n">
        <v>0.55</v>
      </c>
      <c r="AP343" s="13" t="n">
        <v>0.02</v>
      </c>
      <c r="AQ343" s="13" t="n">
        <v>0</v>
      </c>
      <c r="AR343" s="13" t="n">
        <v>0</v>
      </c>
      <c r="AS343" s="13" t="n">
        <v>0.03</v>
      </c>
      <c r="AT343" s="13" t="n">
        <v>-0.005</v>
      </c>
      <c r="AU343" s="13" t="n">
        <v>0.0025</v>
      </c>
      <c r="AV343" s="13" t="n">
        <v>-0.005</v>
      </c>
      <c r="AW343" s="13" t="n">
        <v>0.06950000000000001</v>
      </c>
      <c r="AX343" s="13" t="n">
        <v>0.0225</v>
      </c>
      <c r="AY343" s="12" t="n">
        <v>1556122</v>
      </c>
      <c r="AZ343" s="12" t="n">
        <v>1604250</v>
      </c>
      <c r="BA343" s="12" t="n">
        <v>1652378</v>
      </c>
      <c r="BB343" s="12" t="n">
        <v>1592218</v>
      </c>
      <c r="BC343" s="12" t="n">
        <v>1640346</v>
      </c>
      <c r="BD343" s="12" t="n">
        <v>1688473</v>
      </c>
      <c r="BE343" s="12" t="n">
        <v>1677253</v>
      </c>
      <c r="BF343" t="inlineStr">
        <is>
          <t>Frozen values from same rules-based model as formula sheet.</t>
        </is>
      </c>
      <c r="BG343" t="inlineStr">
        <is>
          <t>2026-03-17</t>
        </is>
      </c>
      <c r="BH343" t="inlineStr">
        <is>
          <t>DLD / Digital Dubai / CBUAE / Savills / Knight Frank-Moody’s / Reuters</t>
        </is>
      </c>
    </row>
    <row r="344">
      <c r="A344" t="n">
        <v>343</v>
      </c>
      <c r="B344" t="inlineStr">
        <is>
          <t>Bugatti Residences</t>
        </is>
      </c>
      <c r="C344" t="inlineStr">
        <is>
          <t>Binghatti Developers</t>
        </is>
      </c>
      <c r="D344" t="inlineStr">
        <is>
          <t>Business Bay</t>
        </is>
      </c>
      <c r="E344" t="inlineStr">
        <is>
          <t>Branded Apts</t>
        </is>
      </c>
      <c r="F344" t="inlineStr">
        <is>
          <t>Ultra-Luxury / Car Lift</t>
        </is>
      </c>
      <c r="G344" t="inlineStr">
        <is>
          <t>19M+</t>
        </is>
      </c>
      <c r="H344" t="inlineStr">
        <is>
          <t>5000+</t>
        </is>
      </c>
      <c r="I344" t="inlineStr">
        <is>
          <t>40+</t>
        </is>
      </c>
      <c r="J344" t="inlineStr">
        <is>
          <t>70/30</t>
        </is>
      </c>
      <c r="K344" t="inlineStr">
        <is>
          <t>2023</t>
        </is>
      </c>
      <c r="L344" t="inlineStr">
        <is>
          <t>4.0-4.5</t>
        </is>
      </c>
      <c r="M344" t="inlineStr">
        <is>
          <t>8-12</t>
        </is>
      </c>
      <c r="N344" t="inlineStr">
        <is>
          <t>12.0-16.5</t>
        </is>
      </c>
      <c r="O344" t="inlineStr">
        <is>
          <t>Hartland Intl</t>
        </is>
      </c>
      <c r="P344" t="inlineStr">
        <is>
          <t>Emirates Hospital BB</t>
        </is>
      </c>
      <c r="Q344" t="inlineStr">
        <is>
          <t>Dubai Mall</t>
        </is>
      </c>
      <c r="R344" t="inlineStr">
        <is>
          <t>Al Khail E44</t>
        </is>
      </c>
      <c r="S344" t="inlineStr">
        <is>
          <t>5</t>
        </is>
      </c>
      <c r="T344" t="inlineStr">
        <is>
          <t>20</t>
        </is>
      </c>
      <c r="U344" t="inlineStr">
        <is>
          <t>15</t>
        </is>
      </c>
      <c r="V344" t="inlineStr">
        <is>
          <t>35</t>
        </is>
      </c>
      <c r="W344" t="n">
        <v>2</v>
      </c>
      <c r="X344" s="12" t="n">
        <v>19000000</v>
      </c>
      <c r="Y344" s="12" t="n">
        <v>19000000</v>
      </c>
      <c r="Z344" s="9" t="n">
        <v>4</v>
      </c>
      <c r="AA344" s="9" t="n">
        <v>4.5</v>
      </c>
      <c r="AB344" s="9" t="n">
        <v>8</v>
      </c>
      <c r="AC344" s="9" t="n">
        <v>12</v>
      </c>
      <c r="AD344" s="9" t="n">
        <v>12</v>
      </c>
      <c r="AE344" s="9" t="n">
        <v>16.5</v>
      </c>
      <c r="AF344" t="n">
        <v>2023</v>
      </c>
      <c r="AH344" t="inlineStr">
        <is>
          <t>Apartment</t>
        </is>
      </c>
      <c r="AI344" t="inlineStr">
        <is>
          <t>Prime</t>
        </is>
      </c>
      <c r="AJ344" t="inlineStr">
        <is>
          <t>MidTier</t>
        </is>
      </c>
      <c r="AK344" t="inlineStr">
        <is>
          <t>Prime resilient / selective</t>
        </is>
      </c>
      <c r="AL344" t="inlineStr">
        <is>
          <t>Better support from quality, branding, and scarcer prime stock; still entry-price sensitive.</t>
        </is>
      </c>
      <c r="AM344" s="9" t="n">
        <v>10</v>
      </c>
      <c r="AN344" s="9" t="n">
        <v>4.25</v>
      </c>
      <c r="AO344" s="10" t="n">
        <v>0.55</v>
      </c>
      <c r="AP344" s="13" t="n">
        <v>0.02</v>
      </c>
      <c r="AQ344" s="13" t="n">
        <v>0</v>
      </c>
      <c r="AR344" s="13" t="n">
        <v>0</v>
      </c>
      <c r="AS344" s="13" t="n">
        <v>0.03</v>
      </c>
      <c r="AT344" s="13" t="n">
        <v>-0.005</v>
      </c>
      <c r="AU344" s="13" t="n">
        <v>0</v>
      </c>
      <c r="AV344" s="13" t="n">
        <v>-0.005</v>
      </c>
      <c r="AW344" s="13" t="n">
        <v>0.07500000000000001</v>
      </c>
      <c r="AX344" s="13" t="n">
        <v>0.02</v>
      </c>
      <c r="AY344" s="12" t="n">
        <v>19812250</v>
      </c>
      <c r="AZ344" s="12" t="n">
        <v>20425000</v>
      </c>
      <c r="BA344" s="12" t="n">
        <v>21037750</v>
      </c>
      <c r="BB344" s="12" t="n">
        <v>20220750</v>
      </c>
      <c r="BC344" s="12" t="n">
        <v>20833500</v>
      </c>
      <c r="BD344" s="12" t="n">
        <v>21446250</v>
      </c>
      <c r="BE344" s="12" t="n">
        <v>21250170</v>
      </c>
      <c r="BF344" t="inlineStr">
        <is>
          <t>Frozen values from same rules-based model as formula sheet.</t>
        </is>
      </c>
      <c r="BG344" t="inlineStr">
        <is>
          <t>2026-03-17</t>
        </is>
      </c>
      <c r="BH344" t="inlineStr">
        <is>
          <t>DLD / Digital Dubai / CBUAE / Savills / Knight Frank-Moody’s / Reuters</t>
        </is>
      </c>
    </row>
    <row r="345">
      <c r="A345" t="n">
        <v>344</v>
      </c>
      <c r="B345" t="inlineStr">
        <is>
          <t>Burj Binghatti Jacob &amp; Co</t>
        </is>
      </c>
      <c r="C345" t="inlineStr">
        <is>
          <t>Binghatti Developers</t>
        </is>
      </c>
      <c r="D345" t="inlineStr">
        <is>
          <t>Business Bay</t>
        </is>
      </c>
      <c r="E345" t="inlineStr">
        <is>
          <t>Branded Apts</t>
        </is>
      </c>
      <c r="F345" t="inlineStr">
        <is>
          <t>Hyper-Tower / Jewel</t>
        </is>
      </c>
      <c r="G345" t="inlineStr">
        <is>
          <t>8M+</t>
        </is>
      </c>
      <c r="H345" t="inlineStr">
        <is>
          <t>4500</t>
        </is>
      </c>
      <c r="I345" t="inlineStr">
        <is>
          <t>35+</t>
        </is>
      </c>
      <c r="J345" t="inlineStr">
        <is>
          <t>70/30</t>
        </is>
      </c>
      <c r="K345" t="inlineStr">
        <is>
          <t>2022</t>
        </is>
      </c>
      <c r="L345" t="inlineStr">
        <is>
          <t>4.0-4.5</t>
        </is>
      </c>
      <c r="M345" t="inlineStr">
        <is>
          <t>8-12</t>
        </is>
      </c>
      <c r="N345" t="inlineStr">
        <is>
          <t>12.0-16.5</t>
        </is>
      </c>
      <c r="O345" t="inlineStr">
        <is>
          <t>Hartland Intl</t>
        </is>
      </c>
      <c r="P345" t="inlineStr">
        <is>
          <t>Emirates Hospital BB</t>
        </is>
      </c>
      <c r="Q345" t="inlineStr">
        <is>
          <t>Dubai Mall</t>
        </is>
      </c>
      <c r="R345" t="inlineStr">
        <is>
          <t>Al Khail E44</t>
        </is>
      </c>
      <c r="S345" t="inlineStr">
        <is>
          <t>5</t>
        </is>
      </c>
      <c r="T345" t="inlineStr">
        <is>
          <t>20</t>
        </is>
      </c>
      <c r="U345" t="inlineStr">
        <is>
          <t>15</t>
        </is>
      </c>
      <c r="V345" t="inlineStr">
        <is>
          <t>35</t>
        </is>
      </c>
      <c r="W345" t="n">
        <v>2</v>
      </c>
      <c r="X345" s="12" t="n">
        <v>8000000</v>
      </c>
      <c r="Y345" s="12" t="n">
        <v>8000000</v>
      </c>
      <c r="Z345" s="9" t="n">
        <v>4</v>
      </c>
      <c r="AA345" s="9" t="n">
        <v>4.5</v>
      </c>
      <c r="AB345" s="9" t="n">
        <v>8</v>
      </c>
      <c r="AC345" s="9" t="n">
        <v>12</v>
      </c>
      <c r="AD345" s="9" t="n">
        <v>12</v>
      </c>
      <c r="AE345" s="9" t="n">
        <v>16.5</v>
      </c>
      <c r="AF345" t="n">
        <v>2022</v>
      </c>
      <c r="AH345" t="inlineStr">
        <is>
          <t>Apartment</t>
        </is>
      </c>
      <c r="AI345" t="inlineStr">
        <is>
          <t>Prime</t>
        </is>
      </c>
      <c r="AJ345" t="inlineStr">
        <is>
          <t>MidTier</t>
        </is>
      </c>
      <c r="AK345" t="inlineStr">
        <is>
          <t>Prime resilient / selective</t>
        </is>
      </c>
      <c r="AL345" t="inlineStr">
        <is>
          <t>Better support from quality, branding, and scarcer prime stock; still entry-price sensitive.</t>
        </is>
      </c>
      <c r="AM345" s="9" t="n">
        <v>10</v>
      </c>
      <c r="AN345" s="9" t="n">
        <v>4.25</v>
      </c>
      <c r="AO345" s="10" t="n">
        <v>0.55</v>
      </c>
      <c r="AP345" s="13" t="n">
        <v>0.02</v>
      </c>
      <c r="AQ345" s="13" t="n">
        <v>0</v>
      </c>
      <c r="AR345" s="13" t="n">
        <v>0</v>
      </c>
      <c r="AS345" s="13" t="n">
        <v>0.03</v>
      </c>
      <c r="AT345" s="13" t="n">
        <v>-0.005</v>
      </c>
      <c r="AU345" s="13" t="n">
        <v>0</v>
      </c>
      <c r="AV345" s="13" t="n">
        <v>-0.005</v>
      </c>
      <c r="AW345" s="13" t="n">
        <v>0.07500000000000001</v>
      </c>
      <c r="AX345" s="13" t="n">
        <v>0.02</v>
      </c>
      <c r="AY345" s="12" t="n">
        <v>8342000</v>
      </c>
      <c r="AZ345" s="12" t="n">
        <v>8600000</v>
      </c>
      <c r="BA345" s="12" t="n">
        <v>8858000</v>
      </c>
      <c r="BB345" s="12" t="n">
        <v>8514000</v>
      </c>
      <c r="BC345" s="12" t="n">
        <v>8772000</v>
      </c>
      <c r="BD345" s="12" t="n">
        <v>9030000</v>
      </c>
      <c r="BE345" s="12" t="n">
        <v>8947440</v>
      </c>
      <c r="BF345" t="inlineStr">
        <is>
          <t>Frozen values from same rules-based model as formula sheet.</t>
        </is>
      </c>
      <c r="BG345" t="inlineStr">
        <is>
          <t>2026-03-17</t>
        </is>
      </c>
      <c r="BH345" t="inlineStr">
        <is>
          <t>DLD / Digital Dubai / CBUAE / Savills / Knight Frank-Moody’s / Reuters</t>
        </is>
      </c>
    </row>
    <row r="346">
      <c r="A346" t="n">
        <v>345</v>
      </c>
      <c r="B346" t="inlineStr">
        <is>
          <t>Binghatti Trillionaire</t>
        </is>
      </c>
      <c r="C346" t="inlineStr">
        <is>
          <t>Binghatti Developers</t>
        </is>
      </c>
      <c r="D346" t="inlineStr">
        <is>
          <t>Business Bay</t>
        </is>
      </c>
      <c r="E346" t="inlineStr">
        <is>
          <t>Apartments</t>
        </is>
      </c>
      <c r="F346" t="inlineStr">
        <is>
          <t>Waterfront / Luxury</t>
        </is>
      </c>
      <c r="G346" t="inlineStr">
        <is>
          <t>1.8M</t>
        </is>
      </c>
      <c r="H346" t="inlineStr">
        <is>
          <t>2300</t>
        </is>
      </c>
      <c r="I346" t="inlineStr">
        <is>
          <t>18</t>
        </is>
      </c>
      <c r="J346" t="inlineStr">
        <is>
          <t>70/30</t>
        </is>
      </c>
      <c r="K346" t="inlineStr">
        <is>
          <t>2023</t>
        </is>
      </c>
      <c r="L346" t="inlineStr">
        <is>
          <t>6.0-6.5</t>
        </is>
      </c>
      <c r="M346" t="inlineStr">
        <is>
          <t>7-9</t>
        </is>
      </c>
      <c r="N346" t="inlineStr">
        <is>
          <t>13.0-15.5</t>
        </is>
      </c>
      <c r="O346" t="inlineStr">
        <is>
          <t>Hartland Intl</t>
        </is>
      </c>
      <c r="P346" t="inlineStr">
        <is>
          <t>Emirates Hospital BB</t>
        </is>
      </c>
      <c r="Q346" t="inlineStr">
        <is>
          <t>Dubai Mall</t>
        </is>
      </c>
      <c r="R346" t="inlineStr">
        <is>
          <t>Al Khail E44</t>
        </is>
      </c>
      <c r="S346" t="inlineStr">
        <is>
          <t>5</t>
        </is>
      </c>
      <c r="T346" t="inlineStr">
        <is>
          <t>20</t>
        </is>
      </c>
      <c r="U346" t="inlineStr">
        <is>
          <t>15</t>
        </is>
      </c>
      <c r="V346" t="inlineStr">
        <is>
          <t>35</t>
        </is>
      </c>
      <c r="W346" t="n">
        <v>2</v>
      </c>
      <c r="X346" s="12" t="n">
        <v>1800000</v>
      </c>
      <c r="Y346" s="12" t="n">
        <v>1800000</v>
      </c>
      <c r="Z346" s="9" t="n">
        <v>6</v>
      </c>
      <c r="AA346" s="9" t="n">
        <v>6.5</v>
      </c>
      <c r="AB346" s="9" t="n">
        <v>7</v>
      </c>
      <c r="AC346" s="9" t="n">
        <v>9</v>
      </c>
      <c r="AD346" s="9" t="n">
        <v>13</v>
      </c>
      <c r="AE346" s="9" t="n">
        <v>15.5</v>
      </c>
      <c r="AF346" t="n">
        <v>2023</v>
      </c>
      <c r="AH346" t="inlineStr">
        <is>
          <t>Apartment</t>
        </is>
      </c>
      <c r="AI346" t="inlineStr">
        <is>
          <t>Prime</t>
        </is>
      </c>
      <c r="AJ346" t="inlineStr">
        <is>
          <t>MidTier</t>
        </is>
      </c>
      <c r="AK346" t="inlineStr">
        <is>
          <t>Prime resilient / selective</t>
        </is>
      </c>
      <c r="AL346" t="inlineStr">
        <is>
          <t>Better support from quality, branding, and scarcer prime stock; still entry-price sensitive.</t>
        </is>
      </c>
      <c r="AM346" s="9" t="n">
        <v>8</v>
      </c>
      <c r="AN346" s="9" t="n">
        <v>6.25</v>
      </c>
      <c r="AO346" s="10" t="n">
        <v>0.55</v>
      </c>
      <c r="AP346" s="13" t="n">
        <v>0.02</v>
      </c>
      <c r="AQ346" s="13" t="n">
        <v>0</v>
      </c>
      <c r="AR346" s="13" t="n">
        <v>0</v>
      </c>
      <c r="AS346" s="13" t="n">
        <v>0.03</v>
      </c>
      <c r="AT346" s="13" t="n">
        <v>-0.005</v>
      </c>
      <c r="AU346" s="13" t="n">
        <v>0.0025</v>
      </c>
      <c r="AV346" s="13" t="n">
        <v>-0.005</v>
      </c>
      <c r="AW346" s="13" t="n">
        <v>0.064</v>
      </c>
      <c r="AX346" s="13" t="n">
        <v>0.0225</v>
      </c>
      <c r="AY346" s="12" t="n">
        <v>1857744</v>
      </c>
      <c r="AZ346" s="12" t="n">
        <v>1915200</v>
      </c>
      <c r="BA346" s="12" t="n">
        <v>1972656</v>
      </c>
      <c r="BB346" s="12" t="n">
        <v>1900836</v>
      </c>
      <c r="BC346" s="12" t="n">
        <v>1958292</v>
      </c>
      <c r="BD346" s="12" t="n">
        <v>2015748</v>
      </c>
      <c r="BE346" s="12" t="n">
        <v>2002354</v>
      </c>
      <c r="BF346" t="inlineStr">
        <is>
          <t>Frozen values from same rules-based model as formula sheet.</t>
        </is>
      </c>
      <c r="BG346" t="inlineStr">
        <is>
          <t>2026-03-17</t>
        </is>
      </c>
      <c r="BH346" t="inlineStr">
        <is>
          <t>DLD / Digital Dubai / CBUAE / Savills / Knight Frank-Moody’s / Reuters</t>
        </is>
      </c>
    </row>
    <row r="347">
      <c r="A347" t="n">
        <v>346</v>
      </c>
      <c r="B347" t="inlineStr">
        <is>
          <t>Binghatti Mercedes-Benz Places</t>
        </is>
      </c>
      <c r="C347" t="inlineStr">
        <is>
          <t>Binghatti Developers</t>
        </is>
      </c>
      <c r="D347" t="inlineStr">
        <is>
          <t>Downtown Dubai</t>
        </is>
      </c>
      <c r="E347" t="inlineStr">
        <is>
          <t>Branded Apts</t>
        </is>
      </c>
      <c r="F347" t="inlineStr">
        <is>
          <t>Iconic Tower</t>
        </is>
      </c>
      <c r="G347" t="inlineStr">
        <is>
          <t>8.8M</t>
        </is>
      </c>
      <c r="H347" t="inlineStr">
        <is>
          <t>3500</t>
        </is>
      </c>
      <c r="I347" t="inlineStr">
        <is>
          <t>35+</t>
        </is>
      </c>
      <c r="J347" t="inlineStr">
        <is>
          <t>70/30</t>
        </is>
      </c>
      <c r="K347" t="inlineStr">
        <is>
          <t>Q4 2026</t>
        </is>
      </c>
      <c r="L347" t="inlineStr">
        <is>
          <t>4.0-4.5</t>
        </is>
      </c>
      <c r="M347" t="inlineStr">
        <is>
          <t>10-15</t>
        </is>
      </c>
      <c r="N347" t="inlineStr">
        <is>
          <t>14.0-19.5</t>
        </is>
      </c>
      <c r="O347" t="inlineStr">
        <is>
          <t>Hartland Intl</t>
        </is>
      </c>
      <c r="P347" t="inlineStr">
        <is>
          <t>Mediclinic Dubai Mall</t>
        </is>
      </c>
      <c r="Q347" t="inlineStr">
        <is>
          <t>Dubai Mall</t>
        </is>
      </c>
      <c r="R347" t="inlineStr">
        <is>
          <t>Financial Ctr Rd</t>
        </is>
      </c>
      <c r="S347" t="inlineStr">
        <is>
          <t>5</t>
        </is>
      </c>
      <c r="T347" t="inlineStr">
        <is>
          <t>20</t>
        </is>
      </c>
      <c r="U347" t="inlineStr">
        <is>
          <t>15</t>
        </is>
      </c>
      <c r="V347" t="inlineStr">
        <is>
          <t>35</t>
        </is>
      </c>
      <c r="W347" t="n">
        <v>2</v>
      </c>
      <c r="X347" s="12" t="n">
        <v>8800000</v>
      </c>
      <c r="Y347" s="12" t="n">
        <v>8800000</v>
      </c>
      <c r="Z347" s="9" t="n">
        <v>4</v>
      </c>
      <c r="AA347" s="9" t="n">
        <v>4.5</v>
      </c>
      <c r="AB347" s="9" t="n">
        <v>10</v>
      </c>
      <c r="AC347" s="9" t="n">
        <v>15</v>
      </c>
      <c r="AD347" s="9" t="n">
        <v>14</v>
      </c>
      <c r="AE347" s="9" t="n">
        <v>19.5</v>
      </c>
      <c r="AF347" t="n">
        <v>2026</v>
      </c>
      <c r="AG347" t="n">
        <v>4</v>
      </c>
      <c r="AH347" t="inlineStr">
        <is>
          <t>Apartment</t>
        </is>
      </c>
      <c r="AI347" t="inlineStr">
        <is>
          <t>Prime</t>
        </is>
      </c>
      <c r="AJ347" t="inlineStr">
        <is>
          <t>MidTier</t>
        </is>
      </c>
      <c r="AK347" t="inlineStr">
        <is>
          <t>Prime resilient / selective</t>
        </is>
      </c>
      <c r="AL347" t="inlineStr">
        <is>
          <t>Better support from quality, branding, and scarcer prime stock; still entry-price sensitive.</t>
        </is>
      </c>
      <c r="AM347" s="9" t="n">
        <v>12.5</v>
      </c>
      <c r="AN347" s="9" t="n">
        <v>4.25</v>
      </c>
      <c r="AO347" s="10" t="n">
        <v>0.25</v>
      </c>
      <c r="AP347" s="13" t="n">
        <v>0.02</v>
      </c>
      <c r="AQ347" s="13" t="n">
        <v>0</v>
      </c>
      <c r="AR347" s="13" t="n">
        <v>0</v>
      </c>
      <c r="AS347" s="13" t="n">
        <v>0.03</v>
      </c>
      <c r="AT347" s="13" t="n">
        <v>-0.005</v>
      </c>
      <c r="AU347" s="13" t="n">
        <v>0</v>
      </c>
      <c r="AV347" s="13" t="n">
        <v>-0.005</v>
      </c>
      <c r="AW347" s="13" t="n">
        <v>0.05125</v>
      </c>
      <c r="AX347" s="13" t="n">
        <v>0.02</v>
      </c>
      <c r="AY347" s="12" t="n">
        <v>8973470</v>
      </c>
      <c r="AZ347" s="12" t="n">
        <v>9251000</v>
      </c>
      <c r="BA347" s="12" t="n">
        <v>9528530</v>
      </c>
      <c r="BB347" s="12" t="n">
        <v>9158490</v>
      </c>
      <c r="BC347" s="12" t="n">
        <v>9436020</v>
      </c>
      <c r="BD347" s="12" t="n">
        <v>9713550</v>
      </c>
      <c r="BE347" s="12" t="n">
        <v>9624740</v>
      </c>
      <c r="BF347" t="inlineStr">
        <is>
          <t>Frozen values from same rules-based model as formula sheet.</t>
        </is>
      </c>
      <c r="BG347" t="inlineStr">
        <is>
          <t>2026-03-17</t>
        </is>
      </c>
      <c r="BH347" t="inlineStr">
        <is>
          <t>DLD / Digital Dubai / CBUAE / Savills / Knight Frank-Moody’s / Reuters</t>
        </is>
      </c>
    </row>
    <row r="348">
      <c r="A348" t="n">
        <v>347</v>
      </c>
      <c r="B348" t="inlineStr">
        <is>
          <t>Binghatti Cullinan</t>
        </is>
      </c>
      <c r="C348" t="inlineStr">
        <is>
          <t>Binghatti Developers</t>
        </is>
      </c>
      <c r="D348" t="inlineStr">
        <is>
          <t>Al Jaddaf</t>
        </is>
      </c>
      <c r="E348" t="inlineStr">
        <is>
          <t>Apartments</t>
        </is>
      </c>
      <c r="F348" t="inlineStr">
        <is>
          <t>Luxury / Budget</t>
        </is>
      </c>
      <c r="G348" t="inlineStr">
        <is>
          <t>900k</t>
        </is>
      </c>
      <c r="H348" t="inlineStr">
        <is>
          <t>1500</t>
        </is>
      </c>
      <c r="I348" t="inlineStr">
        <is>
          <t>15</t>
        </is>
      </c>
      <c r="J348" t="inlineStr">
        <is>
          <t>70/30</t>
        </is>
      </c>
      <c r="K348" t="inlineStr">
        <is>
          <t>2024</t>
        </is>
      </c>
      <c r="L348" t="inlineStr">
        <is>
          <t>7.0-7.5</t>
        </is>
      </c>
      <c r="M348" t="inlineStr">
        <is>
          <t>6-8</t>
        </is>
      </c>
      <c r="N348" t="inlineStr">
        <is>
          <t>13.0-15.5</t>
        </is>
      </c>
      <c r="O348" t="inlineStr">
        <is>
          <t>Swiss Intl School</t>
        </is>
      </c>
      <c r="P348" t="inlineStr">
        <is>
          <t>American Hospital</t>
        </is>
      </c>
      <c r="Q348" t="inlineStr">
        <is>
          <t>Dubai Festival City</t>
        </is>
      </c>
      <c r="R348" t="inlineStr">
        <is>
          <t>Al Khail E44</t>
        </is>
      </c>
      <c r="S348" t="inlineStr">
        <is>
          <t>10</t>
        </is>
      </c>
      <c r="T348" t="inlineStr">
        <is>
          <t>25</t>
        </is>
      </c>
      <c r="U348" t="inlineStr">
        <is>
          <t>10</t>
        </is>
      </c>
      <c r="V348" t="inlineStr">
        <is>
          <t>40</t>
        </is>
      </c>
      <c r="W348" t="n">
        <v>2</v>
      </c>
      <c r="X348" s="12" t="n">
        <v>900000</v>
      </c>
      <c r="Y348" s="12" t="n">
        <v>900000</v>
      </c>
      <c r="Z348" s="9" t="n">
        <v>7</v>
      </c>
      <c r="AA348" s="9" t="n">
        <v>7.5</v>
      </c>
      <c r="AB348" s="9" t="n">
        <v>6</v>
      </c>
      <c r="AC348" s="9" t="n">
        <v>8</v>
      </c>
      <c r="AD348" s="9" t="n">
        <v>13</v>
      </c>
      <c r="AE348" s="9" t="n">
        <v>15.5</v>
      </c>
      <c r="AF348" t="n">
        <v>2024</v>
      </c>
      <c r="AH348" t="inlineStr">
        <is>
          <t>Apartment</t>
        </is>
      </c>
      <c r="AI348" t="inlineStr">
        <is>
          <t>MainstreamSelective</t>
        </is>
      </c>
      <c r="AJ348" t="inlineStr">
        <is>
          <t>MidTier</t>
        </is>
      </c>
      <c r="AK348" t="inlineStr">
        <is>
          <t>Balanced / selective</t>
        </is>
      </c>
      <c r="AL348" t="inlineStr">
        <is>
          <t>Market remains active but increasingly differentiated by developer, micro-location, livability, and pricing discipline.</t>
        </is>
      </c>
      <c r="AM348" s="9" t="n">
        <v>7</v>
      </c>
      <c r="AN348" s="9" t="n">
        <v>7.25</v>
      </c>
      <c r="AO348" s="10" t="n">
        <v>0.55</v>
      </c>
      <c r="AP348" s="13" t="n">
        <v>0</v>
      </c>
      <c r="AQ348" s="13" t="n">
        <v>0</v>
      </c>
      <c r="AR348" s="13" t="n">
        <v>0</v>
      </c>
      <c r="AS348" s="13" t="n">
        <v>0.01</v>
      </c>
      <c r="AT348" s="13" t="n">
        <v>-0.005</v>
      </c>
      <c r="AU348" s="13" t="n">
        <v>0.0025</v>
      </c>
      <c r="AV348" s="13" t="n">
        <v>-0.005</v>
      </c>
      <c r="AW348" s="13" t="n">
        <v>0.03850000000000001</v>
      </c>
      <c r="AX348" s="13" t="n">
        <v>0.0025</v>
      </c>
      <c r="AY348" s="12" t="n">
        <v>906610</v>
      </c>
      <c r="AZ348" s="12" t="n">
        <v>934650</v>
      </c>
      <c r="BA348" s="12" t="n">
        <v>962690</v>
      </c>
      <c r="BB348" s="12" t="n">
        <v>908947</v>
      </c>
      <c r="BC348" s="12" t="n">
        <v>936987</v>
      </c>
      <c r="BD348" s="12" t="n">
        <v>965026</v>
      </c>
      <c r="BE348" s="12" t="n">
        <v>939329</v>
      </c>
      <c r="BF348" t="inlineStr">
        <is>
          <t>Frozen values from same rules-based model as formula sheet.</t>
        </is>
      </c>
      <c r="BG348" t="inlineStr">
        <is>
          <t>2026-03-17</t>
        </is>
      </c>
      <c r="BH348" t="inlineStr">
        <is>
          <t>DLD / Digital Dubai / CBUAE / Savills / Knight Frank-Moody’s / Reuters</t>
        </is>
      </c>
    </row>
    <row r="349">
      <c r="A349" t="n">
        <v>348</v>
      </c>
      <c r="B349" t="inlineStr">
        <is>
          <t>Binghatti Hills Phase 1</t>
        </is>
      </c>
      <c r="C349" t="inlineStr">
        <is>
          <t>Binghatti Developers</t>
        </is>
      </c>
      <c r="D349" t="inlineStr">
        <is>
          <t>Dubai Science Park</t>
        </is>
      </c>
      <c r="E349" t="inlineStr">
        <is>
          <t>Apartments</t>
        </is>
      </c>
      <c r="F349" t="inlineStr">
        <is>
          <t>Large Scale / Hill</t>
        </is>
      </c>
      <c r="G349" t="inlineStr">
        <is>
          <t>900k</t>
        </is>
      </c>
      <c r="H349" t="inlineStr">
        <is>
          <t>1400</t>
        </is>
      </c>
      <c r="I349" t="inlineStr">
        <is>
          <t>15</t>
        </is>
      </c>
      <c r="J349" t="inlineStr">
        <is>
          <t>70/30</t>
        </is>
      </c>
      <c r="K349" t="inlineStr">
        <is>
          <t>2024</t>
        </is>
      </c>
      <c r="L349" t="inlineStr">
        <is>
          <t>7.0-7.5</t>
        </is>
      </c>
      <c r="M349" t="inlineStr">
        <is>
          <t>7-9</t>
        </is>
      </c>
      <c r="N349" t="inlineStr">
        <is>
          <t>14.0-16.5</t>
        </is>
      </c>
      <c r="O349" t="inlineStr">
        <is>
          <t>GEMS Founders</t>
        </is>
      </c>
      <c r="P349" t="inlineStr">
        <is>
          <t>Mediclinic Parkview</t>
        </is>
      </c>
      <c r="Q349" t="inlineStr">
        <is>
          <t>Dubai Hills Mall</t>
        </is>
      </c>
      <c r="R349" t="inlineStr">
        <is>
          <t>Umm Suqeim / E44</t>
        </is>
      </c>
      <c r="S349" t="inlineStr">
        <is>
          <t>20</t>
        </is>
      </c>
      <c r="T349" t="inlineStr">
        <is>
          <t>20</t>
        </is>
      </c>
      <c r="U349" t="inlineStr">
        <is>
          <t>25</t>
        </is>
      </c>
      <c r="V349" t="inlineStr">
        <is>
          <t>30</t>
        </is>
      </c>
      <c r="W349" t="n">
        <v>2</v>
      </c>
      <c r="X349" s="12" t="n">
        <v>900000</v>
      </c>
      <c r="Y349" s="12" t="n">
        <v>900000</v>
      </c>
      <c r="Z349" s="9" t="n">
        <v>7</v>
      </c>
      <c r="AA349" s="9" t="n">
        <v>7.5</v>
      </c>
      <c r="AB349" s="9" t="n">
        <v>7</v>
      </c>
      <c r="AC349" s="9" t="n">
        <v>9</v>
      </c>
      <c r="AD349" s="9" t="n">
        <v>14</v>
      </c>
      <c r="AE349" s="9" t="n">
        <v>16.5</v>
      </c>
      <c r="AF349" t="n">
        <v>2024</v>
      </c>
      <c r="AH349" t="inlineStr">
        <is>
          <t>Apartment</t>
        </is>
      </c>
      <c r="AI349" t="inlineStr">
        <is>
          <t>MainstreamSelective</t>
        </is>
      </c>
      <c r="AJ349" t="inlineStr">
        <is>
          <t>MidTier</t>
        </is>
      </c>
      <c r="AK349" t="inlineStr">
        <is>
          <t>Balanced / selective</t>
        </is>
      </c>
      <c r="AL349" t="inlineStr">
        <is>
          <t>Market remains active but increasingly differentiated by developer, micro-location, livability, and pricing discipline.</t>
        </is>
      </c>
      <c r="AM349" s="9" t="n">
        <v>8</v>
      </c>
      <c r="AN349" s="9" t="n">
        <v>7.25</v>
      </c>
      <c r="AO349" s="10" t="n">
        <v>0.55</v>
      </c>
      <c r="AP349" s="13" t="n">
        <v>0</v>
      </c>
      <c r="AQ349" s="13" t="n">
        <v>0</v>
      </c>
      <c r="AR349" s="13" t="n">
        <v>0</v>
      </c>
      <c r="AS349" s="13" t="n">
        <v>0.01</v>
      </c>
      <c r="AT349" s="13" t="n">
        <v>-0.005</v>
      </c>
      <c r="AU349" s="13" t="n">
        <v>0.0025</v>
      </c>
      <c r="AV349" s="13" t="n">
        <v>-0.005</v>
      </c>
      <c r="AW349" s="13" t="n">
        <v>0.044</v>
      </c>
      <c r="AX349" s="13" t="n">
        <v>0.0025</v>
      </c>
      <c r="AY349" s="12" t="n">
        <v>911412</v>
      </c>
      <c r="AZ349" s="12" t="n">
        <v>939600</v>
      </c>
      <c r="BA349" s="12" t="n">
        <v>967788</v>
      </c>
      <c r="BB349" s="12" t="n">
        <v>913761</v>
      </c>
      <c r="BC349" s="12" t="n">
        <v>941949</v>
      </c>
      <c r="BD349" s="12" t="n">
        <v>970137</v>
      </c>
      <c r="BE349" s="12" t="n">
        <v>944304</v>
      </c>
      <c r="BF349" t="inlineStr">
        <is>
          <t>Frozen values from same rules-based model as formula sheet.</t>
        </is>
      </c>
      <c r="BG349" t="inlineStr">
        <is>
          <t>2026-03-17</t>
        </is>
      </c>
      <c r="BH349" t="inlineStr">
        <is>
          <t>DLD / Digital Dubai / CBUAE / Savills / Knight Frank-Moody’s / Reuters</t>
        </is>
      </c>
    </row>
    <row r="350">
      <c r="A350" t="n">
        <v>349</v>
      </c>
      <c r="B350" t="inlineStr">
        <is>
          <t>Binghatti Hills Phase 2</t>
        </is>
      </c>
      <c r="C350" t="inlineStr">
        <is>
          <t>Binghatti Developers</t>
        </is>
      </c>
      <c r="D350" t="inlineStr">
        <is>
          <t>Dubai Science Park</t>
        </is>
      </c>
      <c r="E350" t="inlineStr">
        <is>
          <t>Apartments</t>
        </is>
      </c>
      <c r="F350" t="inlineStr">
        <is>
          <t>Large Scale / Hill</t>
        </is>
      </c>
      <c r="G350" t="inlineStr">
        <is>
          <t>950k</t>
        </is>
      </c>
      <c r="H350" t="inlineStr">
        <is>
          <t>1450</t>
        </is>
      </c>
      <c r="I350" t="inlineStr">
        <is>
          <t>15</t>
        </is>
      </c>
      <c r="J350" t="inlineStr">
        <is>
          <t>70/30</t>
        </is>
      </c>
      <c r="K350" t="inlineStr">
        <is>
          <t>2024</t>
        </is>
      </c>
      <c r="L350" t="inlineStr">
        <is>
          <t>7.0-7.5</t>
        </is>
      </c>
      <c r="M350" t="inlineStr">
        <is>
          <t>7-9</t>
        </is>
      </c>
      <c r="N350" t="inlineStr">
        <is>
          <t>14.0-16.5</t>
        </is>
      </c>
      <c r="O350" t="inlineStr">
        <is>
          <t>GEMS Founders</t>
        </is>
      </c>
      <c r="P350" t="inlineStr">
        <is>
          <t>Mediclinic Parkview</t>
        </is>
      </c>
      <c r="Q350" t="inlineStr">
        <is>
          <t>Dubai Hills Mall</t>
        </is>
      </c>
      <c r="R350" t="inlineStr">
        <is>
          <t>Umm Suqeim / E44</t>
        </is>
      </c>
      <c r="S350" t="inlineStr">
        <is>
          <t>20</t>
        </is>
      </c>
      <c r="T350" t="inlineStr">
        <is>
          <t>20</t>
        </is>
      </c>
      <c r="U350" t="inlineStr">
        <is>
          <t>25</t>
        </is>
      </c>
      <c r="V350" t="inlineStr">
        <is>
          <t>30</t>
        </is>
      </c>
      <c r="W350" t="n">
        <v>2</v>
      </c>
      <c r="X350" s="12" t="n">
        <v>950000</v>
      </c>
      <c r="Y350" s="12" t="n">
        <v>950000</v>
      </c>
      <c r="Z350" s="9" t="n">
        <v>7</v>
      </c>
      <c r="AA350" s="9" t="n">
        <v>7.5</v>
      </c>
      <c r="AB350" s="9" t="n">
        <v>7</v>
      </c>
      <c r="AC350" s="9" t="n">
        <v>9</v>
      </c>
      <c r="AD350" s="9" t="n">
        <v>14</v>
      </c>
      <c r="AE350" s="9" t="n">
        <v>16.5</v>
      </c>
      <c r="AF350" t="n">
        <v>2024</v>
      </c>
      <c r="AH350" t="inlineStr">
        <is>
          <t>Apartment</t>
        </is>
      </c>
      <c r="AI350" t="inlineStr">
        <is>
          <t>MainstreamSelective</t>
        </is>
      </c>
      <c r="AJ350" t="inlineStr">
        <is>
          <t>MidTier</t>
        </is>
      </c>
      <c r="AK350" t="inlineStr">
        <is>
          <t>Balanced / selective</t>
        </is>
      </c>
      <c r="AL350" t="inlineStr">
        <is>
          <t>Market remains active but increasingly differentiated by developer, micro-location, livability, and pricing discipline.</t>
        </is>
      </c>
      <c r="AM350" s="9" t="n">
        <v>8</v>
      </c>
      <c r="AN350" s="9" t="n">
        <v>7.25</v>
      </c>
      <c r="AO350" s="10" t="n">
        <v>0.55</v>
      </c>
      <c r="AP350" s="13" t="n">
        <v>0</v>
      </c>
      <c r="AQ350" s="13" t="n">
        <v>0</v>
      </c>
      <c r="AR350" s="13" t="n">
        <v>0</v>
      </c>
      <c r="AS350" s="13" t="n">
        <v>0.01</v>
      </c>
      <c r="AT350" s="13" t="n">
        <v>-0.005</v>
      </c>
      <c r="AU350" s="13" t="n">
        <v>0.0025</v>
      </c>
      <c r="AV350" s="13" t="n">
        <v>-0.005</v>
      </c>
      <c r="AW350" s="13" t="n">
        <v>0.044</v>
      </c>
      <c r="AX350" s="13" t="n">
        <v>0.0025</v>
      </c>
      <c r="AY350" s="12" t="n">
        <v>962046</v>
      </c>
      <c r="AZ350" s="12" t="n">
        <v>991800</v>
      </c>
      <c r="BA350" s="12" t="n">
        <v>1021554</v>
      </c>
      <c r="BB350" s="12" t="n">
        <v>964525</v>
      </c>
      <c r="BC350" s="12" t="n">
        <v>994280</v>
      </c>
      <c r="BD350" s="12" t="n">
        <v>1024034</v>
      </c>
      <c r="BE350" s="12" t="n">
        <v>996765</v>
      </c>
      <c r="BF350" t="inlineStr">
        <is>
          <t>Frozen values from same rules-based model as formula sheet.</t>
        </is>
      </c>
      <c r="BG350" t="inlineStr">
        <is>
          <t>2026-03-17</t>
        </is>
      </c>
      <c r="BH350" t="inlineStr">
        <is>
          <t>DLD / Digital Dubai / CBUAE / Savills / Knight Frank-Moody’s / Reuters</t>
        </is>
      </c>
    </row>
    <row r="351">
      <c r="A351" t="n">
        <v>350</v>
      </c>
      <c r="B351" t="inlineStr">
        <is>
          <t>Binghatti Royale</t>
        </is>
      </c>
      <c r="C351" t="inlineStr">
        <is>
          <t>Binghatti Developers</t>
        </is>
      </c>
      <c r="D351" t="inlineStr">
        <is>
          <t>JVC</t>
        </is>
      </c>
      <c r="E351" t="inlineStr">
        <is>
          <t>Apartments</t>
        </is>
      </c>
      <c r="F351" t="inlineStr">
        <is>
          <t>Circle / Design</t>
        </is>
      </c>
      <c r="G351" t="inlineStr">
        <is>
          <t>900k</t>
        </is>
      </c>
      <c r="H351" t="inlineStr">
        <is>
          <t>1400</t>
        </is>
      </c>
      <c r="I351" t="inlineStr">
        <is>
          <t>15</t>
        </is>
      </c>
      <c r="J351" t="inlineStr">
        <is>
          <t>70/30</t>
        </is>
      </c>
      <c r="K351" t="inlineStr">
        <is>
          <t>2024</t>
        </is>
      </c>
      <c r="L351" t="inlineStr">
        <is>
          <t>7.5-8.0</t>
        </is>
      </c>
      <c r="M351" t="inlineStr">
        <is>
          <t>7-9</t>
        </is>
      </c>
      <c r="N351" t="inlineStr">
        <is>
          <t>14.5-17.0</t>
        </is>
      </c>
      <c r="O351" t="inlineStr">
        <is>
          <t>JSS International</t>
        </is>
      </c>
      <c r="P351" t="inlineStr">
        <is>
          <t>Saudi German Hospital</t>
        </is>
      </c>
      <c r="Q351" t="inlineStr">
        <is>
          <t>Circle Mall</t>
        </is>
      </c>
      <c r="R351" t="inlineStr">
        <is>
          <t>Hessa St / E44</t>
        </is>
      </c>
      <c r="S351" t="inlineStr">
        <is>
          <t>20</t>
        </is>
      </c>
      <c r="T351" t="inlineStr">
        <is>
          <t>15</t>
        </is>
      </c>
      <c r="U351" t="inlineStr">
        <is>
          <t>25</t>
        </is>
      </c>
      <c r="V351" t="inlineStr">
        <is>
          <t>30</t>
        </is>
      </c>
      <c r="W351" t="n">
        <v>2</v>
      </c>
      <c r="X351" s="12" t="n">
        <v>900000</v>
      </c>
      <c r="Y351" s="12" t="n">
        <v>900000</v>
      </c>
      <c r="Z351" s="9" t="n">
        <v>7.5</v>
      </c>
      <c r="AA351" s="9" t="n">
        <v>8</v>
      </c>
      <c r="AB351" s="9" t="n">
        <v>7</v>
      </c>
      <c r="AC351" s="9" t="n">
        <v>9</v>
      </c>
      <c r="AD351" s="9" t="n">
        <v>14.5</v>
      </c>
      <c r="AE351" s="9" t="n">
        <v>17</v>
      </c>
      <c r="AF351" t="n">
        <v>2024</v>
      </c>
      <c r="AH351" t="inlineStr">
        <is>
          <t>Apartment</t>
        </is>
      </c>
      <c r="AI351" t="inlineStr">
        <is>
          <t>SupplySensitiveApartment</t>
        </is>
      </c>
      <c r="AJ351" t="inlineStr">
        <is>
          <t>MidTier</t>
        </is>
      </c>
      <c r="AK351" t="inlineStr">
        <is>
          <t>Supply-sensitive / selective</t>
        </is>
      </c>
      <c r="AL351" t="inlineStr">
        <is>
          <t>Higher delivery risk in more price-sensitive apartment clusters; building selection and exit liquidity matter.</t>
        </is>
      </c>
      <c r="AM351" s="9" t="n">
        <v>8</v>
      </c>
      <c r="AN351" s="9" t="n">
        <v>7.75</v>
      </c>
      <c r="AO351" s="10" t="n">
        <v>0.55</v>
      </c>
      <c r="AP351" s="13" t="n">
        <v>0</v>
      </c>
      <c r="AQ351" s="13" t="n">
        <v>0</v>
      </c>
      <c r="AR351" s="13" t="n">
        <v>-0.01</v>
      </c>
      <c r="AS351" s="13" t="n">
        <v>-0.01</v>
      </c>
      <c r="AT351" s="13" t="n">
        <v>-0.005</v>
      </c>
      <c r="AU351" s="13" t="n">
        <v>0.0025</v>
      </c>
      <c r="AV351" s="13" t="n">
        <v>-0.005</v>
      </c>
      <c r="AW351" s="13" t="n">
        <v>0.034</v>
      </c>
      <c r="AX351" s="13" t="n">
        <v>-0.0175</v>
      </c>
      <c r="AY351" s="12" t="n">
        <v>902682</v>
      </c>
      <c r="AZ351" s="12" t="n">
        <v>930600</v>
      </c>
      <c r="BA351" s="12" t="n">
        <v>958518</v>
      </c>
      <c r="BB351" s="12" t="n">
        <v>886396</v>
      </c>
      <c r="BC351" s="12" t="n">
        <v>914314</v>
      </c>
      <c r="BD351" s="12" t="n">
        <v>942232</v>
      </c>
      <c r="BE351" s="12" t="n">
        <v>898314</v>
      </c>
      <c r="BF351" t="inlineStr">
        <is>
          <t>Frozen values from same rules-based model as formula sheet.</t>
        </is>
      </c>
      <c r="BG351" t="inlineStr">
        <is>
          <t>2026-03-17</t>
        </is>
      </c>
      <c r="BH351" t="inlineStr">
        <is>
          <t>DLD / Digital Dubai / CBUAE / Savills / Knight Frank-Moody’s / Reuters</t>
        </is>
      </c>
    </row>
    <row r="352">
      <c r="A352" t="n">
        <v>351</v>
      </c>
      <c r="B352" t="inlineStr">
        <is>
          <t>Binghatti Aurora</t>
        </is>
      </c>
      <c r="C352" t="inlineStr">
        <is>
          <t>Binghatti Developers</t>
        </is>
      </c>
      <c r="D352" t="inlineStr">
        <is>
          <t>JVC</t>
        </is>
      </c>
      <c r="E352" t="inlineStr">
        <is>
          <t>Apartments</t>
        </is>
      </c>
      <c r="F352" t="inlineStr">
        <is>
          <t>Circle / Design</t>
        </is>
      </c>
      <c r="G352" t="inlineStr">
        <is>
          <t>850k</t>
        </is>
      </c>
      <c r="H352" t="inlineStr">
        <is>
          <t>1350</t>
        </is>
      </c>
      <c r="I352" t="inlineStr">
        <is>
          <t>15</t>
        </is>
      </c>
      <c r="J352" t="inlineStr">
        <is>
          <t>70/30</t>
        </is>
      </c>
      <c r="K352" t="inlineStr">
        <is>
          <t>2024</t>
        </is>
      </c>
      <c r="L352" t="inlineStr">
        <is>
          <t>7.5-8.0</t>
        </is>
      </c>
      <c r="M352" t="inlineStr">
        <is>
          <t>7-9</t>
        </is>
      </c>
      <c r="N352" t="inlineStr">
        <is>
          <t>14.5-17.0</t>
        </is>
      </c>
      <c r="O352" t="inlineStr">
        <is>
          <t>JSS International</t>
        </is>
      </c>
      <c r="P352" t="inlineStr">
        <is>
          <t>Saudi German Hospital</t>
        </is>
      </c>
      <c r="Q352" t="inlineStr">
        <is>
          <t>Circle Mall</t>
        </is>
      </c>
      <c r="R352" t="inlineStr">
        <is>
          <t>Hessa St / E44</t>
        </is>
      </c>
      <c r="S352" t="inlineStr">
        <is>
          <t>20</t>
        </is>
      </c>
      <c r="T352" t="inlineStr">
        <is>
          <t>15</t>
        </is>
      </c>
      <c r="U352" t="inlineStr">
        <is>
          <t>25</t>
        </is>
      </c>
      <c r="V352" t="inlineStr">
        <is>
          <t>30</t>
        </is>
      </c>
      <c r="W352" t="n">
        <v>2</v>
      </c>
      <c r="X352" s="12" t="n">
        <v>850000</v>
      </c>
      <c r="Y352" s="12" t="n">
        <v>850000</v>
      </c>
      <c r="Z352" s="9" t="n">
        <v>7.5</v>
      </c>
      <c r="AA352" s="9" t="n">
        <v>8</v>
      </c>
      <c r="AB352" s="9" t="n">
        <v>7</v>
      </c>
      <c r="AC352" s="9" t="n">
        <v>9</v>
      </c>
      <c r="AD352" s="9" t="n">
        <v>14.5</v>
      </c>
      <c r="AE352" s="9" t="n">
        <v>17</v>
      </c>
      <c r="AF352" t="n">
        <v>2024</v>
      </c>
      <c r="AH352" t="inlineStr">
        <is>
          <t>Apartment</t>
        </is>
      </c>
      <c r="AI352" t="inlineStr">
        <is>
          <t>SupplySensitiveApartment</t>
        </is>
      </c>
      <c r="AJ352" t="inlineStr">
        <is>
          <t>MidTier</t>
        </is>
      </c>
      <c r="AK352" t="inlineStr">
        <is>
          <t>Supply-sensitive / selective</t>
        </is>
      </c>
      <c r="AL352" t="inlineStr">
        <is>
          <t>Higher delivery risk in more price-sensitive apartment clusters; building selection and exit liquidity matter.</t>
        </is>
      </c>
      <c r="AM352" s="9" t="n">
        <v>8</v>
      </c>
      <c r="AN352" s="9" t="n">
        <v>7.75</v>
      </c>
      <c r="AO352" s="10" t="n">
        <v>0.55</v>
      </c>
      <c r="AP352" s="13" t="n">
        <v>0</v>
      </c>
      <c r="AQ352" s="13" t="n">
        <v>0</v>
      </c>
      <c r="AR352" s="13" t="n">
        <v>-0.01</v>
      </c>
      <c r="AS352" s="13" t="n">
        <v>-0.01</v>
      </c>
      <c r="AT352" s="13" t="n">
        <v>-0.005</v>
      </c>
      <c r="AU352" s="13" t="n">
        <v>0.0025</v>
      </c>
      <c r="AV352" s="13" t="n">
        <v>-0.005</v>
      </c>
      <c r="AW352" s="13" t="n">
        <v>0.034</v>
      </c>
      <c r="AX352" s="13" t="n">
        <v>-0.0175</v>
      </c>
      <c r="AY352" s="12" t="n">
        <v>852533</v>
      </c>
      <c r="AZ352" s="12" t="n">
        <v>878900</v>
      </c>
      <c r="BA352" s="12" t="n">
        <v>905267</v>
      </c>
      <c r="BB352" s="12" t="n">
        <v>837152</v>
      </c>
      <c r="BC352" s="12" t="n">
        <v>863519</v>
      </c>
      <c r="BD352" s="12" t="n">
        <v>889886</v>
      </c>
      <c r="BE352" s="12" t="n">
        <v>848408</v>
      </c>
      <c r="BF352" t="inlineStr">
        <is>
          <t>Frozen values from same rules-based model as formula sheet.</t>
        </is>
      </c>
      <c r="BG352" t="inlineStr">
        <is>
          <t>2026-03-17</t>
        </is>
      </c>
      <c r="BH352" t="inlineStr">
        <is>
          <t>DLD / Digital Dubai / CBUAE / Savills / Knight Frank-Moody’s / Reuters</t>
        </is>
      </c>
    </row>
    <row r="353">
      <c r="A353" t="n">
        <v>352</v>
      </c>
      <c r="B353" t="inlineStr">
        <is>
          <t>Binghatti Galaxy 1</t>
        </is>
      </c>
      <c r="C353" t="inlineStr">
        <is>
          <t>Binghatti Developers</t>
        </is>
      </c>
      <c r="D353" t="inlineStr">
        <is>
          <t>JVC</t>
        </is>
      </c>
      <c r="E353" t="inlineStr">
        <is>
          <t>Apartments</t>
        </is>
      </c>
      <c r="F353" t="inlineStr">
        <is>
          <t>Circle / Design</t>
        </is>
      </c>
      <c r="G353" t="inlineStr">
        <is>
          <t>850k</t>
        </is>
      </c>
      <c r="H353" t="inlineStr">
        <is>
          <t>1350</t>
        </is>
      </c>
      <c r="I353" t="inlineStr">
        <is>
          <t>15</t>
        </is>
      </c>
      <c r="J353" t="inlineStr">
        <is>
          <t>70/30</t>
        </is>
      </c>
      <c r="K353" t="inlineStr">
        <is>
          <t>2024</t>
        </is>
      </c>
      <c r="L353" t="inlineStr">
        <is>
          <t>7.5-8.0</t>
        </is>
      </c>
      <c r="M353" t="inlineStr">
        <is>
          <t>7-9</t>
        </is>
      </c>
      <c r="N353" t="inlineStr">
        <is>
          <t>14.5-17.0</t>
        </is>
      </c>
      <c r="O353" t="inlineStr">
        <is>
          <t>JSS International</t>
        </is>
      </c>
      <c r="P353" t="inlineStr">
        <is>
          <t>Saudi German Hospital</t>
        </is>
      </c>
      <c r="Q353" t="inlineStr">
        <is>
          <t>Circle Mall</t>
        </is>
      </c>
      <c r="R353" t="inlineStr">
        <is>
          <t>Hessa St / E44</t>
        </is>
      </c>
      <c r="S353" t="inlineStr">
        <is>
          <t>20</t>
        </is>
      </c>
      <c r="T353" t="inlineStr">
        <is>
          <t>15</t>
        </is>
      </c>
      <c r="U353" t="inlineStr">
        <is>
          <t>25</t>
        </is>
      </c>
      <c r="V353" t="inlineStr">
        <is>
          <t>30</t>
        </is>
      </c>
      <c r="W353" t="n">
        <v>2</v>
      </c>
      <c r="X353" s="12" t="n">
        <v>850000</v>
      </c>
      <c r="Y353" s="12" t="n">
        <v>850000</v>
      </c>
      <c r="Z353" s="9" t="n">
        <v>7.5</v>
      </c>
      <c r="AA353" s="9" t="n">
        <v>8</v>
      </c>
      <c r="AB353" s="9" t="n">
        <v>7</v>
      </c>
      <c r="AC353" s="9" t="n">
        <v>9</v>
      </c>
      <c r="AD353" s="9" t="n">
        <v>14.5</v>
      </c>
      <c r="AE353" s="9" t="n">
        <v>17</v>
      </c>
      <c r="AF353" t="n">
        <v>2024</v>
      </c>
      <c r="AH353" t="inlineStr">
        <is>
          <t>Apartment</t>
        </is>
      </c>
      <c r="AI353" t="inlineStr">
        <is>
          <t>SupplySensitiveApartment</t>
        </is>
      </c>
      <c r="AJ353" t="inlineStr">
        <is>
          <t>MidTier</t>
        </is>
      </c>
      <c r="AK353" t="inlineStr">
        <is>
          <t>Supply-sensitive / selective</t>
        </is>
      </c>
      <c r="AL353" t="inlineStr">
        <is>
          <t>Higher delivery risk in more price-sensitive apartment clusters; building selection and exit liquidity matter.</t>
        </is>
      </c>
      <c r="AM353" s="9" t="n">
        <v>8</v>
      </c>
      <c r="AN353" s="9" t="n">
        <v>7.75</v>
      </c>
      <c r="AO353" s="10" t="n">
        <v>0.55</v>
      </c>
      <c r="AP353" s="13" t="n">
        <v>0</v>
      </c>
      <c r="AQ353" s="13" t="n">
        <v>0</v>
      </c>
      <c r="AR353" s="13" t="n">
        <v>-0.01</v>
      </c>
      <c r="AS353" s="13" t="n">
        <v>-0.01</v>
      </c>
      <c r="AT353" s="13" t="n">
        <v>-0.005</v>
      </c>
      <c r="AU353" s="13" t="n">
        <v>0.0025</v>
      </c>
      <c r="AV353" s="13" t="n">
        <v>-0.005</v>
      </c>
      <c r="AW353" s="13" t="n">
        <v>0.034</v>
      </c>
      <c r="AX353" s="13" t="n">
        <v>-0.0175</v>
      </c>
      <c r="AY353" s="12" t="n">
        <v>852533</v>
      </c>
      <c r="AZ353" s="12" t="n">
        <v>878900</v>
      </c>
      <c r="BA353" s="12" t="n">
        <v>905267</v>
      </c>
      <c r="BB353" s="12" t="n">
        <v>837152</v>
      </c>
      <c r="BC353" s="12" t="n">
        <v>863519</v>
      </c>
      <c r="BD353" s="12" t="n">
        <v>889886</v>
      </c>
      <c r="BE353" s="12" t="n">
        <v>848408</v>
      </c>
      <c r="BF353" t="inlineStr">
        <is>
          <t>Frozen values from same rules-based model as formula sheet.</t>
        </is>
      </c>
      <c r="BG353" t="inlineStr">
        <is>
          <t>2026-03-17</t>
        </is>
      </c>
      <c r="BH353" t="inlineStr">
        <is>
          <t>DLD / Digital Dubai / CBUAE / Savills / Knight Frank-Moody’s / Reuters</t>
        </is>
      </c>
    </row>
    <row r="354">
      <c r="A354" t="n">
        <v>353</v>
      </c>
      <c r="B354" t="inlineStr">
        <is>
          <t>Binghatti Galaxy 2</t>
        </is>
      </c>
      <c r="C354" t="inlineStr">
        <is>
          <t>Binghatti Developers</t>
        </is>
      </c>
      <c r="D354" t="inlineStr">
        <is>
          <t>JVC</t>
        </is>
      </c>
      <c r="E354" t="inlineStr">
        <is>
          <t>Apartments</t>
        </is>
      </c>
      <c r="F354" t="inlineStr">
        <is>
          <t>Circle / Design</t>
        </is>
      </c>
      <c r="G354" t="inlineStr">
        <is>
          <t>850k</t>
        </is>
      </c>
      <c r="H354" t="inlineStr">
        <is>
          <t>1350</t>
        </is>
      </c>
      <c r="I354" t="inlineStr">
        <is>
          <t>15</t>
        </is>
      </c>
      <c r="J354" t="inlineStr">
        <is>
          <t>70/30</t>
        </is>
      </c>
      <c r="K354" t="inlineStr">
        <is>
          <t>2024</t>
        </is>
      </c>
      <c r="L354" t="inlineStr">
        <is>
          <t>7.5-8.0</t>
        </is>
      </c>
      <c r="M354" t="inlineStr">
        <is>
          <t>7-9</t>
        </is>
      </c>
      <c r="N354" t="inlineStr">
        <is>
          <t>14.5-17.0</t>
        </is>
      </c>
      <c r="O354" t="inlineStr">
        <is>
          <t>JSS International</t>
        </is>
      </c>
      <c r="P354" t="inlineStr">
        <is>
          <t>Saudi German Hospital</t>
        </is>
      </c>
      <c r="Q354" t="inlineStr">
        <is>
          <t>Circle Mall</t>
        </is>
      </c>
      <c r="R354" t="inlineStr">
        <is>
          <t>Hessa St / E44</t>
        </is>
      </c>
      <c r="S354" t="inlineStr">
        <is>
          <t>20</t>
        </is>
      </c>
      <c r="T354" t="inlineStr">
        <is>
          <t>15</t>
        </is>
      </c>
      <c r="U354" t="inlineStr">
        <is>
          <t>25</t>
        </is>
      </c>
      <c r="V354" t="inlineStr">
        <is>
          <t>30</t>
        </is>
      </c>
      <c r="W354" t="n">
        <v>2</v>
      </c>
      <c r="X354" s="12" t="n">
        <v>850000</v>
      </c>
      <c r="Y354" s="12" t="n">
        <v>850000</v>
      </c>
      <c r="Z354" s="9" t="n">
        <v>7.5</v>
      </c>
      <c r="AA354" s="9" t="n">
        <v>8</v>
      </c>
      <c r="AB354" s="9" t="n">
        <v>7</v>
      </c>
      <c r="AC354" s="9" t="n">
        <v>9</v>
      </c>
      <c r="AD354" s="9" t="n">
        <v>14.5</v>
      </c>
      <c r="AE354" s="9" t="n">
        <v>17</v>
      </c>
      <c r="AF354" t="n">
        <v>2024</v>
      </c>
      <c r="AH354" t="inlineStr">
        <is>
          <t>Apartment</t>
        </is>
      </c>
      <c r="AI354" t="inlineStr">
        <is>
          <t>SupplySensitiveApartment</t>
        </is>
      </c>
      <c r="AJ354" t="inlineStr">
        <is>
          <t>MidTier</t>
        </is>
      </c>
      <c r="AK354" t="inlineStr">
        <is>
          <t>Supply-sensitive / selective</t>
        </is>
      </c>
      <c r="AL354" t="inlineStr">
        <is>
          <t>Higher delivery risk in more price-sensitive apartment clusters; building selection and exit liquidity matter.</t>
        </is>
      </c>
      <c r="AM354" s="9" t="n">
        <v>8</v>
      </c>
      <c r="AN354" s="9" t="n">
        <v>7.75</v>
      </c>
      <c r="AO354" s="10" t="n">
        <v>0.55</v>
      </c>
      <c r="AP354" s="13" t="n">
        <v>0</v>
      </c>
      <c r="AQ354" s="13" t="n">
        <v>0</v>
      </c>
      <c r="AR354" s="13" t="n">
        <v>-0.01</v>
      </c>
      <c r="AS354" s="13" t="n">
        <v>-0.01</v>
      </c>
      <c r="AT354" s="13" t="n">
        <v>-0.005</v>
      </c>
      <c r="AU354" s="13" t="n">
        <v>0.0025</v>
      </c>
      <c r="AV354" s="13" t="n">
        <v>-0.005</v>
      </c>
      <c r="AW354" s="13" t="n">
        <v>0.034</v>
      </c>
      <c r="AX354" s="13" t="n">
        <v>-0.0175</v>
      </c>
      <c r="AY354" s="12" t="n">
        <v>852533</v>
      </c>
      <c r="AZ354" s="12" t="n">
        <v>878900</v>
      </c>
      <c r="BA354" s="12" t="n">
        <v>905267</v>
      </c>
      <c r="BB354" s="12" t="n">
        <v>837152</v>
      </c>
      <c r="BC354" s="12" t="n">
        <v>863519</v>
      </c>
      <c r="BD354" s="12" t="n">
        <v>889886</v>
      </c>
      <c r="BE354" s="12" t="n">
        <v>848408</v>
      </c>
      <c r="BF354" t="inlineStr">
        <is>
          <t>Frozen values from same rules-based model as formula sheet.</t>
        </is>
      </c>
      <c r="BG354" t="inlineStr">
        <is>
          <t>2026-03-17</t>
        </is>
      </c>
      <c r="BH354" t="inlineStr">
        <is>
          <t>DLD / Digital Dubai / CBUAE / Savills / Knight Frank-Moody’s / Reuters</t>
        </is>
      </c>
    </row>
    <row r="355">
      <c r="A355" t="n">
        <v>354</v>
      </c>
      <c r="B355" t="inlineStr">
        <is>
          <t>Binghatti Phantom</t>
        </is>
      </c>
      <c r="C355" t="inlineStr">
        <is>
          <t>Binghatti Developers</t>
        </is>
      </c>
      <c r="D355" t="inlineStr">
        <is>
          <t>JVC</t>
        </is>
      </c>
      <c r="E355" t="inlineStr">
        <is>
          <t>Apartments</t>
        </is>
      </c>
      <c r="F355" t="inlineStr">
        <is>
          <t>Circle / Design</t>
        </is>
      </c>
      <c r="G355" t="inlineStr">
        <is>
          <t>800k</t>
        </is>
      </c>
      <c r="H355" t="inlineStr">
        <is>
          <t>1300</t>
        </is>
      </c>
      <c r="I355" t="inlineStr">
        <is>
          <t>15</t>
        </is>
      </c>
      <c r="J355" t="inlineStr">
        <is>
          <t>70/30</t>
        </is>
      </c>
      <c r="K355" t="inlineStr">
        <is>
          <t>2024</t>
        </is>
      </c>
      <c r="L355" t="inlineStr">
        <is>
          <t>7.5-8.0</t>
        </is>
      </c>
      <c r="M355" t="inlineStr">
        <is>
          <t>7-9</t>
        </is>
      </c>
      <c r="N355" t="inlineStr">
        <is>
          <t>14.5-17.0</t>
        </is>
      </c>
      <c r="O355" t="inlineStr">
        <is>
          <t>JSS International</t>
        </is>
      </c>
      <c r="P355" t="inlineStr">
        <is>
          <t>Saudi German Hospital</t>
        </is>
      </c>
      <c r="Q355" t="inlineStr">
        <is>
          <t>Circle Mall</t>
        </is>
      </c>
      <c r="R355" t="inlineStr">
        <is>
          <t>Hessa St / E44</t>
        </is>
      </c>
      <c r="S355" t="inlineStr">
        <is>
          <t>20</t>
        </is>
      </c>
      <c r="T355" t="inlineStr">
        <is>
          <t>15</t>
        </is>
      </c>
      <c r="U355" t="inlineStr">
        <is>
          <t>25</t>
        </is>
      </c>
      <c r="V355" t="inlineStr">
        <is>
          <t>30</t>
        </is>
      </c>
      <c r="W355" t="n">
        <v>2</v>
      </c>
      <c r="X355" s="12" t="n">
        <v>800000</v>
      </c>
      <c r="Y355" s="12" t="n">
        <v>800000</v>
      </c>
      <c r="Z355" s="9" t="n">
        <v>7.5</v>
      </c>
      <c r="AA355" s="9" t="n">
        <v>8</v>
      </c>
      <c r="AB355" s="9" t="n">
        <v>7</v>
      </c>
      <c r="AC355" s="9" t="n">
        <v>9</v>
      </c>
      <c r="AD355" s="9" t="n">
        <v>14.5</v>
      </c>
      <c r="AE355" s="9" t="n">
        <v>17</v>
      </c>
      <c r="AF355" t="n">
        <v>2024</v>
      </c>
      <c r="AH355" t="inlineStr">
        <is>
          <t>Apartment</t>
        </is>
      </c>
      <c r="AI355" t="inlineStr">
        <is>
          <t>SupplySensitiveApartment</t>
        </is>
      </c>
      <c r="AJ355" t="inlineStr">
        <is>
          <t>MidTier</t>
        </is>
      </c>
      <c r="AK355" t="inlineStr">
        <is>
          <t>Supply-sensitive / selective</t>
        </is>
      </c>
      <c r="AL355" t="inlineStr">
        <is>
          <t>Higher delivery risk in more price-sensitive apartment clusters; building selection and exit liquidity matter.</t>
        </is>
      </c>
      <c r="AM355" s="9" t="n">
        <v>8</v>
      </c>
      <c r="AN355" s="9" t="n">
        <v>7.75</v>
      </c>
      <c r="AO355" s="10" t="n">
        <v>0.55</v>
      </c>
      <c r="AP355" s="13" t="n">
        <v>0</v>
      </c>
      <c r="AQ355" s="13" t="n">
        <v>0</v>
      </c>
      <c r="AR355" s="13" t="n">
        <v>-0.01</v>
      </c>
      <c r="AS355" s="13" t="n">
        <v>-0.01</v>
      </c>
      <c r="AT355" s="13" t="n">
        <v>-0.005</v>
      </c>
      <c r="AU355" s="13" t="n">
        <v>0.0025</v>
      </c>
      <c r="AV355" s="13" t="n">
        <v>-0.005</v>
      </c>
      <c r="AW355" s="13" t="n">
        <v>0.034</v>
      </c>
      <c r="AX355" s="13" t="n">
        <v>-0.0175</v>
      </c>
      <c r="AY355" s="12" t="n">
        <v>802384</v>
      </c>
      <c r="AZ355" s="12" t="n">
        <v>827200</v>
      </c>
      <c r="BA355" s="12" t="n">
        <v>852016</v>
      </c>
      <c r="BB355" s="12" t="n">
        <v>787908</v>
      </c>
      <c r="BC355" s="12" t="n">
        <v>812724</v>
      </c>
      <c r="BD355" s="12" t="n">
        <v>837540</v>
      </c>
      <c r="BE355" s="12" t="n">
        <v>798501</v>
      </c>
      <c r="BF355" t="inlineStr">
        <is>
          <t>Frozen values from same rules-based model as formula sheet.</t>
        </is>
      </c>
      <c r="BG355" t="inlineStr">
        <is>
          <t>2026-03-17</t>
        </is>
      </c>
      <c r="BH355" t="inlineStr">
        <is>
          <t>DLD / Digital Dubai / CBUAE / Savills / Knight Frank-Moody’s / Reuters</t>
        </is>
      </c>
    </row>
    <row r="356">
      <c r="A356" t="n">
        <v>355</v>
      </c>
      <c r="B356" t="inlineStr">
        <is>
          <t>Binghatti Phoenix</t>
        </is>
      </c>
      <c r="C356" t="inlineStr">
        <is>
          <t>Binghatti Developers</t>
        </is>
      </c>
      <c r="D356" t="inlineStr">
        <is>
          <t>JVC</t>
        </is>
      </c>
      <c r="E356" t="inlineStr">
        <is>
          <t>Apartments</t>
        </is>
      </c>
      <c r="F356" t="inlineStr">
        <is>
          <t>Circle / Design</t>
        </is>
      </c>
      <c r="G356" t="inlineStr">
        <is>
          <t>800k</t>
        </is>
      </c>
      <c r="H356" t="inlineStr">
        <is>
          <t>1300</t>
        </is>
      </c>
      <c r="I356" t="inlineStr">
        <is>
          <t>15</t>
        </is>
      </c>
      <c r="J356" t="inlineStr">
        <is>
          <t>70/30</t>
        </is>
      </c>
      <c r="K356" t="inlineStr">
        <is>
          <t>2023</t>
        </is>
      </c>
      <c r="L356" t="inlineStr">
        <is>
          <t>7.5-8.0</t>
        </is>
      </c>
      <c r="M356" t="inlineStr">
        <is>
          <t>7-9</t>
        </is>
      </c>
      <c r="N356" t="inlineStr">
        <is>
          <t>14.5-17.0</t>
        </is>
      </c>
      <c r="O356" t="inlineStr">
        <is>
          <t>JSS International</t>
        </is>
      </c>
      <c r="P356" t="inlineStr">
        <is>
          <t>Saudi German Hospital</t>
        </is>
      </c>
      <c r="Q356" t="inlineStr">
        <is>
          <t>Circle Mall</t>
        </is>
      </c>
      <c r="R356" t="inlineStr">
        <is>
          <t>Hessa St / E44</t>
        </is>
      </c>
      <c r="S356" t="inlineStr">
        <is>
          <t>20</t>
        </is>
      </c>
      <c r="T356" t="inlineStr">
        <is>
          <t>15</t>
        </is>
      </c>
      <c r="U356" t="inlineStr">
        <is>
          <t>25</t>
        </is>
      </c>
      <c r="V356" t="inlineStr">
        <is>
          <t>30</t>
        </is>
      </c>
      <c r="W356" t="n">
        <v>2</v>
      </c>
      <c r="X356" s="12" t="n">
        <v>800000</v>
      </c>
      <c r="Y356" s="12" t="n">
        <v>800000</v>
      </c>
      <c r="Z356" s="9" t="n">
        <v>7.5</v>
      </c>
      <c r="AA356" s="9" t="n">
        <v>8</v>
      </c>
      <c r="AB356" s="9" t="n">
        <v>7</v>
      </c>
      <c r="AC356" s="9" t="n">
        <v>9</v>
      </c>
      <c r="AD356" s="9" t="n">
        <v>14.5</v>
      </c>
      <c r="AE356" s="9" t="n">
        <v>17</v>
      </c>
      <c r="AF356" t="n">
        <v>2023</v>
      </c>
      <c r="AH356" t="inlineStr">
        <is>
          <t>Apartment</t>
        </is>
      </c>
      <c r="AI356" t="inlineStr">
        <is>
          <t>SupplySensitiveApartment</t>
        </is>
      </c>
      <c r="AJ356" t="inlineStr">
        <is>
          <t>MidTier</t>
        </is>
      </c>
      <c r="AK356" t="inlineStr">
        <is>
          <t>Supply-sensitive / selective</t>
        </is>
      </c>
      <c r="AL356" t="inlineStr">
        <is>
          <t>Higher delivery risk in more price-sensitive apartment clusters; building selection and exit liquidity matter.</t>
        </is>
      </c>
      <c r="AM356" s="9" t="n">
        <v>8</v>
      </c>
      <c r="AN356" s="9" t="n">
        <v>7.75</v>
      </c>
      <c r="AO356" s="10" t="n">
        <v>0.55</v>
      </c>
      <c r="AP356" s="13" t="n">
        <v>0</v>
      </c>
      <c r="AQ356" s="13" t="n">
        <v>0</v>
      </c>
      <c r="AR356" s="13" t="n">
        <v>-0.01</v>
      </c>
      <c r="AS356" s="13" t="n">
        <v>-0.01</v>
      </c>
      <c r="AT356" s="13" t="n">
        <v>-0.005</v>
      </c>
      <c r="AU356" s="13" t="n">
        <v>0.0025</v>
      </c>
      <c r="AV356" s="13" t="n">
        <v>-0.005</v>
      </c>
      <c r="AW356" s="13" t="n">
        <v>0.034</v>
      </c>
      <c r="AX356" s="13" t="n">
        <v>-0.0175</v>
      </c>
      <c r="AY356" s="12" t="n">
        <v>802384</v>
      </c>
      <c r="AZ356" s="12" t="n">
        <v>827200</v>
      </c>
      <c r="BA356" s="12" t="n">
        <v>852016</v>
      </c>
      <c r="BB356" s="12" t="n">
        <v>787908</v>
      </c>
      <c r="BC356" s="12" t="n">
        <v>812724</v>
      </c>
      <c r="BD356" s="12" t="n">
        <v>837540</v>
      </c>
      <c r="BE356" s="12" t="n">
        <v>798501</v>
      </c>
      <c r="BF356" t="inlineStr">
        <is>
          <t>Frozen values from same rules-based model as formula sheet.</t>
        </is>
      </c>
      <c r="BG356" t="inlineStr">
        <is>
          <t>2026-03-17</t>
        </is>
      </c>
      <c r="BH356" t="inlineStr">
        <is>
          <t>DLD / Digital Dubai / CBUAE / Savills / Knight Frank-Moody’s / Reuters</t>
        </is>
      </c>
    </row>
    <row r="357">
      <c r="A357" t="n">
        <v>356</v>
      </c>
      <c r="B357" t="inlineStr">
        <is>
          <t>Binghatti Twilight</t>
        </is>
      </c>
      <c r="C357" t="inlineStr">
        <is>
          <t>Binghatti Developers</t>
        </is>
      </c>
      <c r="D357" t="inlineStr">
        <is>
          <t>JVC</t>
        </is>
      </c>
      <c r="E357" t="inlineStr">
        <is>
          <t>Apartments</t>
        </is>
      </c>
      <c r="F357" t="inlineStr">
        <is>
          <t>Circle / Design</t>
        </is>
      </c>
      <c r="G357" t="inlineStr">
        <is>
          <t>800k</t>
        </is>
      </c>
      <c r="H357" t="inlineStr">
        <is>
          <t>1300</t>
        </is>
      </c>
      <c r="I357" t="inlineStr">
        <is>
          <t>15</t>
        </is>
      </c>
      <c r="J357" t="inlineStr">
        <is>
          <t>70/30</t>
        </is>
      </c>
      <c r="K357" t="inlineStr">
        <is>
          <t>2023</t>
        </is>
      </c>
      <c r="L357" t="inlineStr">
        <is>
          <t>7.5-8.0</t>
        </is>
      </c>
      <c r="M357" t="inlineStr">
        <is>
          <t>7-9</t>
        </is>
      </c>
      <c r="N357" t="inlineStr">
        <is>
          <t>14.5-17.0</t>
        </is>
      </c>
      <c r="O357" t="inlineStr">
        <is>
          <t>JSS International</t>
        </is>
      </c>
      <c r="P357" t="inlineStr">
        <is>
          <t>Saudi German Hospital</t>
        </is>
      </c>
      <c r="Q357" t="inlineStr">
        <is>
          <t>Circle Mall</t>
        </is>
      </c>
      <c r="R357" t="inlineStr">
        <is>
          <t>Hessa St / E44</t>
        </is>
      </c>
      <c r="S357" t="inlineStr">
        <is>
          <t>20</t>
        </is>
      </c>
      <c r="T357" t="inlineStr">
        <is>
          <t>15</t>
        </is>
      </c>
      <c r="U357" t="inlineStr">
        <is>
          <t>25</t>
        </is>
      </c>
      <c r="V357" t="inlineStr">
        <is>
          <t>30</t>
        </is>
      </c>
      <c r="W357" t="n">
        <v>2</v>
      </c>
      <c r="X357" s="12" t="n">
        <v>800000</v>
      </c>
      <c r="Y357" s="12" t="n">
        <v>800000</v>
      </c>
      <c r="Z357" s="9" t="n">
        <v>7.5</v>
      </c>
      <c r="AA357" s="9" t="n">
        <v>8</v>
      </c>
      <c r="AB357" s="9" t="n">
        <v>7</v>
      </c>
      <c r="AC357" s="9" t="n">
        <v>9</v>
      </c>
      <c r="AD357" s="9" t="n">
        <v>14.5</v>
      </c>
      <c r="AE357" s="9" t="n">
        <v>17</v>
      </c>
      <c r="AF357" t="n">
        <v>2023</v>
      </c>
      <c r="AH357" t="inlineStr">
        <is>
          <t>Apartment</t>
        </is>
      </c>
      <c r="AI357" t="inlineStr">
        <is>
          <t>SupplySensitiveApartment</t>
        </is>
      </c>
      <c r="AJ357" t="inlineStr">
        <is>
          <t>MidTier</t>
        </is>
      </c>
      <c r="AK357" t="inlineStr">
        <is>
          <t>Supply-sensitive / selective</t>
        </is>
      </c>
      <c r="AL357" t="inlineStr">
        <is>
          <t>Higher delivery risk in more price-sensitive apartment clusters; building selection and exit liquidity matter.</t>
        </is>
      </c>
      <c r="AM357" s="9" t="n">
        <v>8</v>
      </c>
      <c r="AN357" s="9" t="n">
        <v>7.75</v>
      </c>
      <c r="AO357" s="10" t="n">
        <v>0.55</v>
      </c>
      <c r="AP357" s="13" t="n">
        <v>0</v>
      </c>
      <c r="AQ357" s="13" t="n">
        <v>0</v>
      </c>
      <c r="AR357" s="13" t="n">
        <v>-0.01</v>
      </c>
      <c r="AS357" s="13" t="n">
        <v>-0.01</v>
      </c>
      <c r="AT357" s="13" t="n">
        <v>-0.005</v>
      </c>
      <c r="AU357" s="13" t="n">
        <v>0.0025</v>
      </c>
      <c r="AV357" s="13" t="n">
        <v>-0.005</v>
      </c>
      <c r="AW357" s="13" t="n">
        <v>0.034</v>
      </c>
      <c r="AX357" s="13" t="n">
        <v>-0.0175</v>
      </c>
      <c r="AY357" s="12" t="n">
        <v>802384</v>
      </c>
      <c r="AZ357" s="12" t="n">
        <v>827200</v>
      </c>
      <c r="BA357" s="12" t="n">
        <v>852016</v>
      </c>
      <c r="BB357" s="12" t="n">
        <v>787908</v>
      </c>
      <c r="BC357" s="12" t="n">
        <v>812724</v>
      </c>
      <c r="BD357" s="12" t="n">
        <v>837540</v>
      </c>
      <c r="BE357" s="12" t="n">
        <v>798501</v>
      </c>
      <c r="BF357" t="inlineStr">
        <is>
          <t>Frozen values from same rules-based model as formula sheet.</t>
        </is>
      </c>
      <c r="BG357" t="inlineStr">
        <is>
          <t>2026-03-17</t>
        </is>
      </c>
      <c r="BH357" t="inlineStr">
        <is>
          <t>DLD / Digital Dubai / CBUAE / Savills / Knight Frank-Moody’s / Reuters</t>
        </is>
      </c>
    </row>
    <row r="358">
      <c r="A358" t="n">
        <v>357</v>
      </c>
      <c r="B358" t="inlineStr">
        <is>
          <t>Binghatti Dawn</t>
        </is>
      </c>
      <c r="C358" t="inlineStr">
        <is>
          <t>Binghatti Developers</t>
        </is>
      </c>
      <c r="D358" t="inlineStr">
        <is>
          <t>JVC</t>
        </is>
      </c>
      <c r="E358" t="inlineStr">
        <is>
          <t>Apartments</t>
        </is>
      </c>
      <c r="F358" t="inlineStr">
        <is>
          <t>Circle / Design</t>
        </is>
      </c>
      <c r="G358" t="inlineStr">
        <is>
          <t>800k</t>
        </is>
      </c>
      <c r="H358" t="inlineStr">
        <is>
          <t>1300</t>
        </is>
      </c>
      <c r="I358" t="inlineStr">
        <is>
          <t>15</t>
        </is>
      </c>
      <c r="J358" t="inlineStr">
        <is>
          <t>70/30</t>
        </is>
      </c>
      <c r="K358" t="inlineStr">
        <is>
          <t>2023</t>
        </is>
      </c>
      <c r="L358" t="inlineStr">
        <is>
          <t>7.5-8.0</t>
        </is>
      </c>
      <c r="M358" t="inlineStr">
        <is>
          <t>7-9</t>
        </is>
      </c>
      <c r="N358" t="inlineStr">
        <is>
          <t>14.5-17.0</t>
        </is>
      </c>
      <c r="O358" t="inlineStr">
        <is>
          <t>JSS International</t>
        </is>
      </c>
      <c r="P358" t="inlineStr">
        <is>
          <t>Saudi German Hospital</t>
        </is>
      </c>
      <c r="Q358" t="inlineStr">
        <is>
          <t>Circle Mall</t>
        </is>
      </c>
      <c r="R358" t="inlineStr">
        <is>
          <t>Hessa St / E44</t>
        </is>
      </c>
      <c r="S358" t="inlineStr">
        <is>
          <t>20</t>
        </is>
      </c>
      <c r="T358" t="inlineStr">
        <is>
          <t>15</t>
        </is>
      </c>
      <c r="U358" t="inlineStr">
        <is>
          <t>25</t>
        </is>
      </c>
      <c r="V358" t="inlineStr">
        <is>
          <t>30</t>
        </is>
      </c>
      <c r="W358" t="n">
        <v>2</v>
      </c>
      <c r="X358" s="12" t="n">
        <v>800000</v>
      </c>
      <c r="Y358" s="12" t="n">
        <v>800000</v>
      </c>
      <c r="Z358" s="9" t="n">
        <v>7.5</v>
      </c>
      <c r="AA358" s="9" t="n">
        <v>8</v>
      </c>
      <c r="AB358" s="9" t="n">
        <v>7</v>
      </c>
      <c r="AC358" s="9" t="n">
        <v>9</v>
      </c>
      <c r="AD358" s="9" t="n">
        <v>14.5</v>
      </c>
      <c r="AE358" s="9" t="n">
        <v>17</v>
      </c>
      <c r="AF358" t="n">
        <v>2023</v>
      </c>
      <c r="AH358" t="inlineStr">
        <is>
          <t>Apartment</t>
        </is>
      </c>
      <c r="AI358" t="inlineStr">
        <is>
          <t>SupplySensitiveApartment</t>
        </is>
      </c>
      <c r="AJ358" t="inlineStr">
        <is>
          <t>MidTier</t>
        </is>
      </c>
      <c r="AK358" t="inlineStr">
        <is>
          <t>Supply-sensitive / selective</t>
        </is>
      </c>
      <c r="AL358" t="inlineStr">
        <is>
          <t>Higher delivery risk in more price-sensitive apartment clusters; building selection and exit liquidity matter.</t>
        </is>
      </c>
      <c r="AM358" s="9" t="n">
        <v>8</v>
      </c>
      <c r="AN358" s="9" t="n">
        <v>7.75</v>
      </c>
      <c r="AO358" s="10" t="n">
        <v>0.55</v>
      </c>
      <c r="AP358" s="13" t="n">
        <v>0</v>
      </c>
      <c r="AQ358" s="13" t="n">
        <v>0</v>
      </c>
      <c r="AR358" s="13" t="n">
        <v>-0.01</v>
      </c>
      <c r="AS358" s="13" t="n">
        <v>-0.01</v>
      </c>
      <c r="AT358" s="13" t="n">
        <v>-0.005</v>
      </c>
      <c r="AU358" s="13" t="n">
        <v>0.0025</v>
      </c>
      <c r="AV358" s="13" t="n">
        <v>-0.005</v>
      </c>
      <c r="AW358" s="13" t="n">
        <v>0.034</v>
      </c>
      <c r="AX358" s="13" t="n">
        <v>-0.0175</v>
      </c>
      <c r="AY358" s="12" t="n">
        <v>802384</v>
      </c>
      <c r="AZ358" s="12" t="n">
        <v>827200</v>
      </c>
      <c r="BA358" s="12" t="n">
        <v>852016</v>
      </c>
      <c r="BB358" s="12" t="n">
        <v>787908</v>
      </c>
      <c r="BC358" s="12" t="n">
        <v>812724</v>
      </c>
      <c r="BD358" s="12" t="n">
        <v>837540</v>
      </c>
      <c r="BE358" s="12" t="n">
        <v>798501</v>
      </c>
      <c r="BF358" t="inlineStr">
        <is>
          <t>Frozen values from same rules-based model as formula sheet.</t>
        </is>
      </c>
      <c r="BG358" t="inlineStr">
        <is>
          <t>2026-03-17</t>
        </is>
      </c>
      <c r="BH358" t="inlineStr">
        <is>
          <t>DLD / Digital Dubai / CBUAE / Savills / Knight Frank-Moody’s / Reuters</t>
        </is>
      </c>
    </row>
    <row r="359">
      <c r="A359" t="n">
        <v>358</v>
      </c>
      <c r="B359" t="inlineStr">
        <is>
          <t>Binghatti House</t>
        </is>
      </c>
      <c r="C359" t="inlineStr">
        <is>
          <t>Binghatti Developers</t>
        </is>
      </c>
      <c r="D359" t="inlineStr">
        <is>
          <t>JVC</t>
        </is>
      </c>
      <c r="E359" t="inlineStr">
        <is>
          <t>Apartments</t>
        </is>
      </c>
      <c r="F359" t="inlineStr">
        <is>
          <t>Circle / Design</t>
        </is>
      </c>
      <c r="G359" t="inlineStr">
        <is>
          <t>800k</t>
        </is>
      </c>
      <c r="H359" t="inlineStr">
        <is>
          <t>1300</t>
        </is>
      </c>
      <c r="I359" t="inlineStr">
        <is>
          <t>15</t>
        </is>
      </c>
      <c r="J359" t="inlineStr">
        <is>
          <t>70/30</t>
        </is>
      </c>
      <c r="K359" t="inlineStr">
        <is>
          <t>2023</t>
        </is>
      </c>
      <c r="L359" t="inlineStr">
        <is>
          <t>7.5-8.0</t>
        </is>
      </c>
      <c r="M359" t="inlineStr">
        <is>
          <t>7-9</t>
        </is>
      </c>
      <c r="N359" t="inlineStr">
        <is>
          <t>14.5-17.0</t>
        </is>
      </c>
      <c r="O359" t="inlineStr">
        <is>
          <t>JSS International</t>
        </is>
      </c>
      <c r="P359" t="inlineStr">
        <is>
          <t>Saudi German Hospital</t>
        </is>
      </c>
      <c r="Q359" t="inlineStr">
        <is>
          <t>Circle Mall</t>
        </is>
      </c>
      <c r="R359" t="inlineStr">
        <is>
          <t>Hessa St / E44</t>
        </is>
      </c>
      <c r="S359" t="inlineStr">
        <is>
          <t>20</t>
        </is>
      </c>
      <c r="T359" t="inlineStr">
        <is>
          <t>15</t>
        </is>
      </c>
      <c r="U359" t="inlineStr">
        <is>
          <t>25</t>
        </is>
      </c>
      <c r="V359" t="inlineStr">
        <is>
          <t>30</t>
        </is>
      </c>
      <c r="W359" t="n">
        <v>2</v>
      </c>
      <c r="X359" s="12" t="n">
        <v>800000</v>
      </c>
      <c r="Y359" s="12" t="n">
        <v>800000</v>
      </c>
      <c r="Z359" s="9" t="n">
        <v>7.5</v>
      </c>
      <c r="AA359" s="9" t="n">
        <v>8</v>
      </c>
      <c r="AB359" s="9" t="n">
        <v>7</v>
      </c>
      <c r="AC359" s="9" t="n">
        <v>9</v>
      </c>
      <c r="AD359" s="9" t="n">
        <v>14.5</v>
      </c>
      <c r="AE359" s="9" t="n">
        <v>17</v>
      </c>
      <c r="AF359" t="n">
        <v>2023</v>
      </c>
      <c r="AH359" t="inlineStr">
        <is>
          <t>Apartment</t>
        </is>
      </c>
      <c r="AI359" t="inlineStr">
        <is>
          <t>SupplySensitiveApartment</t>
        </is>
      </c>
      <c r="AJ359" t="inlineStr">
        <is>
          <t>MidTier</t>
        </is>
      </c>
      <c r="AK359" t="inlineStr">
        <is>
          <t>Supply-sensitive / selective</t>
        </is>
      </c>
      <c r="AL359" t="inlineStr">
        <is>
          <t>Higher delivery risk in more price-sensitive apartment clusters; building selection and exit liquidity matter.</t>
        </is>
      </c>
      <c r="AM359" s="9" t="n">
        <v>8</v>
      </c>
      <c r="AN359" s="9" t="n">
        <v>7.75</v>
      </c>
      <c r="AO359" s="10" t="n">
        <v>0.55</v>
      </c>
      <c r="AP359" s="13" t="n">
        <v>0</v>
      </c>
      <c r="AQ359" s="13" t="n">
        <v>0</v>
      </c>
      <c r="AR359" s="13" t="n">
        <v>-0.01</v>
      </c>
      <c r="AS359" s="13" t="n">
        <v>-0.01</v>
      </c>
      <c r="AT359" s="13" t="n">
        <v>-0.005</v>
      </c>
      <c r="AU359" s="13" t="n">
        <v>0.0025</v>
      </c>
      <c r="AV359" s="13" t="n">
        <v>-0.005</v>
      </c>
      <c r="AW359" s="13" t="n">
        <v>0.034</v>
      </c>
      <c r="AX359" s="13" t="n">
        <v>-0.0175</v>
      </c>
      <c r="AY359" s="12" t="n">
        <v>802384</v>
      </c>
      <c r="AZ359" s="12" t="n">
        <v>827200</v>
      </c>
      <c r="BA359" s="12" t="n">
        <v>852016</v>
      </c>
      <c r="BB359" s="12" t="n">
        <v>787908</v>
      </c>
      <c r="BC359" s="12" t="n">
        <v>812724</v>
      </c>
      <c r="BD359" s="12" t="n">
        <v>837540</v>
      </c>
      <c r="BE359" s="12" t="n">
        <v>798501</v>
      </c>
      <c r="BF359" t="inlineStr">
        <is>
          <t>Frozen values from same rules-based model as formula sheet.</t>
        </is>
      </c>
      <c r="BG359" t="inlineStr">
        <is>
          <t>2026-03-17</t>
        </is>
      </c>
      <c r="BH359" t="inlineStr">
        <is>
          <t>DLD / Digital Dubai / CBUAE / Savills / Knight Frank-Moody’s / Reuters</t>
        </is>
      </c>
    </row>
    <row r="360">
      <c r="A360" t="n">
        <v>359</v>
      </c>
      <c r="B360" t="inlineStr">
        <is>
          <t>Azizi Venice (Master Community)</t>
        </is>
      </c>
      <c r="C360" t="inlineStr">
        <is>
          <t>Azizi Developments</t>
        </is>
      </c>
      <c r="D360" t="inlineStr">
        <is>
          <t>Dubai South</t>
        </is>
      </c>
      <c r="E360" t="inlineStr">
        <is>
          <t>Apartments &amp; Villas</t>
        </is>
      </c>
      <c r="F360" t="inlineStr">
        <is>
          <t>Lagoon / Opera</t>
        </is>
      </c>
      <c r="G360" t="inlineStr">
        <is>
          <t>480k</t>
        </is>
      </c>
      <c r="H360" t="inlineStr">
        <is>
          <t>1200</t>
        </is>
      </c>
      <c r="I360" t="inlineStr">
        <is>
          <t>15</t>
        </is>
      </c>
      <c r="J360" t="inlineStr">
        <is>
          <t>40/60</t>
        </is>
      </c>
      <c r="K360" t="inlineStr">
        <is>
          <t>2023</t>
        </is>
      </c>
      <c r="L360" t="inlineStr">
        <is>
          <t>7.0-8.0</t>
        </is>
      </c>
      <c r="M360" t="inlineStr">
        <is>
          <t>10-15</t>
        </is>
      </c>
      <c r="N360" t="inlineStr">
        <is>
          <t>17.0-23.0</t>
        </is>
      </c>
      <c r="O360" t="inlineStr">
        <is>
          <t>Greenfield Intl</t>
        </is>
      </c>
      <c r="P360" t="inlineStr">
        <is>
          <t>NMC Royal DIP</t>
        </is>
      </c>
      <c r="Q360" t="inlineStr">
        <is>
          <t>Urban Centre (Local)</t>
        </is>
      </c>
      <c r="R360" t="inlineStr">
        <is>
          <t>Expo Rd / E611</t>
        </is>
      </c>
      <c r="S360" t="inlineStr">
        <is>
          <t>40</t>
        </is>
      </c>
      <c r="T360" t="inlineStr">
        <is>
          <t>25</t>
        </is>
      </c>
      <c r="U360" t="inlineStr">
        <is>
          <t>45</t>
        </is>
      </c>
      <c r="V360" t="inlineStr">
        <is>
          <t>7</t>
        </is>
      </c>
      <c r="W360" t="n">
        <v>2</v>
      </c>
      <c r="X360" s="12" t="n">
        <v>480000</v>
      </c>
      <c r="Y360" s="12" t="n">
        <v>480000</v>
      </c>
      <c r="Z360" s="9" t="n">
        <v>7</v>
      </c>
      <c r="AA360" s="9" t="n">
        <v>8</v>
      </c>
      <c r="AB360" s="9" t="n">
        <v>10</v>
      </c>
      <c r="AC360" s="9" t="n">
        <v>15</v>
      </c>
      <c r="AD360" s="9" t="n">
        <v>17</v>
      </c>
      <c r="AE360" s="9" t="n">
        <v>23</v>
      </c>
      <c r="AF360" t="n">
        <v>2023</v>
      </c>
      <c r="AH360" t="inlineStr">
        <is>
          <t>Villa</t>
        </is>
      </c>
      <c r="AI360" t="inlineStr">
        <is>
          <t>MainstreamSelective</t>
        </is>
      </c>
      <c r="AJ360" t="inlineStr">
        <is>
          <t>MidTier</t>
        </is>
      </c>
      <c r="AK360" t="inlineStr">
        <is>
          <t>Family-villa resilient</t>
        </is>
      </c>
      <c r="AL360" t="inlineStr">
        <is>
          <t>Villa/townhouse demand remains relatively firmer, though growth should be slower than the post-2020 surge.</t>
        </is>
      </c>
      <c r="AM360" s="9" t="n">
        <v>12.5</v>
      </c>
      <c r="AN360" s="9" t="n">
        <v>7.5</v>
      </c>
      <c r="AO360" s="10" t="n">
        <v>0.55</v>
      </c>
      <c r="AP360" s="13" t="n">
        <v>0</v>
      </c>
      <c r="AQ360" s="13" t="n">
        <v>0.015</v>
      </c>
      <c r="AR360" s="13" t="n">
        <v>0</v>
      </c>
      <c r="AS360" s="13" t="n">
        <v>0.025</v>
      </c>
      <c r="AT360" s="13" t="n">
        <v>-0.005</v>
      </c>
      <c r="AU360" s="13" t="n">
        <v>0.0025</v>
      </c>
      <c r="AV360" s="13" t="n">
        <v>-0.005</v>
      </c>
      <c r="AW360" s="13" t="n">
        <v>0.08375</v>
      </c>
      <c r="AX360" s="13" t="n">
        <v>0.0175</v>
      </c>
      <c r="AY360" s="12" t="n">
        <v>504594</v>
      </c>
      <c r="AZ360" s="12" t="n">
        <v>520200</v>
      </c>
      <c r="BA360" s="12" t="n">
        <v>535806</v>
      </c>
      <c r="BB360" s="12" t="n">
        <v>513698</v>
      </c>
      <c r="BC360" s="12" t="n">
        <v>529304</v>
      </c>
      <c r="BD360" s="12" t="n">
        <v>544910</v>
      </c>
      <c r="BE360" s="12" t="n">
        <v>538566</v>
      </c>
      <c r="BF360" t="inlineStr">
        <is>
          <t>Frozen values from same rules-based model as formula sheet.</t>
        </is>
      </c>
      <c r="BG360" t="inlineStr">
        <is>
          <t>2026-03-17</t>
        </is>
      </c>
      <c r="BH360" t="inlineStr">
        <is>
          <t>DLD / Digital Dubai / CBUAE / Savills / Knight Frank-Moody’s / Reuters</t>
        </is>
      </c>
    </row>
    <row r="361">
      <c r="A361" t="n">
        <v>360</v>
      </c>
      <c r="B361" t="inlineStr">
        <is>
          <t>Monaco Mansions</t>
        </is>
      </c>
      <c r="C361" t="inlineStr">
        <is>
          <t>Azizi Developments</t>
        </is>
      </c>
      <c r="D361" t="inlineStr">
        <is>
          <t>Azizi Venice</t>
        </is>
      </c>
      <c r="E361" t="inlineStr">
        <is>
          <t>Mansions</t>
        </is>
      </c>
      <c r="F361" t="inlineStr">
        <is>
          <t>Ultra-Luxury / Lagoon</t>
        </is>
      </c>
      <c r="G361" t="inlineStr">
        <is>
          <t>10M+</t>
        </is>
      </c>
      <c r="H361" t="inlineStr">
        <is>
          <t>2000</t>
        </is>
      </c>
      <c r="I361" t="inlineStr">
        <is>
          <t>TBA</t>
        </is>
      </c>
      <c r="J361" t="inlineStr">
        <is>
          <t>40/60</t>
        </is>
      </c>
      <c r="K361" t="inlineStr">
        <is>
          <t>2024</t>
        </is>
      </c>
      <c r="L361" t="inlineStr">
        <is>
          <t>5.0-5.5</t>
        </is>
      </c>
      <c r="M361" t="inlineStr">
        <is>
          <t>12-18</t>
        </is>
      </c>
      <c r="N361" t="inlineStr">
        <is>
          <t>17.0-23.5</t>
        </is>
      </c>
      <c r="O361" t="inlineStr">
        <is>
          <t>Greenfield Intl</t>
        </is>
      </c>
      <c r="P361" t="inlineStr">
        <is>
          <t>NMC Royal DIP</t>
        </is>
      </c>
      <c r="Q361" t="inlineStr">
        <is>
          <t>Urban Centre (Local)</t>
        </is>
      </c>
      <c r="R361" t="inlineStr">
        <is>
          <t>Expo Rd / E611</t>
        </is>
      </c>
      <c r="S361" t="inlineStr">
        <is>
          <t>40</t>
        </is>
      </c>
      <c r="T361" t="inlineStr">
        <is>
          <t>25</t>
        </is>
      </c>
      <c r="U361" t="inlineStr">
        <is>
          <t>45</t>
        </is>
      </c>
      <c r="V361" t="inlineStr">
        <is>
          <t>7</t>
        </is>
      </c>
      <c r="W361" t="n">
        <v>2</v>
      </c>
      <c r="X361" s="12" t="n">
        <v>10000000</v>
      </c>
      <c r="Y361" s="12" t="n">
        <v>10000000</v>
      </c>
      <c r="Z361" s="9" t="n">
        <v>5</v>
      </c>
      <c r="AA361" s="9" t="n">
        <v>5.5</v>
      </c>
      <c r="AB361" s="9" t="n">
        <v>12</v>
      </c>
      <c r="AC361" s="9" t="n">
        <v>18</v>
      </c>
      <c r="AD361" s="9" t="n">
        <v>17</v>
      </c>
      <c r="AE361" s="9" t="n">
        <v>23.5</v>
      </c>
      <c r="AF361" t="n">
        <v>2024</v>
      </c>
      <c r="AH361" t="inlineStr">
        <is>
          <t>Mixed/Other</t>
        </is>
      </c>
      <c r="AI361" t="inlineStr">
        <is>
          <t>MainstreamSelective</t>
        </is>
      </c>
      <c r="AJ361" t="inlineStr">
        <is>
          <t>MidTier</t>
        </is>
      </c>
      <c r="AK361" t="inlineStr">
        <is>
          <t>Balanced / selective</t>
        </is>
      </c>
      <c r="AL361" t="inlineStr">
        <is>
          <t>Market remains active but increasingly differentiated by developer, micro-location, livability, and pricing discipline.</t>
        </is>
      </c>
      <c r="AM361" s="9" t="n">
        <v>15</v>
      </c>
      <c r="AN361" s="9" t="n">
        <v>5.25</v>
      </c>
      <c r="AO361" s="10" t="n">
        <v>0.55</v>
      </c>
      <c r="AP361" s="13" t="n">
        <v>0</v>
      </c>
      <c r="AQ361" s="13" t="n">
        <v>0</v>
      </c>
      <c r="AR361" s="13" t="n">
        <v>0</v>
      </c>
      <c r="AS361" s="13" t="n">
        <v>0.01</v>
      </c>
      <c r="AT361" s="13" t="n">
        <v>-0.005</v>
      </c>
      <c r="AU361" s="13" t="n">
        <v>0</v>
      </c>
      <c r="AV361" s="13" t="n">
        <v>-0.005</v>
      </c>
      <c r="AW361" s="13" t="n">
        <v>0.0825</v>
      </c>
      <c r="AX361" s="13" t="n">
        <v>0</v>
      </c>
      <c r="AY361" s="12" t="n">
        <v>10500250</v>
      </c>
      <c r="AZ361" s="12" t="n">
        <v>10825000</v>
      </c>
      <c r="BA361" s="12" t="n">
        <v>11149750</v>
      </c>
      <c r="BB361" s="12" t="n">
        <v>10500250</v>
      </c>
      <c r="BC361" s="12" t="n">
        <v>10825000</v>
      </c>
      <c r="BD361" s="12" t="n">
        <v>11149750</v>
      </c>
      <c r="BE361" s="12" t="n">
        <v>10825000</v>
      </c>
      <c r="BF361" t="inlineStr">
        <is>
          <t>Frozen values from same rules-based model as formula sheet.</t>
        </is>
      </c>
      <c r="BG361" t="inlineStr">
        <is>
          <t>2026-03-17</t>
        </is>
      </c>
      <c r="BH361" t="inlineStr">
        <is>
          <t>DLD / Digital Dubai / CBUAE / Savills / Knight Frank-Moody’s / Reuters</t>
        </is>
      </c>
    </row>
    <row r="362">
      <c r="A362" t="n">
        <v>361</v>
      </c>
      <c r="B362" t="inlineStr">
        <is>
          <t>Burj Azizi</t>
        </is>
      </c>
      <c r="C362" t="inlineStr">
        <is>
          <t>Azizi Developments</t>
        </is>
      </c>
      <c r="D362" t="inlineStr">
        <is>
          <t>Sheikh Zayed Road</t>
        </is>
      </c>
      <c r="E362" t="inlineStr">
        <is>
          <t>Mixed Use</t>
        </is>
      </c>
      <c r="F362" t="inlineStr">
        <is>
          <t>Skyscraper</t>
        </is>
      </c>
      <c r="G362" t="inlineStr">
        <is>
          <t>TBA</t>
        </is>
      </c>
      <c r="H362" t="inlineStr">
        <is>
          <t>TBA</t>
        </is>
      </c>
      <c r="I362" t="inlineStr">
        <is>
          <t>TBA</t>
        </is>
      </c>
      <c r="J362" t="inlineStr">
        <is>
          <t>TBA</t>
        </is>
      </c>
      <c r="K362" t="inlineStr">
        <is>
          <t>2024</t>
        </is>
      </c>
      <c r="L362" t="inlineStr">
        <is>
          <t>5.0-6.0</t>
        </is>
      </c>
      <c r="M362" t="inlineStr">
        <is>
          <t>10-15</t>
        </is>
      </c>
      <c r="N362" t="inlineStr">
        <is>
          <t>15.0-21.0</t>
        </is>
      </c>
      <c r="O362" t="inlineStr">
        <is>
          <t>Hartland Intl</t>
        </is>
      </c>
      <c r="P362" t="inlineStr">
        <is>
          <t>Mediclinic Dubai Mall</t>
        </is>
      </c>
      <c r="Q362" t="inlineStr">
        <is>
          <t>Dubai Mall</t>
        </is>
      </c>
      <c r="R362" t="inlineStr">
        <is>
          <t>Sheikh Zayed E11</t>
        </is>
      </c>
      <c r="S362" t="inlineStr">
        <is>
          <t>5</t>
        </is>
      </c>
      <c r="T362" t="inlineStr">
        <is>
          <t>15</t>
        </is>
      </c>
      <c r="U362" t="inlineStr">
        <is>
          <t>15</t>
        </is>
      </c>
      <c r="V362" t="inlineStr">
        <is>
          <t>35</t>
        </is>
      </c>
      <c r="W362" t="n">
        <v>2</v>
      </c>
      <c r="X362" s="12" t="n"/>
      <c r="Y362" s="12" t="n"/>
      <c r="Z362" s="9" t="n">
        <v>5</v>
      </c>
      <c r="AA362" s="9" t="n">
        <v>6</v>
      </c>
      <c r="AB362" s="9" t="n">
        <v>10</v>
      </c>
      <c r="AC362" s="9" t="n">
        <v>15</v>
      </c>
      <c r="AD362" s="9" t="n">
        <v>15</v>
      </c>
      <c r="AE362" s="9" t="n">
        <v>21</v>
      </c>
      <c r="AF362" t="n">
        <v>2024</v>
      </c>
      <c r="AH362" t="inlineStr">
        <is>
          <t>Mixed/Other</t>
        </is>
      </c>
      <c r="AI362" t="inlineStr">
        <is>
          <t>MainstreamSelective</t>
        </is>
      </c>
      <c r="AJ362" t="inlineStr">
        <is>
          <t>MidTier</t>
        </is>
      </c>
      <c r="AK362" t="inlineStr">
        <is>
          <t>Balanced / selective</t>
        </is>
      </c>
      <c r="AL362" t="inlineStr">
        <is>
          <t>Market remains active but increasingly differentiated by developer, micro-location, livability, and pricing discipline.</t>
        </is>
      </c>
      <c r="AM362" s="9" t="n">
        <v>12.5</v>
      </c>
      <c r="AN362" s="9" t="n">
        <v>5.5</v>
      </c>
      <c r="AO362" s="10" t="n">
        <v>0.55</v>
      </c>
      <c r="AP362" s="13" t="n">
        <v>0</v>
      </c>
      <c r="AQ362" s="13" t="n">
        <v>0</v>
      </c>
      <c r="AR362" s="13" t="n">
        <v>0</v>
      </c>
      <c r="AS362" s="13" t="n">
        <v>0.01</v>
      </c>
      <c r="AT362" s="13" t="n">
        <v>-0.005</v>
      </c>
      <c r="AU362" s="13" t="n">
        <v>0</v>
      </c>
      <c r="AV362" s="13" t="n">
        <v>-0.005</v>
      </c>
      <c r="AW362" s="13" t="n">
        <v>0.06875000000000001</v>
      </c>
      <c r="AX362" s="13" t="n">
        <v>0</v>
      </c>
      <c r="AY362" s="12" t="n"/>
      <c r="AZ362" s="12" t="n"/>
      <c r="BA362" s="12" t="n"/>
      <c r="BB362" s="12" t="n"/>
      <c r="BC362" s="12" t="n"/>
      <c r="BD362" s="12" t="n"/>
      <c r="BE362" s="12" t="n"/>
      <c r="BF362" t="inlineStr">
        <is>
          <t>Frozen values from same rules-based model as formula sheet.</t>
        </is>
      </c>
      <c r="BG362" t="inlineStr">
        <is>
          <t>2026-03-17</t>
        </is>
      </c>
      <c r="BH362" t="inlineStr">
        <is>
          <t>DLD / Digital Dubai / CBUAE / Savills / Knight Frank-Moody’s / Reuters</t>
        </is>
      </c>
    </row>
    <row r="363">
      <c r="A363" t="n">
        <v>362</v>
      </c>
      <c r="B363" t="inlineStr">
        <is>
          <t>Riviera Phase 1</t>
        </is>
      </c>
      <c r="C363" t="inlineStr">
        <is>
          <t>Azizi Developments</t>
        </is>
      </c>
      <c r="D363" t="inlineStr">
        <is>
          <t>MBR City (Meydan)</t>
        </is>
      </c>
      <c r="E363" t="inlineStr">
        <is>
          <t>Apartments</t>
        </is>
      </c>
      <c r="F363" t="inlineStr">
        <is>
          <t>Lagoon / French</t>
        </is>
      </c>
      <c r="G363" t="inlineStr">
        <is>
          <t>Resale (800k+)</t>
        </is>
      </c>
      <c r="H363" t="inlineStr">
        <is>
          <t>1300</t>
        </is>
      </c>
      <c r="I363" t="inlineStr">
        <is>
          <t>16</t>
        </is>
      </c>
      <c r="J363" t="inlineStr">
        <is>
          <t>Completed</t>
        </is>
      </c>
      <c r="K363" t="inlineStr">
        <is>
          <t>2017</t>
        </is>
      </c>
      <c r="L363" t="inlineStr">
        <is>
          <t>7.0-7.5</t>
        </is>
      </c>
      <c r="M363" t="inlineStr">
        <is>
          <t>5-7</t>
        </is>
      </c>
      <c r="N363" t="inlineStr">
        <is>
          <t>12.0-14.5</t>
        </is>
      </c>
      <c r="O363" t="inlineStr">
        <is>
          <t>Hartland Intl</t>
        </is>
      </c>
      <c r="P363" t="inlineStr">
        <is>
          <t>American Hospital</t>
        </is>
      </c>
      <c r="Q363" t="inlineStr">
        <is>
          <t>Dubai Mall</t>
        </is>
      </c>
      <c r="R363" t="inlineStr">
        <is>
          <t>Ras Al Khor / E44</t>
        </is>
      </c>
      <c r="S363" t="inlineStr">
        <is>
          <t>12</t>
        </is>
      </c>
      <c r="T363" t="inlineStr">
        <is>
          <t>25</t>
        </is>
      </c>
      <c r="U363" t="inlineStr">
        <is>
          <t>15</t>
        </is>
      </c>
      <c r="V363" t="inlineStr">
        <is>
          <t>40</t>
        </is>
      </c>
      <c r="W363" t="n">
        <v>2</v>
      </c>
      <c r="X363" s="12" t="n">
        <v>800000</v>
      </c>
      <c r="Y363" s="12" t="n">
        <v>800000</v>
      </c>
      <c r="Z363" s="9" t="n">
        <v>7</v>
      </c>
      <c r="AA363" s="9" t="n">
        <v>7.5</v>
      </c>
      <c r="AB363" s="9" t="n">
        <v>5</v>
      </c>
      <c r="AC363" s="9" t="n">
        <v>7</v>
      </c>
      <c r="AD363" s="9" t="n">
        <v>12</v>
      </c>
      <c r="AE363" s="9" t="n">
        <v>14.5</v>
      </c>
      <c r="AF363" t="n">
        <v>2017</v>
      </c>
      <c r="AH363" t="inlineStr">
        <is>
          <t>Apartment</t>
        </is>
      </c>
      <c r="AI363" t="inlineStr">
        <is>
          <t>MainstreamSelective</t>
        </is>
      </c>
      <c r="AJ363" t="inlineStr">
        <is>
          <t>MidTier</t>
        </is>
      </c>
      <c r="AK363" t="inlineStr">
        <is>
          <t>Balanced / selective</t>
        </is>
      </c>
      <c r="AL363" t="inlineStr">
        <is>
          <t>Market remains active but increasingly differentiated by developer, micro-location, livability, and pricing discipline.</t>
        </is>
      </c>
      <c r="AM363" s="9" t="n">
        <v>6</v>
      </c>
      <c r="AN363" s="9" t="n">
        <v>7.25</v>
      </c>
      <c r="AO363" s="10" t="n">
        <v>0.55</v>
      </c>
      <c r="AP363" s="13" t="n">
        <v>0</v>
      </c>
      <c r="AQ363" s="13" t="n">
        <v>0</v>
      </c>
      <c r="AR363" s="13" t="n">
        <v>0</v>
      </c>
      <c r="AS363" s="13" t="n">
        <v>0.01</v>
      </c>
      <c r="AT363" s="13" t="n">
        <v>-0.005</v>
      </c>
      <c r="AU363" s="13" t="n">
        <v>0.0025</v>
      </c>
      <c r="AV363" s="13" t="n">
        <v>-0.005</v>
      </c>
      <c r="AW363" s="13" t="n">
        <v>0.033</v>
      </c>
      <c r="AX363" s="13" t="n">
        <v>0.0025</v>
      </c>
      <c r="AY363" s="12" t="n">
        <v>801608</v>
      </c>
      <c r="AZ363" s="12" t="n">
        <v>826400</v>
      </c>
      <c r="BA363" s="12" t="n">
        <v>851192</v>
      </c>
      <c r="BB363" s="12" t="n">
        <v>803674</v>
      </c>
      <c r="BC363" s="12" t="n">
        <v>828466</v>
      </c>
      <c r="BD363" s="12" t="n">
        <v>853258</v>
      </c>
      <c r="BE363" s="12" t="n">
        <v>830537</v>
      </c>
      <c r="BF363" t="inlineStr">
        <is>
          <t>Frozen values from same rules-based model as formula sheet.</t>
        </is>
      </c>
      <c r="BG363" t="inlineStr">
        <is>
          <t>2026-03-17</t>
        </is>
      </c>
      <c r="BH363" t="inlineStr">
        <is>
          <t>DLD / Digital Dubai / CBUAE / Savills / Knight Frank-Moody’s / Reuters</t>
        </is>
      </c>
    </row>
    <row r="364">
      <c r="A364" t="n">
        <v>363</v>
      </c>
      <c r="B364" t="inlineStr">
        <is>
          <t>Riviera Phase 2</t>
        </is>
      </c>
      <c r="C364" t="inlineStr">
        <is>
          <t>Azizi Developments</t>
        </is>
      </c>
      <c r="D364" t="inlineStr">
        <is>
          <t>MBR City (Meydan)</t>
        </is>
      </c>
      <c r="E364" t="inlineStr">
        <is>
          <t>Apartments</t>
        </is>
      </c>
      <c r="F364" t="inlineStr">
        <is>
          <t>Lagoon / French</t>
        </is>
      </c>
      <c r="G364" t="inlineStr">
        <is>
          <t>Resale (800k+)</t>
        </is>
      </c>
      <c r="H364" t="inlineStr">
        <is>
          <t>1300</t>
        </is>
      </c>
      <c r="I364" t="inlineStr">
        <is>
          <t>16</t>
        </is>
      </c>
      <c r="J364" t="inlineStr">
        <is>
          <t>Completed</t>
        </is>
      </c>
      <c r="K364" t="inlineStr">
        <is>
          <t>2018</t>
        </is>
      </c>
      <c r="L364" t="inlineStr">
        <is>
          <t>7.0-7.5</t>
        </is>
      </c>
      <c r="M364" t="inlineStr">
        <is>
          <t>5-7</t>
        </is>
      </c>
      <c r="N364" t="inlineStr">
        <is>
          <t>12.0-14.5</t>
        </is>
      </c>
      <c r="O364" t="inlineStr">
        <is>
          <t>Hartland Intl</t>
        </is>
      </c>
      <c r="P364" t="inlineStr">
        <is>
          <t>American Hospital</t>
        </is>
      </c>
      <c r="Q364" t="inlineStr">
        <is>
          <t>Dubai Mall</t>
        </is>
      </c>
      <c r="R364" t="inlineStr">
        <is>
          <t>Ras Al Khor / E44</t>
        </is>
      </c>
      <c r="S364" t="inlineStr">
        <is>
          <t>12</t>
        </is>
      </c>
      <c r="T364" t="inlineStr">
        <is>
          <t>25</t>
        </is>
      </c>
      <c r="U364" t="inlineStr">
        <is>
          <t>15</t>
        </is>
      </c>
      <c r="V364" t="inlineStr">
        <is>
          <t>40</t>
        </is>
      </c>
      <c r="W364" t="n">
        <v>2</v>
      </c>
      <c r="X364" s="12" t="n">
        <v>800000</v>
      </c>
      <c r="Y364" s="12" t="n">
        <v>800000</v>
      </c>
      <c r="Z364" s="9" t="n">
        <v>7</v>
      </c>
      <c r="AA364" s="9" t="n">
        <v>7.5</v>
      </c>
      <c r="AB364" s="9" t="n">
        <v>5</v>
      </c>
      <c r="AC364" s="9" t="n">
        <v>7</v>
      </c>
      <c r="AD364" s="9" t="n">
        <v>12</v>
      </c>
      <c r="AE364" s="9" t="n">
        <v>14.5</v>
      </c>
      <c r="AF364" t="n">
        <v>2018</v>
      </c>
      <c r="AH364" t="inlineStr">
        <is>
          <t>Apartment</t>
        </is>
      </c>
      <c r="AI364" t="inlineStr">
        <is>
          <t>MainstreamSelective</t>
        </is>
      </c>
      <c r="AJ364" t="inlineStr">
        <is>
          <t>MidTier</t>
        </is>
      </c>
      <c r="AK364" t="inlineStr">
        <is>
          <t>Balanced / selective</t>
        </is>
      </c>
      <c r="AL364" t="inlineStr">
        <is>
          <t>Market remains active but increasingly differentiated by developer, micro-location, livability, and pricing discipline.</t>
        </is>
      </c>
      <c r="AM364" s="9" t="n">
        <v>6</v>
      </c>
      <c r="AN364" s="9" t="n">
        <v>7.25</v>
      </c>
      <c r="AO364" s="10" t="n">
        <v>0.55</v>
      </c>
      <c r="AP364" s="13" t="n">
        <v>0</v>
      </c>
      <c r="AQ364" s="13" t="n">
        <v>0</v>
      </c>
      <c r="AR364" s="13" t="n">
        <v>0</v>
      </c>
      <c r="AS364" s="13" t="n">
        <v>0.01</v>
      </c>
      <c r="AT364" s="13" t="n">
        <v>-0.005</v>
      </c>
      <c r="AU364" s="13" t="n">
        <v>0.0025</v>
      </c>
      <c r="AV364" s="13" t="n">
        <v>-0.005</v>
      </c>
      <c r="AW364" s="13" t="n">
        <v>0.033</v>
      </c>
      <c r="AX364" s="13" t="n">
        <v>0.0025</v>
      </c>
      <c r="AY364" s="12" t="n">
        <v>801608</v>
      </c>
      <c r="AZ364" s="12" t="n">
        <v>826400</v>
      </c>
      <c r="BA364" s="12" t="n">
        <v>851192</v>
      </c>
      <c r="BB364" s="12" t="n">
        <v>803674</v>
      </c>
      <c r="BC364" s="12" t="n">
        <v>828466</v>
      </c>
      <c r="BD364" s="12" t="n">
        <v>853258</v>
      </c>
      <c r="BE364" s="12" t="n">
        <v>830537</v>
      </c>
      <c r="BF364" t="inlineStr">
        <is>
          <t>Frozen values from same rules-based model as formula sheet.</t>
        </is>
      </c>
      <c r="BG364" t="inlineStr">
        <is>
          <t>2026-03-17</t>
        </is>
      </c>
      <c r="BH364" t="inlineStr">
        <is>
          <t>DLD / Digital Dubai / CBUAE / Savills / Knight Frank-Moody’s / Reuters</t>
        </is>
      </c>
    </row>
    <row r="365">
      <c r="A365" t="n">
        <v>364</v>
      </c>
      <c r="B365" t="inlineStr">
        <is>
          <t>Riviera Phase 3</t>
        </is>
      </c>
      <c r="C365" t="inlineStr">
        <is>
          <t>Azizi Developments</t>
        </is>
      </c>
      <c r="D365" t="inlineStr">
        <is>
          <t>MBR City (Meydan)</t>
        </is>
      </c>
      <c r="E365" t="inlineStr">
        <is>
          <t>Apartments</t>
        </is>
      </c>
      <c r="F365" t="inlineStr">
        <is>
          <t>Lagoon / French</t>
        </is>
      </c>
      <c r="G365" t="inlineStr">
        <is>
          <t>1.0M</t>
        </is>
      </c>
      <c r="H365" t="inlineStr">
        <is>
          <t>1400</t>
        </is>
      </c>
      <c r="I365" t="inlineStr">
        <is>
          <t>16</t>
        </is>
      </c>
      <c r="J365" t="inlineStr">
        <is>
          <t>50/50</t>
        </is>
      </c>
      <c r="K365" t="inlineStr">
        <is>
          <t>2019</t>
        </is>
      </c>
      <c r="L365" t="inlineStr">
        <is>
          <t>7.0-7.5</t>
        </is>
      </c>
      <c r="M365" t="inlineStr">
        <is>
          <t>6-8</t>
        </is>
      </c>
      <c r="N365" t="inlineStr">
        <is>
          <t>13.0-15.5</t>
        </is>
      </c>
      <c r="O365" t="inlineStr">
        <is>
          <t>Hartland Intl</t>
        </is>
      </c>
      <c r="P365" t="inlineStr">
        <is>
          <t>American Hospital</t>
        </is>
      </c>
      <c r="Q365" t="inlineStr">
        <is>
          <t>Dubai Mall</t>
        </is>
      </c>
      <c r="R365" t="inlineStr">
        <is>
          <t>Ras Al Khor / E44</t>
        </is>
      </c>
      <c r="S365" t="inlineStr">
        <is>
          <t>12</t>
        </is>
      </c>
      <c r="T365" t="inlineStr">
        <is>
          <t>25</t>
        </is>
      </c>
      <c r="U365" t="inlineStr">
        <is>
          <t>15</t>
        </is>
      </c>
      <c r="V365" t="inlineStr">
        <is>
          <t>40</t>
        </is>
      </c>
      <c r="W365" t="n">
        <v>2</v>
      </c>
      <c r="X365" s="12" t="n">
        <v>1000000</v>
      </c>
      <c r="Y365" s="12" t="n">
        <v>1000000</v>
      </c>
      <c r="Z365" s="9" t="n">
        <v>7</v>
      </c>
      <c r="AA365" s="9" t="n">
        <v>7.5</v>
      </c>
      <c r="AB365" s="9" t="n">
        <v>6</v>
      </c>
      <c r="AC365" s="9" t="n">
        <v>8</v>
      </c>
      <c r="AD365" s="9" t="n">
        <v>13</v>
      </c>
      <c r="AE365" s="9" t="n">
        <v>15.5</v>
      </c>
      <c r="AF365" t="n">
        <v>2019</v>
      </c>
      <c r="AH365" t="inlineStr">
        <is>
          <t>Apartment</t>
        </is>
      </c>
      <c r="AI365" t="inlineStr">
        <is>
          <t>MainstreamSelective</t>
        </is>
      </c>
      <c r="AJ365" t="inlineStr">
        <is>
          <t>MidTier</t>
        </is>
      </c>
      <c r="AK365" t="inlineStr">
        <is>
          <t>Balanced / selective</t>
        </is>
      </c>
      <c r="AL365" t="inlineStr">
        <is>
          <t>Market remains active but increasingly differentiated by developer, micro-location, livability, and pricing discipline.</t>
        </is>
      </c>
      <c r="AM365" s="9" t="n">
        <v>7</v>
      </c>
      <c r="AN365" s="9" t="n">
        <v>7.25</v>
      </c>
      <c r="AO365" s="10" t="n">
        <v>0.55</v>
      </c>
      <c r="AP365" s="13" t="n">
        <v>0</v>
      </c>
      <c r="AQ365" s="13" t="n">
        <v>0</v>
      </c>
      <c r="AR365" s="13" t="n">
        <v>0</v>
      </c>
      <c r="AS365" s="13" t="n">
        <v>0.01</v>
      </c>
      <c r="AT365" s="13" t="n">
        <v>-0.005</v>
      </c>
      <c r="AU365" s="13" t="n">
        <v>0.0025</v>
      </c>
      <c r="AV365" s="13" t="n">
        <v>-0.005</v>
      </c>
      <c r="AW365" s="13" t="n">
        <v>0.03850000000000001</v>
      </c>
      <c r="AX365" s="13" t="n">
        <v>0.0025</v>
      </c>
      <c r="AY365" s="12" t="n">
        <v>1007345</v>
      </c>
      <c r="AZ365" s="12" t="n">
        <v>1038500</v>
      </c>
      <c r="BA365" s="12" t="n">
        <v>1069655</v>
      </c>
      <c r="BB365" s="12" t="n">
        <v>1009941</v>
      </c>
      <c r="BC365" s="12" t="n">
        <v>1041096</v>
      </c>
      <c r="BD365" s="12" t="n">
        <v>1072251</v>
      </c>
      <c r="BE365" s="12" t="n">
        <v>1043699</v>
      </c>
      <c r="BF365" t="inlineStr">
        <is>
          <t>Frozen values from same rules-based model as formula sheet.</t>
        </is>
      </c>
      <c r="BG365" t="inlineStr">
        <is>
          <t>2026-03-17</t>
        </is>
      </c>
      <c r="BH365" t="inlineStr">
        <is>
          <t>DLD / Digital Dubai / CBUAE / Savills / Knight Frank-Moody’s / Reuters</t>
        </is>
      </c>
    </row>
    <row r="366">
      <c r="A366" t="n">
        <v>365</v>
      </c>
      <c r="B366" t="inlineStr">
        <is>
          <t>Riviera Phase 4</t>
        </is>
      </c>
      <c r="C366" t="inlineStr">
        <is>
          <t>Azizi Developments</t>
        </is>
      </c>
      <c r="D366" t="inlineStr">
        <is>
          <t>MBR City (Meydan)</t>
        </is>
      </c>
      <c r="E366" t="inlineStr">
        <is>
          <t>Apartments</t>
        </is>
      </c>
      <c r="F366" t="inlineStr">
        <is>
          <t>Lagoon / French</t>
        </is>
      </c>
      <c r="G366" t="inlineStr">
        <is>
          <t>1.1M</t>
        </is>
      </c>
      <c r="H366" t="inlineStr">
        <is>
          <t>1450</t>
        </is>
      </c>
      <c r="I366" t="inlineStr">
        <is>
          <t>16</t>
        </is>
      </c>
      <c r="J366" t="inlineStr">
        <is>
          <t>50/50</t>
        </is>
      </c>
      <c r="K366" t="inlineStr">
        <is>
          <t>2022</t>
        </is>
      </c>
      <c r="L366" t="inlineStr">
        <is>
          <t>7.0-7.5</t>
        </is>
      </c>
      <c r="M366" t="inlineStr">
        <is>
          <t>6-8</t>
        </is>
      </c>
      <c r="N366" t="inlineStr">
        <is>
          <t>13.0-15.5</t>
        </is>
      </c>
      <c r="O366" t="inlineStr">
        <is>
          <t>Hartland Intl</t>
        </is>
      </c>
      <c r="P366" t="inlineStr">
        <is>
          <t>American Hospital</t>
        </is>
      </c>
      <c r="Q366" t="inlineStr">
        <is>
          <t>Dubai Mall</t>
        </is>
      </c>
      <c r="R366" t="inlineStr">
        <is>
          <t>Ras Al Khor / E44</t>
        </is>
      </c>
      <c r="S366" t="inlineStr">
        <is>
          <t>12</t>
        </is>
      </c>
      <c r="T366" t="inlineStr">
        <is>
          <t>25</t>
        </is>
      </c>
      <c r="U366" t="inlineStr">
        <is>
          <t>15</t>
        </is>
      </c>
      <c r="V366" t="inlineStr">
        <is>
          <t>40</t>
        </is>
      </c>
      <c r="W366" t="n">
        <v>2</v>
      </c>
      <c r="X366" s="12" t="n">
        <v>1100000</v>
      </c>
      <c r="Y366" s="12" t="n">
        <v>1100000</v>
      </c>
      <c r="Z366" s="9" t="n">
        <v>7</v>
      </c>
      <c r="AA366" s="9" t="n">
        <v>7.5</v>
      </c>
      <c r="AB366" s="9" t="n">
        <v>6</v>
      </c>
      <c r="AC366" s="9" t="n">
        <v>8</v>
      </c>
      <c r="AD366" s="9" t="n">
        <v>13</v>
      </c>
      <c r="AE366" s="9" t="n">
        <v>15.5</v>
      </c>
      <c r="AF366" t="n">
        <v>2022</v>
      </c>
      <c r="AH366" t="inlineStr">
        <is>
          <t>Apartment</t>
        </is>
      </c>
      <c r="AI366" t="inlineStr">
        <is>
          <t>MainstreamSelective</t>
        </is>
      </c>
      <c r="AJ366" t="inlineStr">
        <is>
          <t>MidTier</t>
        </is>
      </c>
      <c r="AK366" t="inlineStr">
        <is>
          <t>Balanced / selective</t>
        </is>
      </c>
      <c r="AL366" t="inlineStr">
        <is>
          <t>Market remains active but increasingly differentiated by developer, micro-location, livability, and pricing discipline.</t>
        </is>
      </c>
      <c r="AM366" s="9" t="n">
        <v>7</v>
      </c>
      <c r="AN366" s="9" t="n">
        <v>7.25</v>
      </c>
      <c r="AO366" s="10" t="n">
        <v>0.55</v>
      </c>
      <c r="AP366" s="13" t="n">
        <v>0</v>
      </c>
      <c r="AQ366" s="13" t="n">
        <v>0</v>
      </c>
      <c r="AR366" s="13" t="n">
        <v>0</v>
      </c>
      <c r="AS366" s="13" t="n">
        <v>0.01</v>
      </c>
      <c r="AT366" s="13" t="n">
        <v>-0.005</v>
      </c>
      <c r="AU366" s="13" t="n">
        <v>0.0025</v>
      </c>
      <c r="AV366" s="13" t="n">
        <v>-0.005</v>
      </c>
      <c r="AW366" s="13" t="n">
        <v>0.03850000000000001</v>
      </c>
      <c r="AX366" s="13" t="n">
        <v>0.0025</v>
      </c>
      <c r="AY366" s="12" t="n">
        <v>1108080</v>
      </c>
      <c r="AZ366" s="12" t="n">
        <v>1142350</v>
      </c>
      <c r="BA366" s="12" t="n">
        <v>1176620</v>
      </c>
      <c r="BB366" s="12" t="n">
        <v>1110935</v>
      </c>
      <c r="BC366" s="12" t="n">
        <v>1145206</v>
      </c>
      <c r="BD366" s="12" t="n">
        <v>1179476</v>
      </c>
      <c r="BE366" s="12" t="n">
        <v>1148069</v>
      </c>
      <c r="BF366" t="inlineStr">
        <is>
          <t>Frozen values from same rules-based model as formula sheet.</t>
        </is>
      </c>
      <c r="BG366" t="inlineStr">
        <is>
          <t>2026-03-17</t>
        </is>
      </c>
      <c r="BH366" t="inlineStr">
        <is>
          <t>DLD / Digital Dubai / CBUAE / Savills / Knight Frank-Moody’s / Reuters</t>
        </is>
      </c>
    </row>
    <row r="367">
      <c r="A367" t="n">
        <v>366</v>
      </c>
      <c r="B367" t="inlineStr">
        <is>
          <t>Riviera Rêve</t>
        </is>
      </c>
      <c r="C367" t="inlineStr">
        <is>
          <t>Azizi Developments</t>
        </is>
      </c>
      <c r="D367" t="inlineStr">
        <is>
          <t>MBR City (Meydan)</t>
        </is>
      </c>
      <c r="E367" t="inlineStr">
        <is>
          <t>Apartments</t>
        </is>
      </c>
      <c r="F367" t="inlineStr">
        <is>
          <t>Luxury / Lagoon View</t>
        </is>
      </c>
      <c r="G367" t="inlineStr">
        <is>
          <t>1.8M</t>
        </is>
      </c>
      <c r="H367" t="inlineStr">
        <is>
          <t>1800</t>
        </is>
      </c>
      <c r="I367" t="inlineStr">
        <is>
          <t>18</t>
        </is>
      </c>
      <c r="J367" t="inlineStr">
        <is>
          <t>50/50</t>
        </is>
      </c>
      <c r="K367" t="inlineStr">
        <is>
          <t>2022</t>
        </is>
      </c>
      <c r="L367" t="inlineStr">
        <is>
          <t>6.5-7.0</t>
        </is>
      </c>
      <c r="M367" t="inlineStr">
        <is>
          <t>7-9</t>
        </is>
      </c>
      <c r="N367" t="inlineStr">
        <is>
          <t>13.5-16.0</t>
        </is>
      </c>
      <c r="O367" t="inlineStr">
        <is>
          <t>Hartland Intl</t>
        </is>
      </c>
      <c r="P367" t="inlineStr">
        <is>
          <t>American Hospital</t>
        </is>
      </c>
      <c r="Q367" t="inlineStr">
        <is>
          <t>Dubai Mall</t>
        </is>
      </c>
      <c r="R367" t="inlineStr">
        <is>
          <t>Ras Al Khor / E44</t>
        </is>
      </c>
      <c r="S367" t="inlineStr">
        <is>
          <t>12</t>
        </is>
      </c>
      <c r="T367" t="inlineStr">
        <is>
          <t>25</t>
        </is>
      </c>
      <c r="U367" t="inlineStr">
        <is>
          <t>15</t>
        </is>
      </c>
      <c r="V367" t="inlineStr">
        <is>
          <t>40</t>
        </is>
      </c>
      <c r="W367" t="n">
        <v>2</v>
      </c>
      <c r="X367" s="12" t="n">
        <v>1800000</v>
      </c>
      <c r="Y367" s="12" t="n">
        <v>1800000</v>
      </c>
      <c r="Z367" s="9" t="n">
        <v>6.5</v>
      </c>
      <c r="AA367" s="9" t="n">
        <v>7</v>
      </c>
      <c r="AB367" s="9" t="n">
        <v>7</v>
      </c>
      <c r="AC367" s="9" t="n">
        <v>9</v>
      </c>
      <c r="AD367" s="9" t="n">
        <v>13.5</v>
      </c>
      <c r="AE367" s="9" t="n">
        <v>16</v>
      </c>
      <c r="AF367" t="n">
        <v>2022</v>
      </c>
      <c r="AH367" t="inlineStr">
        <is>
          <t>Apartment</t>
        </is>
      </c>
      <c r="AI367" t="inlineStr">
        <is>
          <t>MainstreamSelective</t>
        </is>
      </c>
      <c r="AJ367" t="inlineStr">
        <is>
          <t>MidTier</t>
        </is>
      </c>
      <c r="AK367" t="inlineStr">
        <is>
          <t>Balanced / selective</t>
        </is>
      </c>
      <c r="AL367" t="inlineStr">
        <is>
          <t>Market remains active but increasingly differentiated by developer, micro-location, livability, and pricing discipline.</t>
        </is>
      </c>
      <c r="AM367" s="9" t="n">
        <v>8</v>
      </c>
      <c r="AN367" s="9" t="n">
        <v>6.75</v>
      </c>
      <c r="AO367" s="10" t="n">
        <v>0.55</v>
      </c>
      <c r="AP367" s="13" t="n">
        <v>0</v>
      </c>
      <c r="AQ367" s="13" t="n">
        <v>0</v>
      </c>
      <c r="AR367" s="13" t="n">
        <v>0</v>
      </c>
      <c r="AS367" s="13" t="n">
        <v>0.01</v>
      </c>
      <c r="AT367" s="13" t="n">
        <v>-0.005</v>
      </c>
      <c r="AU367" s="13" t="n">
        <v>0.0025</v>
      </c>
      <c r="AV367" s="13" t="n">
        <v>-0.005</v>
      </c>
      <c r="AW367" s="13" t="n">
        <v>0.044</v>
      </c>
      <c r="AX367" s="13" t="n">
        <v>0.0025</v>
      </c>
      <c r="AY367" s="12" t="n">
        <v>1822824</v>
      </c>
      <c r="AZ367" s="12" t="n">
        <v>1879200</v>
      </c>
      <c r="BA367" s="12" t="n">
        <v>1935576</v>
      </c>
      <c r="BB367" s="12" t="n">
        <v>1827522</v>
      </c>
      <c r="BC367" s="12" t="n">
        <v>1883898</v>
      </c>
      <c r="BD367" s="12" t="n">
        <v>1940274</v>
      </c>
      <c r="BE367" s="12" t="n">
        <v>1888608</v>
      </c>
      <c r="BF367" t="inlineStr">
        <is>
          <t>Frozen values from same rules-based model as formula sheet.</t>
        </is>
      </c>
      <c r="BG367" t="inlineStr">
        <is>
          <t>2026-03-17</t>
        </is>
      </c>
      <c r="BH367" t="inlineStr">
        <is>
          <t>DLD / Digital Dubai / CBUAE / Savills / Knight Frank-Moody’s / Reuters</t>
        </is>
      </c>
    </row>
    <row r="368">
      <c r="A368" t="n">
        <v>367</v>
      </c>
      <c r="B368" t="inlineStr">
        <is>
          <t>Riviera Beachfront</t>
        </is>
      </c>
      <c r="C368" t="inlineStr">
        <is>
          <t>Azizi Developments</t>
        </is>
      </c>
      <c r="D368" t="inlineStr">
        <is>
          <t>MBR City (Meydan)</t>
        </is>
      </c>
      <c r="E368" t="inlineStr">
        <is>
          <t>Apartments</t>
        </is>
      </c>
      <c r="F368" t="inlineStr">
        <is>
          <t>Beachfront / Lagoon</t>
        </is>
      </c>
      <c r="G368" t="inlineStr">
        <is>
          <t>1.5M</t>
        </is>
      </c>
      <c r="H368" t="inlineStr">
        <is>
          <t>1600</t>
        </is>
      </c>
      <c r="I368" t="inlineStr">
        <is>
          <t>18</t>
        </is>
      </c>
      <c r="J368" t="inlineStr">
        <is>
          <t>50/50</t>
        </is>
      </c>
      <c r="K368" t="inlineStr">
        <is>
          <t>2021</t>
        </is>
      </c>
      <c r="L368" t="inlineStr">
        <is>
          <t>6.5-7.0</t>
        </is>
      </c>
      <c r="M368" t="inlineStr">
        <is>
          <t>7-9</t>
        </is>
      </c>
      <c r="N368" t="inlineStr">
        <is>
          <t>13.5-16.0</t>
        </is>
      </c>
      <c r="O368" t="inlineStr">
        <is>
          <t>Hartland Intl</t>
        </is>
      </c>
      <c r="P368" t="inlineStr">
        <is>
          <t>American Hospital</t>
        </is>
      </c>
      <c r="Q368" t="inlineStr">
        <is>
          <t>Dubai Mall</t>
        </is>
      </c>
      <c r="R368" t="inlineStr">
        <is>
          <t>Ras Al Khor / E44</t>
        </is>
      </c>
      <c r="S368" t="inlineStr">
        <is>
          <t>12</t>
        </is>
      </c>
      <c r="T368" t="inlineStr">
        <is>
          <t>25</t>
        </is>
      </c>
      <c r="U368" t="inlineStr">
        <is>
          <t>15</t>
        </is>
      </c>
      <c r="V368" t="inlineStr">
        <is>
          <t>40</t>
        </is>
      </c>
      <c r="W368" t="n">
        <v>2</v>
      </c>
      <c r="X368" s="12" t="n">
        <v>1500000</v>
      </c>
      <c r="Y368" s="12" t="n">
        <v>1500000</v>
      </c>
      <c r="Z368" s="9" t="n">
        <v>6.5</v>
      </c>
      <c r="AA368" s="9" t="n">
        <v>7</v>
      </c>
      <c r="AB368" s="9" t="n">
        <v>7</v>
      </c>
      <c r="AC368" s="9" t="n">
        <v>9</v>
      </c>
      <c r="AD368" s="9" t="n">
        <v>13.5</v>
      </c>
      <c r="AE368" s="9" t="n">
        <v>16</v>
      </c>
      <c r="AF368" t="n">
        <v>2021</v>
      </c>
      <c r="AH368" t="inlineStr">
        <is>
          <t>Apartment</t>
        </is>
      </c>
      <c r="AI368" t="inlineStr">
        <is>
          <t>MainstreamSelective</t>
        </is>
      </c>
      <c r="AJ368" t="inlineStr">
        <is>
          <t>MidTier</t>
        </is>
      </c>
      <c r="AK368" t="inlineStr">
        <is>
          <t>Balanced / selective</t>
        </is>
      </c>
      <c r="AL368" t="inlineStr">
        <is>
          <t>Market remains active but increasingly differentiated by developer, micro-location, livability, and pricing discipline.</t>
        </is>
      </c>
      <c r="AM368" s="9" t="n">
        <v>8</v>
      </c>
      <c r="AN368" s="9" t="n">
        <v>6.75</v>
      </c>
      <c r="AO368" s="10" t="n">
        <v>0.55</v>
      </c>
      <c r="AP368" s="13" t="n">
        <v>0</v>
      </c>
      <c r="AQ368" s="13" t="n">
        <v>0</v>
      </c>
      <c r="AR368" s="13" t="n">
        <v>0</v>
      </c>
      <c r="AS368" s="13" t="n">
        <v>0.01</v>
      </c>
      <c r="AT368" s="13" t="n">
        <v>-0.005</v>
      </c>
      <c r="AU368" s="13" t="n">
        <v>0.0025</v>
      </c>
      <c r="AV368" s="13" t="n">
        <v>-0.005</v>
      </c>
      <c r="AW368" s="13" t="n">
        <v>0.044</v>
      </c>
      <c r="AX368" s="13" t="n">
        <v>0.0025</v>
      </c>
      <c r="AY368" s="12" t="n">
        <v>1519020</v>
      </c>
      <c r="AZ368" s="12" t="n">
        <v>1566000</v>
      </c>
      <c r="BA368" s="12" t="n">
        <v>1612980</v>
      </c>
      <c r="BB368" s="12" t="n">
        <v>1522935</v>
      </c>
      <c r="BC368" s="12" t="n">
        <v>1569915</v>
      </c>
      <c r="BD368" s="12" t="n">
        <v>1616895</v>
      </c>
      <c r="BE368" s="12" t="n">
        <v>1573840</v>
      </c>
      <c r="BF368" t="inlineStr">
        <is>
          <t>Frozen values from same rules-based model as formula sheet.</t>
        </is>
      </c>
      <c r="BG368" t="inlineStr">
        <is>
          <t>2026-03-17</t>
        </is>
      </c>
      <c r="BH368" t="inlineStr">
        <is>
          <t>DLD / Digital Dubai / CBUAE / Savills / Knight Frank-Moody’s / Reuters</t>
        </is>
      </c>
    </row>
    <row r="369">
      <c r="A369" t="n">
        <v>368</v>
      </c>
      <c r="B369" t="inlineStr">
        <is>
          <t>Azizi Vista</t>
        </is>
      </c>
      <c r="C369" t="inlineStr">
        <is>
          <t>Azizi Developments</t>
        </is>
      </c>
      <c r="D369" t="inlineStr">
        <is>
          <t>Dubai Studio City</t>
        </is>
      </c>
      <c r="E369" t="inlineStr">
        <is>
          <t>Apartments</t>
        </is>
      </c>
      <c r="F369" t="inlineStr">
        <is>
          <t>Low-Rise / Family</t>
        </is>
      </c>
      <c r="G369" t="inlineStr">
        <is>
          <t>700k</t>
        </is>
      </c>
      <c r="H369" t="inlineStr">
        <is>
          <t>1100</t>
        </is>
      </c>
      <c r="I369" t="inlineStr">
        <is>
          <t>14</t>
        </is>
      </c>
      <c r="J369" t="inlineStr">
        <is>
          <t>40/60</t>
        </is>
      </c>
      <c r="K369" t="inlineStr">
        <is>
          <t>2023</t>
        </is>
      </c>
      <c r="L369" t="inlineStr">
        <is>
          <t>7.5-8.0</t>
        </is>
      </c>
      <c r="M369" t="inlineStr">
        <is>
          <t>6-8</t>
        </is>
      </c>
      <c r="N369" t="inlineStr">
        <is>
          <t>13.5-16.0</t>
        </is>
      </c>
      <c r="O369" t="inlineStr">
        <is>
          <t>GEMS Metropole</t>
        </is>
      </c>
      <c r="P369" t="inlineStr">
        <is>
          <t>Mediclinic Parkview</t>
        </is>
      </c>
      <c r="Q369" t="inlineStr">
        <is>
          <t>First Avenue Mall</t>
        </is>
      </c>
      <c r="R369" t="inlineStr">
        <is>
          <t>Hessa St / E311</t>
        </is>
      </c>
      <c r="S369" t="inlineStr">
        <is>
          <t>20</t>
        </is>
      </c>
      <c r="T369" t="inlineStr">
        <is>
          <t>15</t>
        </is>
      </c>
      <c r="U369" t="inlineStr">
        <is>
          <t>25</t>
        </is>
      </c>
      <c r="V369" t="inlineStr">
        <is>
          <t>25</t>
        </is>
      </c>
      <c r="W369" t="n">
        <v>2</v>
      </c>
      <c r="X369" s="12" t="n">
        <v>700000</v>
      </c>
      <c r="Y369" s="12" t="n">
        <v>700000</v>
      </c>
      <c r="Z369" s="9" t="n">
        <v>7.5</v>
      </c>
      <c r="AA369" s="9" t="n">
        <v>8</v>
      </c>
      <c r="AB369" s="9" t="n">
        <v>6</v>
      </c>
      <c r="AC369" s="9" t="n">
        <v>8</v>
      </c>
      <c r="AD369" s="9" t="n">
        <v>13.5</v>
      </c>
      <c r="AE369" s="9" t="n">
        <v>16</v>
      </c>
      <c r="AF369" t="n">
        <v>2023</v>
      </c>
      <c r="AH369" t="inlineStr">
        <is>
          <t>Apartment</t>
        </is>
      </c>
      <c r="AI369" t="inlineStr">
        <is>
          <t>MainstreamSelective</t>
        </is>
      </c>
      <c r="AJ369" t="inlineStr">
        <is>
          <t>MidTier</t>
        </is>
      </c>
      <c r="AK369" t="inlineStr">
        <is>
          <t>Balanced / selective</t>
        </is>
      </c>
      <c r="AL369" t="inlineStr">
        <is>
          <t>Market remains active but increasingly differentiated by developer, micro-location, livability, and pricing discipline.</t>
        </is>
      </c>
      <c r="AM369" s="9" t="n">
        <v>7</v>
      </c>
      <c r="AN369" s="9" t="n">
        <v>7.75</v>
      </c>
      <c r="AO369" s="10" t="n">
        <v>0.55</v>
      </c>
      <c r="AP369" s="13" t="n">
        <v>0</v>
      </c>
      <c r="AQ369" s="13" t="n">
        <v>0</v>
      </c>
      <c r="AR369" s="13" t="n">
        <v>0</v>
      </c>
      <c r="AS369" s="13" t="n">
        <v>0.01</v>
      </c>
      <c r="AT369" s="13" t="n">
        <v>-0.005</v>
      </c>
      <c r="AU369" s="13" t="n">
        <v>0.0025</v>
      </c>
      <c r="AV369" s="13" t="n">
        <v>-0.005</v>
      </c>
      <c r="AW369" s="13" t="n">
        <v>0.03850000000000001</v>
      </c>
      <c r="AX369" s="13" t="n">
        <v>0.0025</v>
      </c>
      <c r="AY369" s="12" t="n">
        <v>705142</v>
      </c>
      <c r="AZ369" s="12" t="n">
        <v>726950</v>
      </c>
      <c r="BA369" s="12" t="n">
        <v>748758</v>
      </c>
      <c r="BB369" s="12" t="n">
        <v>706959</v>
      </c>
      <c r="BC369" s="12" t="n">
        <v>728767</v>
      </c>
      <c r="BD369" s="12" t="n">
        <v>750576</v>
      </c>
      <c r="BE369" s="12" t="n">
        <v>730589</v>
      </c>
      <c r="BF369" t="inlineStr">
        <is>
          <t>Frozen values from same rules-based model as formula sheet.</t>
        </is>
      </c>
      <c r="BG369" t="inlineStr">
        <is>
          <t>2026-03-17</t>
        </is>
      </c>
      <c r="BH369" t="inlineStr">
        <is>
          <t>DLD / Digital Dubai / CBUAE / Savills / Knight Frank-Moody’s / Reuters</t>
        </is>
      </c>
    </row>
    <row r="370">
      <c r="A370" t="n">
        <v>369</v>
      </c>
      <c r="B370" t="inlineStr">
        <is>
          <t>Beach Oasis</t>
        </is>
      </c>
      <c r="C370" t="inlineStr">
        <is>
          <t>Azizi Developments</t>
        </is>
      </c>
      <c r="D370" t="inlineStr">
        <is>
          <t>Dubai Studio City</t>
        </is>
      </c>
      <c r="E370" t="inlineStr">
        <is>
          <t>Apartments</t>
        </is>
      </c>
      <c r="F370" t="inlineStr">
        <is>
          <t>Pool / Low-Rise</t>
        </is>
      </c>
      <c r="G370" t="inlineStr">
        <is>
          <t>750k</t>
        </is>
      </c>
      <c r="H370" t="inlineStr">
        <is>
          <t>1100</t>
        </is>
      </c>
      <c r="I370" t="inlineStr">
        <is>
          <t>14</t>
        </is>
      </c>
      <c r="J370" t="inlineStr">
        <is>
          <t>40/60</t>
        </is>
      </c>
      <c r="K370" t="inlineStr">
        <is>
          <t>2023</t>
        </is>
      </c>
      <c r="L370" t="inlineStr">
        <is>
          <t>7.5-8.0</t>
        </is>
      </c>
      <c r="M370" t="inlineStr">
        <is>
          <t>6-8</t>
        </is>
      </c>
      <c r="N370" t="inlineStr">
        <is>
          <t>13.5-16.0</t>
        </is>
      </c>
      <c r="O370" t="inlineStr">
        <is>
          <t>GEMS Metropole</t>
        </is>
      </c>
      <c r="P370" t="inlineStr">
        <is>
          <t>Mediclinic Parkview</t>
        </is>
      </c>
      <c r="Q370" t="inlineStr">
        <is>
          <t>First Avenue Mall</t>
        </is>
      </c>
      <c r="R370" t="inlineStr">
        <is>
          <t>Hessa St / E311</t>
        </is>
      </c>
      <c r="S370" t="inlineStr">
        <is>
          <t>20</t>
        </is>
      </c>
      <c r="T370" t="inlineStr">
        <is>
          <t>15</t>
        </is>
      </c>
      <c r="U370" t="inlineStr">
        <is>
          <t>25</t>
        </is>
      </c>
      <c r="V370" t="inlineStr">
        <is>
          <t>25</t>
        </is>
      </c>
      <c r="W370" t="n">
        <v>2</v>
      </c>
      <c r="X370" s="12" t="n">
        <v>750000</v>
      </c>
      <c r="Y370" s="12" t="n">
        <v>750000</v>
      </c>
      <c r="Z370" s="9" t="n">
        <v>7.5</v>
      </c>
      <c r="AA370" s="9" t="n">
        <v>8</v>
      </c>
      <c r="AB370" s="9" t="n">
        <v>6</v>
      </c>
      <c r="AC370" s="9" t="n">
        <v>8</v>
      </c>
      <c r="AD370" s="9" t="n">
        <v>13.5</v>
      </c>
      <c r="AE370" s="9" t="n">
        <v>16</v>
      </c>
      <c r="AF370" t="n">
        <v>2023</v>
      </c>
      <c r="AH370" t="inlineStr">
        <is>
          <t>Apartment</t>
        </is>
      </c>
      <c r="AI370" t="inlineStr">
        <is>
          <t>MainstreamSelective</t>
        </is>
      </c>
      <c r="AJ370" t="inlineStr">
        <is>
          <t>MidTier</t>
        </is>
      </c>
      <c r="AK370" t="inlineStr">
        <is>
          <t>Balanced / selective</t>
        </is>
      </c>
      <c r="AL370" t="inlineStr">
        <is>
          <t>Market remains active but increasingly differentiated by developer, micro-location, livability, and pricing discipline.</t>
        </is>
      </c>
      <c r="AM370" s="9" t="n">
        <v>7</v>
      </c>
      <c r="AN370" s="9" t="n">
        <v>7.75</v>
      </c>
      <c r="AO370" s="10" t="n">
        <v>0.55</v>
      </c>
      <c r="AP370" s="13" t="n">
        <v>0</v>
      </c>
      <c r="AQ370" s="13" t="n">
        <v>0</v>
      </c>
      <c r="AR370" s="13" t="n">
        <v>0</v>
      </c>
      <c r="AS370" s="13" t="n">
        <v>0.01</v>
      </c>
      <c r="AT370" s="13" t="n">
        <v>-0.005</v>
      </c>
      <c r="AU370" s="13" t="n">
        <v>0.0025</v>
      </c>
      <c r="AV370" s="13" t="n">
        <v>-0.005</v>
      </c>
      <c r="AW370" s="13" t="n">
        <v>0.03850000000000001</v>
      </c>
      <c r="AX370" s="13" t="n">
        <v>0.0025</v>
      </c>
      <c r="AY370" s="12" t="n">
        <v>755509</v>
      </c>
      <c r="AZ370" s="12" t="n">
        <v>778875</v>
      </c>
      <c r="BA370" s="12" t="n">
        <v>802241</v>
      </c>
      <c r="BB370" s="12" t="n">
        <v>757456</v>
      </c>
      <c r="BC370" s="12" t="n">
        <v>780822</v>
      </c>
      <c r="BD370" s="12" t="n">
        <v>804188</v>
      </c>
      <c r="BE370" s="12" t="n">
        <v>782774</v>
      </c>
      <c r="BF370" t="inlineStr">
        <is>
          <t>Frozen values from same rules-based model as formula sheet.</t>
        </is>
      </c>
      <c r="BG370" t="inlineStr">
        <is>
          <t>2026-03-17</t>
        </is>
      </c>
      <c r="BH370" t="inlineStr">
        <is>
          <t>DLD / Digital Dubai / CBUAE / Savills / Knight Frank-Moody’s / Reuters</t>
        </is>
      </c>
    </row>
    <row r="371">
      <c r="A371" t="n">
        <v>370</v>
      </c>
      <c r="B371" t="inlineStr">
        <is>
          <t>Mina</t>
        </is>
      </c>
      <c r="C371" t="inlineStr">
        <is>
          <t>Azizi Developments</t>
        </is>
      </c>
      <c r="D371" t="inlineStr">
        <is>
          <t>Palm Jumeirah</t>
        </is>
      </c>
      <c r="E371" t="inlineStr">
        <is>
          <t>Apartments</t>
        </is>
      </c>
      <c r="F371" t="inlineStr">
        <is>
          <t>Beachfront / Luxury</t>
        </is>
      </c>
      <c r="G371" t="inlineStr">
        <is>
          <t>Resale (2.5M+)</t>
        </is>
      </c>
      <c r="H371" t="inlineStr">
        <is>
          <t>2500</t>
        </is>
      </c>
      <c r="I371" t="inlineStr">
        <is>
          <t>25</t>
        </is>
      </c>
      <c r="J371" t="inlineStr">
        <is>
          <t>Completed</t>
        </is>
      </c>
      <c r="K371" t="inlineStr">
        <is>
          <t>2017</t>
        </is>
      </c>
      <c r="L371" t="inlineStr">
        <is>
          <t>5.0-5.5</t>
        </is>
      </c>
      <c r="M371" t="inlineStr">
        <is>
          <t>5-7</t>
        </is>
      </c>
      <c r="N371" t="inlineStr">
        <is>
          <t>10.0-12.5</t>
        </is>
      </c>
      <c r="O371" t="inlineStr">
        <is>
          <t>Chevalier College</t>
        </is>
      </c>
      <c r="P371" t="inlineStr">
        <is>
          <t>Emirates Hospital</t>
        </is>
      </c>
      <c r="Q371" t="inlineStr">
        <is>
          <t>Nakheel Mall</t>
        </is>
      </c>
      <c r="R371" t="inlineStr">
        <is>
          <t>Sheikh Zayed E11</t>
        </is>
      </c>
      <c r="S371" t="inlineStr">
        <is>
          <t>20</t>
        </is>
      </c>
      <c r="T371" t="inlineStr">
        <is>
          <t>10</t>
        </is>
      </c>
      <c r="U371" t="inlineStr">
        <is>
          <t>25</t>
        </is>
      </c>
      <c r="V371" t="inlineStr">
        <is>
          <t>35</t>
        </is>
      </c>
      <c r="W371" t="n">
        <v>2</v>
      </c>
      <c r="X371" s="12" t="n">
        <v>2500000</v>
      </c>
      <c r="Y371" s="12" t="n">
        <v>2500000</v>
      </c>
      <c r="Z371" s="9" t="n">
        <v>5</v>
      </c>
      <c r="AA371" s="9" t="n">
        <v>5.5</v>
      </c>
      <c r="AB371" s="9" t="n">
        <v>5</v>
      </c>
      <c r="AC371" s="9" t="n">
        <v>7</v>
      </c>
      <c r="AD371" s="9" t="n">
        <v>10</v>
      </c>
      <c r="AE371" s="9" t="n">
        <v>12.5</v>
      </c>
      <c r="AF371" t="n">
        <v>2017</v>
      </c>
      <c r="AH371" t="inlineStr">
        <is>
          <t>Apartment</t>
        </is>
      </c>
      <c r="AI371" t="inlineStr">
        <is>
          <t>Prime</t>
        </is>
      </c>
      <c r="AJ371" t="inlineStr">
        <is>
          <t>MidTier</t>
        </is>
      </c>
      <c r="AK371" t="inlineStr">
        <is>
          <t>Prime resilient / selective</t>
        </is>
      </c>
      <c r="AL371" t="inlineStr">
        <is>
          <t>Better support from quality, branding, and scarcer prime stock; still entry-price sensitive.</t>
        </is>
      </c>
      <c r="AM371" s="9" t="n">
        <v>6</v>
      </c>
      <c r="AN371" s="9" t="n">
        <v>5.25</v>
      </c>
      <c r="AO371" s="10" t="n">
        <v>0.55</v>
      </c>
      <c r="AP371" s="13" t="n">
        <v>0.02</v>
      </c>
      <c r="AQ371" s="13" t="n">
        <v>0</v>
      </c>
      <c r="AR371" s="13" t="n">
        <v>0</v>
      </c>
      <c r="AS371" s="13" t="n">
        <v>0.03</v>
      </c>
      <c r="AT371" s="13" t="n">
        <v>-0.005</v>
      </c>
      <c r="AU371" s="13" t="n">
        <v>0</v>
      </c>
      <c r="AV371" s="13" t="n">
        <v>-0.005</v>
      </c>
      <c r="AW371" s="13" t="n">
        <v>0.05300000000000001</v>
      </c>
      <c r="AX371" s="13" t="n">
        <v>0.02</v>
      </c>
      <c r="AY371" s="12" t="n">
        <v>2553525</v>
      </c>
      <c r="AZ371" s="12" t="n">
        <v>2632500</v>
      </c>
      <c r="BA371" s="12" t="n">
        <v>2711475</v>
      </c>
      <c r="BB371" s="12" t="n">
        <v>2606175</v>
      </c>
      <c r="BC371" s="12" t="n">
        <v>2685150</v>
      </c>
      <c r="BD371" s="12" t="n">
        <v>2764125</v>
      </c>
      <c r="BE371" s="12" t="n">
        <v>2738853</v>
      </c>
      <c r="BF371" t="inlineStr">
        <is>
          <t>Frozen values from same rules-based model as formula sheet.</t>
        </is>
      </c>
      <c r="BG371" t="inlineStr">
        <is>
          <t>2026-03-17</t>
        </is>
      </c>
      <c r="BH371" t="inlineStr">
        <is>
          <t>DLD / Digital Dubai / CBUAE / Savills / Knight Frank-Moody’s / Reuters</t>
        </is>
      </c>
    </row>
    <row r="372">
      <c r="A372" t="n">
        <v>371</v>
      </c>
      <c r="B372" t="inlineStr">
        <is>
          <t>Berton</t>
        </is>
      </c>
      <c r="C372" t="inlineStr">
        <is>
          <t>Azizi Developments</t>
        </is>
      </c>
      <c r="D372" t="inlineStr">
        <is>
          <t>Al Furjan</t>
        </is>
      </c>
      <c r="E372" t="inlineStr">
        <is>
          <t>Apartments</t>
        </is>
      </c>
      <c r="F372" t="inlineStr">
        <is>
          <t>Modern / Budget</t>
        </is>
      </c>
      <c r="G372" t="inlineStr">
        <is>
          <t>Resale (600k+)</t>
        </is>
      </c>
      <c r="H372" t="inlineStr">
        <is>
          <t>1000</t>
        </is>
      </c>
      <c r="I372" t="inlineStr">
        <is>
          <t>12</t>
        </is>
      </c>
      <c r="J372" t="inlineStr">
        <is>
          <t>Completed</t>
        </is>
      </c>
      <c r="K372" t="inlineStr">
        <is>
          <t>2018</t>
        </is>
      </c>
      <c r="L372" t="inlineStr">
        <is>
          <t>7.0-7.5</t>
        </is>
      </c>
      <c r="M372" t="inlineStr">
        <is>
          <t>5-7</t>
        </is>
      </c>
      <c r="N372" t="inlineStr">
        <is>
          <t>12.0-14.5</t>
        </is>
      </c>
      <c r="O372" t="inlineStr">
        <is>
          <t>The Arbor School</t>
        </is>
      </c>
      <c r="P372" t="inlineStr">
        <is>
          <t>NMC Royal DIP</t>
        </is>
      </c>
      <c r="Q372" t="inlineStr">
        <is>
          <t>Ibn Battuta Mall</t>
        </is>
      </c>
      <c r="R372" t="inlineStr">
        <is>
          <t>Yalayis / E311</t>
        </is>
      </c>
      <c r="S372" t="inlineStr">
        <is>
          <t>25</t>
        </is>
      </c>
      <c r="T372" t="inlineStr">
        <is>
          <t>15</t>
        </is>
      </c>
      <c r="U372" t="inlineStr">
        <is>
          <t>30</t>
        </is>
      </c>
      <c r="V372" t="inlineStr">
        <is>
          <t>20</t>
        </is>
      </c>
      <c r="W372" t="n">
        <v>2</v>
      </c>
      <c r="X372" s="12" t="n">
        <v>600000</v>
      </c>
      <c r="Y372" s="12" t="n">
        <v>600000</v>
      </c>
      <c r="Z372" s="9" t="n">
        <v>7</v>
      </c>
      <c r="AA372" s="9" t="n">
        <v>7.5</v>
      </c>
      <c r="AB372" s="9" t="n">
        <v>5</v>
      </c>
      <c r="AC372" s="9" t="n">
        <v>7</v>
      </c>
      <c r="AD372" s="9" t="n">
        <v>12</v>
      </c>
      <c r="AE372" s="9" t="n">
        <v>14.5</v>
      </c>
      <c r="AF372" t="n">
        <v>2018</v>
      </c>
      <c r="AH372" t="inlineStr">
        <is>
          <t>Apartment</t>
        </is>
      </c>
      <c r="AI372" t="inlineStr">
        <is>
          <t>SupplySensitiveApartment</t>
        </is>
      </c>
      <c r="AJ372" t="inlineStr">
        <is>
          <t>MidTier</t>
        </is>
      </c>
      <c r="AK372" t="inlineStr">
        <is>
          <t>Supply-sensitive / selective</t>
        </is>
      </c>
      <c r="AL372" t="inlineStr">
        <is>
          <t>Higher delivery risk in more price-sensitive apartment clusters; building selection and exit liquidity matter.</t>
        </is>
      </c>
      <c r="AM372" s="9" t="n">
        <v>6</v>
      </c>
      <c r="AN372" s="9" t="n">
        <v>7.25</v>
      </c>
      <c r="AO372" s="10" t="n">
        <v>0.55</v>
      </c>
      <c r="AP372" s="13" t="n">
        <v>0</v>
      </c>
      <c r="AQ372" s="13" t="n">
        <v>0</v>
      </c>
      <c r="AR372" s="13" t="n">
        <v>-0.01</v>
      </c>
      <c r="AS372" s="13" t="n">
        <v>-0.01</v>
      </c>
      <c r="AT372" s="13" t="n">
        <v>-0.005</v>
      </c>
      <c r="AU372" s="13" t="n">
        <v>0.0025</v>
      </c>
      <c r="AV372" s="13" t="n">
        <v>-0.005</v>
      </c>
      <c r="AW372" s="13" t="n">
        <v>0.023</v>
      </c>
      <c r="AX372" s="13" t="n">
        <v>-0.0175</v>
      </c>
      <c r="AY372" s="12" t="n">
        <v>595386</v>
      </c>
      <c r="AZ372" s="12" t="n">
        <v>613800</v>
      </c>
      <c r="BA372" s="12" t="n">
        <v>632214</v>
      </c>
      <c r="BB372" s="12" t="n">
        <v>584644</v>
      </c>
      <c r="BC372" s="12" t="n">
        <v>603058</v>
      </c>
      <c r="BD372" s="12" t="n">
        <v>621472</v>
      </c>
      <c r="BE372" s="12" t="n">
        <v>592505</v>
      </c>
      <c r="BF372" t="inlineStr">
        <is>
          <t>Frozen values from same rules-based model as formula sheet.</t>
        </is>
      </c>
      <c r="BG372" t="inlineStr">
        <is>
          <t>2026-03-17</t>
        </is>
      </c>
      <c r="BH372" t="inlineStr">
        <is>
          <t>DLD / Digital Dubai / CBUAE / Savills / Knight Frank-Moody’s / Reuters</t>
        </is>
      </c>
    </row>
    <row r="373">
      <c r="A373" t="n">
        <v>372</v>
      </c>
      <c r="B373" t="inlineStr">
        <is>
          <t>Aliyah</t>
        </is>
      </c>
      <c r="C373" t="inlineStr">
        <is>
          <t>Azizi Developments</t>
        </is>
      </c>
      <c r="D373" t="inlineStr">
        <is>
          <t>Dubai Healthcare City</t>
        </is>
      </c>
      <c r="E373" t="inlineStr">
        <is>
          <t>Apartments</t>
        </is>
      </c>
      <c r="F373" t="inlineStr">
        <is>
          <t>City / Budget</t>
        </is>
      </c>
      <c r="G373" t="inlineStr">
        <is>
          <t>Resale (800k+)</t>
        </is>
      </c>
      <c r="H373" t="inlineStr">
        <is>
          <t>1100</t>
        </is>
      </c>
      <c r="I373" t="inlineStr">
        <is>
          <t>15</t>
        </is>
      </c>
      <c r="J373" t="inlineStr">
        <is>
          <t>Completed</t>
        </is>
      </c>
      <c r="K373" t="inlineStr">
        <is>
          <t>2016</t>
        </is>
      </c>
      <c r="L373" t="inlineStr">
        <is>
          <t>6.5-7.0</t>
        </is>
      </c>
      <c r="M373" t="inlineStr">
        <is>
          <t>4-6</t>
        </is>
      </c>
      <c r="N373" t="inlineStr">
        <is>
          <t>10.5-13.0</t>
        </is>
      </c>
      <c r="O373" t="inlineStr">
        <is>
          <t>Swiss Intl School</t>
        </is>
      </c>
      <c r="P373" t="inlineStr">
        <is>
          <t>American Hospital</t>
        </is>
      </c>
      <c r="Q373" t="inlineStr">
        <is>
          <t>WAFI Mall</t>
        </is>
      </c>
      <c r="R373" t="inlineStr">
        <is>
          <t>Al Khail E44</t>
        </is>
      </c>
      <c r="S373" t="inlineStr">
        <is>
          <t>10</t>
        </is>
      </c>
      <c r="T373" t="inlineStr">
        <is>
          <t>25</t>
        </is>
      </c>
      <c r="U373" t="inlineStr">
        <is>
          <t>10</t>
        </is>
      </c>
      <c r="V373" t="inlineStr">
        <is>
          <t>40</t>
        </is>
      </c>
      <c r="W373" t="n">
        <v>2</v>
      </c>
      <c r="X373" s="12" t="n">
        <v>800000</v>
      </c>
      <c r="Y373" s="12" t="n">
        <v>800000</v>
      </c>
      <c r="Z373" s="9" t="n">
        <v>6.5</v>
      </c>
      <c r="AA373" s="9" t="n">
        <v>7</v>
      </c>
      <c r="AB373" s="9" t="n">
        <v>4</v>
      </c>
      <c r="AC373" s="9" t="n">
        <v>6</v>
      </c>
      <c r="AD373" s="9" t="n">
        <v>10.5</v>
      </c>
      <c r="AE373" s="9" t="n">
        <v>13</v>
      </c>
      <c r="AF373" t="n">
        <v>2016</v>
      </c>
      <c r="AH373" t="inlineStr">
        <is>
          <t>Apartment</t>
        </is>
      </c>
      <c r="AI373" t="inlineStr">
        <is>
          <t>MainstreamSelective</t>
        </is>
      </c>
      <c r="AJ373" t="inlineStr">
        <is>
          <t>MidTier</t>
        </is>
      </c>
      <c r="AK373" t="inlineStr">
        <is>
          <t>Balanced / selective</t>
        </is>
      </c>
      <c r="AL373" t="inlineStr">
        <is>
          <t>Market remains active but increasingly differentiated by developer, micro-location, livability, and pricing discipline.</t>
        </is>
      </c>
      <c r="AM373" s="9" t="n">
        <v>5</v>
      </c>
      <c r="AN373" s="9" t="n">
        <v>6.75</v>
      </c>
      <c r="AO373" s="10" t="n">
        <v>0.55</v>
      </c>
      <c r="AP373" s="13" t="n">
        <v>0</v>
      </c>
      <c r="AQ373" s="13" t="n">
        <v>0</v>
      </c>
      <c r="AR373" s="13" t="n">
        <v>0</v>
      </c>
      <c r="AS373" s="13" t="n">
        <v>0.01</v>
      </c>
      <c r="AT373" s="13" t="n">
        <v>-0.005</v>
      </c>
      <c r="AU373" s="13" t="n">
        <v>0.0025</v>
      </c>
      <c r="AV373" s="13" t="n">
        <v>-0.005</v>
      </c>
      <c r="AW373" s="13" t="n">
        <v>0.0275</v>
      </c>
      <c r="AX373" s="13" t="n">
        <v>0.0025</v>
      </c>
      <c r="AY373" s="12" t="n">
        <v>797340</v>
      </c>
      <c r="AZ373" s="12" t="n">
        <v>822000</v>
      </c>
      <c r="BA373" s="12" t="n">
        <v>846660</v>
      </c>
      <c r="BB373" s="12" t="n">
        <v>799395</v>
      </c>
      <c r="BC373" s="12" t="n">
        <v>824055</v>
      </c>
      <c r="BD373" s="12" t="n">
        <v>848715</v>
      </c>
      <c r="BE373" s="12" t="n">
        <v>826115</v>
      </c>
      <c r="BF373" t="inlineStr">
        <is>
          <t>Frozen values from same rules-based model as formula sheet.</t>
        </is>
      </c>
      <c r="BG373" t="inlineStr">
        <is>
          <t>2026-03-17</t>
        </is>
      </c>
      <c r="BH373" t="inlineStr">
        <is>
          <t>DLD / Digital Dubai / CBUAE / Savills / Knight Frank-Moody’s / Reuters</t>
        </is>
      </c>
    </row>
    <row r="374">
      <c r="A374" t="n">
        <v>373</v>
      </c>
      <c r="B374" t="inlineStr">
        <is>
          <t>Tiger Sky Tower</t>
        </is>
      </c>
      <c r="C374" t="inlineStr">
        <is>
          <t>Tiger Group</t>
        </is>
      </c>
      <c r="D374" t="inlineStr">
        <is>
          <t>Business Bay</t>
        </is>
      </c>
      <c r="E374" t="inlineStr">
        <is>
          <t>Apartments</t>
        </is>
      </c>
      <c r="F374" t="inlineStr">
        <is>
          <t>Highest Rainforest</t>
        </is>
      </c>
      <c r="G374" t="inlineStr">
        <is>
          <t>2.2M</t>
        </is>
      </c>
      <c r="H374" t="inlineStr">
        <is>
          <t>2400</t>
        </is>
      </c>
      <c r="I374" t="inlineStr">
        <is>
          <t>20</t>
        </is>
      </c>
      <c r="J374" t="inlineStr">
        <is>
          <t>70/30</t>
        </is>
      </c>
      <c r="K374" t="inlineStr">
        <is>
          <t>2024</t>
        </is>
      </c>
      <c r="L374" t="inlineStr">
        <is>
          <t>6.0-6.5</t>
        </is>
      </c>
      <c r="M374" t="inlineStr">
        <is>
          <t>8-10</t>
        </is>
      </c>
      <c r="N374" t="inlineStr">
        <is>
          <t>14.0-16.5</t>
        </is>
      </c>
      <c r="O374" t="inlineStr">
        <is>
          <t>Hartland Intl</t>
        </is>
      </c>
      <c r="P374" t="inlineStr">
        <is>
          <t>Emirates Hospital BB</t>
        </is>
      </c>
      <c r="Q374" t="inlineStr">
        <is>
          <t>Dubai Mall</t>
        </is>
      </c>
      <c r="R374" t="inlineStr">
        <is>
          <t>Al Khail E44</t>
        </is>
      </c>
      <c r="S374" t="inlineStr">
        <is>
          <t>5</t>
        </is>
      </c>
      <c r="T374" t="inlineStr">
        <is>
          <t>20</t>
        </is>
      </c>
      <c r="U374" t="inlineStr">
        <is>
          <t>15</t>
        </is>
      </c>
      <c r="V374" t="inlineStr">
        <is>
          <t>35</t>
        </is>
      </c>
      <c r="W374" t="n">
        <v>2</v>
      </c>
      <c r="X374" s="12" t="n">
        <v>2200000</v>
      </c>
      <c r="Y374" s="12" t="n">
        <v>2200000</v>
      </c>
      <c r="Z374" s="9" t="n">
        <v>6</v>
      </c>
      <c r="AA374" s="9" t="n">
        <v>6.5</v>
      </c>
      <c r="AB374" s="9" t="n">
        <v>8</v>
      </c>
      <c r="AC374" s="9" t="n">
        <v>10</v>
      </c>
      <c r="AD374" s="9" t="n">
        <v>14</v>
      </c>
      <c r="AE374" s="9" t="n">
        <v>16.5</v>
      </c>
      <c r="AF374" t="n">
        <v>2024</v>
      </c>
      <c r="AH374" t="inlineStr">
        <is>
          <t>Apartment</t>
        </is>
      </c>
      <c r="AI374" t="inlineStr">
        <is>
          <t>Prime</t>
        </is>
      </c>
      <c r="AJ374" t="inlineStr">
        <is>
          <t>Established</t>
        </is>
      </c>
      <c r="AK374" t="inlineStr">
        <is>
          <t>Prime resilient / selective</t>
        </is>
      </c>
      <c r="AL374" t="inlineStr">
        <is>
          <t>Better support from quality, branding, and scarcer prime stock; still entry-price sensitive.</t>
        </is>
      </c>
      <c r="AM374" s="9" t="n">
        <v>9</v>
      </c>
      <c r="AN374" s="9" t="n">
        <v>6.25</v>
      </c>
      <c r="AO374" s="10" t="n">
        <v>0.55</v>
      </c>
      <c r="AP374" s="13" t="n">
        <v>0.02</v>
      </c>
      <c r="AQ374" s="13" t="n">
        <v>0</v>
      </c>
      <c r="AR374" s="13" t="n">
        <v>0</v>
      </c>
      <c r="AS374" s="13" t="n">
        <v>0.03</v>
      </c>
      <c r="AT374" s="13" t="n">
        <v>0</v>
      </c>
      <c r="AU374" s="13" t="n">
        <v>0.0025</v>
      </c>
      <c r="AV374" s="13" t="n">
        <v>-0.005</v>
      </c>
      <c r="AW374" s="13" t="n">
        <v>0.06950000000000001</v>
      </c>
      <c r="AX374" s="13" t="n">
        <v>0.0275</v>
      </c>
      <c r="AY374" s="12" t="n">
        <v>2282313</v>
      </c>
      <c r="AZ374" s="12" t="n">
        <v>2352900</v>
      </c>
      <c r="BA374" s="12" t="n">
        <v>2423487</v>
      </c>
      <c r="BB374" s="12" t="n">
        <v>2347018</v>
      </c>
      <c r="BC374" s="12" t="n">
        <v>2417605</v>
      </c>
      <c r="BD374" s="12" t="n">
        <v>2488192</v>
      </c>
      <c r="BE374" s="12" t="n">
        <v>2484089</v>
      </c>
      <c r="BF374" t="inlineStr">
        <is>
          <t>Frozen values from same rules-based model as formula sheet.</t>
        </is>
      </c>
      <c r="BG374" t="inlineStr">
        <is>
          <t>2026-03-17</t>
        </is>
      </c>
      <c r="BH374" t="inlineStr">
        <is>
          <t>DLD / Digital Dubai / CBUAE / Savills / Knight Frank-Moody’s / Reuters</t>
        </is>
      </c>
    </row>
    <row r="375">
      <c r="A375" t="n">
        <v>374</v>
      </c>
      <c r="B375" t="inlineStr">
        <is>
          <t>Nobles Tower</t>
        </is>
      </c>
      <c r="C375" t="inlineStr">
        <is>
          <t>Tiger Group</t>
        </is>
      </c>
      <c r="D375" t="inlineStr">
        <is>
          <t>Business Bay</t>
        </is>
      </c>
      <c r="E375" t="inlineStr">
        <is>
          <t>Apartments</t>
        </is>
      </c>
      <c r="F375" t="inlineStr">
        <is>
          <t>City View</t>
        </is>
      </c>
      <c r="G375" t="inlineStr">
        <is>
          <t>1.5M</t>
        </is>
      </c>
      <c r="H375" t="inlineStr">
        <is>
          <t>1800</t>
        </is>
      </c>
      <c r="I375" t="inlineStr">
        <is>
          <t>18</t>
        </is>
      </c>
      <c r="J375" t="inlineStr">
        <is>
          <t>70/30</t>
        </is>
      </c>
      <c r="K375" t="inlineStr">
        <is>
          <t>2020</t>
        </is>
      </c>
      <c r="L375" t="inlineStr">
        <is>
          <t>6.0-6.5</t>
        </is>
      </c>
      <c r="M375" t="inlineStr">
        <is>
          <t>6-8</t>
        </is>
      </c>
      <c r="N375" t="inlineStr">
        <is>
          <t>12.0-14.5</t>
        </is>
      </c>
      <c r="O375" t="inlineStr">
        <is>
          <t>Hartland Intl</t>
        </is>
      </c>
      <c r="P375" t="inlineStr">
        <is>
          <t>Emirates Hospital BB</t>
        </is>
      </c>
      <c r="Q375" t="inlineStr">
        <is>
          <t>Dubai Mall</t>
        </is>
      </c>
      <c r="R375" t="inlineStr">
        <is>
          <t>Al Khail E44</t>
        </is>
      </c>
      <c r="S375" t="inlineStr">
        <is>
          <t>5</t>
        </is>
      </c>
      <c r="T375" t="inlineStr">
        <is>
          <t>20</t>
        </is>
      </c>
      <c r="U375" t="inlineStr">
        <is>
          <t>15</t>
        </is>
      </c>
      <c r="V375" t="inlineStr">
        <is>
          <t>35</t>
        </is>
      </c>
      <c r="W375" t="n">
        <v>2</v>
      </c>
      <c r="X375" s="12" t="n">
        <v>1500000</v>
      </c>
      <c r="Y375" s="12" t="n">
        <v>1500000</v>
      </c>
      <c r="Z375" s="9" t="n">
        <v>6</v>
      </c>
      <c r="AA375" s="9" t="n">
        <v>6.5</v>
      </c>
      <c r="AB375" s="9" t="n">
        <v>6</v>
      </c>
      <c r="AC375" s="9" t="n">
        <v>8</v>
      </c>
      <c r="AD375" s="9" t="n">
        <v>12</v>
      </c>
      <c r="AE375" s="9" t="n">
        <v>14.5</v>
      </c>
      <c r="AF375" t="n">
        <v>2020</v>
      </c>
      <c r="AH375" t="inlineStr">
        <is>
          <t>Apartment</t>
        </is>
      </c>
      <c r="AI375" t="inlineStr">
        <is>
          <t>Prime</t>
        </is>
      </c>
      <c r="AJ375" t="inlineStr">
        <is>
          <t>Established</t>
        </is>
      </c>
      <c r="AK375" t="inlineStr">
        <is>
          <t>Prime resilient / selective</t>
        </is>
      </c>
      <c r="AL375" t="inlineStr">
        <is>
          <t>Better support from quality, branding, and scarcer prime stock; still entry-price sensitive.</t>
        </is>
      </c>
      <c r="AM375" s="9" t="n">
        <v>7</v>
      </c>
      <c r="AN375" s="9" t="n">
        <v>6.25</v>
      </c>
      <c r="AO375" s="10" t="n">
        <v>0.55</v>
      </c>
      <c r="AP375" s="13" t="n">
        <v>0.02</v>
      </c>
      <c r="AQ375" s="13" t="n">
        <v>0</v>
      </c>
      <c r="AR375" s="13" t="n">
        <v>0</v>
      </c>
      <c r="AS375" s="13" t="n">
        <v>0.03</v>
      </c>
      <c r="AT375" s="13" t="n">
        <v>0</v>
      </c>
      <c r="AU375" s="13" t="n">
        <v>0.0025</v>
      </c>
      <c r="AV375" s="13" t="n">
        <v>-0.005</v>
      </c>
      <c r="AW375" s="13" t="n">
        <v>0.05850000000000001</v>
      </c>
      <c r="AX375" s="13" t="n">
        <v>0.0275</v>
      </c>
      <c r="AY375" s="12" t="n">
        <v>1540118</v>
      </c>
      <c r="AZ375" s="12" t="n">
        <v>1587750</v>
      </c>
      <c r="BA375" s="12" t="n">
        <v>1635382</v>
      </c>
      <c r="BB375" s="12" t="n">
        <v>1583781</v>
      </c>
      <c r="BC375" s="12" t="n">
        <v>1631413</v>
      </c>
      <c r="BD375" s="12" t="n">
        <v>1679046</v>
      </c>
      <c r="BE375" s="12" t="n">
        <v>1676277</v>
      </c>
      <c r="BF375" t="inlineStr">
        <is>
          <t>Frozen values from same rules-based model as formula sheet.</t>
        </is>
      </c>
      <c r="BG375" t="inlineStr">
        <is>
          <t>2026-03-17</t>
        </is>
      </c>
      <c r="BH375" t="inlineStr">
        <is>
          <t>DLD / Digital Dubai / CBUAE / Savills / Knight Frank-Moody’s / Reuters</t>
        </is>
      </c>
    </row>
    <row r="376">
      <c r="A376" t="n">
        <v>375</v>
      </c>
      <c r="B376" t="inlineStr">
        <is>
          <t>Red Square</t>
        </is>
      </c>
      <c r="C376" t="inlineStr">
        <is>
          <t>Tiger Group</t>
        </is>
      </c>
      <c r="D376" t="inlineStr">
        <is>
          <t>JVT</t>
        </is>
      </c>
      <c r="E376" t="inlineStr">
        <is>
          <t>Apartments</t>
        </is>
      </c>
      <c r="F376" t="inlineStr">
        <is>
          <t>Twin Tower</t>
        </is>
      </c>
      <c r="G376" t="inlineStr">
        <is>
          <t>800k</t>
        </is>
      </c>
      <c r="H376" t="inlineStr">
        <is>
          <t>1200</t>
        </is>
      </c>
      <c r="I376" t="inlineStr">
        <is>
          <t>15</t>
        </is>
      </c>
      <c r="J376" t="inlineStr">
        <is>
          <t>70/30</t>
        </is>
      </c>
      <c r="K376" t="inlineStr">
        <is>
          <t>2024</t>
        </is>
      </c>
      <c r="L376" t="inlineStr">
        <is>
          <t>7.0-7.5</t>
        </is>
      </c>
      <c r="M376" t="inlineStr">
        <is>
          <t>6-8</t>
        </is>
      </c>
      <c r="N376" t="inlineStr">
        <is>
          <t>13.0-15.5</t>
        </is>
      </c>
      <c r="O376" t="inlineStr">
        <is>
          <t>Sunmarke School</t>
        </is>
      </c>
      <c r="P376" t="inlineStr">
        <is>
          <t>NMC Royal DIP</t>
        </is>
      </c>
      <c r="Q376" t="inlineStr">
        <is>
          <t>Circle Mall</t>
        </is>
      </c>
      <c r="R376" t="inlineStr">
        <is>
          <t>E311 / Yalayis</t>
        </is>
      </c>
      <c r="S376" t="inlineStr">
        <is>
          <t>20</t>
        </is>
      </c>
      <c r="T376" t="inlineStr">
        <is>
          <t>15</t>
        </is>
      </c>
      <c r="U376" t="inlineStr">
        <is>
          <t>30</t>
        </is>
      </c>
      <c r="V376" t="inlineStr">
        <is>
          <t>20</t>
        </is>
      </c>
      <c r="W376" t="n">
        <v>2</v>
      </c>
      <c r="X376" s="12" t="n">
        <v>800000</v>
      </c>
      <c r="Y376" s="12" t="n">
        <v>800000</v>
      </c>
      <c r="Z376" s="9" t="n">
        <v>7</v>
      </c>
      <c r="AA376" s="9" t="n">
        <v>7.5</v>
      </c>
      <c r="AB376" s="9" t="n">
        <v>6</v>
      </c>
      <c r="AC376" s="9" t="n">
        <v>8</v>
      </c>
      <c r="AD376" s="9" t="n">
        <v>13</v>
      </c>
      <c r="AE376" s="9" t="n">
        <v>15.5</v>
      </c>
      <c r="AF376" t="n">
        <v>2024</v>
      </c>
      <c r="AH376" t="inlineStr">
        <is>
          <t>Apartment</t>
        </is>
      </c>
      <c r="AI376" t="inlineStr">
        <is>
          <t>SupplySensitiveApartment</t>
        </is>
      </c>
      <c r="AJ376" t="inlineStr">
        <is>
          <t>Established</t>
        </is>
      </c>
      <c r="AK376" t="inlineStr">
        <is>
          <t>Supply-sensitive / selective</t>
        </is>
      </c>
      <c r="AL376" t="inlineStr">
        <is>
          <t>Higher delivery risk in more price-sensitive apartment clusters; building selection and exit liquidity matter.</t>
        </is>
      </c>
      <c r="AM376" s="9" t="n">
        <v>7</v>
      </c>
      <c r="AN376" s="9" t="n">
        <v>7.25</v>
      </c>
      <c r="AO376" s="10" t="n">
        <v>0.55</v>
      </c>
      <c r="AP376" s="13" t="n">
        <v>0</v>
      </c>
      <c r="AQ376" s="13" t="n">
        <v>0</v>
      </c>
      <c r="AR376" s="13" t="n">
        <v>-0.01</v>
      </c>
      <c r="AS376" s="13" t="n">
        <v>-0.01</v>
      </c>
      <c r="AT376" s="13" t="n">
        <v>0</v>
      </c>
      <c r="AU376" s="13" t="n">
        <v>0.0025</v>
      </c>
      <c r="AV376" s="13" t="n">
        <v>-0.005</v>
      </c>
      <c r="AW376" s="13" t="n">
        <v>0.0285</v>
      </c>
      <c r="AX376" s="13" t="n">
        <v>-0.0125</v>
      </c>
      <c r="AY376" s="12" t="n">
        <v>798116</v>
      </c>
      <c r="AZ376" s="12" t="n">
        <v>822800</v>
      </c>
      <c r="BA376" s="12" t="n">
        <v>847484</v>
      </c>
      <c r="BB376" s="12" t="n">
        <v>787831</v>
      </c>
      <c r="BC376" s="12" t="n">
        <v>812515</v>
      </c>
      <c r="BD376" s="12" t="n">
        <v>837199</v>
      </c>
      <c r="BE376" s="12" t="n">
        <v>802359</v>
      </c>
      <c r="BF376" t="inlineStr">
        <is>
          <t>Frozen values from same rules-based model as formula sheet.</t>
        </is>
      </c>
      <c r="BG376" t="inlineStr">
        <is>
          <t>2026-03-17</t>
        </is>
      </c>
      <c r="BH376" t="inlineStr">
        <is>
          <t>DLD / Digital Dubai / CBUAE / Savills / Knight Frank-Moody’s / Reuters</t>
        </is>
      </c>
    </row>
    <row r="377">
      <c r="A377" t="n">
        <v>376</v>
      </c>
      <c r="B377" t="inlineStr">
        <is>
          <t>Renad Tower</t>
        </is>
      </c>
      <c r="C377" t="inlineStr">
        <is>
          <t>Tiger Group</t>
        </is>
      </c>
      <c r="D377" t="inlineStr">
        <is>
          <t>Al Reem Island (AD)</t>
        </is>
      </c>
      <c r="E377" t="inlineStr">
        <is>
          <t>Apartments</t>
        </is>
      </c>
      <c r="F377" t="inlineStr">
        <is>
          <t>Waterfront</t>
        </is>
      </c>
      <c r="G377" t="inlineStr">
        <is>
          <t>900k</t>
        </is>
      </c>
      <c r="H377" t="inlineStr">
        <is>
          <t>1300</t>
        </is>
      </c>
      <c r="I377" t="inlineStr">
        <is>
          <t>15</t>
        </is>
      </c>
      <c r="J377" t="inlineStr">
        <is>
          <t>70/30</t>
        </is>
      </c>
      <c r="K377" t="inlineStr">
        <is>
          <t>2023</t>
        </is>
      </c>
      <c r="L377" t="inlineStr">
        <is>
          <t>6.5-7.0</t>
        </is>
      </c>
      <c r="M377" t="inlineStr">
        <is>
          <t>5-7</t>
        </is>
      </c>
      <c r="N377" t="inlineStr">
        <is>
          <t>11.5-14.0</t>
        </is>
      </c>
      <c r="O377" t="inlineStr">
        <is>
          <t>Repton Abu Dhabi</t>
        </is>
      </c>
      <c r="P377" t="inlineStr">
        <is>
          <t>Burjeel Hospital</t>
        </is>
      </c>
      <c r="Q377" t="inlineStr">
        <is>
          <t>Reem Mall</t>
        </is>
      </c>
      <c r="R377" t="inlineStr">
        <is>
          <t>E10 (Abu Dhabi)</t>
        </is>
      </c>
      <c r="S377" t="inlineStr">
        <is>
          <t>90</t>
        </is>
      </c>
      <c r="T377" t="inlineStr">
        <is>
          <t>75</t>
        </is>
      </c>
      <c r="U377" t="inlineStr">
        <is>
          <t>90</t>
        </is>
      </c>
      <c r="V377" t="inlineStr">
        <is>
          <t>80</t>
        </is>
      </c>
      <c r="W377" t="n">
        <v>2</v>
      </c>
      <c r="X377" s="12" t="n">
        <v>900000</v>
      </c>
      <c r="Y377" s="12" t="n">
        <v>900000</v>
      </c>
      <c r="Z377" s="9" t="n">
        <v>6.5</v>
      </c>
      <c r="AA377" s="9" t="n">
        <v>7</v>
      </c>
      <c r="AB377" s="9" t="n">
        <v>5</v>
      </c>
      <c r="AC377" s="9" t="n">
        <v>7</v>
      </c>
      <c r="AD377" s="9" t="n">
        <v>11.5</v>
      </c>
      <c r="AE377" s="9" t="n">
        <v>14</v>
      </c>
      <c r="AF377" t="n">
        <v>2023</v>
      </c>
      <c r="AH377" t="inlineStr">
        <is>
          <t>Apartment</t>
        </is>
      </c>
      <c r="AI377" t="inlineStr">
        <is>
          <t>MainstreamSelective</t>
        </is>
      </c>
      <c r="AJ377" t="inlineStr">
        <is>
          <t>Established</t>
        </is>
      </c>
      <c r="AK377" t="inlineStr">
        <is>
          <t>Balanced / selective</t>
        </is>
      </c>
      <c r="AL377" t="inlineStr">
        <is>
          <t>Market remains active but increasingly differentiated by developer, micro-location, livability, and pricing discipline.</t>
        </is>
      </c>
      <c r="AM377" s="9" t="n">
        <v>6</v>
      </c>
      <c r="AN377" s="9" t="n">
        <v>6.75</v>
      </c>
      <c r="AO377" s="10" t="n">
        <v>0.55</v>
      </c>
      <c r="AP377" s="13" t="n">
        <v>0</v>
      </c>
      <c r="AQ377" s="13" t="n">
        <v>0</v>
      </c>
      <c r="AR377" s="13" t="n">
        <v>0</v>
      </c>
      <c r="AS377" s="13" t="n">
        <v>0.01</v>
      </c>
      <c r="AT377" s="13" t="n">
        <v>0</v>
      </c>
      <c r="AU377" s="13" t="n">
        <v>0.0025</v>
      </c>
      <c r="AV377" s="13" t="n">
        <v>-0.005</v>
      </c>
      <c r="AW377" s="13" t="n">
        <v>0.033</v>
      </c>
      <c r="AX377" s="13" t="n">
        <v>0.007500000000000001</v>
      </c>
      <c r="AY377" s="12" t="n">
        <v>901809</v>
      </c>
      <c r="AZ377" s="12" t="n">
        <v>929700</v>
      </c>
      <c r="BA377" s="12" t="n">
        <v>957591</v>
      </c>
      <c r="BB377" s="12" t="n">
        <v>908782</v>
      </c>
      <c r="BC377" s="12" t="n">
        <v>936673</v>
      </c>
      <c r="BD377" s="12" t="n">
        <v>964564</v>
      </c>
      <c r="BE377" s="12" t="n">
        <v>943698</v>
      </c>
      <c r="BF377" t="inlineStr">
        <is>
          <t>Frozen values from same rules-based model as formula sheet.</t>
        </is>
      </c>
      <c r="BG377" t="inlineStr">
        <is>
          <t>2026-03-17</t>
        </is>
      </c>
      <c r="BH377" t="inlineStr">
        <is>
          <t>DLD / Digital Dubai / CBUAE / Savills / Knight Frank-Moody’s / Reuters</t>
        </is>
      </c>
    </row>
    <row r="378">
      <c r="A378" t="n">
        <v>377</v>
      </c>
      <c r="B378" t="inlineStr">
        <is>
          <t>Lilium Tower</t>
        </is>
      </c>
      <c r="C378" t="inlineStr">
        <is>
          <t>Tiger Group</t>
        </is>
      </c>
      <c r="D378" t="inlineStr">
        <is>
          <t>JVT</t>
        </is>
      </c>
      <c r="E378" t="inlineStr">
        <is>
          <t>Apartments</t>
        </is>
      </c>
      <c r="F378" t="inlineStr">
        <is>
          <t>Family / Budget</t>
        </is>
      </c>
      <c r="G378" t="inlineStr">
        <is>
          <t>700k</t>
        </is>
      </c>
      <c r="H378" t="inlineStr">
        <is>
          <t>1100</t>
        </is>
      </c>
      <c r="I378" t="inlineStr">
        <is>
          <t>15</t>
        </is>
      </c>
      <c r="J378" t="inlineStr">
        <is>
          <t>70/30</t>
        </is>
      </c>
      <c r="K378" t="inlineStr">
        <is>
          <t>2023</t>
        </is>
      </c>
      <c r="L378" t="inlineStr">
        <is>
          <t>7.0-7.5</t>
        </is>
      </c>
      <c r="M378" t="inlineStr">
        <is>
          <t>6-8</t>
        </is>
      </c>
      <c r="N378" t="inlineStr">
        <is>
          <t>13.0-15.5</t>
        </is>
      </c>
      <c r="O378" t="inlineStr">
        <is>
          <t>Sunmarke School</t>
        </is>
      </c>
      <c r="P378" t="inlineStr">
        <is>
          <t>NMC Royal DIP</t>
        </is>
      </c>
      <c r="Q378" t="inlineStr">
        <is>
          <t>Circle Mall</t>
        </is>
      </c>
      <c r="R378" t="inlineStr">
        <is>
          <t>E311 / Yalayis</t>
        </is>
      </c>
      <c r="S378" t="inlineStr">
        <is>
          <t>20</t>
        </is>
      </c>
      <c r="T378" t="inlineStr">
        <is>
          <t>15</t>
        </is>
      </c>
      <c r="U378" t="inlineStr">
        <is>
          <t>30</t>
        </is>
      </c>
      <c r="V378" t="inlineStr">
        <is>
          <t>20</t>
        </is>
      </c>
      <c r="W378" t="n">
        <v>2</v>
      </c>
      <c r="X378" s="12" t="n">
        <v>700000</v>
      </c>
      <c r="Y378" s="12" t="n">
        <v>700000</v>
      </c>
      <c r="Z378" s="9" t="n">
        <v>7</v>
      </c>
      <c r="AA378" s="9" t="n">
        <v>7.5</v>
      </c>
      <c r="AB378" s="9" t="n">
        <v>6</v>
      </c>
      <c r="AC378" s="9" t="n">
        <v>8</v>
      </c>
      <c r="AD378" s="9" t="n">
        <v>13</v>
      </c>
      <c r="AE378" s="9" t="n">
        <v>15.5</v>
      </c>
      <c r="AF378" t="n">
        <v>2023</v>
      </c>
      <c r="AH378" t="inlineStr">
        <is>
          <t>Apartment</t>
        </is>
      </c>
      <c r="AI378" t="inlineStr">
        <is>
          <t>SupplySensitiveApartment</t>
        </is>
      </c>
      <c r="AJ378" t="inlineStr">
        <is>
          <t>Established</t>
        </is>
      </c>
      <c r="AK378" t="inlineStr">
        <is>
          <t>Supply-sensitive / selective</t>
        </is>
      </c>
      <c r="AL378" t="inlineStr">
        <is>
          <t>Higher delivery risk in more price-sensitive apartment clusters; building selection and exit liquidity matter.</t>
        </is>
      </c>
      <c r="AM378" s="9" t="n">
        <v>7</v>
      </c>
      <c r="AN378" s="9" t="n">
        <v>7.25</v>
      </c>
      <c r="AO378" s="10" t="n">
        <v>0.55</v>
      </c>
      <c r="AP378" s="13" t="n">
        <v>0</v>
      </c>
      <c r="AQ378" s="13" t="n">
        <v>0</v>
      </c>
      <c r="AR378" s="13" t="n">
        <v>-0.01</v>
      </c>
      <c r="AS378" s="13" t="n">
        <v>-0.01</v>
      </c>
      <c r="AT378" s="13" t="n">
        <v>0</v>
      </c>
      <c r="AU378" s="13" t="n">
        <v>0.0025</v>
      </c>
      <c r="AV378" s="13" t="n">
        <v>-0.005</v>
      </c>
      <c r="AW378" s="13" t="n">
        <v>0.0285</v>
      </c>
      <c r="AX378" s="13" t="n">
        <v>-0.0125</v>
      </c>
      <c r="AY378" s="12" t="n">
        <v>698352</v>
      </c>
      <c r="AZ378" s="12" t="n">
        <v>719950</v>
      </c>
      <c r="BA378" s="12" t="n">
        <v>741548</v>
      </c>
      <c r="BB378" s="12" t="n">
        <v>689352</v>
      </c>
      <c r="BC378" s="12" t="n">
        <v>710951</v>
      </c>
      <c r="BD378" s="12" t="n">
        <v>732549</v>
      </c>
      <c r="BE378" s="12" t="n">
        <v>702064</v>
      </c>
      <c r="BF378" t="inlineStr">
        <is>
          <t>Frozen values from same rules-based model as formula sheet.</t>
        </is>
      </c>
      <c r="BG378" t="inlineStr">
        <is>
          <t>2026-03-17</t>
        </is>
      </c>
      <c r="BH378" t="inlineStr">
        <is>
          <t>DLD / Digital Dubai / CBUAE / Savills / Knight Frank-Moody’s / Reuters</t>
        </is>
      </c>
    </row>
    <row r="379">
      <c r="A379" t="n">
        <v>378</v>
      </c>
      <c r="B379" t="inlineStr">
        <is>
          <t>Seslia Tower</t>
        </is>
      </c>
      <c r="C379" t="inlineStr">
        <is>
          <t>Tiger Group</t>
        </is>
      </c>
      <c r="D379" t="inlineStr">
        <is>
          <t>JVT</t>
        </is>
      </c>
      <c r="E379" t="inlineStr">
        <is>
          <t>Apartments</t>
        </is>
      </c>
      <c r="F379" t="inlineStr">
        <is>
          <t>Family / Budget</t>
        </is>
      </c>
      <c r="G379" t="inlineStr">
        <is>
          <t>700k</t>
        </is>
      </c>
      <c r="H379" t="inlineStr">
        <is>
          <t>1100</t>
        </is>
      </c>
      <c r="I379" t="inlineStr">
        <is>
          <t>15</t>
        </is>
      </c>
      <c r="J379" t="inlineStr">
        <is>
          <t>70/30</t>
        </is>
      </c>
      <c r="K379" t="inlineStr">
        <is>
          <t>2022</t>
        </is>
      </c>
      <c r="L379" t="inlineStr">
        <is>
          <t>7.0-7.5</t>
        </is>
      </c>
      <c r="M379" t="inlineStr">
        <is>
          <t>6-8</t>
        </is>
      </c>
      <c r="N379" t="inlineStr">
        <is>
          <t>13.0-15.5</t>
        </is>
      </c>
      <c r="O379" t="inlineStr">
        <is>
          <t>Sunmarke School</t>
        </is>
      </c>
      <c r="P379" t="inlineStr">
        <is>
          <t>NMC Royal DIP</t>
        </is>
      </c>
      <c r="Q379" t="inlineStr">
        <is>
          <t>Circle Mall</t>
        </is>
      </c>
      <c r="R379" t="inlineStr">
        <is>
          <t>E311 / Yalayis</t>
        </is>
      </c>
      <c r="S379" t="inlineStr">
        <is>
          <t>20</t>
        </is>
      </c>
      <c r="T379" t="inlineStr">
        <is>
          <t>15</t>
        </is>
      </c>
      <c r="U379" t="inlineStr">
        <is>
          <t>30</t>
        </is>
      </c>
      <c r="V379" t="inlineStr">
        <is>
          <t>20</t>
        </is>
      </c>
      <c r="W379" t="n">
        <v>2</v>
      </c>
      <c r="X379" s="12" t="n">
        <v>700000</v>
      </c>
      <c r="Y379" s="12" t="n">
        <v>700000</v>
      </c>
      <c r="Z379" s="9" t="n">
        <v>7</v>
      </c>
      <c r="AA379" s="9" t="n">
        <v>7.5</v>
      </c>
      <c r="AB379" s="9" t="n">
        <v>6</v>
      </c>
      <c r="AC379" s="9" t="n">
        <v>8</v>
      </c>
      <c r="AD379" s="9" t="n">
        <v>13</v>
      </c>
      <c r="AE379" s="9" t="n">
        <v>15.5</v>
      </c>
      <c r="AF379" t="n">
        <v>2022</v>
      </c>
      <c r="AH379" t="inlineStr">
        <is>
          <t>Apartment</t>
        </is>
      </c>
      <c r="AI379" t="inlineStr">
        <is>
          <t>SupplySensitiveApartment</t>
        </is>
      </c>
      <c r="AJ379" t="inlineStr">
        <is>
          <t>Established</t>
        </is>
      </c>
      <c r="AK379" t="inlineStr">
        <is>
          <t>Supply-sensitive / selective</t>
        </is>
      </c>
      <c r="AL379" t="inlineStr">
        <is>
          <t>Higher delivery risk in more price-sensitive apartment clusters; building selection and exit liquidity matter.</t>
        </is>
      </c>
      <c r="AM379" s="9" t="n">
        <v>7</v>
      </c>
      <c r="AN379" s="9" t="n">
        <v>7.25</v>
      </c>
      <c r="AO379" s="10" t="n">
        <v>0.55</v>
      </c>
      <c r="AP379" s="13" t="n">
        <v>0</v>
      </c>
      <c r="AQ379" s="13" t="n">
        <v>0</v>
      </c>
      <c r="AR379" s="13" t="n">
        <v>-0.01</v>
      </c>
      <c r="AS379" s="13" t="n">
        <v>-0.01</v>
      </c>
      <c r="AT379" s="13" t="n">
        <v>0</v>
      </c>
      <c r="AU379" s="13" t="n">
        <v>0.0025</v>
      </c>
      <c r="AV379" s="13" t="n">
        <v>-0.005</v>
      </c>
      <c r="AW379" s="13" t="n">
        <v>0.0285</v>
      </c>
      <c r="AX379" s="13" t="n">
        <v>-0.0125</v>
      </c>
      <c r="AY379" s="12" t="n">
        <v>698352</v>
      </c>
      <c r="AZ379" s="12" t="n">
        <v>719950</v>
      </c>
      <c r="BA379" s="12" t="n">
        <v>741548</v>
      </c>
      <c r="BB379" s="12" t="n">
        <v>689352</v>
      </c>
      <c r="BC379" s="12" t="n">
        <v>710951</v>
      </c>
      <c r="BD379" s="12" t="n">
        <v>732549</v>
      </c>
      <c r="BE379" s="12" t="n">
        <v>702064</v>
      </c>
      <c r="BF379" t="inlineStr">
        <is>
          <t>Frozen values from same rules-based model as formula sheet.</t>
        </is>
      </c>
      <c r="BG379" t="inlineStr">
        <is>
          <t>2026-03-17</t>
        </is>
      </c>
      <c r="BH379" t="inlineStr">
        <is>
          <t>DLD / Digital Dubai / CBUAE / Savills / Knight Frank-Moody’s / Reuters</t>
        </is>
      </c>
    </row>
    <row r="380">
      <c r="A380" t="n">
        <v>379</v>
      </c>
      <c r="B380" t="inlineStr">
        <is>
          <t>Cloud Tower</t>
        </is>
      </c>
      <c r="C380" t="inlineStr">
        <is>
          <t>Tiger Group</t>
        </is>
      </c>
      <c r="D380" t="inlineStr">
        <is>
          <t>JVT</t>
        </is>
      </c>
      <c r="E380" t="inlineStr">
        <is>
          <t>Apartments</t>
        </is>
      </c>
      <c r="F380" t="inlineStr">
        <is>
          <t>Twin Tower</t>
        </is>
      </c>
      <c r="G380" t="inlineStr">
        <is>
          <t>750k</t>
        </is>
      </c>
      <c r="H380" t="inlineStr">
        <is>
          <t>1100</t>
        </is>
      </c>
      <c r="I380" t="inlineStr">
        <is>
          <t>15</t>
        </is>
      </c>
      <c r="J380" t="inlineStr">
        <is>
          <t>70/30</t>
        </is>
      </c>
      <c r="K380" t="inlineStr">
        <is>
          <t>2022</t>
        </is>
      </c>
      <c r="L380" t="inlineStr">
        <is>
          <t>7.0-7.5</t>
        </is>
      </c>
      <c r="M380" t="inlineStr">
        <is>
          <t>6-8</t>
        </is>
      </c>
      <c r="N380" t="inlineStr">
        <is>
          <t>13.0-15.5</t>
        </is>
      </c>
      <c r="O380" t="inlineStr">
        <is>
          <t>Sunmarke School</t>
        </is>
      </c>
      <c r="P380" t="inlineStr">
        <is>
          <t>NMC Royal DIP</t>
        </is>
      </c>
      <c r="Q380" t="inlineStr">
        <is>
          <t>Circle Mall</t>
        </is>
      </c>
      <c r="R380" t="inlineStr">
        <is>
          <t>E311 / Yalayis</t>
        </is>
      </c>
      <c r="S380" t="inlineStr">
        <is>
          <t>20</t>
        </is>
      </c>
      <c r="T380" t="inlineStr">
        <is>
          <t>15</t>
        </is>
      </c>
      <c r="U380" t="inlineStr">
        <is>
          <t>30</t>
        </is>
      </c>
      <c r="V380" t="inlineStr">
        <is>
          <t>20</t>
        </is>
      </c>
      <c r="W380" t="n">
        <v>2</v>
      </c>
      <c r="X380" s="12" t="n">
        <v>750000</v>
      </c>
      <c r="Y380" s="12" t="n">
        <v>750000</v>
      </c>
      <c r="Z380" s="9" t="n">
        <v>7</v>
      </c>
      <c r="AA380" s="9" t="n">
        <v>7.5</v>
      </c>
      <c r="AB380" s="9" t="n">
        <v>6</v>
      </c>
      <c r="AC380" s="9" t="n">
        <v>8</v>
      </c>
      <c r="AD380" s="9" t="n">
        <v>13</v>
      </c>
      <c r="AE380" s="9" t="n">
        <v>15.5</v>
      </c>
      <c r="AF380" t="n">
        <v>2022</v>
      </c>
      <c r="AH380" t="inlineStr">
        <is>
          <t>Apartment</t>
        </is>
      </c>
      <c r="AI380" t="inlineStr">
        <is>
          <t>SupplySensitiveApartment</t>
        </is>
      </c>
      <c r="AJ380" t="inlineStr">
        <is>
          <t>Established</t>
        </is>
      </c>
      <c r="AK380" t="inlineStr">
        <is>
          <t>Supply-sensitive / selective</t>
        </is>
      </c>
      <c r="AL380" t="inlineStr">
        <is>
          <t>Higher delivery risk in more price-sensitive apartment clusters; building selection and exit liquidity matter.</t>
        </is>
      </c>
      <c r="AM380" s="9" t="n">
        <v>7</v>
      </c>
      <c r="AN380" s="9" t="n">
        <v>7.25</v>
      </c>
      <c r="AO380" s="10" t="n">
        <v>0.55</v>
      </c>
      <c r="AP380" s="13" t="n">
        <v>0</v>
      </c>
      <c r="AQ380" s="13" t="n">
        <v>0</v>
      </c>
      <c r="AR380" s="13" t="n">
        <v>-0.01</v>
      </c>
      <c r="AS380" s="13" t="n">
        <v>-0.01</v>
      </c>
      <c r="AT380" s="13" t="n">
        <v>0</v>
      </c>
      <c r="AU380" s="13" t="n">
        <v>0.0025</v>
      </c>
      <c r="AV380" s="13" t="n">
        <v>-0.005</v>
      </c>
      <c r="AW380" s="13" t="n">
        <v>0.0285</v>
      </c>
      <c r="AX380" s="13" t="n">
        <v>-0.0125</v>
      </c>
      <c r="AY380" s="12" t="n">
        <v>748234</v>
      </c>
      <c r="AZ380" s="12" t="n">
        <v>771375</v>
      </c>
      <c r="BA380" s="12" t="n">
        <v>794516</v>
      </c>
      <c r="BB380" s="12" t="n">
        <v>738592</v>
      </c>
      <c r="BC380" s="12" t="n">
        <v>761733</v>
      </c>
      <c r="BD380" s="12" t="n">
        <v>784874</v>
      </c>
      <c r="BE380" s="12" t="n">
        <v>752211</v>
      </c>
      <c r="BF380" t="inlineStr">
        <is>
          <t>Frozen values from same rules-based model as formula sheet.</t>
        </is>
      </c>
      <c r="BG380" t="inlineStr">
        <is>
          <t>2026-03-17</t>
        </is>
      </c>
      <c r="BH380" t="inlineStr">
        <is>
          <t>DLD / Digital Dubai / CBUAE / Savills / Knight Frank-Moody’s / Reuters</t>
        </is>
      </c>
    </row>
    <row r="381">
      <c r="A381" t="n">
        <v>380</v>
      </c>
      <c r="B381" t="inlineStr">
        <is>
          <t>Neva Residences</t>
        </is>
      </c>
      <c r="C381" t="inlineStr">
        <is>
          <t>Tiger Group</t>
        </is>
      </c>
      <c r="D381" t="inlineStr">
        <is>
          <t>JVC</t>
        </is>
      </c>
      <c r="E381" t="inlineStr">
        <is>
          <t>Apartments</t>
        </is>
      </c>
      <c r="F381" t="inlineStr">
        <is>
          <t>Budget / High-Rise</t>
        </is>
      </c>
      <c r="G381" t="inlineStr">
        <is>
          <t>700k</t>
        </is>
      </c>
      <c r="H381" t="inlineStr">
        <is>
          <t>1100</t>
        </is>
      </c>
      <c r="I381" t="inlineStr">
        <is>
          <t>15</t>
        </is>
      </c>
      <c r="J381" t="inlineStr">
        <is>
          <t>70/30</t>
        </is>
      </c>
      <c r="K381" t="inlineStr">
        <is>
          <t>2022</t>
        </is>
      </c>
      <c r="L381" t="inlineStr">
        <is>
          <t>7.5-8.0</t>
        </is>
      </c>
      <c r="M381" t="inlineStr">
        <is>
          <t>6-8</t>
        </is>
      </c>
      <c r="N381" t="inlineStr">
        <is>
          <t>13.5-16.0</t>
        </is>
      </c>
      <c r="O381" t="inlineStr">
        <is>
          <t>JSS International</t>
        </is>
      </c>
      <c r="P381" t="inlineStr">
        <is>
          <t>Saudi German Hospital</t>
        </is>
      </c>
      <c r="Q381" t="inlineStr">
        <is>
          <t>Circle Mall</t>
        </is>
      </c>
      <c r="R381" t="inlineStr">
        <is>
          <t>Hessa St / E44</t>
        </is>
      </c>
      <c r="S381" t="inlineStr">
        <is>
          <t>20</t>
        </is>
      </c>
      <c r="T381" t="inlineStr">
        <is>
          <t>15</t>
        </is>
      </c>
      <c r="U381" t="inlineStr">
        <is>
          <t>25</t>
        </is>
      </c>
      <c r="V381" t="inlineStr">
        <is>
          <t>30</t>
        </is>
      </c>
      <c r="W381" t="n">
        <v>2</v>
      </c>
      <c r="X381" s="12" t="n">
        <v>700000</v>
      </c>
      <c r="Y381" s="12" t="n">
        <v>700000</v>
      </c>
      <c r="Z381" s="9" t="n">
        <v>7.5</v>
      </c>
      <c r="AA381" s="9" t="n">
        <v>8</v>
      </c>
      <c r="AB381" s="9" t="n">
        <v>6</v>
      </c>
      <c r="AC381" s="9" t="n">
        <v>8</v>
      </c>
      <c r="AD381" s="9" t="n">
        <v>13.5</v>
      </c>
      <c r="AE381" s="9" t="n">
        <v>16</v>
      </c>
      <c r="AF381" t="n">
        <v>2022</v>
      </c>
      <c r="AH381" t="inlineStr">
        <is>
          <t>Apartment</t>
        </is>
      </c>
      <c r="AI381" t="inlineStr">
        <is>
          <t>SupplySensitiveApartment</t>
        </is>
      </c>
      <c r="AJ381" t="inlineStr">
        <is>
          <t>Established</t>
        </is>
      </c>
      <c r="AK381" t="inlineStr">
        <is>
          <t>Supply-sensitive / selective</t>
        </is>
      </c>
      <c r="AL381" t="inlineStr">
        <is>
          <t>Higher delivery risk in more price-sensitive apartment clusters; building selection and exit liquidity matter.</t>
        </is>
      </c>
      <c r="AM381" s="9" t="n">
        <v>7</v>
      </c>
      <c r="AN381" s="9" t="n">
        <v>7.75</v>
      </c>
      <c r="AO381" s="10" t="n">
        <v>0.55</v>
      </c>
      <c r="AP381" s="13" t="n">
        <v>0</v>
      </c>
      <c r="AQ381" s="13" t="n">
        <v>0</v>
      </c>
      <c r="AR381" s="13" t="n">
        <v>-0.01</v>
      </c>
      <c r="AS381" s="13" t="n">
        <v>-0.01</v>
      </c>
      <c r="AT381" s="13" t="n">
        <v>0</v>
      </c>
      <c r="AU381" s="13" t="n">
        <v>0.0025</v>
      </c>
      <c r="AV381" s="13" t="n">
        <v>-0.005</v>
      </c>
      <c r="AW381" s="13" t="n">
        <v>0.0285</v>
      </c>
      <c r="AX381" s="13" t="n">
        <v>-0.0125</v>
      </c>
      <c r="AY381" s="12" t="n">
        <v>698352</v>
      </c>
      <c r="AZ381" s="12" t="n">
        <v>719950</v>
      </c>
      <c r="BA381" s="12" t="n">
        <v>741548</v>
      </c>
      <c r="BB381" s="12" t="n">
        <v>689352</v>
      </c>
      <c r="BC381" s="12" t="n">
        <v>710951</v>
      </c>
      <c r="BD381" s="12" t="n">
        <v>732549</v>
      </c>
      <c r="BE381" s="12" t="n">
        <v>702064</v>
      </c>
      <c r="BF381" t="inlineStr">
        <is>
          <t>Frozen values from same rules-based model as formula sheet.</t>
        </is>
      </c>
      <c r="BG381" t="inlineStr">
        <is>
          <t>2026-03-17</t>
        </is>
      </c>
      <c r="BH381" t="inlineStr">
        <is>
          <t>DLD / Digital Dubai / CBUAE / Savills / Knight Frank-Moody’s / Reuters</t>
        </is>
      </c>
    </row>
    <row r="382">
      <c r="A382" t="n">
        <v>381</v>
      </c>
      <c r="B382" t="inlineStr">
        <is>
          <t>Elbrus Tower</t>
        </is>
      </c>
      <c r="C382" t="inlineStr">
        <is>
          <t>Tiger Group</t>
        </is>
      </c>
      <c r="D382" t="inlineStr">
        <is>
          <t>JVT</t>
        </is>
      </c>
      <c r="E382" t="inlineStr">
        <is>
          <t>Apartments</t>
        </is>
      </c>
      <c r="F382" t="inlineStr">
        <is>
          <t>Family / Budget</t>
        </is>
      </c>
      <c r="G382" t="inlineStr">
        <is>
          <t>750k</t>
        </is>
      </c>
      <c r="H382" t="inlineStr">
        <is>
          <t>1100</t>
        </is>
      </c>
      <c r="I382" t="inlineStr">
        <is>
          <t>15</t>
        </is>
      </c>
      <c r="J382" t="inlineStr">
        <is>
          <t>70/30</t>
        </is>
      </c>
      <c r="K382" t="inlineStr">
        <is>
          <t>2023</t>
        </is>
      </c>
      <c r="L382" t="inlineStr">
        <is>
          <t>7.0-7.5</t>
        </is>
      </c>
      <c r="M382" t="inlineStr">
        <is>
          <t>6-8</t>
        </is>
      </c>
      <c r="N382" t="inlineStr">
        <is>
          <t>13.0-15.5</t>
        </is>
      </c>
      <c r="O382" t="inlineStr">
        <is>
          <t>Sunmarke School</t>
        </is>
      </c>
      <c r="P382" t="inlineStr">
        <is>
          <t>NMC Royal DIP</t>
        </is>
      </c>
      <c r="Q382" t="inlineStr">
        <is>
          <t>Circle Mall</t>
        </is>
      </c>
      <c r="R382" t="inlineStr">
        <is>
          <t>E311 / Yalayis</t>
        </is>
      </c>
      <c r="S382" t="inlineStr">
        <is>
          <t>20</t>
        </is>
      </c>
      <c r="T382" t="inlineStr">
        <is>
          <t>15</t>
        </is>
      </c>
      <c r="U382" t="inlineStr">
        <is>
          <t>30</t>
        </is>
      </c>
      <c r="V382" t="inlineStr">
        <is>
          <t>20</t>
        </is>
      </c>
      <c r="W382" t="n">
        <v>2</v>
      </c>
      <c r="X382" s="12" t="n">
        <v>750000</v>
      </c>
      <c r="Y382" s="12" t="n">
        <v>750000</v>
      </c>
      <c r="Z382" s="9" t="n">
        <v>7</v>
      </c>
      <c r="AA382" s="9" t="n">
        <v>7.5</v>
      </c>
      <c r="AB382" s="9" t="n">
        <v>6</v>
      </c>
      <c r="AC382" s="9" t="n">
        <v>8</v>
      </c>
      <c r="AD382" s="9" t="n">
        <v>13</v>
      </c>
      <c r="AE382" s="9" t="n">
        <v>15.5</v>
      </c>
      <c r="AF382" t="n">
        <v>2023</v>
      </c>
      <c r="AH382" t="inlineStr">
        <is>
          <t>Apartment</t>
        </is>
      </c>
      <c r="AI382" t="inlineStr">
        <is>
          <t>SupplySensitiveApartment</t>
        </is>
      </c>
      <c r="AJ382" t="inlineStr">
        <is>
          <t>Established</t>
        </is>
      </c>
      <c r="AK382" t="inlineStr">
        <is>
          <t>Supply-sensitive / selective</t>
        </is>
      </c>
      <c r="AL382" t="inlineStr">
        <is>
          <t>Higher delivery risk in more price-sensitive apartment clusters; building selection and exit liquidity matter.</t>
        </is>
      </c>
      <c r="AM382" s="9" t="n">
        <v>7</v>
      </c>
      <c r="AN382" s="9" t="n">
        <v>7.25</v>
      </c>
      <c r="AO382" s="10" t="n">
        <v>0.55</v>
      </c>
      <c r="AP382" s="13" t="n">
        <v>0</v>
      </c>
      <c r="AQ382" s="13" t="n">
        <v>0</v>
      </c>
      <c r="AR382" s="13" t="n">
        <v>-0.01</v>
      </c>
      <c r="AS382" s="13" t="n">
        <v>-0.01</v>
      </c>
      <c r="AT382" s="13" t="n">
        <v>0</v>
      </c>
      <c r="AU382" s="13" t="n">
        <v>0.0025</v>
      </c>
      <c r="AV382" s="13" t="n">
        <v>-0.005</v>
      </c>
      <c r="AW382" s="13" t="n">
        <v>0.0285</v>
      </c>
      <c r="AX382" s="13" t="n">
        <v>-0.0125</v>
      </c>
      <c r="AY382" s="12" t="n">
        <v>748234</v>
      </c>
      <c r="AZ382" s="12" t="n">
        <v>771375</v>
      </c>
      <c r="BA382" s="12" t="n">
        <v>794516</v>
      </c>
      <c r="BB382" s="12" t="n">
        <v>738592</v>
      </c>
      <c r="BC382" s="12" t="n">
        <v>761733</v>
      </c>
      <c r="BD382" s="12" t="n">
        <v>784874</v>
      </c>
      <c r="BE382" s="12" t="n">
        <v>752211</v>
      </c>
      <c r="BF382" t="inlineStr">
        <is>
          <t>Frozen values from same rules-based model as formula sheet.</t>
        </is>
      </c>
      <c r="BG382" t="inlineStr">
        <is>
          <t>2026-03-17</t>
        </is>
      </c>
      <c r="BH382" t="inlineStr">
        <is>
          <t>DLD / Digital Dubai / CBUAE / Savills / Knight Frank-Moody’s / Reuters</t>
        </is>
      </c>
    </row>
    <row r="383">
      <c r="A383" t="n">
        <v>382</v>
      </c>
      <c r="B383" t="inlineStr">
        <is>
          <t>Al Tai</t>
        </is>
      </c>
      <c r="C383" t="inlineStr">
        <is>
          <t>Tiger Group</t>
        </is>
      </c>
      <c r="D383" t="inlineStr">
        <is>
          <t>JVT</t>
        </is>
      </c>
      <c r="E383" t="inlineStr">
        <is>
          <t>Apartments</t>
        </is>
      </c>
      <c r="F383" t="inlineStr">
        <is>
          <t>Family / Budget</t>
        </is>
      </c>
      <c r="G383" t="inlineStr">
        <is>
          <t>750k</t>
        </is>
      </c>
      <c r="H383" t="inlineStr">
        <is>
          <t>1100</t>
        </is>
      </c>
      <c r="I383" t="inlineStr">
        <is>
          <t>15</t>
        </is>
      </c>
      <c r="J383" t="inlineStr">
        <is>
          <t>70/30</t>
        </is>
      </c>
      <c r="K383" t="inlineStr">
        <is>
          <t>2023</t>
        </is>
      </c>
      <c r="L383" t="inlineStr">
        <is>
          <t>7.0-7.5</t>
        </is>
      </c>
      <c r="M383" t="inlineStr">
        <is>
          <t>6-8</t>
        </is>
      </c>
      <c r="N383" t="inlineStr">
        <is>
          <t>13.0-15.5</t>
        </is>
      </c>
      <c r="O383" t="inlineStr">
        <is>
          <t>Sunmarke School</t>
        </is>
      </c>
      <c r="P383" t="inlineStr">
        <is>
          <t>NMC Royal DIP</t>
        </is>
      </c>
      <c r="Q383" t="inlineStr">
        <is>
          <t>Circle Mall</t>
        </is>
      </c>
      <c r="R383" t="inlineStr">
        <is>
          <t>E311 / Yalayis</t>
        </is>
      </c>
      <c r="S383" t="inlineStr">
        <is>
          <t>20</t>
        </is>
      </c>
      <c r="T383" t="inlineStr">
        <is>
          <t>15</t>
        </is>
      </c>
      <c r="U383" t="inlineStr">
        <is>
          <t>30</t>
        </is>
      </c>
      <c r="V383" t="inlineStr">
        <is>
          <t>20</t>
        </is>
      </c>
      <c r="W383" t="n">
        <v>2</v>
      </c>
      <c r="X383" s="12" t="n">
        <v>750000</v>
      </c>
      <c r="Y383" s="12" t="n">
        <v>750000</v>
      </c>
      <c r="Z383" s="9" t="n">
        <v>7</v>
      </c>
      <c r="AA383" s="9" t="n">
        <v>7.5</v>
      </c>
      <c r="AB383" s="9" t="n">
        <v>6</v>
      </c>
      <c r="AC383" s="9" t="n">
        <v>8</v>
      </c>
      <c r="AD383" s="9" t="n">
        <v>13</v>
      </c>
      <c r="AE383" s="9" t="n">
        <v>15.5</v>
      </c>
      <c r="AF383" t="n">
        <v>2023</v>
      </c>
      <c r="AH383" t="inlineStr">
        <is>
          <t>Apartment</t>
        </is>
      </c>
      <c r="AI383" t="inlineStr">
        <is>
          <t>SupplySensitiveApartment</t>
        </is>
      </c>
      <c r="AJ383" t="inlineStr">
        <is>
          <t>Established</t>
        </is>
      </c>
      <c r="AK383" t="inlineStr">
        <is>
          <t>Supply-sensitive / selective</t>
        </is>
      </c>
      <c r="AL383" t="inlineStr">
        <is>
          <t>Higher delivery risk in more price-sensitive apartment clusters; building selection and exit liquidity matter.</t>
        </is>
      </c>
      <c r="AM383" s="9" t="n">
        <v>7</v>
      </c>
      <c r="AN383" s="9" t="n">
        <v>7.25</v>
      </c>
      <c r="AO383" s="10" t="n">
        <v>0.55</v>
      </c>
      <c r="AP383" s="13" t="n">
        <v>0</v>
      </c>
      <c r="AQ383" s="13" t="n">
        <v>0</v>
      </c>
      <c r="AR383" s="13" t="n">
        <v>-0.01</v>
      </c>
      <c r="AS383" s="13" t="n">
        <v>-0.01</v>
      </c>
      <c r="AT383" s="13" t="n">
        <v>0</v>
      </c>
      <c r="AU383" s="13" t="n">
        <v>0.0025</v>
      </c>
      <c r="AV383" s="13" t="n">
        <v>-0.005</v>
      </c>
      <c r="AW383" s="13" t="n">
        <v>0.0285</v>
      </c>
      <c r="AX383" s="13" t="n">
        <v>-0.0125</v>
      </c>
      <c r="AY383" s="12" t="n">
        <v>748234</v>
      </c>
      <c r="AZ383" s="12" t="n">
        <v>771375</v>
      </c>
      <c r="BA383" s="12" t="n">
        <v>794516</v>
      </c>
      <c r="BB383" s="12" t="n">
        <v>738592</v>
      </c>
      <c r="BC383" s="12" t="n">
        <v>761733</v>
      </c>
      <c r="BD383" s="12" t="n">
        <v>784874</v>
      </c>
      <c r="BE383" s="12" t="n">
        <v>752211</v>
      </c>
      <c r="BF383" t="inlineStr">
        <is>
          <t>Frozen values from same rules-based model as formula sheet.</t>
        </is>
      </c>
      <c r="BG383" t="inlineStr">
        <is>
          <t>2026-03-17</t>
        </is>
      </c>
      <c r="BH383" t="inlineStr">
        <is>
          <t>DLD / Digital Dubai / CBUAE / Savills / Knight Frank-Moody’s / Reuters</t>
        </is>
      </c>
    </row>
    <row r="384">
      <c r="A384" t="n">
        <v>383</v>
      </c>
      <c r="B384" t="inlineStr">
        <is>
          <t>Faradis</t>
        </is>
      </c>
      <c r="C384" t="inlineStr">
        <is>
          <t>Tiger Group</t>
        </is>
      </c>
      <c r="D384" t="inlineStr">
        <is>
          <t>Sharjah (Mamsha)</t>
        </is>
      </c>
      <c r="E384" t="inlineStr">
        <is>
          <t>Apartments</t>
        </is>
      </c>
      <c r="F384" t="inlineStr">
        <is>
          <t>Beachfront (Sharjah)</t>
        </is>
      </c>
      <c r="G384" t="inlineStr">
        <is>
          <t>800k</t>
        </is>
      </c>
      <c r="H384" t="inlineStr">
        <is>
          <t>1000</t>
        </is>
      </c>
      <c r="I384" t="inlineStr">
        <is>
          <t>TBA</t>
        </is>
      </c>
      <c r="J384" t="inlineStr">
        <is>
          <t>70/30</t>
        </is>
      </c>
      <c r="K384" t="inlineStr">
        <is>
          <t>2024</t>
        </is>
      </c>
      <c r="L384" t="inlineStr">
        <is>
          <t>6.0-6.5</t>
        </is>
      </c>
      <c r="M384" t="inlineStr">
        <is>
          <t>5-7</t>
        </is>
      </c>
      <c r="N384" t="inlineStr">
        <is>
          <t>11.0-13.5</t>
        </is>
      </c>
      <c r="O384" t="inlineStr">
        <is>
          <t>Victoria Intl</t>
        </is>
      </c>
      <c r="P384" t="inlineStr">
        <is>
          <t>Al Qassimi Hospital</t>
        </is>
      </c>
      <c r="Q384" t="inlineStr">
        <is>
          <t>Sahara Centre</t>
        </is>
      </c>
      <c r="R384" t="inlineStr">
        <is>
          <t>E11 (Sharjah)</t>
        </is>
      </c>
      <c r="S384" t="inlineStr">
        <is>
          <t>30</t>
        </is>
      </c>
      <c r="T384" t="inlineStr">
        <is>
          <t>45</t>
        </is>
      </c>
      <c r="U384" t="inlineStr">
        <is>
          <t>20</t>
        </is>
      </c>
      <c r="V384" t="inlineStr">
        <is>
          <t>55</t>
        </is>
      </c>
      <c r="W384" t="n">
        <v>2</v>
      </c>
      <c r="X384" s="12" t="n">
        <v>800000</v>
      </c>
      <c r="Y384" s="12" t="n">
        <v>800000</v>
      </c>
      <c r="Z384" s="9" t="n">
        <v>6</v>
      </c>
      <c r="AA384" s="9" t="n">
        <v>6.5</v>
      </c>
      <c r="AB384" s="9" t="n">
        <v>5</v>
      </c>
      <c r="AC384" s="9" t="n">
        <v>7</v>
      </c>
      <c r="AD384" s="9" t="n">
        <v>11</v>
      </c>
      <c r="AE384" s="9" t="n">
        <v>13.5</v>
      </c>
      <c r="AF384" t="n">
        <v>2024</v>
      </c>
      <c r="AH384" t="inlineStr">
        <is>
          <t>Apartment</t>
        </is>
      </c>
      <c r="AI384" t="inlineStr">
        <is>
          <t>MainstreamSelective</t>
        </is>
      </c>
      <c r="AJ384" t="inlineStr">
        <is>
          <t>Established</t>
        </is>
      </c>
      <c r="AK384" t="inlineStr">
        <is>
          <t>Balanced / selective</t>
        </is>
      </c>
      <c r="AL384" t="inlineStr">
        <is>
          <t>Market remains active but increasingly differentiated by developer, micro-location, livability, and pricing discipline.</t>
        </is>
      </c>
      <c r="AM384" s="9" t="n">
        <v>6</v>
      </c>
      <c r="AN384" s="9" t="n">
        <v>6.25</v>
      </c>
      <c r="AO384" s="10" t="n">
        <v>0.55</v>
      </c>
      <c r="AP384" s="13" t="n">
        <v>0</v>
      </c>
      <c r="AQ384" s="13" t="n">
        <v>0</v>
      </c>
      <c r="AR384" s="13" t="n">
        <v>0</v>
      </c>
      <c r="AS384" s="13" t="n">
        <v>0.01</v>
      </c>
      <c r="AT384" s="13" t="n">
        <v>0</v>
      </c>
      <c r="AU384" s="13" t="n">
        <v>0.0025</v>
      </c>
      <c r="AV384" s="13" t="n">
        <v>-0.005</v>
      </c>
      <c r="AW384" s="13" t="n">
        <v>0.033</v>
      </c>
      <c r="AX384" s="13" t="n">
        <v>0.007500000000000001</v>
      </c>
      <c r="AY384" s="12" t="n">
        <v>801608</v>
      </c>
      <c r="AZ384" s="12" t="n">
        <v>826400</v>
      </c>
      <c r="BA384" s="12" t="n">
        <v>851192</v>
      </c>
      <c r="BB384" s="12" t="n">
        <v>807806</v>
      </c>
      <c r="BC384" s="12" t="n">
        <v>832598</v>
      </c>
      <c r="BD384" s="12" t="n">
        <v>857390</v>
      </c>
      <c r="BE384" s="12" t="n">
        <v>838842</v>
      </c>
      <c r="BF384" t="inlineStr">
        <is>
          <t>Frozen values from same rules-based model as formula sheet.</t>
        </is>
      </c>
      <c r="BG384" t="inlineStr">
        <is>
          <t>2026-03-17</t>
        </is>
      </c>
      <c r="BH384" t="inlineStr">
        <is>
          <t>DLD / Digital Dubai / CBUAE / Savills / Knight Frank-Moody’s / Reuters</t>
        </is>
      </c>
    </row>
    <row r="385">
      <c r="A385" t="n">
        <v>384</v>
      </c>
      <c r="B385" t="inlineStr">
        <is>
          <t>Samana Barari Views</t>
        </is>
      </c>
      <c r="C385" t="inlineStr">
        <is>
          <t>Samana Developers</t>
        </is>
      </c>
      <c r="D385" t="inlineStr">
        <is>
          <t>Al Barari</t>
        </is>
      </c>
      <c r="E385" t="inlineStr">
        <is>
          <t>Apartments</t>
        </is>
      </c>
      <c r="F385" t="inlineStr">
        <is>
          <t>Nature / Private Pool</t>
        </is>
      </c>
      <c r="G385" t="inlineStr">
        <is>
          <t>1.8M</t>
        </is>
      </c>
      <c r="H385" t="inlineStr">
        <is>
          <t>1600</t>
        </is>
      </c>
      <c r="I385" t="inlineStr">
        <is>
          <t>18</t>
        </is>
      </c>
      <c r="J385" t="inlineStr">
        <is>
          <t>1% Monthly</t>
        </is>
      </c>
      <c r="K385" t="inlineStr">
        <is>
          <t>2023</t>
        </is>
      </c>
      <c r="L385" t="inlineStr">
        <is>
          <t>6.5-7.0</t>
        </is>
      </c>
      <c r="M385" t="inlineStr">
        <is>
          <t>8-10</t>
        </is>
      </c>
      <c r="N385" t="inlineStr">
        <is>
          <t>14.5-17.0</t>
        </is>
      </c>
      <c r="O385" t="inlineStr">
        <is>
          <t>Dunecrest American</t>
        </is>
      </c>
      <c r="P385" t="inlineStr">
        <is>
          <t>Saudi German Hospital</t>
        </is>
      </c>
      <c r="Q385" t="inlineStr">
        <is>
          <t>Silicon Central</t>
        </is>
      </c>
      <c r="R385" t="inlineStr">
        <is>
          <t>E311 / E66</t>
        </is>
      </c>
      <c r="S385" t="inlineStr">
        <is>
          <t>20</t>
        </is>
      </c>
      <c r="T385" t="inlineStr">
        <is>
          <t>30</t>
        </is>
      </c>
      <c r="U385" t="inlineStr">
        <is>
          <t>20</t>
        </is>
      </c>
      <c r="V385" t="inlineStr">
        <is>
          <t>35</t>
        </is>
      </c>
      <c r="W385" t="n">
        <v>2</v>
      </c>
      <c r="X385" s="12" t="n">
        <v>1800000</v>
      </c>
      <c r="Y385" s="12" t="n">
        <v>1800000</v>
      </c>
      <c r="Z385" s="9" t="n">
        <v>6.5</v>
      </c>
      <c r="AA385" s="9" t="n">
        <v>7</v>
      </c>
      <c r="AB385" s="9" t="n">
        <v>8</v>
      </c>
      <c r="AC385" s="9" t="n">
        <v>10</v>
      </c>
      <c r="AD385" s="9" t="n">
        <v>14.5</v>
      </c>
      <c r="AE385" s="9" t="n">
        <v>17</v>
      </c>
      <c r="AF385" t="n">
        <v>2023</v>
      </c>
      <c r="AH385" t="inlineStr">
        <is>
          <t>Apartment</t>
        </is>
      </c>
      <c r="AI385" t="inlineStr">
        <is>
          <t>MainstreamSelective</t>
        </is>
      </c>
      <c r="AJ385" t="inlineStr">
        <is>
          <t>MidTier</t>
        </is>
      </c>
      <c r="AK385" t="inlineStr">
        <is>
          <t>Balanced / selective</t>
        </is>
      </c>
      <c r="AL385" t="inlineStr">
        <is>
          <t>Market remains active but increasingly differentiated by developer, micro-location, livability, and pricing discipline.</t>
        </is>
      </c>
      <c r="AM385" s="9" t="n">
        <v>9</v>
      </c>
      <c r="AN385" s="9" t="n">
        <v>6.75</v>
      </c>
      <c r="AO385" s="10" t="n">
        <v>0.55</v>
      </c>
      <c r="AP385" s="13" t="n">
        <v>0</v>
      </c>
      <c r="AQ385" s="13" t="n">
        <v>0</v>
      </c>
      <c r="AR385" s="13" t="n">
        <v>0</v>
      </c>
      <c r="AS385" s="13" t="n">
        <v>0.01</v>
      </c>
      <c r="AT385" s="13" t="n">
        <v>-0.005</v>
      </c>
      <c r="AU385" s="13" t="n">
        <v>0.0025</v>
      </c>
      <c r="AV385" s="13" t="n">
        <v>-0.005</v>
      </c>
      <c r="AW385" s="13" t="n">
        <v>0.0495</v>
      </c>
      <c r="AX385" s="13" t="n">
        <v>0.0025</v>
      </c>
      <c r="AY385" s="12" t="n">
        <v>1832427</v>
      </c>
      <c r="AZ385" s="12" t="n">
        <v>1889100</v>
      </c>
      <c r="BA385" s="12" t="n">
        <v>1945773</v>
      </c>
      <c r="BB385" s="12" t="n">
        <v>1837150</v>
      </c>
      <c r="BC385" s="12" t="n">
        <v>1893823</v>
      </c>
      <c r="BD385" s="12" t="n">
        <v>1950496</v>
      </c>
      <c r="BE385" s="12" t="n">
        <v>1898557</v>
      </c>
      <c r="BF385" t="inlineStr">
        <is>
          <t>Frozen values from same rules-based model as formula sheet.</t>
        </is>
      </c>
      <c r="BG385" t="inlineStr">
        <is>
          <t>2026-03-17</t>
        </is>
      </c>
      <c r="BH385" t="inlineStr">
        <is>
          <t>DLD / Digital Dubai / CBUAE / Savills / Knight Frank-Moody’s / Reuters</t>
        </is>
      </c>
    </row>
    <row r="386">
      <c r="A386" t="n">
        <v>385</v>
      </c>
      <c r="B386" t="inlineStr">
        <is>
          <t>Samana Barari Lagoons</t>
        </is>
      </c>
      <c r="C386" t="inlineStr">
        <is>
          <t>Samana Developers</t>
        </is>
      </c>
      <c r="D386" t="inlineStr">
        <is>
          <t>Al Barari</t>
        </is>
      </c>
      <c r="E386" t="inlineStr">
        <is>
          <t>Apartments</t>
        </is>
      </c>
      <c r="F386" t="inlineStr">
        <is>
          <t>Nature / Private Pool</t>
        </is>
      </c>
      <c r="G386" t="inlineStr">
        <is>
          <t>1.9M</t>
        </is>
      </c>
      <c r="H386" t="inlineStr">
        <is>
          <t>1650</t>
        </is>
      </c>
      <c r="I386" t="inlineStr">
        <is>
          <t>18</t>
        </is>
      </c>
      <c r="J386" t="inlineStr">
        <is>
          <t>1% Monthly</t>
        </is>
      </c>
      <c r="K386" t="inlineStr">
        <is>
          <t>2024</t>
        </is>
      </c>
      <c r="L386" t="inlineStr">
        <is>
          <t>6.5-7.0</t>
        </is>
      </c>
      <c r="M386" t="inlineStr">
        <is>
          <t>8-10</t>
        </is>
      </c>
      <c r="N386" t="inlineStr">
        <is>
          <t>14.5-17.0</t>
        </is>
      </c>
      <c r="O386" t="inlineStr">
        <is>
          <t>Dunecrest American</t>
        </is>
      </c>
      <c r="P386" t="inlineStr">
        <is>
          <t>Saudi German Hospital</t>
        </is>
      </c>
      <c r="Q386" t="inlineStr">
        <is>
          <t>Silicon Central</t>
        </is>
      </c>
      <c r="R386" t="inlineStr">
        <is>
          <t>E311 / E66</t>
        </is>
      </c>
      <c r="S386" t="inlineStr">
        <is>
          <t>20</t>
        </is>
      </c>
      <c r="T386" t="inlineStr">
        <is>
          <t>30</t>
        </is>
      </c>
      <c r="U386" t="inlineStr">
        <is>
          <t>20</t>
        </is>
      </c>
      <c r="V386" t="inlineStr">
        <is>
          <t>35</t>
        </is>
      </c>
      <c r="W386" t="n">
        <v>2</v>
      </c>
      <c r="X386" s="12" t="n">
        <v>1900000</v>
      </c>
      <c r="Y386" s="12" t="n">
        <v>1900000</v>
      </c>
      <c r="Z386" s="9" t="n">
        <v>6.5</v>
      </c>
      <c r="AA386" s="9" t="n">
        <v>7</v>
      </c>
      <c r="AB386" s="9" t="n">
        <v>8</v>
      </c>
      <c r="AC386" s="9" t="n">
        <v>10</v>
      </c>
      <c r="AD386" s="9" t="n">
        <v>14.5</v>
      </c>
      <c r="AE386" s="9" t="n">
        <v>17</v>
      </c>
      <c r="AF386" t="n">
        <v>2024</v>
      </c>
      <c r="AH386" t="inlineStr">
        <is>
          <t>Apartment</t>
        </is>
      </c>
      <c r="AI386" t="inlineStr">
        <is>
          <t>MainstreamSelective</t>
        </is>
      </c>
      <c r="AJ386" t="inlineStr">
        <is>
          <t>MidTier</t>
        </is>
      </c>
      <c r="AK386" t="inlineStr">
        <is>
          <t>Balanced / selective</t>
        </is>
      </c>
      <c r="AL386" t="inlineStr">
        <is>
          <t>Market remains active but increasingly differentiated by developer, micro-location, livability, and pricing discipline.</t>
        </is>
      </c>
      <c r="AM386" s="9" t="n">
        <v>9</v>
      </c>
      <c r="AN386" s="9" t="n">
        <v>6.75</v>
      </c>
      <c r="AO386" s="10" t="n">
        <v>0.55</v>
      </c>
      <c r="AP386" s="13" t="n">
        <v>0</v>
      </c>
      <c r="AQ386" s="13" t="n">
        <v>0</v>
      </c>
      <c r="AR386" s="13" t="n">
        <v>0</v>
      </c>
      <c r="AS386" s="13" t="n">
        <v>0.01</v>
      </c>
      <c r="AT386" s="13" t="n">
        <v>-0.005</v>
      </c>
      <c r="AU386" s="13" t="n">
        <v>0.0025</v>
      </c>
      <c r="AV386" s="13" t="n">
        <v>-0.005</v>
      </c>
      <c r="AW386" s="13" t="n">
        <v>0.0495</v>
      </c>
      <c r="AX386" s="13" t="n">
        <v>0.0025</v>
      </c>
      <c r="AY386" s="12" t="n">
        <v>1934228</v>
      </c>
      <c r="AZ386" s="12" t="n">
        <v>1994050</v>
      </c>
      <c r="BA386" s="12" t="n">
        <v>2053872</v>
      </c>
      <c r="BB386" s="12" t="n">
        <v>1939214</v>
      </c>
      <c r="BC386" s="12" t="n">
        <v>1999035</v>
      </c>
      <c r="BD386" s="12" t="n">
        <v>2058857</v>
      </c>
      <c r="BE386" s="12" t="n">
        <v>2004033</v>
      </c>
      <c r="BF386" t="inlineStr">
        <is>
          <t>Frozen values from same rules-based model as formula sheet.</t>
        </is>
      </c>
      <c r="BG386" t="inlineStr">
        <is>
          <t>2026-03-17</t>
        </is>
      </c>
      <c r="BH386" t="inlineStr">
        <is>
          <t>DLD / Digital Dubai / CBUAE / Savills / Knight Frank-Moody’s / Reuters</t>
        </is>
      </c>
    </row>
    <row r="387">
      <c r="A387" t="n">
        <v>386</v>
      </c>
      <c r="B387" t="inlineStr">
        <is>
          <t>Samana Ivy Gardens 1</t>
        </is>
      </c>
      <c r="C387" t="inlineStr">
        <is>
          <t>Samana Developers</t>
        </is>
      </c>
      <c r="D387" t="inlineStr">
        <is>
          <t>Dubailand</t>
        </is>
      </c>
      <c r="E387" t="inlineStr">
        <is>
          <t>Apartments</t>
        </is>
      </c>
      <c r="F387" t="inlineStr">
        <is>
          <t>Garden / Pool</t>
        </is>
      </c>
      <c r="G387" t="inlineStr">
        <is>
          <t>900k</t>
        </is>
      </c>
      <c r="H387" t="inlineStr">
        <is>
          <t>1300</t>
        </is>
      </c>
      <c r="I387" t="inlineStr">
        <is>
          <t>15</t>
        </is>
      </c>
      <c r="J387" t="inlineStr">
        <is>
          <t>1% Monthly</t>
        </is>
      </c>
      <c r="K387" t="inlineStr">
        <is>
          <t>2023</t>
        </is>
      </c>
      <c r="L387" t="inlineStr">
        <is>
          <t>7.0-7.5</t>
        </is>
      </c>
      <c r="M387" t="inlineStr">
        <is>
          <t>6-8</t>
        </is>
      </c>
      <c r="N387" t="inlineStr">
        <is>
          <t>13.0-15.5</t>
        </is>
      </c>
      <c r="O387" t="inlineStr">
        <is>
          <t>GEMS Winchester</t>
        </is>
      </c>
      <c r="P387" t="inlineStr">
        <is>
          <t>Fakeeh University Hosp</t>
        </is>
      </c>
      <c r="Q387" t="inlineStr">
        <is>
          <t>Dubai Outlet Mall</t>
        </is>
      </c>
      <c r="R387" t="inlineStr">
        <is>
          <t>E611 / Al Ain Rd</t>
        </is>
      </c>
      <c r="S387" t="inlineStr">
        <is>
          <t>20</t>
        </is>
      </c>
      <c r="T387" t="inlineStr">
        <is>
          <t>25</t>
        </is>
      </c>
      <c r="U387" t="inlineStr">
        <is>
          <t>25</t>
        </is>
      </c>
      <c r="V387" t="inlineStr">
        <is>
          <t>30</t>
        </is>
      </c>
      <c r="W387" t="n">
        <v>2</v>
      </c>
      <c r="X387" s="12" t="n">
        <v>900000</v>
      </c>
      <c r="Y387" s="12" t="n">
        <v>900000</v>
      </c>
      <c r="Z387" s="9" t="n">
        <v>7</v>
      </c>
      <c r="AA387" s="9" t="n">
        <v>7.5</v>
      </c>
      <c r="AB387" s="9" t="n">
        <v>6</v>
      </c>
      <c r="AC387" s="9" t="n">
        <v>8</v>
      </c>
      <c r="AD387" s="9" t="n">
        <v>13</v>
      </c>
      <c r="AE387" s="9" t="n">
        <v>15.5</v>
      </c>
      <c r="AF387" t="n">
        <v>2023</v>
      </c>
      <c r="AH387" t="inlineStr">
        <is>
          <t>Apartment</t>
        </is>
      </c>
      <c r="AI387" t="inlineStr">
        <is>
          <t>SupplySensitiveApartment</t>
        </is>
      </c>
      <c r="AJ387" t="inlineStr">
        <is>
          <t>MidTier</t>
        </is>
      </c>
      <c r="AK387" t="inlineStr">
        <is>
          <t>Supply-sensitive / selective</t>
        </is>
      </c>
      <c r="AL387" t="inlineStr">
        <is>
          <t>Higher delivery risk in more price-sensitive apartment clusters; building selection and exit liquidity matter.</t>
        </is>
      </c>
      <c r="AM387" s="9" t="n">
        <v>7</v>
      </c>
      <c r="AN387" s="9" t="n">
        <v>7.25</v>
      </c>
      <c r="AO387" s="10" t="n">
        <v>0.55</v>
      </c>
      <c r="AP387" s="13" t="n">
        <v>0</v>
      </c>
      <c r="AQ387" s="13" t="n">
        <v>0</v>
      </c>
      <c r="AR387" s="13" t="n">
        <v>-0.01</v>
      </c>
      <c r="AS387" s="13" t="n">
        <v>-0.01</v>
      </c>
      <c r="AT387" s="13" t="n">
        <v>-0.005</v>
      </c>
      <c r="AU387" s="13" t="n">
        <v>0.0025</v>
      </c>
      <c r="AV387" s="13" t="n">
        <v>-0.005</v>
      </c>
      <c r="AW387" s="13" t="n">
        <v>0.0285</v>
      </c>
      <c r="AX387" s="13" t="n">
        <v>-0.0175</v>
      </c>
      <c r="AY387" s="12" t="n">
        <v>897880</v>
      </c>
      <c r="AZ387" s="12" t="n">
        <v>925650</v>
      </c>
      <c r="BA387" s="12" t="n">
        <v>953420</v>
      </c>
      <c r="BB387" s="12" t="n">
        <v>881682</v>
      </c>
      <c r="BC387" s="12" t="n">
        <v>909451</v>
      </c>
      <c r="BD387" s="12" t="n">
        <v>937221</v>
      </c>
      <c r="BE387" s="12" t="n">
        <v>893536</v>
      </c>
      <c r="BF387" t="inlineStr">
        <is>
          <t>Frozen values from same rules-based model as formula sheet.</t>
        </is>
      </c>
      <c r="BG387" t="inlineStr">
        <is>
          <t>2026-03-17</t>
        </is>
      </c>
      <c r="BH387" t="inlineStr">
        <is>
          <t>DLD / Digital Dubai / CBUAE / Savills / Knight Frank-Moody’s / Reuters</t>
        </is>
      </c>
    </row>
    <row r="388">
      <c r="A388" t="n">
        <v>387</v>
      </c>
      <c r="B388" t="inlineStr">
        <is>
          <t>Samana Ivy Gardens 2</t>
        </is>
      </c>
      <c r="C388" t="inlineStr">
        <is>
          <t>Samana Developers</t>
        </is>
      </c>
      <c r="D388" t="inlineStr">
        <is>
          <t>Dubailand</t>
        </is>
      </c>
      <c r="E388" t="inlineStr">
        <is>
          <t>Apartments</t>
        </is>
      </c>
      <c r="F388" t="inlineStr">
        <is>
          <t>Garden / Pool</t>
        </is>
      </c>
      <c r="G388" t="inlineStr">
        <is>
          <t>950k</t>
        </is>
      </c>
      <c r="H388" t="inlineStr">
        <is>
          <t>1350</t>
        </is>
      </c>
      <c r="I388" t="inlineStr">
        <is>
          <t>15</t>
        </is>
      </c>
      <c r="J388" t="inlineStr">
        <is>
          <t>1% Monthly</t>
        </is>
      </c>
      <c r="K388" t="inlineStr">
        <is>
          <t>2024</t>
        </is>
      </c>
      <c r="L388" t="inlineStr">
        <is>
          <t>7.0-7.5</t>
        </is>
      </c>
      <c r="M388" t="inlineStr">
        <is>
          <t>6-8</t>
        </is>
      </c>
      <c r="N388" t="inlineStr">
        <is>
          <t>13.0-15.5</t>
        </is>
      </c>
      <c r="O388" t="inlineStr">
        <is>
          <t>GEMS Winchester</t>
        </is>
      </c>
      <c r="P388" t="inlineStr">
        <is>
          <t>Fakeeh University Hosp</t>
        </is>
      </c>
      <c r="Q388" t="inlineStr">
        <is>
          <t>Dubai Outlet Mall</t>
        </is>
      </c>
      <c r="R388" t="inlineStr">
        <is>
          <t>E611 / Al Ain Rd</t>
        </is>
      </c>
      <c r="S388" t="inlineStr">
        <is>
          <t>20</t>
        </is>
      </c>
      <c r="T388" t="inlineStr">
        <is>
          <t>25</t>
        </is>
      </c>
      <c r="U388" t="inlineStr">
        <is>
          <t>25</t>
        </is>
      </c>
      <c r="V388" t="inlineStr">
        <is>
          <t>30</t>
        </is>
      </c>
      <c r="W388" t="n">
        <v>2</v>
      </c>
      <c r="X388" s="12" t="n">
        <v>950000</v>
      </c>
      <c r="Y388" s="12" t="n">
        <v>950000</v>
      </c>
      <c r="Z388" s="9" t="n">
        <v>7</v>
      </c>
      <c r="AA388" s="9" t="n">
        <v>7.5</v>
      </c>
      <c r="AB388" s="9" t="n">
        <v>6</v>
      </c>
      <c r="AC388" s="9" t="n">
        <v>8</v>
      </c>
      <c r="AD388" s="9" t="n">
        <v>13</v>
      </c>
      <c r="AE388" s="9" t="n">
        <v>15.5</v>
      </c>
      <c r="AF388" t="n">
        <v>2024</v>
      </c>
      <c r="AH388" t="inlineStr">
        <is>
          <t>Apartment</t>
        </is>
      </c>
      <c r="AI388" t="inlineStr">
        <is>
          <t>SupplySensitiveApartment</t>
        </is>
      </c>
      <c r="AJ388" t="inlineStr">
        <is>
          <t>MidTier</t>
        </is>
      </c>
      <c r="AK388" t="inlineStr">
        <is>
          <t>Supply-sensitive / selective</t>
        </is>
      </c>
      <c r="AL388" t="inlineStr">
        <is>
          <t>Higher delivery risk in more price-sensitive apartment clusters; building selection and exit liquidity matter.</t>
        </is>
      </c>
      <c r="AM388" s="9" t="n">
        <v>7</v>
      </c>
      <c r="AN388" s="9" t="n">
        <v>7.25</v>
      </c>
      <c r="AO388" s="10" t="n">
        <v>0.55</v>
      </c>
      <c r="AP388" s="13" t="n">
        <v>0</v>
      </c>
      <c r="AQ388" s="13" t="n">
        <v>0</v>
      </c>
      <c r="AR388" s="13" t="n">
        <v>-0.01</v>
      </c>
      <c r="AS388" s="13" t="n">
        <v>-0.01</v>
      </c>
      <c r="AT388" s="13" t="n">
        <v>-0.005</v>
      </c>
      <c r="AU388" s="13" t="n">
        <v>0.0025</v>
      </c>
      <c r="AV388" s="13" t="n">
        <v>-0.005</v>
      </c>
      <c r="AW388" s="13" t="n">
        <v>0.0285</v>
      </c>
      <c r="AX388" s="13" t="n">
        <v>-0.0175</v>
      </c>
      <c r="AY388" s="12" t="n">
        <v>947763</v>
      </c>
      <c r="AZ388" s="12" t="n">
        <v>977075</v>
      </c>
      <c r="BA388" s="12" t="n">
        <v>1006387</v>
      </c>
      <c r="BB388" s="12" t="n">
        <v>930664</v>
      </c>
      <c r="BC388" s="12" t="n">
        <v>959976</v>
      </c>
      <c r="BD388" s="12" t="n">
        <v>989288</v>
      </c>
      <c r="BE388" s="12" t="n">
        <v>943177</v>
      </c>
      <c r="BF388" t="inlineStr">
        <is>
          <t>Frozen values from same rules-based model as formula sheet.</t>
        </is>
      </c>
      <c r="BG388" t="inlineStr">
        <is>
          <t>2026-03-17</t>
        </is>
      </c>
      <c r="BH388" t="inlineStr">
        <is>
          <t>DLD / Digital Dubai / CBUAE / Savills / Knight Frank-Moody’s / Reuters</t>
        </is>
      </c>
    </row>
    <row r="389">
      <c r="A389" t="n">
        <v>388</v>
      </c>
      <c r="B389" t="inlineStr">
        <is>
          <t>Samana Ocean Bay</t>
        </is>
      </c>
      <c r="C389" t="inlineStr">
        <is>
          <t>Samana Developers</t>
        </is>
      </c>
      <c r="D389" t="inlineStr">
        <is>
          <t>Dubai Islands</t>
        </is>
      </c>
      <c r="E389" t="inlineStr">
        <is>
          <t>Apartments</t>
        </is>
      </c>
      <c r="F389" t="inlineStr">
        <is>
          <t>Beach / Pool</t>
        </is>
      </c>
      <c r="G389" t="inlineStr">
        <is>
          <t>1.8M</t>
        </is>
      </c>
      <c r="H389" t="inlineStr">
        <is>
          <t>1800</t>
        </is>
      </c>
      <c r="I389" t="inlineStr">
        <is>
          <t>18</t>
        </is>
      </c>
      <c r="J389" t="inlineStr">
        <is>
          <t>1% Monthly</t>
        </is>
      </c>
      <c r="K389" t="inlineStr">
        <is>
          <t>2024</t>
        </is>
      </c>
      <c r="L389" t="inlineStr">
        <is>
          <t>6.0-6.5</t>
        </is>
      </c>
      <c r="M389" t="inlineStr">
        <is>
          <t>10-12</t>
        </is>
      </c>
      <c r="N389" t="inlineStr">
        <is>
          <t>16.0-18.5</t>
        </is>
      </c>
      <c r="O389" t="inlineStr">
        <is>
          <t>The Elite English</t>
        </is>
      </c>
      <c r="P389" t="inlineStr">
        <is>
          <t>Dubai Hospital</t>
        </is>
      </c>
      <c r="Q389" t="inlineStr">
        <is>
          <t>City Centre Deira</t>
        </is>
      </c>
      <c r="R389" t="inlineStr">
        <is>
          <t>Infinity Bridge</t>
        </is>
      </c>
      <c r="S389" t="inlineStr">
        <is>
          <t>20</t>
        </is>
      </c>
      <c r="T389" t="inlineStr">
        <is>
          <t>35</t>
        </is>
      </c>
      <c r="U389" t="inlineStr">
        <is>
          <t>15</t>
        </is>
      </c>
      <c r="V389" t="inlineStr">
        <is>
          <t>45</t>
        </is>
      </c>
      <c r="W389" t="n">
        <v>2</v>
      </c>
      <c r="X389" s="12" t="n">
        <v>1800000</v>
      </c>
      <c r="Y389" s="12" t="n">
        <v>1800000</v>
      </c>
      <c r="Z389" s="9" t="n">
        <v>6</v>
      </c>
      <c r="AA389" s="9" t="n">
        <v>6.5</v>
      </c>
      <c r="AB389" s="9" t="n">
        <v>10</v>
      </c>
      <c r="AC389" s="9" t="n">
        <v>12</v>
      </c>
      <c r="AD389" s="9" t="n">
        <v>16</v>
      </c>
      <c r="AE389" s="9" t="n">
        <v>18.5</v>
      </c>
      <c r="AF389" t="n">
        <v>2024</v>
      </c>
      <c r="AH389" t="inlineStr">
        <is>
          <t>Apartment</t>
        </is>
      </c>
      <c r="AI389" t="inlineStr">
        <is>
          <t>MainstreamSelective</t>
        </is>
      </c>
      <c r="AJ389" t="inlineStr">
        <is>
          <t>MidTier</t>
        </is>
      </c>
      <c r="AK389" t="inlineStr">
        <is>
          <t>Balanced / selective</t>
        </is>
      </c>
      <c r="AL389" t="inlineStr">
        <is>
          <t>Market remains active but increasingly differentiated by developer, micro-location, livability, and pricing discipline.</t>
        </is>
      </c>
      <c r="AM389" s="9" t="n">
        <v>11</v>
      </c>
      <c r="AN389" s="9" t="n">
        <v>6.25</v>
      </c>
      <c r="AO389" s="10" t="n">
        <v>0.55</v>
      </c>
      <c r="AP389" s="13" t="n">
        <v>0</v>
      </c>
      <c r="AQ389" s="13" t="n">
        <v>0</v>
      </c>
      <c r="AR389" s="13" t="n">
        <v>0</v>
      </c>
      <c r="AS389" s="13" t="n">
        <v>0.01</v>
      </c>
      <c r="AT389" s="13" t="n">
        <v>-0.005</v>
      </c>
      <c r="AU389" s="13" t="n">
        <v>0.0025</v>
      </c>
      <c r="AV389" s="13" t="n">
        <v>-0.005</v>
      </c>
      <c r="AW389" s="13" t="n">
        <v>0.06050000000000001</v>
      </c>
      <c r="AX389" s="13" t="n">
        <v>0.0025</v>
      </c>
      <c r="AY389" s="12" t="n">
        <v>1851633</v>
      </c>
      <c r="AZ389" s="12" t="n">
        <v>1908900</v>
      </c>
      <c r="BA389" s="12" t="n">
        <v>1966167</v>
      </c>
      <c r="BB389" s="12" t="n">
        <v>1856405</v>
      </c>
      <c r="BC389" s="12" t="n">
        <v>1913672</v>
      </c>
      <c r="BD389" s="12" t="n">
        <v>1970939</v>
      </c>
      <c r="BE389" s="12" t="n">
        <v>1918456</v>
      </c>
      <c r="BF389" t="inlineStr">
        <is>
          <t>Frozen values from same rules-based model as formula sheet.</t>
        </is>
      </c>
      <c r="BG389" t="inlineStr">
        <is>
          <t>2026-03-17</t>
        </is>
      </c>
      <c r="BH389" t="inlineStr">
        <is>
          <t>DLD / Digital Dubai / CBUAE / Savills / Knight Frank-Moody’s / Reuters</t>
        </is>
      </c>
    </row>
    <row r="390">
      <c r="A390" t="n">
        <v>389</v>
      </c>
      <c r="B390" t="inlineStr">
        <is>
          <t>Samana California 1</t>
        </is>
      </c>
      <c r="C390" t="inlineStr">
        <is>
          <t>Samana Developers</t>
        </is>
      </c>
      <c r="D390" t="inlineStr">
        <is>
          <t>Al Furjan</t>
        </is>
      </c>
      <c r="E390" t="inlineStr">
        <is>
          <t>Apartments</t>
        </is>
      </c>
      <c r="F390" t="inlineStr">
        <is>
          <t>California Style</t>
        </is>
      </c>
      <c r="G390" t="inlineStr">
        <is>
          <t>1.0M</t>
        </is>
      </c>
      <c r="H390" t="inlineStr">
        <is>
          <t>1300</t>
        </is>
      </c>
      <c r="I390" t="inlineStr">
        <is>
          <t>15</t>
        </is>
      </c>
      <c r="J390" t="inlineStr">
        <is>
          <t>1% Monthly</t>
        </is>
      </c>
      <c r="K390" t="inlineStr">
        <is>
          <t>2023</t>
        </is>
      </c>
      <c r="L390" t="inlineStr">
        <is>
          <t>7.0-7.5</t>
        </is>
      </c>
      <c r="M390" t="inlineStr">
        <is>
          <t>6-8</t>
        </is>
      </c>
      <c r="N390" t="inlineStr">
        <is>
          <t>13.0-15.5</t>
        </is>
      </c>
      <c r="O390" t="inlineStr">
        <is>
          <t>The Arbor School</t>
        </is>
      </c>
      <c r="P390" t="inlineStr">
        <is>
          <t>NMC Royal DIP</t>
        </is>
      </c>
      <c r="Q390" t="inlineStr">
        <is>
          <t>Ibn Battuta Mall</t>
        </is>
      </c>
      <c r="R390" t="inlineStr">
        <is>
          <t>Yalayis / E311</t>
        </is>
      </c>
      <c r="S390" t="inlineStr">
        <is>
          <t>25</t>
        </is>
      </c>
      <c r="T390" t="inlineStr">
        <is>
          <t>15</t>
        </is>
      </c>
      <c r="U390" t="inlineStr">
        <is>
          <t>30</t>
        </is>
      </c>
      <c r="V390" t="inlineStr">
        <is>
          <t>20</t>
        </is>
      </c>
      <c r="W390" t="n">
        <v>2</v>
      </c>
      <c r="X390" s="12" t="n">
        <v>1000000</v>
      </c>
      <c r="Y390" s="12" t="n">
        <v>1000000</v>
      </c>
      <c r="Z390" s="9" t="n">
        <v>7</v>
      </c>
      <c r="AA390" s="9" t="n">
        <v>7.5</v>
      </c>
      <c r="AB390" s="9" t="n">
        <v>6</v>
      </c>
      <c r="AC390" s="9" t="n">
        <v>8</v>
      </c>
      <c r="AD390" s="9" t="n">
        <v>13</v>
      </c>
      <c r="AE390" s="9" t="n">
        <v>15.5</v>
      </c>
      <c r="AF390" t="n">
        <v>2023</v>
      </c>
      <c r="AH390" t="inlineStr">
        <is>
          <t>Apartment</t>
        </is>
      </c>
      <c r="AI390" t="inlineStr">
        <is>
          <t>SupplySensitiveApartment</t>
        </is>
      </c>
      <c r="AJ390" t="inlineStr">
        <is>
          <t>MidTier</t>
        </is>
      </c>
      <c r="AK390" t="inlineStr">
        <is>
          <t>Supply-sensitive / selective</t>
        </is>
      </c>
      <c r="AL390" t="inlineStr">
        <is>
          <t>Higher delivery risk in more price-sensitive apartment clusters; building selection and exit liquidity matter.</t>
        </is>
      </c>
      <c r="AM390" s="9" t="n">
        <v>7</v>
      </c>
      <c r="AN390" s="9" t="n">
        <v>7.25</v>
      </c>
      <c r="AO390" s="10" t="n">
        <v>0.55</v>
      </c>
      <c r="AP390" s="13" t="n">
        <v>0</v>
      </c>
      <c r="AQ390" s="13" t="n">
        <v>0</v>
      </c>
      <c r="AR390" s="13" t="n">
        <v>-0.01</v>
      </c>
      <c r="AS390" s="13" t="n">
        <v>-0.01</v>
      </c>
      <c r="AT390" s="13" t="n">
        <v>-0.005</v>
      </c>
      <c r="AU390" s="13" t="n">
        <v>0.0025</v>
      </c>
      <c r="AV390" s="13" t="n">
        <v>-0.005</v>
      </c>
      <c r="AW390" s="13" t="n">
        <v>0.0285</v>
      </c>
      <c r="AX390" s="13" t="n">
        <v>-0.0175</v>
      </c>
      <c r="AY390" s="12" t="n">
        <v>997645</v>
      </c>
      <c r="AZ390" s="12" t="n">
        <v>1028500</v>
      </c>
      <c r="BA390" s="12" t="n">
        <v>1059355</v>
      </c>
      <c r="BB390" s="12" t="n">
        <v>979646</v>
      </c>
      <c r="BC390" s="12" t="n">
        <v>1010501</v>
      </c>
      <c r="BD390" s="12" t="n">
        <v>1041356</v>
      </c>
      <c r="BE390" s="12" t="n">
        <v>992817</v>
      </c>
      <c r="BF390" t="inlineStr">
        <is>
          <t>Frozen values from same rules-based model as formula sheet.</t>
        </is>
      </c>
      <c r="BG390" t="inlineStr">
        <is>
          <t>2026-03-17</t>
        </is>
      </c>
      <c r="BH390" t="inlineStr">
        <is>
          <t>DLD / Digital Dubai / CBUAE / Savills / Knight Frank-Moody’s / Reuters</t>
        </is>
      </c>
    </row>
    <row r="391">
      <c r="A391" t="n">
        <v>390</v>
      </c>
      <c r="B391" t="inlineStr">
        <is>
          <t>Samana California 2</t>
        </is>
      </c>
      <c r="C391" t="inlineStr">
        <is>
          <t>Samana Developers</t>
        </is>
      </c>
      <c r="D391" t="inlineStr">
        <is>
          <t>Al Furjan</t>
        </is>
      </c>
      <c r="E391" t="inlineStr">
        <is>
          <t>Apartments</t>
        </is>
      </c>
      <c r="F391" t="inlineStr">
        <is>
          <t>California Style</t>
        </is>
      </c>
      <c r="G391" t="inlineStr">
        <is>
          <t>1.1M</t>
        </is>
      </c>
      <c r="H391" t="inlineStr">
        <is>
          <t>1300</t>
        </is>
      </c>
      <c r="I391" t="inlineStr">
        <is>
          <t>15</t>
        </is>
      </c>
      <c r="J391" t="inlineStr">
        <is>
          <t>1% Monthly</t>
        </is>
      </c>
      <c r="K391" t="inlineStr">
        <is>
          <t>2023</t>
        </is>
      </c>
      <c r="L391" t="inlineStr">
        <is>
          <t>7.0-7.5</t>
        </is>
      </c>
      <c r="M391" t="inlineStr">
        <is>
          <t>6-8</t>
        </is>
      </c>
      <c r="N391" t="inlineStr">
        <is>
          <t>13.0-15.5</t>
        </is>
      </c>
      <c r="O391" t="inlineStr">
        <is>
          <t>The Arbor School</t>
        </is>
      </c>
      <c r="P391" t="inlineStr">
        <is>
          <t>NMC Royal DIP</t>
        </is>
      </c>
      <c r="Q391" t="inlineStr">
        <is>
          <t>Ibn Battuta Mall</t>
        </is>
      </c>
      <c r="R391" t="inlineStr">
        <is>
          <t>Yalayis / E311</t>
        </is>
      </c>
      <c r="S391" t="inlineStr">
        <is>
          <t>25</t>
        </is>
      </c>
      <c r="T391" t="inlineStr">
        <is>
          <t>15</t>
        </is>
      </c>
      <c r="U391" t="inlineStr">
        <is>
          <t>30</t>
        </is>
      </c>
      <c r="V391" t="inlineStr">
        <is>
          <t>20</t>
        </is>
      </c>
      <c r="W391" t="n">
        <v>2</v>
      </c>
      <c r="X391" s="12" t="n">
        <v>1100000</v>
      </c>
      <c r="Y391" s="12" t="n">
        <v>1100000</v>
      </c>
      <c r="Z391" s="9" t="n">
        <v>7</v>
      </c>
      <c r="AA391" s="9" t="n">
        <v>7.5</v>
      </c>
      <c r="AB391" s="9" t="n">
        <v>6</v>
      </c>
      <c r="AC391" s="9" t="n">
        <v>8</v>
      </c>
      <c r="AD391" s="9" t="n">
        <v>13</v>
      </c>
      <c r="AE391" s="9" t="n">
        <v>15.5</v>
      </c>
      <c r="AF391" t="n">
        <v>2023</v>
      </c>
      <c r="AH391" t="inlineStr">
        <is>
          <t>Apartment</t>
        </is>
      </c>
      <c r="AI391" t="inlineStr">
        <is>
          <t>SupplySensitiveApartment</t>
        </is>
      </c>
      <c r="AJ391" t="inlineStr">
        <is>
          <t>MidTier</t>
        </is>
      </c>
      <c r="AK391" t="inlineStr">
        <is>
          <t>Supply-sensitive / selective</t>
        </is>
      </c>
      <c r="AL391" t="inlineStr">
        <is>
          <t>Higher delivery risk in more price-sensitive apartment clusters; building selection and exit liquidity matter.</t>
        </is>
      </c>
      <c r="AM391" s="9" t="n">
        <v>7</v>
      </c>
      <c r="AN391" s="9" t="n">
        <v>7.25</v>
      </c>
      <c r="AO391" s="10" t="n">
        <v>0.55</v>
      </c>
      <c r="AP391" s="13" t="n">
        <v>0</v>
      </c>
      <c r="AQ391" s="13" t="n">
        <v>0</v>
      </c>
      <c r="AR391" s="13" t="n">
        <v>-0.01</v>
      </c>
      <c r="AS391" s="13" t="n">
        <v>-0.01</v>
      </c>
      <c r="AT391" s="13" t="n">
        <v>-0.005</v>
      </c>
      <c r="AU391" s="13" t="n">
        <v>0.0025</v>
      </c>
      <c r="AV391" s="13" t="n">
        <v>-0.005</v>
      </c>
      <c r="AW391" s="13" t="n">
        <v>0.0285</v>
      </c>
      <c r="AX391" s="13" t="n">
        <v>-0.0175</v>
      </c>
      <c r="AY391" s="12" t="n">
        <v>1097410</v>
      </c>
      <c r="AZ391" s="12" t="n">
        <v>1131350</v>
      </c>
      <c r="BA391" s="12" t="n">
        <v>1165290</v>
      </c>
      <c r="BB391" s="12" t="n">
        <v>1077611</v>
      </c>
      <c r="BC391" s="12" t="n">
        <v>1111551</v>
      </c>
      <c r="BD391" s="12" t="n">
        <v>1145492</v>
      </c>
      <c r="BE391" s="12" t="n">
        <v>1092099</v>
      </c>
      <c r="BF391" t="inlineStr">
        <is>
          <t>Frozen values from same rules-based model as formula sheet.</t>
        </is>
      </c>
      <c r="BG391" t="inlineStr">
        <is>
          <t>2026-03-17</t>
        </is>
      </c>
      <c r="BH391" t="inlineStr">
        <is>
          <t>DLD / Digital Dubai / CBUAE / Savills / Knight Frank-Moody’s / Reuters</t>
        </is>
      </c>
    </row>
    <row r="392">
      <c r="A392" t="n">
        <v>391</v>
      </c>
      <c r="B392" t="inlineStr">
        <is>
          <t>Samana Miami 1</t>
        </is>
      </c>
      <c r="C392" t="inlineStr">
        <is>
          <t>Samana Developers</t>
        </is>
      </c>
      <c r="D392" t="inlineStr">
        <is>
          <t>JVC</t>
        </is>
      </c>
      <c r="E392" t="inlineStr">
        <is>
          <t>Apartments</t>
        </is>
      </c>
      <c r="F392" t="inlineStr">
        <is>
          <t>Miami Style</t>
        </is>
      </c>
      <c r="G392" t="inlineStr">
        <is>
          <t>900k</t>
        </is>
      </c>
      <c r="H392" t="inlineStr">
        <is>
          <t>1300</t>
        </is>
      </c>
      <c r="I392" t="inlineStr">
        <is>
          <t>15</t>
        </is>
      </c>
      <c r="J392" t="inlineStr">
        <is>
          <t>1% Monthly</t>
        </is>
      </c>
      <c r="K392" t="inlineStr">
        <is>
          <t>2022</t>
        </is>
      </c>
      <c r="L392" t="inlineStr">
        <is>
          <t>7.5-8.0</t>
        </is>
      </c>
      <c r="M392" t="inlineStr">
        <is>
          <t>6-8</t>
        </is>
      </c>
      <c r="N392" t="inlineStr">
        <is>
          <t>13.5-16.0</t>
        </is>
      </c>
      <c r="O392" t="inlineStr">
        <is>
          <t>JSS International</t>
        </is>
      </c>
      <c r="P392" t="inlineStr">
        <is>
          <t>Saudi German Hospital</t>
        </is>
      </c>
      <c r="Q392" t="inlineStr">
        <is>
          <t>Circle Mall</t>
        </is>
      </c>
      <c r="R392" t="inlineStr">
        <is>
          <t>Hessa St / E44</t>
        </is>
      </c>
      <c r="S392" t="inlineStr">
        <is>
          <t>20</t>
        </is>
      </c>
      <c r="T392" t="inlineStr">
        <is>
          <t>15</t>
        </is>
      </c>
      <c r="U392" t="inlineStr">
        <is>
          <t>25</t>
        </is>
      </c>
      <c r="V392" t="inlineStr">
        <is>
          <t>30</t>
        </is>
      </c>
      <c r="W392" t="n">
        <v>2</v>
      </c>
      <c r="X392" s="12" t="n">
        <v>900000</v>
      </c>
      <c r="Y392" s="12" t="n">
        <v>900000</v>
      </c>
      <c r="Z392" s="9" t="n">
        <v>7.5</v>
      </c>
      <c r="AA392" s="9" t="n">
        <v>8</v>
      </c>
      <c r="AB392" s="9" t="n">
        <v>6</v>
      </c>
      <c r="AC392" s="9" t="n">
        <v>8</v>
      </c>
      <c r="AD392" s="9" t="n">
        <v>13.5</v>
      </c>
      <c r="AE392" s="9" t="n">
        <v>16</v>
      </c>
      <c r="AF392" t="n">
        <v>2022</v>
      </c>
      <c r="AH392" t="inlineStr">
        <is>
          <t>Apartment</t>
        </is>
      </c>
      <c r="AI392" t="inlineStr">
        <is>
          <t>SupplySensitiveApartment</t>
        </is>
      </c>
      <c r="AJ392" t="inlineStr">
        <is>
          <t>MidTier</t>
        </is>
      </c>
      <c r="AK392" t="inlineStr">
        <is>
          <t>Supply-sensitive / selective</t>
        </is>
      </c>
      <c r="AL392" t="inlineStr">
        <is>
          <t>Higher delivery risk in more price-sensitive apartment clusters; building selection and exit liquidity matter.</t>
        </is>
      </c>
      <c r="AM392" s="9" t="n">
        <v>7</v>
      </c>
      <c r="AN392" s="9" t="n">
        <v>7.75</v>
      </c>
      <c r="AO392" s="10" t="n">
        <v>0.55</v>
      </c>
      <c r="AP392" s="13" t="n">
        <v>0</v>
      </c>
      <c r="AQ392" s="13" t="n">
        <v>0</v>
      </c>
      <c r="AR392" s="13" t="n">
        <v>-0.01</v>
      </c>
      <c r="AS392" s="13" t="n">
        <v>-0.01</v>
      </c>
      <c r="AT392" s="13" t="n">
        <v>-0.005</v>
      </c>
      <c r="AU392" s="13" t="n">
        <v>0.0025</v>
      </c>
      <c r="AV392" s="13" t="n">
        <v>-0.005</v>
      </c>
      <c r="AW392" s="13" t="n">
        <v>0.0285</v>
      </c>
      <c r="AX392" s="13" t="n">
        <v>-0.0175</v>
      </c>
      <c r="AY392" s="12" t="n">
        <v>897880</v>
      </c>
      <c r="AZ392" s="12" t="n">
        <v>925650</v>
      </c>
      <c r="BA392" s="12" t="n">
        <v>953420</v>
      </c>
      <c r="BB392" s="12" t="n">
        <v>881682</v>
      </c>
      <c r="BC392" s="12" t="n">
        <v>909451</v>
      </c>
      <c r="BD392" s="12" t="n">
        <v>937221</v>
      </c>
      <c r="BE392" s="12" t="n">
        <v>893536</v>
      </c>
      <c r="BF392" t="inlineStr">
        <is>
          <t>Frozen values from same rules-based model as formula sheet.</t>
        </is>
      </c>
      <c r="BG392" t="inlineStr">
        <is>
          <t>2026-03-17</t>
        </is>
      </c>
      <c r="BH392" t="inlineStr">
        <is>
          <t>DLD / Digital Dubai / CBUAE / Savills / Knight Frank-Moody’s / Reuters</t>
        </is>
      </c>
    </row>
    <row r="393">
      <c r="A393" t="n">
        <v>392</v>
      </c>
      <c r="B393" t="inlineStr">
        <is>
          <t>Samana Miami 2</t>
        </is>
      </c>
      <c r="C393" t="inlineStr">
        <is>
          <t>Samana Developers</t>
        </is>
      </c>
      <c r="D393" t="inlineStr">
        <is>
          <t>JVT</t>
        </is>
      </c>
      <c r="E393" t="inlineStr">
        <is>
          <t>Apartments</t>
        </is>
      </c>
      <c r="F393" t="inlineStr">
        <is>
          <t>Miami Style</t>
        </is>
      </c>
      <c r="G393" t="inlineStr">
        <is>
          <t>950k</t>
        </is>
      </c>
      <c r="H393" t="inlineStr">
        <is>
          <t>1300</t>
        </is>
      </c>
      <c r="I393" t="inlineStr">
        <is>
          <t>15</t>
        </is>
      </c>
      <c r="J393" t="inlineStr">
        <is>
          <t>1% Monthly</t>
        </is>
      </c>
      <c r="K393" t="inlineStr">
        <is>
          <t>2022</t>
        </is>
      </c>
      <c r="L393" t="inlineStr">
        <is>
          <t>7.0-7.5</t>
        </is>
      </c>
      <c r="M393" t="inlineStr">
        <is>
          <t>6-8</t>
        </is>
      </c>
      <c r="N393" t="inlineStr">
        <is>
          <t>13.0-15.5</t>
        </is>
      </c>
      <c r="O393" t="inlineStr">
        <is>
          <t>Sunmarke School</t>
        </is>
      </c>
      <c r="P393" t="inlineStr">
        <is>
          <t>NMC Royal DIP</t>
        </is>
      </c>
      <c r="Q393" t="inlineStr">
        <is>
          <t>Circle Mall</t>
        </is>
      </c>
      <c r="R393" t="inlineStr">
        <is>
          <t>E311 / Yalayis</t>
        </is>
      </c>
      <c r="S393" t="inlineStr">
        <is>
          <t>20</t>
        </is>
      </c>
      <c r="T393" t="inlineStr">
        <is>
          <t>15</t>
        </is>
      </c>
      <c r="U393" t="inlineStr">
        <is>
          <t>30</t>
        </is>
      </c>
      <c r="V393" t="inlineStr">
        <is>
          <t>20</t>
        </is>
      </c>
      <c r="W393" t="n">
        <v>2</v>
      </c>
      <c r="X393" s="12" t="n">
        <v>950000</v>
      </c>
      <c r="Y393" s="12" t="n">
        <v>950000</v>
      </c>
      <c r="Z393" s="9" t="n">
        <v>7</v>
      </c>
      <c r="AA393" s="9" t="n">
        <v>7.5</v>
      </c>
      <c r="AB393" s="9" t="n">
        <v>6</v>
      </c>
      <c r="AC393" s="9" t="n">
        <v>8</v>
      </c>
      <c r="AD393" s="9" t="n">
        <v>13</v>
      </c>
      <c r="AE393" s="9" t="n">
        <v>15.5</v>
      </c>
      <c r="AF393" t="n">
        <v>2022</v>
      </c>
      <c r="AH393" t="inlineStr">
        <is>
          <t>Apartment</t>
        </is>
      </c>
      <c r="AI393" t="inlineStr">
        <is>
          <t>SupplySensitiveApartment</t>
        </is>
      </c>
      <c r="AJ393" t="inlineStr">
        <is>
          <t>MidTier</t>
        </is>
      </c>
      <c r="AK393" t="inlineStr">
        <is>
          <t>Supply-sensitive / selective</t>
        </is>
      </c>
      <c r="AL393" t="inlineStr">
        <is>
          <t>Higher delivery risk in more price-sensitive apartment clusters; building selection and exit liquidity matter.</t>
        </is>
      </c>
      <c r="AM393" s="9" t="n">
        <v>7</v>
      </c>
      <c r="AN393" s="9" t="n">
        <v>7.25</v>
      </c>
      <c r="AO393" s="10" t="n">
        <v>0.55</v>
      </c>
      <c r="AP393" s="13" t="n">
        <v>0</v>
      </c>
      <c r="AQ393" s="13" t="n">
        <v>0</v>
      </c>
      <c r="AR393" s="13" t="n">
        <v>-0.01</v>
      </c>
      <c r="AS393" s="13" t="n">
        <v>-0.01</v>
      </c>
      <c r="AT393" s="13" t="n">
        <v>-0.005</v>
      </c>
      <c r="AU393" s="13" t="n">
        <v>0.0025</v>
      </c>
      <c r="AV393" s="13" t="n">
        <v>-0.005</v>
      </c>
      <c r="AW393" s="13" t="n">
        <v>0.0285</v>
      </c>
      <c r="AX393" s="13" t="n">
        <v>-0.0175</v>
      </c>
      <c r="AY393" s="12" t="n">
        <v>947763</v>
      </c>
      <c r="AZ393" s="12" t="n">
        <v>977075</v>
      </c>
      <c r="BA393" s="12" t="n">
        <v>1006387</v>
      </c>
      <c r="BB393" s="12" t="n">
        <v>930664</v>
      </c>
      <c r="BC393" s="12" t="n">
        <v>959976</v>
      </c>
      <c r="BD393" s="12" t="n">
        <v>989288</v>
      </c>
      <c r="BE393" s="12" t="n">
        <v>943177</v>
      </c>
      <c r="BF393" t="inlineStr">
        <is>
          <t>Frozen values from same rules-based model as formula sheet.</t>
        </is>
      </c>
      <c r="BG393" t="inlineStr">
        <is>
          <t>2026-03-17</t>
        </is>
      </c>
      <c r="BH393" t="inlineStr">
        <is>
          <t>DLD / Digital Dubai / CBUAE / Savills / Knight Frank-Moody’s / Reuters</t>
        </is>
      </c>
    </row>
    <row r="394">
      <c r="A394" t="n">
        <v>393</v>
      </c>
      <c r="B394" t="inlineStr">
        <is>
          <t>Samana Miami 3</t>
        </is>
      </c>
      <c r="C394" t="inlineStr">
        <is>
          <t>Samana Developers</t>
        </is>
      </c>
      <c r="D394" t="inlineStr">
        <is>
          <t>JVT</t>
        </is>
      </c>
      <c r="E394" t="inlineStr">
        <is>
          <t>Apartments</t>
        </is>
      </c>
      <c r="F394" t="inlineStr">
        <is>
          <t>Miami Style</t>
        </is>
      </c>
      <c r="G394" t="inlineStr">
        <is>
          <t>1.0M</t>
        </is>
      </c>
      <c r="H394" t="inlineStr">
        <is>
          <t>1350</t>
        </is>
      </c>
      <c r="I394" t="inlineStr">
        <is>
          <t>15</t>
        </is>
      </c>
      <c r="J394" t="inlineStr">
        <is>
          <t>1% Monthly</t>
        </is>
      </c>
      <c r="K394" t="inlineStr">
        <is>
          <t>2023</t>
        </is>
      </c>
      <c r="L394" t="inlineStr">
        <is>
          <t>7.0-7.5</t>
        </is>
      </c>
      <c r="M394" t="inlineStr">
        <is>
          <t>6-8</t>
        </is>
      </c>
      <c r="N394" t="inlineStr">
        <is>
          <t>13.0-15.5</t>
        </is>
      </c>
      <c r="O394" t="inlineStr">
        <is>
          <t>Sunmarke School</t>
        </is>
      </c>
      <c r="P394" t="inlineStr">
        <is>
          <t>NMC Royal DIP</t>
        </is>
      </c>
      <c r="Q394" t="inlineStr">
        <is>
          <t>Circle Mall</t>
        </is>
      </c>
      <c r="R394" t="inlineStr">
        <is>
          <t>E311 / Yalayis</t>
        </is>
      </c>
      <c r="S394" t="inlineStr">
        <is>
          <t>20</t>
        </is>
      </c>
      <c r="T394" t="inlineStr">
        <is>
          <t>15</t>
        </is>
      </c>
      <c r="U394" t="inlineStr">
        <is>
          <t>30</t>
        </is>
      </c>
      <c r="V394" t="inlineStr">
        <is>
          <t>20</t>
        </is>
      </c>
      <c r="W394" t="n">
        <v>2</v>
      </c>
      <c r="X394" s="12" t="n">
        <v>1000000</v>
      </c>
      <c r="Y394" s="12" t="n">
        <v>1000000</v>
      </c>
      <c r="Z394" s="9" t="n">
        <v>7</v>
      </c>
      <c r="AA394" s="9" t="n">
        <v>7.5</v>
      </c>
      <c r="AB394" s="9" t="n">
        <v>6</v>
      </c>
      <c r="AC394" s="9" t="n">
        <v>8</v>
      </c>
      <c r="AD394" s="9" t="n">
        <v>13</v>
      </c>
      <c r="AE394" s="9" t="n">
        <v>15.5</v>
      </c>
      <c r="AF394" t="n">
        <v>2023</v>
      </c>
      <c r="AH394" t="inlineStr">
        <is>
          <t>Apartment</t>
        </is>
      </c>
      <c r="AI394" t="inlineStr">
        <is>
          <t>SupplySensitiveApartment</t>
        </is>
      </c>
      <c r="AJ394" t="inlineStr">
        <is>
          <t>MidTier</t>
        </is>
      </c>
      <c r="AK394" t="inlineStr">
        <is>
          <t>Supply-sensitive / selective</t>
        </is>
      </c>
      <c r="AL394" t="inlineStr">
        <is>
          <t>Higher delivery risk in more price-sensitive apartment clusters; building selection and exit liquidity matter.</t>
        </is>
      </c>
      <c r="AM394" s="9" t="n">
        <v>7</v>
      </c>
      <c r="AN394" s="9" t="n">
        <v>7.25</v>
      </c>
      <c r="AO394" s="10" t="n">
        <v>0.55</v>
      </c>
      <c r="AP394" s="13" t="n">
        <v>0</v>
      </c>
      <c r="AQ394" s="13" t="n">
        <v>0</v>
      </c>
      <c r="AR394" s="13" t="n">
        <v>-0.01</v>
      </c>
      <c r="AS394" s="13" t="n">
        <v>-0.01</v>
      </c>
      <c r="AT394" s="13" t="n">
        <v>-0.005</v>
      </c>
      <c r="AU394" s="13" t="n">
        <v>0.0025</v>
      </c>
      <c r="AV394" s="13" t="n">
        <v>-0.005</v>
      </c>
      <c r="AW394" s="13" t="n">
        <v>0.0285</v>
      </c>
      <c r="AX394" s="13" t="n">
        <v>-0.0175</v>
      </c>
      <c r="AY394" s="12" t="n">
        <v>997645</v>
      </c>
      <c r="AZ394" s="12" t="n">
        <v>1028500</v>
      </c>
      <c r="BA394" s="12" t="n">
        <v>1059355</v>
      </c>
      <c r="BB394" s="12" t="n">
        <v>979646</v>
      </c>
      <c r="BC394" s="12" t="n">
        <v>1010501</v>
      </c>
      <c r="BD394" s="12" t="n">
        <v>1041356</v>
      </c>
      <c r="BE394" s="12" t="n">
        <v>992817</v>
      </c>
      <c r="BF394" t="inlineStr">
        <is>
          <t>Frozen values from same rules-based model as formula sheet.</t>
        </is>
      </c>
      <c r="BG394" t="inlineStr">
        <is>
          <t>2026-03-17</t>
        </is>
      </c>
      <c r="BH394" t="inlineStr">
        <is>
          <t>DLD / Digital Dubai / CBUAE / Savills / Knight Frank-Moody’s / Reuters</t>
        </is>
      </c>
    </row>
    <row r="395">
      <c r="A395" t="n">
        <v>394</v>
      </c>
      <c r="B395" t="inlineStr">
        <is>
          <t>Samana Mykonos</t>
        </is>
      </c>
      <c r="C395" t="inlineStr">
        <is>
          <t>Samana Developers</t>
        </is>
      </c>
      <c r="D395" t="inlineStr">
        <is>
          <t>Dubai Studio City</t>
        </is>
      </c>
      <c r="E395" t="inlineStr">
        <is>
          <t>Apartments</t>
        </is>
      </c>
      <c r="F395" t="inlineStr">
        <is>
          <t>Greek Style</t>
        </is>
      </c>
      <c r="G395" t="inlineStr">
        <is>
          <t>850k</t>
        </is>
      </c>
      <c r="H395" t="inlineStr">
        <is>
          <t>1200</t>
        </is>
      </c>
      <c r="I395" t="inlineStr">
        <is>
          <t>15</t>
        </is>
      </c>
      <c r="J395" t="inlineStr">
        <is>
          <t>1% Monthly</t>
        </is>
      </c>
      <c r="K395" t="inlineStr">
        <is>
          <t>2023</t>
        </is>
      </c>
      <c r="L395" t="inlineStr">
        <is>
          <t>7.5-8.0</t>
        </is>
      </c>
      <c r="M395" t="inlineStr">
        <is>
          <t>6-8</t>
        </is>
      </c>
      <c r="N395" t="inlineStr">
        <is>
          <t>13.5-16.0</t>
        </is>
      </c>
      <c r="O395" t="inlineStr">
        <is>
          <t>GEMS Metropole</t>
        </is>
      </c>
      <c r="P395" t="inlineStr">
        <is>
          <t>Mediclinic Parkview</t>
        </is>
      </c>
      <c r="Q395" t="inlineStr">
        <is>
          <t>First Avenue Mall</t>
        </is>
      </c>
      <c r="R395" t="inlineStr">
        <is>
          <t>Hessa St / E311</t>
        </is>
      </c>
      <c r="S395" t="inlineStr">
        <is>
          <t>20</t>
        </is>
      </c>
      <c r="T395" t="inlineStr">
        <is>
          <t>15</t>
        </is>
      </c>
      <c r="U395" t="inlineStr">
        <is>
          <t>25</t>
        </is>
      </c>
      <c r="V395" t="inlineStr">
        <is>
          <t>25</t>
        </is>
      </c>
      <c r="W395" t="n">
        <v>2</v>
      </c>
      <c r="X395" s="12" t="n">
        <v>850000</v>
      </c>
      <c r="Y395" s="12" t="n">
        <v>850000</v>
      </c>
      <c r="Z395" s="9" t="n">
        <v>7.5</v>
      </c>
      <c r="AA395" s="9" t="n">
        <v>8</v>
      </c>
      <c r="AB395" s="9" t="n">
        <v>6</v>
      </c>
      <c r="AC395" s="9" t="n">
        <v>8</v>
      </c>
      <c r="AD395" s="9" t="n">
        <v>13.5</v>
      </c>
      <c r="AE395" s="9" t="n">
        <v>16</v>
      </c>
      <c r="AF395" t="n">
        <v>2023</v>
      </c>
      <c r="AH395" t="inlineStr">
        <is>
          <t>Apartment</t>
        </is>
      </c>
      <c r="AI395" t="inlineStr">
        <is>
          <t>MainstreamSelective</t>
        </is>
      </c>
      <c r="AJ395" t="inlineStr">
        <is>
          <t>MidTier</t>
        </is>
      </c>
      <c r="AK395" t="inlineStr">
        <is>
          <t>Balanced / selective</t>
        </is>
      </c>
      <c r="AL395" t="inlineStr">
        <is>
          <t>Market remains active but increasingly differentiated by developer, micro-location, livability, and pricing discipline.</t>
        </is>
      </c>
      <c r="AM395" s="9" t="n">
        <v>7</v>
      </c>
      <c r="AN395" s="9" t="n">
        <v>7.75</v>
      </c>
      <c r="AO395" s="10" t="n">
        <v>0.55</v>
      </c>
      <c r="AP395" s="13" t="n">
        <v>0</v>
      </c>
      <c r="AQ395" s="13" t="n">
        <v>0</v>
      </c>
      <c r="AR395" s="13" t="n">
        <v>0</v>
      </c>
      <c r="AS395" s="13" t="n">
        <v>0.01</v>
      </c>
      <c r="AT395" s="13" t="n">
        <v>-0.005</v>
      </c>
      <c r="AU395" s="13" t="n">
        <v>0.0025</v>
      </c>
      <c r="AV395" s="13" t="n">
        <v>-0.005</v>
      </c>
      <c r="AW395" s="13" t="n">
        <v>0.03850000000000001</v>
      </c>
      <c r="AX395" s="13" t="n">
        <v>0.0025</v>
      </c>
      <c r="AY395" s="12" t="n">
        <v>856243</v>
      </c>
      <c r="AZ395" s="12" t="n">
        <v>882725</v>
      </c>
      <c r="BA395" s="12" t="n">
        <v>909207</v>
      </c>
      <c r="BB395" s="12" t="n">
        <v>858450</v>
      </c>
      <c r="BC395" s="12" t="n">
        <v>884932</v>
      </c>
      <c r="BD395" s="12" t="n">
        <v>911414</v>
      </c>
      <c r="BE395" s="12" t="n">
        <v>887144</v>
      </c>
      <c r="BF395" t="inlineStr">
        <is>
          <t>Frozen values from same rules-based model as formula sheet.</t>
        </is>
      </c>
      <c r="BG395" t="inlineStr">
        <is>
          <t>2026-03-17</t>
        </is>
      </c>
      <c r="BH395" t="inlineStr">
        <is>
          <t>DLD / Digital Dubai / CBUAE / Savills / Knight Frank-Moody’s / Reuters</t>
        </is>
      </c>
    </row>
    <row r="396">
      <c r="A396" t="n">
        <v>395</v>
      </c>
      <c r="B396" t="inlineStr">
        <is>
          <t>Samana Mykonos Signature</t>
        </is>
      </c>
      <c r="C396" t="inlineStr">
        <is>
          <t>Samana Developers</t>
        </is>
      </c>
      <c r="D396" t="inlineStr">
        <is>
          <t>Arjan</t>
        </is>
      </c>
      <c r="E396" t="inlineStr">
        <is>
          <t>Apartments</t>
        </is>
      </c>
      <c r="F396" t="inlineStr">
        <is>
          <t>Greek Style</t>
        </is>
      </c>
      <c r="G396" t="inlineStr">
        <is>
          <t>900k</t>
        </is>
      </c>
      <c r="H396" t="inlineStr">
        <is>
          <t>1250</t>
        </is>
      </c>
      <c r="I396" t="inlineStr">
        <is>
          <t>15</t>
        </is>
      </c>
      <c r="J396" t="inlineStr">
        <is>
          <t>1% Monthly</t>
        </is>
      </c>
      <c r="K396" t="inlineStr">
        <is>
          <t>2023</t>
        </is>
      </c>
      <c r="L396" t="inlineStr">
        <is>
          <t>7.5-8.0</t>
        </is>
      </c>
      <c r="M396" t="inlineStr">
        <is>
          <t>6-8</t>
        </is>
      </c>
      <c r="N396" t="inlineStr">
        <is>
          <t>13.5-16.0</t>
        </is>
      </c>
      <c r="O396" t="inlineStr">
        <is>
          <t>Nord Anglia</t>
        </is>
      </c>
      <c r="P396" t="inlineStr">
        <is>
          <t>Mediclinic Parkview</t>
        </is>
      </c>
      <c r="Q396" t="inlineStr">
        <is>
          <t>Dubai Hills Mall</t>
        </is>
      </c>
      <c r="R396" t="inlineStr">
        <is>
          <t>Umm Suqeim / E311</t>
        </is>
      </c>
      <c r="S396" t="inlineStr">
        <is>
          <t>20</t>
        </is>
      </c>
      <c r="T396" t="inlineStr">
        <is>
          <t>20</t>
        </is>
      </c>
      <c r="U396" t="inlineStr">
        <is>
          <t>30</t>
        </is>
      </c>
      <c r="V396" t="inlineStr">
        <is>
          <t>25</t>
        </is>
      </c>
      <c r="W396" t="n">
        <v>2</v>
      </c>
      <c r="X396" s="12" t="n">
        <v>900000</v>
      </c>
      <c r="Y396" s="12" t="n">
        <v>900000</v>
      </c>
      <c r="Z396" s="9" t="n">
        <v>7.5</v>
      </c>
      <c r="AA396" s="9" t="n">
        <v>8</v>
      </c>
      <c r="AB396" s="9" t="n">
        <v>6</v>
      </c>
      <c r="AC396" s="9" t="n">
        <v>8</v>
      </c>
      <c r="AD396" s="9" t="n">
        <v>13.5</v>
      </c>
      <c r="AE396" s="9" t="n">
        <v>16</v>
      </c>
      <c r="AF396" t="n">
        <v>2023</v>
      </c>
      <c r="AH396" t="inlineStr">
        <is>
          <t>Apartment</t>
        </is>
      </c>
      <c r="AI396" t="inlineStr">
        <is>
          <t>SupplySensitiveApartment</t>
        </is>
      </c>
      <c r="AJ396" t="inlineStr">
        <is>
          <t>MidTier</t>
        </is>
      </c>
      <c r="AK396" t="inlineStr">
        <is>
          <t>Supply-sensitive / selective</t>
        </is>
      </c>
      <c r="AL396" t="inlineStr">
        <is>
          <t>Higher delivery risk in more price-sensitive apartment clusters; building selection and exit liquidity matter.</t>
        </is>
      </c>
      <c r="AM396" s="9" t="n">
        <v>7</v>
      </c>
      <c r="AN396" s="9" t="n">
        <v>7.75</v>
      </c>
      <c r="AO396" s="10" t="n">
        <v>0.55</v>
      </c>
      <c r="AP396" s="13" t="n">
        <v>0</v>
      </c>
      <c r="AQ396" s="13" t="n">
        <v>0</v>
      </c>
      <c r="AR396" s="13" t="n">
        <v>-0.01</v>
      </c>
      <c r="AS396" s="13" t="n">
        <v>-0.01</v>
      </c>
      <c r="AT396" s="13" t="n">
        <v>-0.005</v>
      </c>
      <c r="AU396" s="13" t="n">
        <v>0.0025</v>
      </c>
      <c r="AV396" s="13" t="n">
        <v>-0.005</v>
      </c>
      <c r="AW396" s="13" t="n">
        <v>0.0285</v>
      </c>
      <c r="AX396" s="13" t="n">
        <v>-0.0175</v>
      </c>
      <c r="AY396" s="12" t="n">
        <v>897880</v>
      </c>
      <c r="AZ396" s="12" t="n">
        <v>925650</v>
      </c>
      <c r="BA396" s="12" t="n">
        <v>953420</v>
      </c>
      <c r="BB396" s="12" t="n">
        <v>881682</v>
      </c>
      <c r="BC396" s="12" t="n">
        <v>909451</v>
      </c>
      <c r="BD396" s="12" t="n">
        <v>937221</v>
      </c>
      <c r="BE396" s="12" t="n">
        <v>893536</v>
      </c>
      <c r="BF396" t="inlineStr">
        <is>
          <t>Frozen values from same rules-based model as formula sheet.</t>
        </is>
      </c>
      <c r="BG396" t="inlineStr">
        <is>
          <t>2026-03-17</t>
        </is>
      </c>
      <c r="BH396" t="inlineStr">
        <is>
          <t>DLD / Digital Dubai / CBUAE / Savills / Knight Frank-Moody’s / Reuters</t>
        </is>
      </c>
    </row>
    <row r="397">
      <c r="A397" t="n">
        <v>396</v>
      </c>
      <c r="B397" t="inlineStr">
        <is>
          <t>Samana Santorini</t>
        </is>
      </c>
      <c r="C397" t="inlineStr">
        <is>
          <t>Samana Developers</t>
        </is>
      </c>
      <c r="D397" t="inlineStr">
        <is>
          <t>Dubai Studio City</t>
        </is>
      </c>
      <c r="E397" t="inlineStr">
        <is>
          <t>Apartments</t>
        </is>
      </c>
      <c r="F397" t="inlineStr">
        <is>
          <t>Greek Style</t>
        </is>
      </c>
      <c r="G397" t="inlineStr">
        <is>
          <t>850k</t>
        </is>
      </c>
      <c r="H397" t="inlineStr">
        <is>
          <t>1200</t>
        </is>
      </c>
      <c r="I397" t="inlineStr">
        <is>
          <t>15</t>
        </is>
      </c>
      <c r="J397" t="inlineStr">
        <is>
          <t>1% Monthly</t>
        </is>
      </c>
      <c r="K397" t="inlineStr">
        <is>
          <t>2022</t>
        </is>
      </c>
      <c r="L397" t="inlineStr">
        <is>
          <t>7.5-8.0</t>
        </is>
      </c>
      <c r="M397" t="inlineStr">
        <is>
          <t>6-8</t>
        </is>
      </c>
      <c r="N397" t="inlineStr">
        <is>
          <t>13.5-16.0</t>
        </is>
      </c>
      <c r="O397" t="inlineStr">
        <is>
          <t>GEMS Metropole</t>
        </is>
      </c>
      <c r="P397" t="inlineStr">
        <is>
          <t>Mediclinic Parkview</t>
        </is>
      </c>
      <c r="Q397" t="inlineStr">
        <is>
          <t>First Avenue Mall</t>
        </is>
      </c>
      <c r="R397" t="inlineStr">
        <is>
          <t>Hessa St / E311</t>
        </is>
      </c>
      <c r="S397" t="inlineStr">
        <is>
          <t>20</t>
        </is>
      </c>
      <c r="T397" t="inlineStr">
        <is>
          <t>15</t>
        </is>
      </c>
      <c r="U397" t="inlineStr">
        <is>
          <t>25</t>
        </is>
      </c>
      <c r="V397" t="inlineStr">
        <is>
          <t>25</t>
        </is>
      </c>
      <c r="W397" t="n">
        <v>2</v>
      </c>
      <c r="X397" s="12" t="n">
        <v>850000</v>
      </c>
      <c r="Y397" s="12" t="n">
        <v>850000</v>
      </c>
      <c r="Z397" s="9" t="n">
        <v>7.5</v>
      </c>
      <c r="AA397" s="9" t="n">
        <v>8</v>
      </c>
      <c r="AB397" s="9" t="n">
        <v>6</v>
      </c>
      <c r="AC397" s="9" t="n">
        <v>8</v>
      </c>
      <c r="AD397" s="9" t="n">
        <v>13.5</v>
      </c>
      <c r="AE397" s="9" t="n">
        <v>16</v>
      </c>
      <c r="AF397" t="n">
        <v>2022</v>
      </c>
      <c r="AH397" t="inlineStr">
        <is>
          <t>Apartment</t>
        </is>
      </c>
      <c r="AI397" t="inlineStr">
        <is>
          <t>MainstreamSelective</t>
        </is>
      </c>
      <c r="AJ397" t="inlineStr">
        <is>
          <t>MidTier</t>
        </is>
      </c>
      <c r="AK397" t="inlineStr">
        <is>
          <t>Balanced / selective</t>
        </is>
      </c>
      <c r="AL397" t="inlineStr">
        <is>
          <t>Market remains active but increasingly differentiated by developer, micro-location, livability, and pricing discipline.</t>
        </is>
      </c>
      <c r="AM397" s="9" t="n">
        <v>7</v>
      </c>
      <c r="AN397" s="9" t="n">
        <v>7.75</v>
      </c>
      <c r="AO397" s="10" t="n">
        <v>0.55</v>
      </c>
      <c r="AP397" s="13" t="n">
        <v>0</v>
      </c>
      <c r="AQ397" s="13" t="n">
        <v>0</v>
      </c>
      <c r="AR397" s="13" t="n">
        <v>0</v>
      </c>
      <c r="AS397" s="13" t="n">
        <v>0.01</v>
      </c>
      <c r="AT397" s="13" t="n">
        <v>-0.005</v>
      </c>
      <c r="AU397" s="13" t="n">
        <v>0.0025</v>
      </c>
      <c r="AV397" s="13" t="n">
        <v>-0.005</v>
      </c>
      <c r="AW397" s="13" t="n">
        <v>0.03850000000000001</v>
      </c>
      <c r="AX397" s="13" t="n">
        <v>0.0025</v>
      </c>
      <c r="AY397" s="12" t="n">
        <v>856243</v>
      </c>
      <c r="AZ397" s="12" t="n">
        <v>882725</v>
      </c>
      <c r="BA397" s="12" t="n">
        <v>909207</v>
      </c>
      <c r="BB397" s="12" t="n">
        <v>858450</v>
      </c>
      <c r="BC397" s="12" t="n">
        <v>884932</v>
      </c>
      <c r="BD397" s="12" t="n">
        <v>911414</v>
      </c>
      <c r="BE397" s="12" t="n">
        <v>887144</v>
      </c>
      <c r="BF397" t="inlineStr">
        <is>
          <t>Frozen values from same rules-based model as formula sheet.</t>
        </is>
      </c>
      <c r="BG397" t="inlineStr">
        <is>
          <t>2026-03-17</t>
        </is>
      </c>
      <c r="BH397" t="inlineStr">
        <is>
          <t>DLD / Digital Dubai / CBUAE / Savills / Knight Frank-Moody’s / Reuters</t>
        </is>
      </c>
    </row>
    <row r="398">
      <c r="A398" t="n">
        <v>397</v>
      </c>
      <c r="B398" t="inlineStr">
        <is>
          <t>Samana Portofino</t>
        </is>
      </c>
      <c r="C398" t="inlineStr">
        <is>
          <t>Samana Developers</t>
        </is>
      </c>
      <c r="D398" t="inlineStr">
        <is>
          <t>Dubai Production City</t>
        </is>
      </c>
      <c r="E398" t="inlineStr">
        <is>
          <t>Apartments</t>
        </is>
      </c>
      <c r="F398" t="inlineStr">
        <is>
          <t>Italian Style</t>
        </is>
      </c>
      <c r="G398" t="inlineStr">
        <is>
          <t>800k</t>
        </is>
      </c>
      <c r="H398" t="inlineStr">
        <is>
          <t>1100</t>
        </is>
      </c>
      <c r="I398" t="inlineStr">
        <is>
          <t>15</t>
        </is>
      </c>
      <c r="J398" t="inlineStr">
        <is>
          <t>1% Monthly</t>
        </is>
      </c>
      <c r="K398" t="inlineStr">
        <is>
          <t>2023</t>
        </is>
      </c>
      <c r="L398" t="inlineStr">
        <is>
          <t>7.5-8.5</t>
        </is>
      </c>
      <c r="M398" t="inlineStr">
        <is>
          <t>5-7</t>
        </is>
      </c>
      <c r="N398" t="inlineStr">
        <is>
          <t>12.5-15.5</t>
        </is>
      </c>
      <c r="O398" t="inlineStr">
        <is>
          <t>Sunmarke School</t>
        </is>
      </c>
      <c r="P398" t="inlineStr">
        <is>
          <t>NMC Royal DIP</t>
        </is>
      </c>
      <c r="Q398" t="inlineStr">
        <is>
          <t>City Centre Me'aisem</t>
        </is>
      </c>
      <c r="R398" t="inlineStr">
        <is>
          <t>E311 / Yalayis</t>
        </is>
      </c>
      <c r="S398" t="inlineStr">
        <is>
          <t>25</t>
        </is>
      </c>
      <c r="T398" t="inlineStr">
        <is>
          <t>20</t>
        </is>
      </c>
      <c r="U398" t="inlineStr">
        <is>
          <t>30</t>
        </is>
      </c>
      <c r="V398" t="inlineStr">
        <is>
          <t>25</t>
        </is>
      </c>
      <c r="W398" t="n">
        <v>2</v>
      </c>
      <c r="X398" s="12" t="n">
        <v>800000</v>
      </c>
      <c r="Y398" s="12" t="n">
        <v>800000</v>
      </c>
      <c r="Z398" s="9" t="n">
        <v>7.5</v>
      </c>
      <c r="AA398" s="9" t="n">
        <v>8.5</v>
      </c>
      <c r="AB398" s="9" t="n">
        <v>5</v>
      </c>
      <c r="AC398" s="9" t="n">
        <v>7</v>
      </c>
      <c r="AD398" s="9" t="n">
        <v>12.5</v>
      </c>
      <c r="AE398" s="9" t="n">
        <v>15.5</v>
      </c>
      <c r="AF398" t="n">
        <v>2023</v>
      </c>
      <c r="AH398" t="inlineStr">
        <is>
          <t>Apartment</t>
        </is>
      </c>
      <c r="AI398" t="inlineStr">
        <is>
          <t>MainstreamSelective</t>
        </is>
      </c>
      <c r="AJ398" t="inlineStr">
        <is>
          <t>MidTier</t>
        </is>
      </c>
      <c r="AK398" t="inlineStr">
        <is>
          <t>Balanced / selective</t>
        </is>
      </c>
      <c r="AL398" t="inlineStr">
        <is>
          <t>Market remains active but increasingly differentiated by developer, micro-location, livability, and pricing discipline.</t>
        </is>
      </c>
      <c r="AM398" s="9" t="n">
        <v>6</v>
      </c>
      <c r="AN398" s="9" t="n">
        <v>8</v>
      </c>
      <c r="AO398" s="10" t="n">
        <v>0.55</v>
      </c>
      <c r="AP398" s="13" t="n">
        <v>0</v>
      </c>
      <c r="AQ398" s="13" t="n">
        <v>0</v>
      </c>
      <c r="AR398" s="13" t="n">
        <v>0</v>
      </c>
      <c r="AS398" s="13" t="n">
        <v>0.01</v>
      </c>
      <c r="AT398" s="13" t="n">
        <v>-0.005</v>
      </c>
      <c r="AU398" s="13" t="n">
        <v>0.0025</v>
      </c>
      <c r="AV398" s="13" t="n">
        <v>-0.005</v>
      </c>
      <c r="AW398" s="13" t="n">
        <v>0.033</v>
      </c>
      <c r="AX398" s="13" t="n">
        <v>0.0025</v>
      </c>
      <c r="AY398" s="12" t="n">
        <v>801608</v>
      </c>
      <c r="AZ398" s="12" t="n">
        <v>826400</v>
      </c>
      <c r="BA398" s="12" t="n">
        <v>851192</v>
      </c>
      <c r="BB398" s="12" t="n">
        <v>803674</v>
      </c>
      <c r="BC398" s="12" t="n">
        <v>828466</v>
      </c>
      <c r="BD398" s="12" t="n">
        <v>853258</v>
      </c>
      <c r="BE398" s="12" t="n">
        <v>830537</v>
      </c>
      <c r="BF398" t="inlineStr">
        <is>
          <t>Frozen values from same rules-based model as formula sheet.</t>
        </is>
      </c>
      <c r="BG398" t="inlineStr">
        <is>
          <t>2026-03-17</t>
        </is>
      </c>
      <c r="BH398" t="inlineStr">
        <is>
          <t>DLD / Digital Dubai / CBUAE / Savills / Knight Frank-Moody’s / Reuters</t>
        </is>
      </c>
    </row>
    <row r="399">
      <c r="A399" t="n">
        <v>398</v>
      </c>
      <c r="B399" t="inlineStr">
        <is>
          <t>Samana Manhattan</t>
        </is>
      </c>
      <c r="C399" t="inlineStr">
        <is>
          <t>Samana Developers</t>
        </is>
      </c>
      <c r="D399" t="inlineStr">
        <is>
          <t>JVC</t>
        </is>
      </c>
      <c r="E399" t="inlineStr">
        <is>
          <t>Apartments</t>
        </is>
      </c>
      <c r="F399" t="inlineStr">
        <is>
          <t>NY Style</t>
        </is>
      </c>
      <c r="G399" t="inlineStr">
        <is>
          <t>900k</t>
        </is>
      </c>
      <c r="H399" t="inlineStr">
        <is>
          <t>1300</t>
        </is>
      </c>
      <c r="I399" t="inlineStr">
        <is>
          <t>15</t>
        </is>
      </c>
      <c r="J399" t="inlineStr">
        <is>
          <t>1% Monthly</t>
        </is>
      </c>
      <c r="K399" t="inlineStr">
        <is>
          <t>2023</t>
        </is>
      </c>
      <c r="L399" t="inlineStr">
        <is>
          <t>7.5-8.0</t>
        </is>
      </c>
      <c r="M399" t="inlineStr">
        <is>
          <t>6-8</t>
        </is>
      </c>
      <c r="N399" t="inlineStr">
        <is>
          <t>13.5-16.0</t>
        </is>
      </c>
      <c r="O399" t="inlineStr">
        <is>
          <t>JSS International</t>
        </is>
      </c>
      <c r="P399" t="inlineStr">
        <is>
          <t>Saudi German Hospital</t>
        </is>
      </c>
      <c r="Q399" t="inlineStr">
        <is>
          <t>Circle Mall</t>
        </is>
      </c>
      <c r="R399" t="inlineStr">
        <is>
          <t>Hessa St / E44</t>
        </is>
      </c>
      <c r="S399" t="inlineStr">
        <is>
          <t>20</t>
        </is>
      </c>
      <c r="T399" t="inlineStr">
        <is>
          <t>15</t>
        </is>
      </c>
      <c r="U399" t="inlineStr">
        <is>
          <t>25</t>
        </is>
      </c>
      <c r="V399" t="inlineStr">
        <is>
          <t>30</t>
        </is>
      </c>
      <c r="W399" t="n">
        <v>2</v>
      </c>
      <c r="X399" s="12" t="n">
        <v>900000</v>
      </c>
      <c r="Y399" s="12" t="n">
        <v>900000</v>
      </c>
      <c r="Z399" s="9" t="n">
        <v>7.5</v>
      </c>
      <c r="AA399" s="9" t="n">
        <v>8</v>
      </c>
      <c r="AB399" s="9" t="n">
        <v>6</v>
      </c>
      <c r="AC399" s="9" t="n">
        <v>8</v>
      </c>
      <c r="AD399" s="9" t="n">
        <v>13.5</v>
      </c>
      <c r="AE399" s="9" t="n">
        <v>16</v>
      </c>
      <c r="AF399" t="n">
        <v>2023</v>
      </c>
      <c r="AH399" t="inlineStr">
        <is>
          <t>Apartment</t>
        </is>
      </c>
      <c r="AI399" t="inlineStr">
        <is>
          <t>SupplySensitiveApartment</t>
        </is>
      </c>
      <c r="AJ399" t="inlineStr">
        <is>
          <t>MidTier</t>
        </is>
      </c>
      <c r="AK399" t="inlineStr">
        <is>
          <t>Supply-sensitive / selective</t>
        </is>
      </c>
      <c r="AL399" t="inlineStr">
        <is>
          <t>Higher delivery risk in more price-sensitive apartment clusters; building selection and exit liquidity matter.</t>
        </is>
      </c>
      <c r="AM399" s="9" t="n">
        <v>7</v>
      </c>
      <c r="AN399" s="9" t="n">
        <v>7.75</v>
      </c>
      <c r="AO399" s="10" t="n">
        <v>0.55</v>
      </c>
      <c r="AP399" s="13" t="n">
        <v>0</v>
      </c>
      <c r="AQ399" s="13" t="n">
        <v>0</v>
      </c>
      <c r="AR399" s="13" t="n">
        <v>-0.01</v>
      </c>
      <c r="AS399" s="13" t="n">
        <v>-0.01</v>
      </c>
      <c r="AT399" s="13" t="n">
        <v>-0.005</v>
      </c>
      <c r="AU399" s="13" t="n">
        <v>0.0025</v>
      </c>
      <c r="AV399" s="13" t="n">
        <v>-0.005</v>
      </c>
      <c r="AW399" s="13" t="n">
        <v>0.0285</v>
      </c>
      <c r="AX399" s="13" t="n">
        <v>-0.0175</v>
      </c>
      <c r="AY399" s="12" t="n">
        <v>897880</v>
      </c>
      <c r="AZ399" s="12" t="n">
        <v>925650</v>
      </c>
      <c r="BA399" s="12" t="n">
        <v>953420</v>
      </c>
      <c r="BB399" s="12" t="n">
        <v>881682</v>
      </c>
      <c r="BC399" s="12" t="n">
        <v>909451</v>
      </c>
      <c r="BD399" s="12" t="n">
        <v>937221</v>
      </c>
      <c r="BE399" s="12" t="n">
        <v>893536</v>
      </c>
      <c r="BF399" t="inlineStr">
        <is>
          <t>Frozen values from same rules-based model as formula sheet.</t>
        </is>
      </c>
      <c r="BG399" t="inlineStr">
        <is>
          <t>2026-03-17</t>
        </is>
      </c>
      <c r="BH399" t="inlineStr">
        <is>
          <t>DLD / Digital Dubai / CBUAE / Savills / Knight Frank-Moody’s / Reuters</t>
        </is>
      </c>
    </row>
    <row r="400">
      <c r="A400" t="n">
        <v>399</v>
      </c>
      <c r="B400" t="inlineStr">
        <is>
          <t>Samana Skyros</t>
        </is>
      </c>
      <c r="C400" t="inlineStr">
        <is>
          <t>Samana Developers</t>
        </is>
      </c>
      <c r="D400" t="inlineStr">
        <is>
          <t>Arjan</t>
        </is>
      </c>
      <c r="E400" t="inlineStr">
        <is>
          <t>Apartments</t>
        </is>
      </c>
      <c r="F400" t="inlineStr">
        <is>
          <t>Greek Style</t>
        </is>
      </c>
      <c r="G400" t="inlineStr">
        <is>
          <t>900k</t>
        </is>
      </c>
      <c r="H400" t="inlineStr">
        <is>
          <t>1250</t>
        </is>
      </c>
      <c r="I400" t="inlineStr">
        <is>
          <t>15</t>
        </is>
      </c>
      <c r="J400" t="inlineStr">
        <is>
          <t>1% Monthly</t>
        </is>
      </c>
      <c r="K400" t="inlineStr">
        <is>
          <t>2023</t>
        </is>
      </c>
      <c r="L400" t="inlineStr">
        <is>
          <t>7.5-8.0</t>
        </is>
      </c>
      <c r="M400" t="inlineStr">
        <is>
          <t>6-8</t>
        </is>
      </c>
      <c r="N400" t="inlineStr">
        <is>
          <t>13.5-16.0</t>
        </is>
      </c>
      <c r="O400" t="inlineStr">
        <is>
          <t>Nord Anglia</t>
        </is>
      </c>
      <c r="P400" t="inlineStr">
        <is>
          <t>Mediclinic Parkview</t>
        </is>
      </c>
      <c r="Q400" t="inlineStr">
        <is>
          <t>Dubai Hills Mall</t>
        </is>
      </c>
      <c r="R400" t="inlineStr">
        <is>
          <t>Umm Suqeim / E311</t>
        </is>
      </c>
      <c r="S400" t="inlineStr">
        <is>
          <t>20</t>
        </is>
      </c>
      <c r="T400" t="inlineStr">
        <is>
          <t>20</t>
        </is>
      </c>
      <c r="U400" t="inlineStr">
        <is>
          <t>30</t>
        </is>
      </c>
      <c r="V400" t="inlineStr">
        <is>
          <t>25</t>
        </is>
      </c>
      <c r="W400" t="n">
        <v>2</v>
      </c>
      <c r="X400" s="12" t="n">
        <v>900000</v>
      </c>
      <c r="Y400" s="12" t="n">
        <v>900000</v>
      </c>
      <c r="Z400" s="9" t="n">
        <v>7.5</v>
      </c>
      <c r="AA400" s="9" t="n">
        <v>8</v>
      </c>
      <c r="AB400" s="9" t="n">
        <v>6</v>
      </c>
      <c r="AC400" s="9" t="n">
        <v>8</v>
      </c>
      <c r="AD400" s="9" t="n">
        <v>13.5</v>
      </c>
      <c r="AE400" s="9" t="n">
        <v>16</v>
      </c>
      <c r="AF400" t="n">
        <v>2023</v>
      </c>
      <c r="AH400" t="inlineStr">
        <is>
          <t>Apartment</t>
        </is>
      </c>
      <c r="AI400" t="inlineStr">
        <is>
          <t>SupplySensitiveApartment</t>
        </is>
      </c>
      <c r="AJ400" t="inlineStr">
        <is>
          <t>MidTier</t>
        </is>
      </c>
      <c r="AK400" t="inlineStr">
        <is>
          <t>Supply-sensitive / selective</t>
        </is>
      </c>
      <c r="AL400" t="inlineStr">
        <is>
          <t>Higher delivery risk in more price-sensitive apartment clusters; building selection and exit liquidity matter.</t>
        </is>
      </c>
      <c r="AM400" s="9" t="n">
        <v>7</v>
      </c>
      <c r="AN400" s="9" t="n">
        <v>7.75</v>
      </c>
      <c r="AO400" s="10" t="n">
        <v>0.55</v>
      </c>
      <c r="AP400" s="13" t="n">
        <v>0</v>
      </c>
      <c r="AQ400" s="13" t="n">
        <v>0</v>
      </c>
      <c r="AR400" s="13" t="n">
        <v>-0.01</v>
      </c>
      <c r="AS400" s="13" t="n">
        <v>-0.01</v>
      </c>
      <c r="AT400" s="13" t="n">
        <v>-0.005</v>
      </c>
      <c r="AU400" s="13" t="n">
        <v>0.0025</v>
      </c>
      <c r="AV400" s="13" t="n">
        <v>-0.005</v>
      </c>
      <c r="AW400" s="13" t="n">
        <v>0.0285</v>
      </c>
      <c r="AX400" s="13" t="n">
        <v>-0.0175</v>
      </c>
      <c r="AY400" s="12" t="n">
        <v>897880</v>
      </c>
      <c r="AZ400" s="12" t="n">
        <v>925650</v>
      </c>
      <c r="BA400" s="12" t="n">
        <v>953420</v>
      </c>
      <c r="BB400" s="12" t="n">
        <v>881682</v>
      </c>
      <c r="BC400" s="12" t="n">
        <v>909451</v>
      </c>
      <c r="BD400" s="12" t="n">
        <v>937221</v>
      </c>
      <c r="BE400" s="12" t="n">
        <v>893536</v>
      </c>
      <c r="BF400" t="inlineStr">
        <is>
          <t>Frozen values from same rules-based model as formula sheet.</t>
        </is>
      </c>
      <c r="BG400" t="inlineStr">
        <is>
          <t>2026-03-17</t>
        </is>
      </c>
      <c r="BH400" t="inlineStr">
        <is>
          <t>DLD / Digital Dubai / CBUAE / Savills / Knight Frank-Moody’s / Reuters</t>
        </is>
      </c>
    </row>
    <row r="401">
      <c r="A401" t="n">
        <v>400</v>
      </c>
      <c r="B401" t="inlineStr">
        <is>
          <t>Samana Lake Views</t>
        </is>
      </c>
      <c r="C401" t="inlineStr">
        <is>
          <t>Samana Developers</t>
        </is>
      </c>
      <c r="D401" t="inlineStr">
        <is>
          <t>Dubai Production City</t>
        </is>
      </c>
      <c r="E401" t="inlineStr">
        <is>
          <t>Apartments</t>
        </is>
      </c>
      <c r="F401" t="inlineStr">
        <is>
          <t>Lake / Budget</t>
        </is>
      </c>
      <c r="G401" t="inlineStr">
        <is>
          <t>800k</t>
        </is>
      </c>
      <c r="H401" t="inlineStr">
        <is>
          <t>1100</t>
        </is>
      </c>
      <c r="I401" t="inlineStr">
        <is>
          <t>15</t>
        </is>
      </c>
      <c r="J401" t="inlineStr">
        <is>
          <t>1% Monthly</t>
        </is>
      </c>
      <c r="K401" t="inlineStr">
        <is>
          <t>2024</t>
        </is>
      </c>
      <c r="L401" t="inlineStr">
        <is>
          <t>7.5-8.5</t>
        </is>
      </c>
      <c r="M401" t="inlineStr">
        <is>
          <t>5-7</t>
        </is>
      </c>
      <c r="N401" t="inlineStr">
        <is>
          <t>12.5-15.5</t>
        </is>
      </c>
      <c r="O401" t="inlineStr">
        <is>
          <t>Sunmarke School</t>
        </is>
      </c>
      <c r="P401" t="inlineStr">
        <is>
          <t>NMC Royal DIP</t>
        </is>
      </c>
      <c r="Q401" t="inlineStr">
        <is>
          <t>City Centre Me'aisem</t>
        </is>
      </c>
      <c r="R401" t="inlineStr">
        <is>
          <t>E311 / Yalayis</t>
        </is>
      </c>
      <c r="S401" t="inlineStr">
        <is>
          <t>25</t>
        </is>
      </c>
      <c r="T401" t="inlineStr">
        <is>
          <t>20</t>
        </is>
      </c>
      <c r="U401" t="inlineStr">
        <is>
          <t>30</t>
        </is>
      </c>
      <c r="V401" t="inlineStr">
        <is>
          <t>25</t>
        </is>
      </c>
      <c r="W401" t="n">
        <v>2</v>
      </c>
      <c r="X401" s="12" t="n">
        <v>800000</v>
      </c>
      <c r="Y401" s="12" t="n">
        <v>800000</v>
      </c>
      <c r="Z401" s="9" t="n">
        <v>7.5</v>
      </c>
      <c r="AA401" s="9" t="n">
        <v>8.5</v>
      </c>
      <c r="AB401" s="9" t="n">
        <v>5</v>
      </c>
      <c r="AC401" s="9" t="n">
        <v>7</v>
      </c>
      <c r="AD401" s="9" t="n">
        <v>12.5</v>
      </c>
      <c r="AE401" s="9" t="n">
        <v>15.5</v>
      </c>
      <c r="AF401" t="n">
        <v>2024</v>
      </c>
      <c r="AH401" t="inlineStr">
        <is>
          <t>Apartment</t>
        </is>
      </c>
      <c r="AI401" t="inlineStr">
        <is>
          <t>MainstreamSelective</t>
        </is>
      </c>
      <c r="AJ401" t="inlineStr">
        <is>
          <t>MidTier</t>
        </is>
      </c>
      <c r="AK401" t="inlineStr">
        <is>
          <t>Balanced / selective</t>
        </is>
      </c>
      <c r="AL401" t="inlineStr">
        <is>
          <t>Market remains active but increasingly differentiated by developer, micro-location, livability, and pricing discipline.</t>
        </is>
      </c>
      <c r="AM401" s="9" t="n">
        <v>6</v>
      </c>
      <c r="AN401" s="9" t="n">
        <v>8</v>
      </c>
      <c r="AO401" s="10" t="n">
        <v>0.55</v>
      </c>
      <c r="AP401" s="13" t="n">
        <v>0</v>
      </c>
      <c r="AQ401" s="13" t="n">
        <v>0</v>
      </c>
      <c r="AR401" s="13" t="n">
        <v>0</v>
      </c>
      <c r="AS401" s="13" t="n">
        <v>0.01</v>
      </c>
      <c r="AT401" s="13" t="n">
        <v>-0.005</v>
      </c>
      <c r="AU401" s="13" t="n">
        <v>0.0025</v>
      </c>
      <c r="AV401" s="13" t="n">
        <v>-0.005</v>
      </c>
      <c r="AW401" s="13" t="n">
        <v>0.033</v>
      </c>
      <c r="AX401" s="13" t="n">
        <v>0.0025</v>
      </c>
      <c r="AY401" s="12" t="n">
        <v>801608</v>
      </c>
      <c r="AZ401" s="12" t="n">
        <v>826400</v>
      </c>
      <c r="BA401" s="12" t="n">
        <v>851192</v>
      </c>
      <c r="BB401" s="12" t="n">
        <v>803674</v>
      </c>
      <c r="BC401" s="12" t="n">
        <v>828466</v>
      </c>
      <c r="BD401" s="12" t="n">
        <v>853258</v>
      </c>
      <c r="BE401" s="12" t="n">
        <v>830537</v>
      </c>
      <c r="BF401" t="inlineStr">
        <is>
          <t>Frozen values from same rules-based model as formula sheet.</t>
        </is>
      </c>
      <c r="BG401" t="inlineStr">
        <is>
          <t>2026-03-17</t>
        </is>
      </c>
      <c r="BH401" t="inlineStr">
        <is>
          <t>DLD / Digital Dubai / CBUAE / Savills / Knight Frank-Moody’s / Reuters</t>
        </is>
      </c>
    </row>
    <row r="402">
      <c r="A402" t="n">
        <v>401</v>
      </c>
      <c r="B402" t="inlineStr">
        <is>
          <t>Samana Ibiza</t>
        </is>
      </c>
      <c r="C402" t="inlineStr">
        <is>
          <t>Samana Developers</t>
        </is>
      </c>
      <c r="D402" t="inlineStr">
        <is>
          <t>Dubailand</t>
        </is>
      </c>
      <c r="E402" t="inlineStr">
        <is>
          <t>Apartments</t>
        </is>
      </c>
      <c r="F402" t="inlineStr">
        <is>
          <t>Party / Pool</t>
        </is>
      </c>
      <c r="G402" t="inlineStr">
        <is>
          <t>1.0M</t>
        </is>
      </c>
      <c r="H402" t="inlineStr">
        <is>
          <t>1200</t>
        </is>
      </c>
      <c r="I402" t="inlineStr">
        <is>
          <t>15</t>
        </is>
      </c>
      <c r="J402" t="inlineStr">
        <is>
          <t>1% Monthly</t>
        </is>
      </c>
      <c r="K402" t="inlineStr">
        <is>
          <t>2024</t>
        </is>
      </c>
      <c r="L402" t="inlineStr">
        <is>
          <t>7.0-7.5</t>
        </is>
      </c>
      <c r="M402" t="inlineStr">
        <is>
          <t>6-8</t>
        </is>
      </c>
      <c r="N402" t="inlineStr">
        <is>
          <t>13.0-15.5</t>
        </is>
      </c>
      <c r="O402" t="inlineStr">
        <is>
          <t>GEMS Winchester</t>
        </is>
      </c>
      <c r="P402" t="inlineStr">
        <is>
          <t>Fakeeh University Hosp</t>
        </is>
      </c>
      <c r="Q402" t="inlineStr">
        <is>
          <t>Dubai Outlet Mall</t>
        </is>
      </c>
      <c r="R402" t="inlineStr">
        <is>
          <t>E611 / Al Ain Rd</t>
        </is>
      </c>
      <c r="S402" t="inlineStr">
        <is>
          <t>20</t>
        </is>
      </c>
      <c r="T402" t="inlineStr">
        <is>
          <t>25</t>
        </is>
      </c>
      <c r="U402" t="inlineStr">
        <is>
          <t>25</t>
        </is>
      </c>
      <c r="V402" t="inlineStr">
        <is>
          <t>30</t>
        </is>
      </c>
      <c r="W402" t="n">
        <v>2</v>
      </c>
      <c r="X402" s="12" t="n">
        <v>1000000</v>
      </c>
      <c r="Y402" s="12" t="n">
        <v>1000000</v>
      </c>
      <c r="Z402" s="9" t="n">
        <v>7</v>
      </c>
      <c r="AA402" s="9" t="n">
        <v>7.5</v>
      </c>
      <c r="AB402" s="9" t="n">
        <v>6</v>
      </c>
      <c r="AC402" s="9" t="n">
        <v>8</v>
      </c>
      <c r="AD402" s="9" t="n">
        <v>13</v>
      </c>
      <c r="AE402" s="9" t="n">
        <v>15.5</v>
      </c>
      <c r="AF402" t="n">
        <v>2024</v>
      </c>
      <c r="AH402" t="inlineStr">
        <is>
          <t>Apartment</t>
        </is>
      </c>
      <c r="AI402" t="inlineStr">
        <is>
          <t>SupplySensitiveApartment</t>
        </is>
      </c>
      <c r="AJ402" t="inlineStr">
        <is>
          <t>MidTier</t>
        </is>
      </c>
      <c r="AK402" t="inlineStr">
        <is>
          <t>Supply-sensitive / selective</t>
        </is>
      </c>
      <c r="AL402" t="inlineStr">
        <is>
          <t>Higher delivery risk in more price-sensitive apartment clusters; building selection and exit liquidity matter.</t>
        </is>
      </c>
      <c r="AM402" s="9" t="n">
        <v>7</v>
      </c>
      <c r="AN402" s="9" t="n">
        <v>7.25</v>
      </c>
      <c r="AO402" s="10" t="n">
        <v>0.55</v>
      </c>
      <c r="AP402" s="13" t="n">
        <v>0</v>
      </c>
      <c r="AQ402" s="13" t="n">
        <v>0</v>
      </c>
      <c r="AR402" s="13" t="n">
        <v>-0.01</v>
      </c>
      <c r="AS402" s="13" t="n">
        <v>-0.01</v>
      </c>
      <c r="AT402" s="13" t="n">
        <v>-0.005</v>
      </c>
      <c r="AU402" s="13" t="n">
        <v>0.0025</v>
      </c>
      <c r="AV402" s="13" t="n">
        <v>-0.005</v>
      </c>
      <c r="AW402" s="13" t="n">
        <v>0.0285</v>
      </c>
      <c r="AX402" s="13" t="n">
        <v>-0.0175</v>
      </c>
      <c r="AY402" s="12" t="n">
        <v>997645</v>
      </c>
      <c r="AZ402" s="12" t="n">
        <v>1028500</v>
      </c>
      <c r="BA402" s="12" t="n">
        <v>1059355</v>
      </c>
      <c r="BB402" s="12" t="n">
        <v>979646</v>
      </c>
      <c r="BC402" s="12" t="n">
        <v>1010501</v>
      </c>
      <c r="BD402" s="12" t="n">
        <v>1041356</v>
      </c>
      <c r="BE402" s="12" t="n">
        <v>992817</v>
      </c>
      <c r="BF402" t="inlineStr">
        <is>
          <t>Frozen values from same rules-based model as formula sheet.</t>
        </is>
      </c>
      <c r="BG402" t="inlineStr">
        <is>
          <t>2026-03-17</t>
        </is>
      </c>
      <c r="BH402" t="inlineStr">
        <is>
          <t>DLD / Digital Dubai / CBUAE / Savills / Knight Frank-Moody’s / Reuters</t>
        </is>
      </c>
    </row>
    <row r="403">
      <c r="A403" t="n">
        <v>402</v>
      </c>
      <c r="B403" t="inlineStr">
        <is>
          <t>Samana Rome</t>
        </is>
      </c>
      <c r="C403" t="inlineStr">
        <is>
          <t>Samana Developers</t>
        </is>
      </c>
      <c r="D403" t="inlineStr">
        <is>
          <t>Meydan</t>
        </is>
      </c>
      <c r="E403" t="inlineStr">
        <is>
          <t>Apartments</t>
        </is>
      </c>
      <c r="F403" t="inlineStr">
        <is>
          <t>Classic / Pool</t>
        </is>
      </c>
      <c r="G403" t="inlineStr">
        <is>
          <t>1.2M</t>
        </is>
      </c>
      <c r="H403" t="inlineStr">
        <is>
          <t>1400</t>
        </is>
      </c>
      <c r="I403" t="inlineStr">
        <is>
          <t>16</t>
        </is>
      </c>
      <c r="J403" t="inlineStr">
        <is>
          <t>1% Monthly</t>
        </is>
      </c>
      <c r="K403" t="inlineStr">
        <is>
          <t>2024</t>
        </is>
      </c>
      <c r="L403" t="inlineStr">
        <is>
          <t>6.5-7.0</t>
        </is>
      </c>
      <c r="M403" t="inlineStr">
        <is>
          <t>6-8</t>
        </is>
      </c>
      <c r="N403" t="inlineStr">
        <is>
          <t>12.5-15.0</t>
        </is>
      </c>
      <c r="O403" t="inlineStr">
        <is>
          <t>Hartland Intl</t>
        </is>
      </c>
      <c r="P403" t="inlineStr">
        <is>
          <t>American Hospital</t>
        </is>
      </c>
      <c r="Q403" t="inlineStr">
        <is>
          <t>Dubai Mall</t>
        </is>
      </c>
      <c r="R403" t="inlineStr">
        <is>
          <t>Ras Al Khor / E44</t>
        </is>
      </c>
      <c r="S403" t="inlineStr">
        <is>
          <t>12</t>
        </is>
      </c>
      <c r="T403" t="inlineStr">
        <is>
          <t>25</t>
        </is>
      </c>
      <c r="U403" t="inlineStr">
        <is>
          <t>15</t>
        </is>
      </c>
      <c r="V403" t="inlineStr">
        <is>
          <t>40</t>
        </is>
      </c>
      <c r="W403" t="n">
        <v>2</v>
      </c>
      <c r="X403" s="12" t="n">
        <v>1200000</v>
      </c>
      <c r="Y403" s="12" t="n">
        <v>1200000</v>
      </c>
      <c r="Z403" s="9" t="n">
        <v>6.5</v>
      </c>
      <c r="AA403" s="9" t="n">
        <v>7</v>
      </c>
      <c r="AB403" s="9" t="n">
        <v>6</v>
      </c>
      <c r="AC403" s="9" t="n">
        <v>8</v>
      </c>
      <c r="AD403" s="9" t="n">
        <v>12.5</v>
      </c>
      <c r="AE403" s="9" t="n">
        <v>15</v>
      </c>
      <c r="AF403" t="n">
        <v>2024</v>
      </c>
      <c r="AH403" t="inlineStr">
        <is>
          <t>Apartment</t>
        </is>
      </c>
      <c r="AI403" t="inlineStr">
        <is>
          <t>MainstreamSelective</t>
        </is>
      </c>
      <c r="AJ403" t="inlineStr">
        <is>
          <t>MidTier</t>
        </is>
      </c>
      <c r="AK403" t="inlineStr">
        <is>
          <t>Balanced / selective</t>
        </is>
      </c>
      <c r="AL403" t="inlineStr">
        <is>
          <t>Market remains active but increasingly differentiated by developer, micro-location, livability, and pricing discipline.</t>
        </is>
      </c>
      <c r="AM403" s="9" t="n">
        <v>7</v>
      </c>
      <c r="AN403" s="9" t="n">
        <v>6.75</v>
      </c>
      <c r="AO403" s="10" t="n">
        <v>0.55</v>
      </c>
      <c r="AP403" s="13" t="n">
        <v>0</v>
      </c>
      <c r="AQ403" s="13" t="n">
        <v>0</v>
      </c>
      <c r="AR403" s="13" t="n">
        <v>0</v>
      </c>
      <c r="AS403" s="13" t="n">
        <v>0.01</v>
      </c>
      <c r="AT403" s="13" t="n">
        <v>-0.005</v>
      </c>
      <c r="AU403" s="13" t="n">
        <v>0.0025</v>
      </c>
      <c r="AV403" s="13" t="n">
        <v>-0.005</v>
      </c>
      <c r="AW403" s="13" t="n">
        <v>0.03850000000000001</v>
      </c>
      <c r="AX403" s="13" t="n">
        <v>0.0025</v>
      </c>
      <c r="AY403" s="12" t="n">
        <v>1208814</v>
      </c>
      <c r="AZ403" s="12" t="n">
        <v>1246200</v>
      </c>
      <c r="BA403" s="12" t="n">
        <v>1283586</v>
      </c>
      <c r="BB403" s="12" t="n">
        <v>1211930</v>
      </c>
      <c r="BC403" s="12" t="n">
        <v>1249316</v>
      </c>
      <c r="BD403" s="12" t="n">
        <v>1286702</v>
      </c>
      <c r="BE403" s="12" t="n">
        <v>1252439</v>
      </c>
      <c r="BF403" t="inlineStr">
        <is>
          <t>Frozen values from same rules-based model as formula sheet.</t>
        </is>
      </c>
      <c r="BG403" t="inlineStr">
        <is>
          <t>2026-03-17</t>
        </is>
      </c>
      <c r="BH403" t="inlineStr">
        <is>
          <t>DLD / Digital Dubai / CBUAE / Savills / Knight Frank-Moody’s / Reuters</t>
        </is>
      </c>
    </row>
    <row r="404">
      <c r="A404" t="n">
        <v>403</v>
      </c>
      <c r="B404" t="inlineStr">
        <is>
          <t>Samana Avenue</t>
        </is>
      </c>
      <c r="C404" t="inlineStr">
        <is>
          <t>Samana Developers</t>
        </is>
      </c>
      <c r="D404" t="inlineStr">
        <is>
          <t>Dubailand</t>
        </is>
      </c>
      <c r="E404" t="inlineStr">
        <is>
          <t>Apartments</t>
        </is>
      </c>
      <c r="F404" t="inlineStr">
        <is>
          <t>Family / Pool</t>
        </is>
      </c>
      <c r="G404" t="inlineStr">
        <is>
          <t>950k</t>
        </is>
      </c>
      <c r="H404" t="inlineStr">
        <is>
          <t>1100</t>
        </is>
      </c>
      <c r="I404" t="inlineStr">
        <is>
          <t>15</t>
        </is>
      </c>
      <c r="J404" t="inlineStr">
        <is>
          <t>1% Monthly</t>
        </is>
      </c>
      <c r="K404" t="inlineStr">
        <is>
          <t>2024</t>
        </is>
      </c>
      <c r="L404" t="inlineStr">
        <is>
          <t>7.0-7.5</t>
        </is>
      </c>
      <c r="M404" t="inlineStr">
        <is>
          <t>6-8</t>
        </is>
      </c>
      <c r="N404" t="inlineStr">
        <is>
          <t>13.0-15.5</t>
        </is>
      </c>
      <c r="O404" t="inlineStr">
        <is>
          <t>GEMS Winchester</t>
        </is>
      </c>
      <c r="P404" t="inlineStr">
        <is>
          <t>Fakeeh University Hosp</t>
        </is>
      </c>
      <c r="Q404" t="inlineStr">
        <is>
          <t>Dubai Outlet Mall</t>
        </is>
      </c>
      <c r="R404" t="inlineStr">
        <is>
          <t>E611 / Al Ain Rd</t>
        </is>
      </c>
      <c r="S404" t="inlineStr">
        <is>
          <t>20</t>
        </is>
      </c>
      <c r="T404" t="inlineStr">
        <is>
          <t>25</t>
        </is>
      </c>
      <c r="U404" t="inlineStr">
        <is>
          <t>25</t>
        </is>
      </c>
      <c r="V404" t="inlineStr">
        <is>
          <t>30</t>
        </is>
      </c>
      <c r="W404" t="n">
        <v>2</v>
      </c>
      <c r="X404" s="12" t="n">
        <v>950000</v>
      </c>
      <c r="Y404" s="12" t="n">
        <v>950000</v>
      </c>
      <c r="Z404" s="9" t="n">
        <v>7</v>
      </c>
      <c r="AA404" s="9" t="n">
        <v>7.5</v>
      </c>
      <c r="AB404" s="9" t="n">
        <v>6</v>
      </c>
      <c r="AC404" s="9" t="n">
        <v>8</v>
      </c>
      <c r="AD404" s="9" t="n">
        <v>13</v>
      </c>
      <c r="AE404" s="9" t="n">
        <v>15.5</v>
      </c>
      <c r="AF404" t="n">
        <v>2024</v>
      </c>
      <c r="AH404" t="inlineStr">
        <is>
          <t>Apartment</t>
        </is>
      </c>
      <c r="AI404" t="inlineStr">
        <is>
          <t>SupplySensitiveApartment</t>
        </is>
      </c>
      <c r="AJ404" t="inlineStr">
        <is>
          <t>MidTier</t>
        </is>
      </c>
      <c r="AK404" t="inlineStr">
        <is>
          <t>Supply-sensitive / selective</t>
        </is>
      </c>
      <c r="AL404" t="inlineStr">
        <is>
          <t>Higher delivery risk in more price-sensitive apartment clusters; building selection and exit liquidity matter.</t>
        </is>
      </c>
      <c r="AM404" s="9" t="n">
        <v>7</v>
      </c>
      <c r="AN404" s="9" t="n">
        <v>7.25</v>
      </c>
      <c r="AO404" s="10" t="n">
        <v>0.55</v>
      </c>
      <c r="AP404" s="13" t="n">
        <v>0</v>
      </c>
      <c r="AQ404" s="13" t="n">
        <v>0</v>
      </c>
      <c r="AR404" s="13" t="n">
        <v>-0.01</v>
      </c>
      <c r="AS404" s="13" t="n">
        <v>-0.01</v>
      </c>
      <c r="AT404" s="13" t="n">
        <v>-0.005</v>
      </c>
      <c r="AU404" s="13" t="n">
        <v>0.0025</v>
      </c>
      <c r="AV404" s="13" t="n">
        <v>-0.005</v>
      </c>
      <c r="AW404" s="13" t="n">
        <v>0.0285</v>
      </c>
      <c r="AX404" s="13" t="n">
        <v>-0.0175</v>
      </c>
      <c r="AY404" s="12" t="n">
        <v>947763</v>
      </c>
      <c r="AZ404" s="12" t="n">
        <v>977075</v>
      </c>
      <c r="BA404" s="12" t="n">
        <v>1006387</v>
      </c>
      <c r="BB404" s="12" t="n">
        <v>930664</v>
      </c>
      <c r="BC404" s="12" t="n">
        <v>959976</v>
      </c>
      <c r="BD404" s="12" t="n">
        <v>989288</v>
      </c>
      <c r="BE404" s="12" t="n">
        <v>943177</v>
      </c>
      <c r="BF404" t="inlineStr">
        <is>
          <t>Frozen values from same rules-based model as formula sheet.</t>
        </is>
      </c>
      <c r="BG404" t="inlineStr">
        <is>
          <t>2026-03-17</t>
        </is>
      </c>
      <c r="BH404" t="inlineStr">
        <is>
          <t>DLD / Digital Dubai / CBUAE / Savills / Knight Frank-Moody’s / Reuters</t>
        </is>
      </c>
    </row>
    <row r="405">
      <c r="A405" t="n">
        <v>404</v>
      </c>
      <c r="B405" t="inlineStr">
        <is>
          <t>Keturah Reserve</t>
        </is>
      </c>
      <c r="C405" t="inlineStr">
        <is>
          <t>MAG Property Development</t>
        </is>
      </c>
      <c r="D405" t="inlineStr">
        <is>
          <t>MBR City (District 7)</t>
        </is>
      </c>
      <c r="E405" t="inlineStr">
        <is>
          <t>Villas &amp; Apts</t>
        </is>
      </c>
      <c r="F405" t="inlineStr">
        <is>
          <t>Bio-Living / Luxury</t>
        </is>
      </c>
      <c r="G405" t="inlineStr">
        <is>
          <t>3.5M (Apt) / 10M+ (Villa)</t>
        </is>
      </c>
      <c r="H405" t="inlineStr">
        <is>
          <t>2200</t>
        </is>
      </c>
      <c r="I405" t="inlineStr">
        <is>
          <t>20</t>
        </is>
      </c>
      <c r="J405" t="inlineStr">
        <is>
          <t>60/40</t>
        </is>
      </c>
      <c r="K405" t="inlineStr">
        <is>
          <t>2022</t>
        </is>
      </c>
      <c r="L405" t="inlineStr">
        <is>
          <t>5.5-6.0</t>
        </is>
      </c>
      <c r="M405" t="inlineStr">
        <is>
          <t>8-10</t>
        </is>
      </c>
      <c r="N405" t="inlineStr">
        <is>
          <t>13.5-16.0</t>
        </is>
      </c>
      <c r="O405" t="inlineStr">
        <is>
          <t>Hartland Intl</t>
        </is>
      </c>
      <c r="P405" t="inlineStr">
        <is>
          <t>American Hospital</t>
        </is>
      </c>
      <c r="Q405" t="inlineStr">
        <is>
          <t>Dubai Mall</t>
        </is>
      </c>
      <c r="R405" t="inlineStr">
        <is>
          <t>Ras Al Khor / E44</t>
        </is>
      </c>
      <c r="S405" t="inlineStr">
        <is>
          <t>12</t>
        </is>
      </c>
      <c r="T405" t="inlineStr">
        <is>
          <t>25</t>
        </is>
      </c>
      <c r="U405" t="inlineStr">
        <is>
          <t>15</t>
        </is>
      </c>
      <c r="V405" t="inlineStr">
        <is>
          <t>40</t>
        </is>
      </c>
      <c r="W405" t="n">
        <v>2</v>
      </c>
      <c r="X405" s="12" t="n">
        <v>3500000</v>
      </c>
      <c r="Y405" s="12" t="n">
        <v>10000000</v>
      </c>
      <c r="Z405" s="9" t="n">
        <v>5.5</v>
      </c>
      <c r="AA405" s="9" t="n">
        <v>6</v>
      </c>
      <c r="AB405" s="9" t="n">
        <v>8</v>
      </c>
      <c r="AC405" s="9" t="n">
        <v>10</v>
      </c>
      <c r="AD405" s="9" t="n">
        <v>13.5</v>
      </c>
      <c r="AE405" s="9" t="n">
        <v>16</v>
      </c>
      <c r="AF405" t="n">
        <v>2022</v>
      </c>
      <c r="AH405" t="inlineStr">
        <is>
          <t>Villa</t>
        </is>
      </c>
      <c r="AI405" t="inlineStr">
        <is>
          <t>MainstreamSelective</t>
        </is>
      </c>
      <c r="AJ405" t="inlineStr">
        <is>
          <t>MidTier</t>
        </is>
      </c>
      <c r="AK405" t="inlineStr">
        <is>
          <t>Family-villa resilient</t>
        </is>
      </c>
      <c r="AL405" t="inlineStr">
        <is>
          <t>Villa/townhouse demand remains relatively firmer, though growth should be slower than the post-2020 surge.</t>
        </is>
      </c>
      <c r="AM405" s="9" t="n">
        <v>9</v>
      </c>
      <c r="AN405" s="9" t="n">
        <v>5.75</v>
      </c>
      <c r="AO405" s="10" t="n">
        <v>0.55</v>
      </c>
      <c r="AP405" s="13" t="n">
        <v>0</v>
      </c>
      <c r="AQ405" s="13" t="n">
        <v>0.015</v>
      </c>
      <c r="AR405" s="13" t="n">
        <v>0</v>
      </c>
      <c r="AS405" s="13" t="n">
        <v>0.025</v>
      </c>
      <c r="AT405" s="13" t="n">
        <v>-0.005</v>
      </c>
      <c r="AU405" s="13" t="n">
        <v>0</v>
      </c>
      <c r="AV405" s="13" t="n">
        <v>-0.005</v>
      </c>
      <c r="AW405" s="13" t="n">
        <v>0.0645</v>
      </c>
      <c r="AX405" s="13" t="n">
        <v>0.015</v>
      </c>
      <c r="AY405" s="12" t="n">
        <v>3613978</v>
      </c>
      <c r="AZ405" s="12" t="n">
        <v>3725750</v>
      </c>
      <c r="BA405" s="12" t="n">
        <v>3837522</v>
      </c>
      <c r="BB405" s="12" t="n">
        <v>3669864</v>
      </c>
      <c r="BC405" s="12" t="n">
        <v>3781636</v>
      </c>
      <c r="BD405" s="12" t="n">
        <v>3893409</v>
      </c>
      <c r="BE405" s="12" t="n">
        <v>3838361</v>
      </c>
      <c r="BF405" t="inlineStr">
        <is>
          <t>Frozen values from same rules-based model as formula sheet.</t>
        </is>
      </c>
      <c r="BG405" t="inlineStr">
        <is>
          <t>2026-03-17</t>
        </is>
      </c>
      <c r="BH405" t="inlineStr">
        <is>
          <t>DLD / Digital Dubai / CBUAE / Savills / Knight Frank-Moody’s / Reuters</t>
        </is>
      </c>
    </row>
    <row r="406">
      <c r="A406" t="n">
        <v>405</v>
      </c>
      <c r="B406" t="inlineStr">
        <is>
          <t>MAG City</t>
        </is>
      </c>
      <c r="C406" t="inlineStr">
        <is>
          <t>MAG Property Development</t>
        </is>
      </c>
      <c r="D406" t="inlineStr">
        <is>
          <t>MBR City (District 7)</t>
        </is>
      </c>
      <c r="E406" t="inlineStr">
        <is>
          <t>Townhouses &amp; Apts</t>
        </is>
      </c>
      <c r="F406" t="inlineStr">
        <is>
          <t>Gated / City</t>
        </is>
      </c>
      <c r="G406" t="inlineStr">
        <is>
          <t>1.2M</t>
        </is>
      </c>
      <c r="H406" t="inlineStr">
        <is>
          <t>1300</t>
        </is>
      </c>
      <c r="I406" t="inlineStr">
        <is>
          <t>15</t>
        </is>
      </c>
      <c r="J406" t="inlineStr">
        <is>
          <t>60/40</t>
        </is>
      </c>
      <c r="K406" t="inlineStr">
        <is>
          <t>2019</t>
        </is>
      </c>
      <c r="L406" t="inlineStr">
        <is>
          <t>6.5-7.0</t>
        </is>
      </c>
      <c r="M406" t="inlineStr">
        <is>
          <t>6-8</t>
        </is>
      </c>
      <c r="N406" t="inlineStr">
        <is>
          <t>12.5-15.0</t>
        </is>
      </c>
      <c r="O406" t="inlineStr">
        <is>
          <t>Hartland Intl</t>
        </is>
      </c>
      <c r="P406" t="inlineStr">
        <is>
          <t>American Hospital</t>
        </is>
      </c>
      <c r="Q406" t="inlineStr">
        <is>
          <t>Dubai Mall</t>
        </is>
      </c>
      <c r="R406" t="inlineStr">
        <is>
          <t>Ras Al Khor / E44</t>
        </is>
      </c>
      <c r="S406" t="inlineStr">
        <is>
          <t>12</t>
        </is>
      </c>
      <c r="T406" t="inlineStr">
        <is>
          <t>25</t>
        </is>
      </c>
      <c r="U406" t="inlineStr">
        <is>
          <t>15</t>
        </is>
      </c>
      <c r="V406" t="inlineStr">
        <is>
          <t>40</t>
        </is>
      </c>
      <c r="W406" t="n">
        <v>2</v>
      </c>
      <c r="X406" s="12" t="n">
        <v>1200000</v>
      </c>
      <c r="Y406" s="12" t="n">
        <v>1200000</v>
      </c>
      <c r="Z406" s="9" t="n">
        <v>6.5</v>
      </c>
      <c r="AA406" s="9" t="n">
        <v>7</v>
      </c>
      <c r="AB406" s="9" t="n">
        <v>6</v>
      </c>
      <c r="AC406" s="9" t="n">
        <v>8</v>
      </c>
      <c r="AD406" s="9" t="n">
        <v>12.5</v>
      </c>
      <c r="AE406" s="9" t="n">
        <v>15</v>
      </c>
      <c r="AF406" t="n">
        <v>2019</v>
      </c>
      <c r="AH406" t="inlineStr">
        <is>
          <t>Townhouse</t>
        </is>
      </c>
      <c r="AI406" t="inlineStr">
        <is>
          <t>MainstreamSelective</t>
        </is>
      </c>
      <c r="AJ406" t="inlineStr">
        <is>
          <t>MidTier</t>
        </is>
      </c>
      <c r="AK406" t="inlineStr">
        <is>
          <t>Family-villa resilient</t>
        </is>
      </c>
      <c r="AL406" t="inlineStr">
        <is>
          <t>Villa/townhouse demand remains relatively firmer, though growth should be slower than the post-2020 surge.</t>
        </is>
      </c>
      <c r="AM406" s="9" t="n">
        <v>7</v>
      </c>
      <c r="AN406" s="9" t="n">
        <v>6.75</v>
      </c>
      <c r="AO406" s="10" t="n">
        <v>0.55</v>
      </c>
      <c r="AP406" s="13" t="n">
        <v>0</v>
      </c>
      <c r="AQ406" s="13" t="n">
        <v>0.015</v>
      </c>
      <c r="AR406" s="13" t="n">
        <v>0</v>
      </c>
      <c r="AS406" s="13" t="n">
        <v>0.025</v>
      </c>
      <c r="AT406" s="13" t="n">
        <v>-0.005</v>
      </c>
      <c r="AU406" s="13" t="n">
        <v>0.0025</v>
      </c>
      <c r="AV406" s="13" t="n">
        <v>-0.005</v>
      </c>
      <c r="AW406" s="13" t="n">
        <v>0.05350000000000001</v>
      </c>
      <c r="AX406" s="13" t="n">
        <v>0.0175</v>
      </c>
      <c r="AY406" s="12" t="n">
        <v>1226274</v>
      </c>
      <c r="AZ406" s="12" t="n">
        <v>1264200</v>
      </c>
      <c r="BA406" s="12" t="n">
        <v>1302126</v>
      </c>
      <c r="BB406" s="12" t="n">
        <v>1248398</v>
      </c>
      <c r="BC406" s="12" t="n">
        <v>1286324</v>
      </c>
      <c r="BD406" s="12" t="n">
        <v>1324250</v>
      </c>
      <c r="BE406" s="12" t="n">
        <v>1308834</v>
      </c>
      <c r="BF406" t="inlineStr">
        <is>
          <t>Frozen values from same rules-based model as formula sheet.</t>
        </is>
      </c>
      <c r="BG406" t="inlineStr">
        <is>
          <t>2026-03-17</t>
        </is>
      </c>
      <c r="BH406" t="inlineStr">
        <is>
          <t>DLD / Digital Dubai / CBUAE / Savills / Knight Frank-Moody’s / Reuters</t>
        </is>
      </c>
    </row>
    <row r="407">
      <c r="A407" t="n">
        <v>406</v>
      </c>
      <c r="B407" t="inlineStr">
        <is>
          <t>MAG Park</t>
        </is>
      </c>
      <c r="C407" t="inlineStr">
        <is>
          <t>MAG Property Development</t>
        </is>
      </c>
      <c r="D407" t="inlineStr">
        <is>
          <t>MBR City</t>
        </is>
      </c>
      <c r="E407" t="inlineStr">
        <is>
          <t>Townhouses</t>
        </is>
      </c>
      <c r="F407" t="inlineStr">
        <is>
          <t>Gated / Park</t>
        </is>
      </c>
      <c r="G407" t="inlineStr">
        <is>
          <t>3.5M</t>
        </is>
      </c>
      <c r="H407" t="inlineStr">
        <is>
          <t>1400</t>
        </is>
      </c>
      <c r="I407" t="inlineStr">
        <is>
          <t>15</t>
        </is>
      </c>
      <c r="J407" t="inlineStr">
        <is>
          <t>60/40</t>
        </is>
      </c>
      <c r="K407" t="inlineStr">
        <is>
          <t>2021</t>
        </is>
      </c>
      <c r="L407" t="inlineStr">
        <is>
          <t>6.0-6.5</t>
        </is>
      </c>
      <c r="M407" t="inlineStr">
        <is>
          <t>6-8</t>
        </is>
      </c>
      <c r="N407" t="inlineStr">
        <is>
          <t>12.0-14.5</t>
        </is>
      </c>
      <c r="O407" t="inlineStr">
        <is>
          <t>Hartland Intl</t>
        </is>
      </c>
      <c r="P407" t="inlineStr">
        <is>
          <t>American Hospital</t>
        </is>
      </c>
      <c r="Q407" t="inlineStr">
        <is>
          <t>Dubai Mall</t>
        </is>
      </c>
      <c r="R407" t="inlineStr">
        <is>
          <t>Ras Al Khor / E44</t>
        </is>
      </c>
      <c r="S407" t="inlineStr">
        <is>
          <t>12</t>
        </is>
      </c>
      <c r="T407" t="inlineStr">
        <is>
          <t>25</t>
        </is>
      </c>
      <c r="U407" t="inlineStr">
        <is>
          <t>15</t>
        </is>
      </c>
      <c r="V407" t="inlineStr">
        <is>
          <t>40</t>
        </is>
      </c>
      <c r="W407" t="n">
        <v>2</v>
      </c>
      <c r="X407" s="12" t="n">
        <v>3500000</v>
      </c>
      <c r="Y407" s="12" t="n">
        <v>3500000</v>
      </c>
      <c r="Z407" s="9" t="n">
        <v>6</v>
      </c>
      <c r="AA407" s="9" t="n">
        <v>6.5</v>
      </c>
      <c r="AB407" s="9" t="n">
        <v>6</v>
      </c>
      <c r="AC407" s="9" t="n">
        <v>8</v>
      </c>
      <c r="AD407" s="9" t="n">
        <v>12</v>
      </c>
      <c r="AE407" s="9" t="n">
        <v>14.5</v>
      </c>
      <c r="AF407" t="n">
        <v>2021</v>
      </c>
      <c r="AH407" t="inlineStr">
        <is>
          <t>Townhouse</t>
        </is>
      </c>
      <c r="AI407" t="inlineStr">
        <is>
          <t>MainstreamSelective</t>
        </is>
      </c>
      <c r="AJ407" t="inlineStr">
        <is>
          <t>MidTier</t>
        </is>
      </c>
      <c r="AK407" t="inlineStr">
        <is>
          <t>Family-villa resilient</t>
        </is>
      </c>
      <c r="AL407" t="inlineStr">
        <is>
          <t>Villa/townhouse demand remains relatively firmer, though growth should be slower than the post-2020 surge.</t>
        </is>
      </c>
      <c r="AM407" s="9" t="n">
        <v>7</v>
      </c>
      <c r="AN407" s="9" t="n">
        <v>6.25</v>
      </c>
      <c r="AO407" s="10" t="n">
        <v>0.55</v>
      </c>
      <c r="AP407" s="13" t="n">
        <v>0</v>
      </c>
      <c r="AQ407" s="13" t="n">
        <v>0.015</v>
      </c>
      <c r="AR407" s="13" t="n">
        <v>0</v>
      </c>
      <c r="AS407" s="13" t="n">
        <v>0.025</v>
      </c>
      <c r="AT407" s="13" t="n">
        <v>-0.005</v>
      </c>
      <c r="AU407" s="13" t="n">
        <v>0.0025</v>
      </c>
      <c r="AV407" s="13" t="n">
        <v>-0.005</v>
      </c>
      <c r="AW407" s="13" t="n">
        <v>0.05350000000000001</v>
      </c>
      <c r="AX407" s="13" t="n">
        <v>0.0175</v>
      </c>
      <c r="AY407" s="12" t="n">
        <v>3576632</v>
      </c>
      <c r="AZ407" s="12" t="n">
        <v>3687250</v>
      </c>
      <c r="BA407" s="12" t="n">
        <v>3797868</v>
      </c>
      <c r="BB407" s="12" t="n">
        <v>3641159</v>
      </c>
      <c r="BC407" s="12" t="n">
        <v>3751777</v>
      </c>
      <c r="BD407" s="12" t="n">
        <v>3862394</v>
      </c>
      <c r="BE407" s="12" t="n">
        <v>3817433</v>
      </c>
      <c r="BF407" t="inlineStr">
        <is>
          <t>Frozen values from same rules-based model as formula sheet.</t>
        </is>
      </c>
      <c r="BG407" t="inlineStr">
        <is>
          <t>2026-03-17</t>
        </is>
      </c>
      <c r="BH407" t="inlineStr">
        <is>
          <t>DLD / Digital Dubai / CBUAE / Savills / Knight Frank-Moody’s / Reuters</t>
        </is>
      </c>
    </row>
    <row r="408">
      <c r="A408" t="n">
        <v>407</v>
      </c>
      <c r="B408" t="inlineStr">
        <is>
          <t>Keturah Resort</t>
        </is>
      </c>
      <c r="C408" t="inlineStr">
        <is>
          <t>MAG Property Development</t>
        </is>
      </c>
      <c r="D408" t="inlineStr">
        <is>
          <t>Creekside</t>
        </is>
      </c>
      <c r="E408" t="inlineStr">
        <is>
          <t>Villas (Mansion)</t>
        </is>
      </c>
      <c r="F408" t="inlineStr">
        <is>
          <t>Wellness / Creek</t>
        </is>
      </c>
      <c r="G408" t="inlineStr">
        <is>
          <t>20M+</t>
        </is>
      </c>
      <c r="H408" t="inlineStr">
        <is>
          <t>3000</t>
        </is>
      </c>
      <c r="I408" t="inlineStr">
        <is>
          <t>30</t>
        </is>
      </c>
      <c r="J408" t="inlineStr">
        <is>
          <t>50/50</t>
        </is>
      </c>
      <c r="K408" t="inlineStr">
        <is>
          <t>2022</t>
        </is>
      </c>
      <c r="L408" t="inlineStr">
        <is>
          <t>4.0-4.5</t>
        </is>
      </c>
      <c r="M408" t="inlineStr">
        <is>
          <t>8-12</t>
        </is>
      </c>
      <c r="N408" t="inlineStr">
        <is>
          <t>12.0-16.5</t>
        </is>
      </c>
      <c r="O408" t="inlineStr">
        <is>
          <t>Swiss Intl School</t>
        </is>
      </c>
      <c r="P408" t="inlineStr">
        <is>
          <t>American Hospital</t>
        </is>
      </c>
      <c r="Q408" t="inlineStr">
        <is>
          <t>Dubai Festival City</t>
        </is>
      </c>
      <c r="R408" t="inlineStr">
        <is>
          <t>Ras Al Khor / E44</t>
        </is>
      </c>
      <c r="S408" t="inlineStr">
        <is>
          <t>12</t>
        </is>
      </c>
      <c r="T408" t="inlineStr">
        <is>
          <t>25</t>
        </is>
      </c>
      <c r="U408" t="inlineStr">
        <is>
          <t>10</t>
        </is>
      </c>
      <c r="V408" t="inlineStr">
        <is>
          <t>40</t>
        </is>
      </c>
      <c r="W408" t="n">
        <v>2</v>
      </c>
      <c r="X408" s="12" t="n">
        <v>20000000</v>
      </c>
      <c r="Y408" s="12" t="n">
        <v>20000000</v>
      </c>
      <c r="Z408" s="9" t="n">
        <v>4</v>
      </c>
      <c r="AA408" s="9" t="n">
        <v>4.5</v>
      </c>
      <c r="AB408" s="9" t="n">
        <v>8</v>
      </c>
      <c r="AC408" s="9" t="n">
        <v>12</v>
      </c>
      <c r="AD408" s="9" t="n">
        <v>12</v>
      </c>
      <c r="AE408" s="9" t="n">
        <v>16.5</v>
      </c>
      <c r="AF408" t="n">
        <v>2022</v>
      </c>
      <c r="AH408" t="inlineStr">
        <is>
          <t>Villa</t>
        </is>
      </c>
      <c r="AI408" t="inlineStr">
        <is>
          <t>MainstreamSelective</t>
        </is>
      </c>
      <c r="AJ408" t="inlineStr">
        <is>
          <t>MidTier</t>
        </is>
      </c>
      <c r="AK408" t="inlineStr">
        <is>
          <t>Family-villa resilient</t>
        </is>
      </c>
      <c r="AL408" t="inlineStr">
        <is>
          <t>Villa/townhouse demand remains relatively firmer, though growth should be slower than the post-2020 surge.</t>
        </is>
      </c>
      <c r="AM408" s="9" t="n">
        <v>10</v>
      </c>
      <c r="AN408" s="9" t="n">
        <v>4.25</v>
      </c>
      <c r="AO408" s="10" t="n">
        <v>0.55</v>
      </c>
      <c r="AP408" s="13" t="n">
        <v>0</v>
      </c>
      <c r="AQ408" s="13" t="n">
        <v>0.015</v>
      </c>
      <c r="AR408" s="13" t="n">
        <v>0</v>
      </c>
      <c r="AS408" s="13" t="n">
        <v>0.025</v>
      </c>
      <c r="AT408" s="13" t="n">
        <v>-0.005</v>
      </c>
      <c r="AU408" s="13" t="n">
        <v>0</v>
      </c>
      <c r="AV408" s="13" t="n">
        <v>-0.005</v>
      </c>
      <c r="AW408" s="13" t="n">
        <v>0.07000000000000001</v>
      </c>
      <c r="AX408" s="13" t="n">
        <v>0.015</v>
      </c>
      <c r="AY408" s="12" t="n">
        <v>20758000</v>
      </c>
      <c r="AZ408" s="12" t="n">
        <v>21400000</v>
      </c>
      <c r="BA408" s="12" t="n">
        <v>22042000</v>
      </c>
      <c r="BB408" s="12" t="n">
        <v>21079000</v>
      </c>
      <c r="BC408" s="12" t="n">
        <v>21721000</v>
      </c>
      <c r="BD408" s="12" t="n">
        <v>22363000</v>
      </c>
      <c r="BE408" s="12" t="n">
        <v>22046815</v>
      </c>
      <c r="BF408" t="inlineStr">
        <is>
          <t>Frozen values from same rules-based model as formula sheet.</t>
        </is>
      </c>
      <c r="BG408" t="inlineStr">
        <is>
          <t>2026-03-17</t>
        </is>
      </c>
      <c r="BH408" t="inlineStr">
        <is>
          <t>DLD / Digital Dubai / CBUAE / Savills / Knight Frank-Moody’s / Reuters</t>
        </is>
      </c>
    </row>
    <row r="409">
      <c r="A409" t="n">
        <v>408</v>
      </c>
      <c r="B409" t="inlineStr">
        <is>
          <t>Ritz-Carlton Residences Creekside</t>
        </is>
      </c>
      <c r="C409" t="inlineStr">
        <is>
          <t>MAG Property Development</t>
        </is>
      </c>
      <c r="D409" t="inlineStr">
        <is>
          <t>Creekside</t>
        </is>
      </c>
      <c r="E409" t="inlineStr">
        <is>
          <t>Branded Apts</t>
        </is>
      </c>
      <c r="F409" t="inlineStr">
        <is>
          <t>Ultra-Luxury / Wellness</t>
        </is>
      </c>
      <c r="G409" t="inlineStr">
        <is>
          <t>15M+</t>
        </is>
      </c>
      <c r="H409" t="inlineStr">
        <is>
          <t>4500</t>
        </is>
      </c>
      <c r="I409" t="inlineStr">
        <is>
          <t>45+</t>
        </is>
      </c>
      <c r="J409" t="inlineStr">
        <is>
          <t>50/50</t>
        </is>
      </c>
      <c r="K409" t="inlineStr">
        <is>
          <t>2022</t>
        </is>
      </c>
      <c r="L409" t="inlineStr">
        <is>
          <t>3.5-4.0</t>
        </is>
      </c>
      <c r="M409" t="inlineStr">
        <is>
          <t>8-12</t>
        </is>
      </c>
      <c r="N409" t="inlineStr">
        <is>
          <t>11.5-16.0</t>
        </is>
      </c>
      <c r="O409" t="inlineStr">
        <is>
          <t>Swiss Intl School</t>
        </is>
      </c>
      <c r="P409" t="inlineStr">
        <is>
          <t>American Hospital</t>
        </is>
      </c>
      <c r="Q409" t="inlineStr">
        <is>
          <t>Dubai Festival City</t>
        </is>
      </c>
      <c r="R409" t="inlineStr">
        <is>
          <t>Ras Al Khor / E44</t>
        </is>
      </c>
      <c r="S409" t="inlineStr">
        <is>
          <t>12</t>
        </is>
      </c>
      <c r="T409" t="inlineStr">
        <is>
          <t>25</t>
        </is>
      </c>
      <c r="U409" t="inlineStr">
        <is>
          <t>10</t>
        </is>
      </c>
      <c r="V409" t="inlineStr">
        <is>
          <t>40</t>
        </is>
      </c>
      <c r="W409" t="n">
        <v>2</v>
      </c>
      <c r="X409" s="12" t="n">
        <v>15000000</v>
      </c>
      <c r="Y409" s="12" t="n">
        <v>15000000</v>
      </c>
      <c r="Z409" s="9" t="n">
        <v>3.5</v>
      </c>
      <c r="AA409" s="9" t="n">
        <v>4</v>
      </c>
      <c r="AB409" s="9" t="n">
        <v>8</v>
      </c>
      <c r="AC409" s="9" t="n">
        <v>12</v>
      </c>
      <c r="AD409" s="9" t="n">
        <v>11.5</v>
      </c>
      <c r="AE409" s="9" t="n">
        <v>16</v>
      </c>
      <c r="AF409" t="n">
        <v>2022</v>
      </c>
      <c r="AH409" t="inlineStr">
        <is>
          <t>Apartment</t>
        </is>
      </c>
      <c r="AI409" t="inlineStr">
        <is>
          <t>MainstreamSelective</t>
        </is>
      </c>
      <c r="AJ409" t="inlineStr">
        <is>
          <t>MidTier</t>
        </is>
      </c>
      <c r="AK409" t="inlineStr">
        <is>
          <t>Balanced / selective</t>
        </is>
      </c>
      <c r="AL409" t="inlineStr">
        <is>
          <t>Market remains active but increasingly differentiated by developer, micro-location, livability, and pricing discipline.</t>
        </is>
      </c>
      <c r="AM409" s="9" t="n">
        <v>10</v>
      </c>
      <c r="AN409" s="9" t="n">
        <v>3.75</v>
      </c>
      <c r="AO409" s="10" t="n">
        <v>0.55</v>
      </c>
      <c r="AP409" s="13" t="n">
        <v>0</v>
      </c>
      <c r="AQ409" s="13" t="n">
        <v>0</v>
      </c>
      <c r="AR409" s="13" t="n">
        <v>0</v>
      </c>
      <c r="AS409" s="13" t="n">
        <v>0.01</v>
      </c>
      <c r="AT409" s="13" t="n">
        <v>-0.005</v>
      </c>
      <c r="AU409" s="13" t="n">
        <v>0</v>
      </c>
      <c r="AV409" s="13" t="n">
        <v>-0.005</v>
      </c>
      <c r="AW409" s="13" t="n">
        <v>0.05500000000000001</v>
      </c>
      <c r="AX409" s="13" t="n">
        <v>0</v>
      </c>
      <c r="AY409" s="12" t="n">
        <v>15350250</v>
      </c>
      <c r="AZ409" s="12" t="n">
        <v>15825000</v>
      </c>
      <c r="BA409" s="12" t="n">
        <v>16299750</v>
      </c>
      <c r="BB409" s="12" t="n">
        <v>15350250</v>
      </c>
      <c r="BC409" s="12" t="n">
        <v>15825000</v>
      </c>
      <c r="BD409" s="12" t="n">
        <v>16299750</v>
      </c>
      <c r="BE409" s="12" t="n">
        <v>15825000</v>
      </c>
      <c r="BF409" t="inlineStr">
        <is>
          <t>Frozen values from same rules-based model as formula sheet.</t>
        </is>
      </c>
      <c r="BG409" t="inlineStr">
        <is>
          <t>2026-03-17</t>
        </is>
      </c>
      <c r="BH409" t="inlineStr">
        <is>
          <t>DLD / Digital Dubai / CBUAE / Savills / Knight Frank-Moody’s / Reuters</t>
        </is>
      </c>
    </row>
    <row r="410">
      <c r="A410" t="n">
        <v>409</v>
      </c>
      <c r="B410" t="inlineStr">
        <is>
          <t>MAG 777</t>
        </is>
      </c>
      <c r="C410" t="inlineStr">
        <is>
          <t>MAG Property Development</t>
        </is>
      </c>
      <c r="D410" t="inlineStr">
        <is>
          <t>Dubai Sports City</t>
        </is>
      </c>
      <c r="E410" t="inlineStr">
        <is>
          <t>Apartments</t>
        </is>
      </c>
      <c r="F410" t="inlineStr">
        <is>
          <t>Lake View</t>
        </is>
      </c>
      <c r="G410" t="inlineStr">
        <is>
          <t>900k</t>
        </is>
      </c>
      <c r="H410" t="inlineStr">
        <is>
          <t>1200</t>
        </is>
      </c>
      <c r="I410" t="inlineStr">
        <is>
          <t>15</t>
        </is>
      </c>
      <c r="J410" t="inlineStr">
        <is>
          <t>50/50</t>
        </is>
      </c>
      <c r="K410" t="inlineStr">
        <is>
          <t>2024</t>
        </is>
      </c>
      <c r="L410" t="inlineStr">
        <is>
          <t>7.5-8.0</t>
        </is>
      </c>
      <c r="M410" t="inlineStr">
        <is>
          <t>6-8</t>
        </is>
      </c>
      <c r="N410" t="inlineStr">
        <is>
          <t>13.5-16.0</t>
        </is>
      </c>
      <c r="O410" t="inlineStr">
        <is>
          <t>Victory Heights</t>
        </is>
      </c>
      <c r="P410" t="inlineStr">
        <is>
          <t>NMC Royal DIP</t>
        </is>
      </c>
      <c r="Q410" t="inlineStr">
        <is>
          <t>City Centre Me'aisem</t>
        </is>
      </c>
      <c r="R410" t="inlineStr">
        <is>
          <t>E311 / Hessa St</t>
        </is>
      </c>
      <c r="S410" t="inlineStr">
        <is>
          <t>20</t>
        </is>
      </c>
      <c r="T410" t="inlineStr">
        <is>
          <t>15</t>
        </is>
      </c>
      <c r="U410" t="inlineStr">
        <is>
          <t>25</t>
        </is>
      </c>
      <c r="V410" t="inlineStr">
        <is>
          <t>25</t>
        </is>
      </c>
      <c r="W410" t="n">
        <v>2</v>
      </c>
      <c r="X410" s="12" t="n">
        <v>900000</v>
      </c>
      <c r="Y410" s="12" t="n">
        <v>900000</v>
      </c>
      <c r="Z410" s="9" t="n">
        <v>7.5</v>
      </c>
      <c r="AA410" s="9" t="n">
        <v>8</v>
      </c>
      <c r="AB410" s="9" t="n">
        <v>6</v>
      </c>
      <c r="AC410" s="9" t="n">
        <v>8</v>
      </c>
      <c r="AD410" s="9" t="n">
        <v>13.5</v>
      </c>
      <c r="AE410" s="9" t="n">
        <v>16</v>
      </c>
      <c r="AF410" t="n">
        <v>2024</v>
      </c>
      <c r="AH410" t="inlineStr">
        <is>
          <t>Apartment</t>
        </is>
      </c>
      <c r="AI410" t="inlineStr">
        <is>
          <t>MainstreamSelective</t>
        </is>
      </c>
      <c r="AJ410" t="inlineStr">
        <is>
          <t>MidTier</t>
        </is>
      </c>
      <c r="AK410" t="inlineStr">
        <is>
          <t>Balanced / selective</t>
        </is>
      </c>
      <c r="AL410" t="inlineStr">
        <is>
          <t>Market remains active but increasingly differentiated by developer, micro-location, livability, and pricing discipline.</t>
        </is>
      </c>
      <c r="AM410" s="9" t="n">
        <v>7</v>
      </c>
      <c r="AN410" s="9" t="n">
        <v>7.75</v>
      </c>
      <c r="AO410" s="10" t="n">
        <v>0.55</v>
      </c>
      <c r="AP410" s="13" t="n">
        <v>0</v>
      </c>
      <c r="AQ410" s="13" t="n">
        <v>0</v>
      </c>
      <c r="AR410" s="13" t="n">
        <v>0</v>
      </c>
      <c r="AS410" s="13" t="n">
        <v>0.01</v>
      </c>
      <c r="AT410" s="13" t="n">
        <v>-0.005</v>
      </c>
      <c r="AU410" s="13" t="n">
        <v>0.0025</v>
      </c>
      <c r="AV410" s="13" t="n">
        <v>-0.005</v>
      </c>
      <c r="AW410" s="13" t="n">
        <v>0.03850000000000001</v>
      </c>
      <c r="AX410" s="13" t="n">
        <v>0.0025</v>
      </c>
      <c r="AY410" s="12" t="n">
        <v>906610</v>
      </c>
      <c r="AZ410" s="12" t="n">
        <v>934650</v>
      </c>
      <c r="BA410" s="12" t="n">
        <v>962690</v>
      </c>
      <c r="BB410" s="12" t="n">
        <v>908947</v>
      </c>
      <c r="BC410" s="12" t="n">
        <v>936987</v>
      </c>
      <c r="BD410" s="12" t="n">
        <v>965026</v>
      </c>
      <c r="BE410" s="12" t="n">
        <v>939329</v>
      </c>
      <c r="BF410" t="inlineStr">
        <is>
          <t>Frozen values from same rules-based model as formula sheet.</t>
        </is>
      </c>
      <c r="BG410" t="inlineStr">
        <is>
          <t>2026-03-17</t>
        </is>
      </c>
      <c r="BH410" t="inlineStr">
        <is>
          <t>DLD / Digital Dubai / CBUAE / Savills / Knight Frank-Moody’s / Reuters</t>
        </is>
      </c>
    </row>
    <row r="411">
      <c r="A411" t="n">
        <v>410</v>
      </c>
      <c r="B411" t="inlineStr">
        <is>
          <t>MAG 330</t>
        </is>
      </c>
      <c r="C411" t="inlineStr">
        <is>
          <t>MAG Property Development</t>
        </is>
      </c>
      <c r="D411" t="inlineStr">
        <is>
          <t>City of Arabia</t>
        </is>
      </c>
      <c r="E411" t="inlineStr">
        <is>
          <t>Apartments</t>
        </is>
      </c>
      <c r="F411" t="inlineStr">
        <is>
          <t>Budget / Family</t>
        </is>
      </c>
      <c r="G411" t="inlineStr">
        <is>
          <t>800k</t>
        </is>
      </c>
      <c r="H411" t="inlineStr">
        <is>
          <t>1100</t>
        </is>
      </c>
      <c r="I411" t="inlineStr">
        <is>
          <t>15</t>
        </is>
      </c>
      <c r="J411" t="inlineStr">
        <is>
          <t>50/50</t>
        </is>
      </c>
      <c r="K411" t="inlineStr">
        <is>
          <t>2023</t>
        </is>
      </c>
      <c r="L411" t="inlineStr">
        <is>
          <t>7.0-7.5</t>
        </is>
      </c>
      <c r="M411" t="inlineStr">
        <is>
          <t>5-7</t>
        </is>
      </c>
      <c r="N411" t="inlineStr">
        <is>
          <t>12.0-14.5</t>
        </is>
      </c>
      <c r="O411" t="inlineStr">
        <is>
          <t>GEMS Winchester</t>
        </is>
      </c>
      <c r="P411" t="inlineStr">
        <is>
          <t>Fakeeh University Hosp</t>
        </is>
      </c>
      <c r="Q411" t="inlineStr">
        <is>
          <t>IMG Worlds / Outlet</t>
        </is>
      </c>
      <c r="R411" t="inlineStr">
        <is>
          <t>E311 / E66</t>
        </is>
      </c>
      <c r="S411" t="inlineStr">
        <is>
          <t>20</t>
        </is>
      </c>
      <c r="T411" t="inlineStr">
        <is>
          <t>25</t>
        </is>
      </c>
      <c r="U411" t="inlineStr">
        <is>
          <t>20</t>
        </is>
      </c>
      <c r="V411" t="inlineStr">
        <is>
          <t>30</t>
        </is>
      </c>
      <c r="W411" t="n">
        <v>2</v>
      </c>
      <c r="X411" s="12" t="n">
        <v>800000</v>
      </c>
      <c r="Y411" s="12" t="n">
        <v>800000</v>
      </c>
      <c r="Z411" s="9" t="n">
        <v>7</v>
      </c>
      <c r="AA411" s="9" t="n">
        <v>7.5</v>
      </c>
      <c r="AB411" s="9" t="n">
        <v>5</v>
      </c>
      <c r="AC411" s="9" t="n">
        <v>7</v>
      </c>
      <c r="AD411" s="9" t="n">
        <v>12</v>
      </c>
      <c r="AE411" s="9" t="n">
        <v>14.5</v>
      </c>
      <c r="AF411" t="n">
        <v>2023</v>
      </c>
      <c r="AH411" t="inlineStr">
        <is>
          <t>Apartment</t>
        </is>
      </c>
      <c r="AI411" t="inlineStr">
        <is>
          <t>MainstreamSelective</t>
        </is>
      </c>
      <c r="AJ411" t="inlineStr">
        <is>
          <t>MidTier</t>
        </is>
      </c>
      <c r="AK411" t="inlineStr">
        <is>
          <t>Balanced / selective</t>
        </is>
      </c>
      <c r="AL411" t="inlineStr">
        <is>
          <t>Market remains active but increasingly differentiated by developer, micro-location, livability, and pricing discipline.</t>
        </is>
      </c>
      <c r="AM411" s="9" t="n">
        <v>6</v>
      </c>
      <c r="AN411" s="9" t="n">
        <v>7.25</v>
      </c>
      <c r="AO411" s="10" t="n">
        <v>0.55</v>
      </c>
      <c r="AP411" s="13" t="n">
        <v>0</v>
      </c>
      <c r="AQ411" s="13" t="n">
        <v>0</v>
      </c>
      <c r="AR411" s="13" t="n">
        <v>0</v>
      </c>
      <c r="AS411" s="13" t="n">
        <v>0.01</v>
      </c>
      <c r="AT411" s="13" t="n">
        <v>-0.005</v>
      </c>
      <c r="AU411" s="13" t="n">
        <v>0.0025</v>
      </c>
      <c r="AV411" s="13" t="n">
        <v>-0.005</v>
      </c>
      <c r="AW411" s="13" t="n">
        <v>0.033</v>
      </c>
      <c r="AX411" s="13" t="n">
        <v>0.0025</v>
      </c>
      <c r="AY411" s="12" t="n">
        <v>801608</v>
      </c>
      <c r="AZ411" s="12" t="n">
        <v>826400</v>
      </c>
      <c r="BA411" s="12" t="n">
        <v>851192</v>
      </c>
      <c r="BB411" s="12" t="n">
        <v>803674</v>
      </c>
      <c r="BC411" s="12" t="n">
        <v>828466</v>
      </c>
      <c r="BD411" s="12" t="n">
        <v>853258</v>
      </c>
      <c r="BE411" s="12" t="n">
        <v>830537</v>
      </c>
      <c r="BF411" t="inlineStr">
        <is>
          <t>Frozen values from same rules-based model as formula sheet.</t>
        </is>
      </c>
      <c r="BG411" t="inlineStr">
        <is>
          <t>2026-03-17</t>
        </is>
      </c>
      <c r="BH411" t="inlineStr">
        <is>
          <t>DLD / Digital Dubai / CBUAE / Savills / Knight Frank-Moody’s / Reuters</t>
        </is>
      </c>
    </row>
    <row r="412">
      <c r="A412" t="n">
        <v>411</v>
      </c>
      <c r="B412" t="inlineStr">
        <is>
          <t>MBL Residence</t>
        </is>
      </c>
      <c r="C412" t="inlineStr">
        <is>
          <t>MAG Property Development</t>
        </is>
      </c>
      <c r="D412" t="inlineStr">
        <is>
          <t>JLT</t>
        </is>
      </c>
      <c r="E412" t="inlineStr">
        <is>
          <t>Apartments</t>
        </is>
      </c>
      <c r="F412" t="inlineStr">
        <is>
          <t>High-Rise / Lake</t>
        </is>
      </c>
      <c r="G412" t="inlineStr">
        <is>
          <t>Resale (1.5M+)</t>
        </is>
      </c>
      <c r="H412" t="inlineStr">
        <is>
          <t>1600</t>
        </is>
      </c>
      <c r="I412" t="inlineStr">
        <is>
          <t>18</t>
        </is>
      </c>
      <c r="J412" t="inlineStr">
        <is>
          <t>Completed</t>
        </is>
      </c>
      <c r="K412" t="inlineStr">
        <is>
          <t>2018</t>
        </is>
      </c>
      <c r="L412" t="inlineStr">
        <is>
          <t>6.5-7.0</t>
        </is>
      </c>
      <c r="M412" t="inlineStr">
        <is>
          <t>5-7</t>
        </is>
      </c>
      <c r="N412" t="inlineStr">
        <is>
          <t>11.5-14.0</t>
        </is>
      </c>
      <c r="O412" t="inlineStr">
        <is>
          <t>Emirates Intl School</t>
        </is>
      </c>
      <c r="P412" t="inlineStr">
        <is>
          <t>Saudi German Hospital</t>
        </is>
      </c>
      <c r="Q412" t="inlineStr">
        <is>
          <t>Dubai Marina Mall</t>
        </is>
      </c>
      <c r="R412" t="inlineStr">
        <is>
          <t>Sheikh Zayed E11</t>
        </is>
      </c>
      <c r="S412" t="inlineStr">
        <is>
          <t>20</t>
        </is>
      </c>
      <c r="T412" t="inlineStr">
        <is>
          <t>5</t>
        </is>
      </c>
      <c r="U412" t="inlineStr">
        <is>
          <t>25</t>
        </is>
      </c>
      <c r="V412" t="inlineStr">
        <is>
          <t>30</t>
        </is>
      </c>
      <c r="W412" t="n">
        <v>2</v>
      </c>
      <c r="X412" s="12" t="n">
        <v>1500000</v>
      </c>
      <c r="Y412" s="12" t="n">
        <v>1500000</v>
      </c>
      <c r="Z412" s="9" t="n">
        <v>6.5</v>
      </c>
      <c r="AA412" s="9" t="n">
        <v>7</v>
      </c>
      <c r="AB412" s="9" t="n">
        <v>5</v>
      </c>
      <c r="AC412" s="9" t="n">
        <v>7</v>
      </c>
      <c r="AD412" s="9" t="n">
        <v>11.5</v>
      </c>
      <c r="AE412" s="9" t="n">
        <v>14</v>
      </c>
      <c r="AF412" t="n">
        <v>2018</v>
      </c>
      <c r="AH412" t="inlineStr">
        <is>
          <t>Apartment</t>
        </is>
      </c>
      <c r="AI412" t="inlineStr">
        <is>
          <t>MainstreamSelective</t>
        </is>
      </c>
      <c r="AJ412" t="inlineStr">
        <is>
          <t>MidTier</t>
        </is>
      </c>
      <c r="AK412" t="inlineStr">
        <is>
          <t>Balanced / selective</t>
        </is>
      </c>
      <c r="AL412" t="inlineStr">
        <is>
          <t>Market remains active but increasingly differentiated by developer, micro-location, livability, and pricing discipline.</t>
        </is>
      </c>
      <c r="AM412" s="9" t="n">
        <v>6</v>
      </c>
      <c r="AN412" s="9" t="n">
        <v>6.75</v>
      </c>
      <c r="AO412" s="10" t="n">
        <v>0.55</v>
      </c>
      <c r="AP412" s="13" t="n">
        <v>0</v>
      </c>
      <c r="AQ412" s="13" t="n">
        <v>0</v>
      </c>
      <c r="AR412" s="13" t="n">
        <v>0</v>
      </c>
      <c r="AS412" s="13" t="n">
        <v>0.01</v>
      </c>
      <c r="AT412" s="13" t="n">
        <v>-0.005</v>
      </c>
      <c r="AU412" s="13" t="n">
        <v>0.0025</v>
      </c>
      <c r="AV412" s="13" t="n">
        <v>-0.005</v>
      </c>
      <c r="AW412" s="13" t="n">
        <v>0.033</v>
      </c>
      <c r="AX412" s="13" t="n">
        <v>0.0025</v>
      </c>
      <c r="AY412" s="12" t="n">
        <v>1503015</v>
      </c>
      <c r="AZ412" s="12" t="n">
        <v>1549500</v>
      </c>
      <c r="BA412" s="12" t="n">
        <v>1595985</v>
      </c>
      <c r="BB412" s="12" t="n">
        <v>1506889</v>
      </c>
      <c r="BC412" s="12" t="n">
        <v>1553374</v>
      </c>
      <c r="BD412" s="12" t="n">
        <v>1599859</v>
      </c>
      <c r="BE412" s="12" t="n">
        <v>1557257</v>
      </c>
      <c r="BF412" t="inlineStr">
        <is>
          <t>Frozen values from same rules-based model as formula sheet.</t>
        </is>
      </c>
      <c r="BG412" t="inlineStr">
        <is>
          <t>2026-03-17</t>
        </is>
      </c>
      <c r="BH412" t="inlineStr">
        <is>
          <t>DLD / Digital Dubai / CBUAE / Savills / Knight Frank-Moody’s / Reuters</t>
        </is>
      </c>
    </row>
    <row r="413">
      <c r="A413" t="n">
        <v>412</v>
      </c>
      <c r="B413" t="inlineStr">
        <is>
          <t>MBL Royal</t>
        </is>
      </c>
      <c r="C413" t="inlineStr">
        <is>
          <t>MAG Property Development</t>
        </is>
      </c>
      <c r="D413" t="inlineStr">
        <is>
          <t>JLT</t>
        </is>
      </c>
      <c r="E413" t="inlineStr">
        <is>
          <t>Apartments</t>
        </is>
      </c>
      <c r="F413" t="inlineStr">
        <is>
          <t>High-Rise / Lake</t>
        </is>
      </c>
      <c r="G413" t="inlineStr">
        <is>
          <t>2.0M</t>
        </is>
      </c>
      <c r="H413" t="inlineStr">
        <is>
          <t>1800</t>
        </is>
      </c>
      <c r="I413" t="inlineStr">
        <is>
          <t>20</t>
        </is>
      </c>
      <c r="J413" t="inlineStr">
        <is>
          <t>60/40</t>
        </is>
      </c>
      <c r="K413" t="inlineStr">
        <is>
          <t>2022</t>
        </is>
      </c>
      <c r="L413" t="inlineStr">
        <is>
          <t>6.5-7.0</t>
        </is>
      </c>
      <c r="M413" t="inlineStr">
        <is>
          <t>6-8</t>
        </is>
      </c>
      <c r="N413" t="inlineStr">
        <is>
          <t>12.5-15.0</t>
        </is>
      </c>
      <c r="O413" t="inlineStr">
        <is>
          <t>Emirates Intl School</t>
        </is>
      </c>
      <c r="P413" t="inlineStr">
        <is>
          <t>Saudi German Hospital</t>
        </is>
      </c>
      <c r="Q413" t="inlineStr">
        <is>
          <t>Dubai Marina Mall</t>
        </is>
      </c>
      <c r="R413" t="inlineStr">
        <is>
          <t>Sheikh Zayed E11</t>
        </is>
      </c>
      <c r="S413" t="inlineStr">
        <is>
          <t>20</t>
        </is>
      </c>
      <c r="T413" t="inlineStr">
        <is>
          <t>5</t>
        </is>
      </c>
      <c r="U413" t="inlineStr">
        <is>
          <t>25</t>
        </is>
      </c>
      <c r="V413" t="inlineStr">
        <is>
          <t>30</t>
        </is>
      </c>
      <c r="W413" t="n">
        <v>2</v>
      </c>
      <c r="X413" s="12" t="n">
        <v>2000000</v>
      </c>
      <c r="Y413" s="12" t="n">
        <v>2000000</v>
      </c>
      <c r="Z413" s="9" t="n">
        <v>6.5</v>
      </c>
      <c r="AA413" s="9" t="n">
        <v>7</v>
      </c>
      <c r="AB413" s="9" t="n">
        <v>6</v>
      </c>
      <c r="AC413" s="9" t="n">
        <v>8</v>
      </c>
      <c r="AD413" s="9" t="n">
        <v>12.5</v>
      </c>
      <c r="AE413" s="9" t="n">
        <v>15</v>
      </c>
      <c r="AF413" t="n">
        <v>2022</v>
      </c>
      <c r="AH413" t="inlineStr">
        <is>
          <t>Apartment</t>
        </is>
      </c>
      <c r="AI413" t="inlineStr">
        <is>
          <t>MainstreamSelective</t>
        </is>
      </c>
      <c r="AJ413" t="inlineStr">
        <is>
          <t>MidTier</t>
        </is>
      </c>
      <c r="AK413" t="inlineStr">
        <is>
          <t>Balanced / selective</t>
        </is>
      </c>
      <c r="AL413" t="inlineStr">
        <is>
          <t>Market remains active but increasingly differentiated by developer, micro-location, livability, and pricing discipline.</t>
        </is>
      </c>
      <c r="AM413" s="9" t="n">
        <v>7</v>
      </c>
      <c r="AN413" s="9" t="n">
        <v>6.75</v>
      </c>
      <c r="AO413" s="10" t="n">
        <v>0.55</v>
      </c>
      <c r="AP413" s="13" t="n">
        <v>0</v>
      </c>
      <c r="AQ413" s="13" t="n">
        <v>0</v>
      </c>
      <c r="AR413" s="13" t="n">
        <v>0</v>
      </c>
      <c r="AS413" s="13" t="n">
        <v>0.01</v>
      </c>
      <c r="AT413" s="13" t="n">
        <v>-0.005</v>
      </c>
      <c r="AU413" s="13" t="n">
        <v>0.0025</v>
      </c>
      <c r="AV413" s="13" t="n">
        <v>-0.005</v>
      </c>
      <c r="AW413" s="13" t="n">
        <v>0.03850000000000001</v>
      </c>
      <c r="AX413" s="13" t="n">
        <v>0.0025</v>
      </c>
      <c r="AY413" s="12" t="n">
        <v>2014690</v>
      </c>
      <c r="AZ413" s="12" t="n">
        <v>2077000</v>
      </c>
      <c r="BA413" s="12" t="n">
        <v>2139310</v>
      </c>
      <c r="BB413" s="12" t="n">
        <v>2019882</v>
      </c>
      <c r="BC413" s="12" t="n">
        <v>2082192</v>
      </c>
      <c r="BD413" s="12" t="n">
        <v>2144502</v>
      </c>
      <c r="BE413" s="12" t="n">
        <v>2087398</v>
      </c>
      <c r="BF413" t="inlineStr">
        <is>
          <t>Frozen values from same rules-based model as formula sheet.</t>
        </is>
      </c>
      <c r="BG413" t="inlineStr">
        <is>
          <t>2026-03-17</t>
        </is>
      </c>
      <c r="BH413" t="inlineStr">
        <is>
          <t>DLD / Digital Dubai / CBUAE / Savills / Knight Frank-Moody’s / Reuters</t>
        </is>
      </c>
    </row>
    <row r="414">
      <c r="A414" t="n">
        <v>413</v>
      </c>
      <c r="B414" t="inlineStr">
        <is>
          <t>MBL Signature</t>
        </is>
      </c>
      <c r="C414" t="inlineStr">
        <is>
          <t>MAG Property Development</t>
        </is>
      </c>
      <c r="D414" t="inlineStr">
        <is>
          <t>JLT</t>
        </is>
      </c>
      <c r="E414" t="inlineStr">
        <is>
          <t>Apartments</t>
        </is>
      </c>
      <c r="F414" t="inlineStr">
        <is>
          <t>High-Rise / Lake</t>
        </is>
      </c>
      <c r="G414" t="inlineStr">
        <is>
          <t>2.2M</t>
        </is>
      </c>
      <c r="H414" t="inlineStr">
        <is>
          <t>2000</t>
        </is>
      </c>
      <c r="I414" t="inlineStr">
        <is>
          <t>20</t>
        </is>
      </c>
      <c r="J414" t="inlineStr">
        <is>
          <t>60/40</t>
        </is>
      </c>
      <c r="K414" t="inlineStr">
        <is>
          <t>2024</t>
        </is>
      </c>
      <c r="L414" t="inlineStr">
        <is>
          <t>6.5-7.0</t>
        </is>
      </c>
      <c r="M414" t="inlineStr">
        <is>
          <t>6-8</t>
        </is>
      </c>
      <c r="N414" t="inlineStr">
        <is>
          <t>12.5-15.0</t>
        </is>
      </c>
      <c r="O414" t="inlineStr">
        <is>
          <t>Emirates Intl School</t>
        </is>
      </c>
      <c r="P414" t="inlineStr">
        <is>
          <t>Saudi German Hospital</t>
        </is>
      </c>
      <c r="Q414" t="inlineStr">
        <is>
          <t>Dubai Marina Mall</t>
        </is>
      </c>
      <c r="R414" t="inlineStr">
        <is>
          <t>Sheikh Zayed E11</t>
        </is>
      </c>
      <c r="S414" t="inlineStr">
        <is>
          <t>20</t>
        </is>
      </c>
      <c r="T414" t="inlineStr">
        <is>
          <t>5</t>
        </is>
      </c>
      <c r="U414" t="inlineStr">
        <is>
          <t>25</t>
        </is>
      </c>
      <c r="V414" t="inlineStr">
        <is>
          <t>30</t>
        </is>
      </c>
      <c r="W414" t="n">
        <v>2</v>
      </c>
      <c r="X414" s="12" t="n">
        <v>2200000</v>
      </c>
      <c r="Y414" s="12" t="n">
        <v>2200000</v>
      </c>
      <c r="Z414" s="9" t="n">
        <v>6.5</v>
      </c>
      <c r="AA414" s="9" t="n">
        <v>7</v>
      </c>
      <c r="AB414" s="9" t="n">
        <v>6</v>
      </c>
      <c r="AC414" s="9" t="n">
        <v>8</v>
      </c>
      <c r="AD414" s="9" t="n">
        <v>12.5</v>
      </c>
      <c r="AE414" s="9" t="n">
        <v>15</v>
      </c>
      <c r="AF414" t="n">
        <v>2024</v>
      </c>
      <c r="AH414" t="inlineStr">
        <is>
          <t>Apartment</t>
        </is>
      </c>
      <c r="AI414" t="inlineStr">
        <is>
          <t>MainstreamSelective</t>
        </is>
      </c>
      <c r="AJ414" t="inlineStr">
        <is>
          <t>MidTier</t>
        </is>
      </c>
      <c r="AK414" t="inlineStr">
        <is>
          <t>Balanced / selective</t>
        </is>
      </c>
      <c r="AL414" t="inlineStr">
        <is>
          <t>Market remains active but increasingly differentiated by developer, micro-location, livability, and pricing discipline.</t>
        </is>
      </c>
      <c r="AM414" s="9" t="n">
        <v>7</v>
      </c>
      <c r="AN414" s="9" t="n">
        <v>6.75</v>
      </c>
      <c r="AO414" s="10" t="n">
        <v>0.55</v>
      </c>
      <c r="AP414" s="13" t="n">
        <v>0</v>
      </c>
      <c r="AQ414" s="13" t="n">
        <v>0</v>
      </c>
      <c r="AR414" s="13" t="n">
        <v>0</v>
      </c>
      <c r="AS414" s="13" t="n">
        <v>0.01</v>
      </c>
      <c r="AT414" s="13" t="n">
        <v>-0.005</v>
      </c>
      <c r="AU414" s="13" t="n">
        <v>0.0025</v>
      </c>
      <c r="AV414" s="13" t="n">
        <v>-0.005</v>
      </c>
      <c r="AW414" s="13" t="n">
        <v>0.03850000000000001</v>
      </c>
      <c r="AX414" s="13" t="n">
        <v>0.0025</v>
      </c>
      <c r="AY414" s="12" t="n">
        <v>2216159</v>
      </c>
      <c r="AZ414" s="12" t="n">
        <v>2284700</v>
      </c>
      <c r="BA414" s="12" t="n">
        <v>2353241</v>
      </c>
      <c r="BB414" s="12" t="n">
        <v>2221871</v>
      </c>
      <c r="BC414" s="12" t="n">
        <v>2290412</v>
      </c>
      <c r="BD414" s="12" t="n">
        <v>2358953</v>
      </c>
      <c r="BE414" s="12" t="n">
        <v>2296138</v>
      </c>
      <c r="BF414" t="inlineStr">
        <is>
          <t>Frozen values from same rules-based model as formula sheet.</t>
        </is>
      </c>
      <c r="BG414" t="inlineStr">
        <is>
          <t>2026-03-17</t>
        </is>
      </c>
      <c r="BH414" t="inlineStr">
        <is>
          <t>DLD / Digital Dubai / CBUAE / Savills / Knight Frank-Moody’s / Reuters</t>
        </is>
      </c>
    </row>
    <row r="415">
      <c r="A415" t="n">
        <v>414</v>
      </c>
      <c r="B415" t="inlineStr">
        <is>
          <t>MAG 318</t>
        </is>
      </c>
      <c r="C415" t="inlineStr">
        <is>
          <t>MAG Property Development</t>
        </is>
      </c>
      <c r="D415" t="inlineStr">
        <is>
          <t>Business Bay</t>
        </is>
      </c>
      <c r="E415" t="inlineStr">
        <is>
          <t>Apartments</t>
        </is>
      </c>
      <c r="F415" t="inlineStr">
        <is>
          <t>Canal / City</t>
        </is>
      </c>
      <c r="G415" t="inlineStr">
        <is>
          <t>Resale (1.2M+)</t>
        </is>
      </c>
      <c r="H415" t="inlineStr">
        <is>
          <t>1600</t>
        </is>
      </c>
      <c r="I415" t="inlineStr">
        <is>
          <t>18</t>
        </is>
      </c>
      <c r="J415" t="inlineStr">
        <is>
          <t>Completed</t>
        </is>
      </c>
      <c r="K415" t="inlineStr">
        <is>
          <t>2019</t>
        </is>
      </c>
      <c r="L415" t="inlineStr">
        <is>
          <t>6.0-6.5</t>
        </is>
      </c>
      <c r="M415" t="inlineStr">
        <is>
          <t>5-7</t>
        </is>
      </c>
      <c r="N415" t="inlineStr">
        <is>
          <t>11.0-13.5</t>
        </is>
      </c>
      <c r="O415" t="inlineStr">
        <is>
          <t>Hartland Intl</t>
        </is>
      </c>
      <c r="P415" t="inlineStr">
        <is>
          <t>Emirates Hospital BB</t>
        </is>
      </c>
      <c r="Q415" t="inlineStr">
        <is>
          <t>Dubai Mall</t>
        </is>
      </c>
      <c r="R415" t="inlineStr">
        <is>
          <t>Al Khail E44</t>
        </is>
      </c>
      <c r="S415" t="inlineStr">
        <is>
          <t>5</t>
        </is>
      </c>
      <c r="T415" t="inlineStr">
        <is>
          <t>20</t>
        </is>
      </c>
      <c r="U415" t="inlineStr">
        <is>
          <t>15</t>
        </is>
      </c>
      <c r="V415" t="inlineStr">
        <is>
          <t>35</t>
        </is>
      </c>
      <c r="W415" t="n">
        <v>2</v>
      </c>
      <c r="X415" s="12" t="n">
        <v>1200000</v>
      </c>
      <c r="Y415" s="12" t="n">
        <v>1200000</v>
      </c>
      <c r="Z415" s="9" t="n">
        <v>6</v>
      </c>
      <c r="AA415" s="9" t="n">
        <v>6.5</v>
      </c>
      <c r="AB415" s="9" t="n">
        <v>5</v>
      </c>
      <c r="AC415" s="9" t="n">
        <v>7</v>
      </c>
      <c r="AD415" s="9" t="n">
        <v>11</v>
      </c>
      <c r="AE415" s="9" t="n">
        <v>13.5</v>
      </c>
      <c r="AF415" t="n">
        <v>2019</v>
      </c>
      <c r="AH415" t="inlineStr">
        <is>
          <t>Apartment</t>
        </is>
      </c>
      <c r="AI415" t="inlineStr">
        <is>
          <t>Prime</t>
        </is>
      </c>
      <c r="AJ415" t="inlineStr">
        <is>
          <t>MidTier</t>
        </is>
      </c>
      <c r="AK415" t="inlineStr">
        <is>
          <t>Prime resilient / selective</t>
        </is>
      </c>
      <c r="AL415" t="inlineStr">
        <is>
          <t>Better support from quality, branding, and scarcer prime stock; still entry-price sensitive.</t>
        </is>
      </c>
      <c r="AM415" s="9" t="n">
        <v>6</v>
      </c>
      <c r="AN415" s="9" t="n">
        <v>6.25</v>
      </c>
      <c r="AO415" s="10" t="n">
        <v>0.55</v>
      </c>
      <c r="AP415" s="13" t="n">
        <v>0.02</v>
      </c>
      <c r="AQ415" s="13" t="n">
        <v>0</v>
      </c>
      <c r="AR415" s="13" t="n">
        <v>0</v>
      </c>
      <c r="AS415" s="13" t="n">
        <v>0.03</v>
      </c>
      <c r="AT415" s="13" t="n">
        <v>-0.005</v>
      </c>
      <c r="AU415" s="13" t="n">
        <v>0.0025</v>
      </c>
      <c r="AV415" s="13" t="n">
        <v>-0.005</v>
      </c>
      <c r="AW415" s="13" t="n">
        <v>0.05300000000000001</v>
      </c>
      <c r="AX415" s="13" t="n">
        <v>0.0225</v>
      </c>
      <c r="AY415" s="12" t="n">
        <v>1225692</v>
      </c>
      <c r="AZ415" s="12" t="n">
        <v>1263600</v>
      </c>
      <c r="BA415" s="12" t="n">
        <v>1301508</v>
      </c>
      <c r="BB415" s="12" t="n">
        <v>1254123</v>
      </c>
      <c r="BC415" s="12" t="n">
        <v>1292031</v>
      </c>
      <c r="BD415" s="12" t="n">
        <v>1329939</v>
      </c>
      <c r="BE415" s="12" t="n">
        <v>1321102</v>
      </c>
      <c r="BF415" t="inlineStr">
        <is>
          <t>Frozen values from same rules-based model as formula sheet.</t>
        </is>
      </c>
      <c r="BG415" t="inlineStr">
        <is>
          <t>2026-03-17</t>
        </is>
      </c>
      <c r="BH415" t="inlineStr">
        <is>
          <t>DLD / Digital Dubai / CBUAE / Savills / Knight Frank-Moody’s / Reuters</t>
        </is>
      </c>
    </row>
    <row r="416">
      <c r="A416" t="n">
        <v>415</v>
      </c>
      <c r="B416" t="inlineStr">
        <is>
          <t>MAG 218</t>
        </is>
      </c>
      <c r="C416" t="inlineStr">
        <is>
          <t>MAG Property Development</t>
        </is>
      </c>
      <c r="D416" t="inlineStr">
        <is>
          <t>Dubai Marina</t>
        </is>
      </c>
      <c r="E416" t="inlineStr">
        <is>
          <t>Apartments</t>
        </is>
      </c>
      <c r="F416" t="inlineStr">
        <is>
          <t>High-Rise</t>
        </is>
      </c>
      <c r="G416" t="inlineStr">
        <is>
          <t>Resale</t>
        </is>
      </c>
      <c r="H416" t="inlineStr">
        <is>
          <t>1200</t>
        </is>
      </c>
      <c r="I416" t="inlineStr">
        <is>
          <t>16</t>
        </is>
      </c>
      <c r="J416" t="inlineStr">
        <is>
          <t>Completed</t>
        </is>
      </c>
      <c r="K416" t="inlineStr">
        <is>
          <t>2010</t>
        </is>
      </c>
      <c r="L416" t="inlineStr">
        <is>
          <t>7.0-7.5</t>
        </is>
      </c>
      <c r="M416" t="inlineStr">
        <is>
          <t>4-6</t>
        </is>
      </c>
      <c r="N416" t="inlineStr">
        <is>
          <t>11.0-13.5</t>
        </is>
      </c>
      <c r="O416" t="inlineStr">
        <is>
          <t>American Univ. Dubai</t>
        </is>
      </c>
      <c r="P416" t="inlineStr">
        <is>
          <t>Saudi German Hospital</t>
        </is>
      </c>
      <c r="Q416" t="inlineStr">
        <is>
          <t>Dubai Marina Mall</t>
        </is>
      </c>
      <c r="R416" t="inlineStr">
        <is>
          <t>Sheikh Zayed E11</t>
        </is>
      </c>
      <c r="S416" t="inlineStr">
        <is>
          <t>20</t>
        </is>
      </c>
      <c r="T416" t="inlineStr">
        <is>
          <t>2</t>
        </is>
      </c>
      <c r="U416" t="inlineStr">
        <is>
          <t>25</t>
        </is>
      </c>
      <c r="V416" t="inlineStr">
        <is>
          <t>30</t>
        </is>
      </c>
      <c r="W416" t="n">
        <v>2</v>
      </c>
      <c r="X416" s="12" t="n"/>
      <c r="Y416" s="12" t="n"/>
      <c r="Z416" s="9" t="n">
        <v>7</v>
      </c>
      <c r="AA416" s="9" t="n">
        <v>7.5</v>
      </c>
      <c r="AB416" s="9" t="n">
        <v>4</v>
      </c>
      <c r="AC416" s="9" t="n">
        <v>6</v>
      </c>
      <c r="AD416" s="9" t="n">
        <v>11</v>
      </c>
      <c r="AE416" s="9" t="n">
        <v>13.5</v>
      </c>
      <c r="AF416" t="n">
        <v>2010</v>
      </c>
      <c r="AH416" t="inlineStr">
        <is>
          <t>Apartment</t>
        </is>
      </c>
      <c r="AI416" t="inlineStr">
        <is>
          <t>Prime</t>
        </is>
      </c>
      <c r="AJ416" t="inlineStr">
        <is>
          <t>MidTier</t>
        </is>
      </c>
      <c r="AK416" t="inlineStr">
        <is>
          <t>Prime resilient / selective</t>
        </is>
      </c>
      <c r="AL416" t="inlineStr">
        <is>
          <t>Better support from quality, branding, and scarcer prime stock; still entry-price sensitive.</t>
        </is>
      </c>
      <c r="AM416" s="9" t="n">
        <v>5</v>
      </c>
      <c r="AN416" s="9" t="n">
        <v>7.25</v>
      </c>
      <c r="AO416" s="10" t="n">
        <v>0.55</v>
      </c>
      <c r="AP416" s="13" t="n">
        <v>0.02</v>
      </c>
      <c r="AQ416" s="13" t="n">
        <v>0</v>
      </c>
      <c r="AR416" s="13" t="n">
        <v>0</v>
      </c>
      <c r="AS416" s="13" t="n">
        <v>0.03</v>
      </c>
      <c r="AT416" s="13" t="n">
        <v>-0.005</v>
      </c>
      <c r="AU416" s="13" t="n">
        <v>0.0025</v>
      </c>
      <c r="AV416" s="13" t="n">
        <v>-0.005</v>
      </c>
      <c r="AW416" s="13" t="n">
        <v>0.0475</v>
      </c>
      <c r="AX416" s="13" t="n">
        <v>0.0225</v>
      </c>
      <c r="AY416" s="12" t="n"/>
      <c r="AZ416" s="12" t="n"/>
      <c r="BA416" s="12" t="n"/>
      <c r="BB416" s="12" t="n"/>
      <c r="BC416" s="12" t="n"/>
      <c r="BD416" s="12" t="n"/>
      <c r="BE416" s="12" t="n"/>
      <c r="BF416" t="inlineStr">
        <is>
          <t>Frozen values from same rules-based model as formula sheet.</t>
        </is>
      </c>
      <c r="BG416" t="inlineStr">
        <is>
          <t>2026-03-17</t>
        </is>
      </c>
      <c r="BH416" t="inlineStr">
        <is>
          <t>DLD / Digital Dubai / CBUAE / Savills / Knight Frank-Moody’s / Reuters</t>
        </is>
      </c>
    </row>
    <row r="417">
      <c r="A417" t="n">
        <v>416</v>
      </c>
      <c r="B417" t="inlineStr">
        <is>
          <t>Mar Casa</t>
        </is>
      </c>
      <c r="C417" t="inlineStr">
        <is>
          <t>Deyaar</t>
        </is>
      </c>
      <c r="D417" t="inlineStr">
        <is>
          <t>Dubai Maritime City</t>
        </is>
      </c>
      <c r="E417" t="inlineStr">
        <is>
          <t>Apartments</t>
        </is>
      </c>
      <c r="F417" t="inlineStr">
        <is>
          <t>Sea View / Luxury</t>
        </is>
      </c>
      <c r="G417" t="inlineStr">
        <is>
          <t>2.2M</t>
        </is>
      </c>
      <c r="H417" t="inlineStr">
        <is>
          <t>2000</t>
        </is>
      </c>
      <c r="I417" t="inlineStr">
        <is>
          <t>20</t>
        </is>
      </c>
      <c r="J417" t="inlineStr">
        <is>
          <t>50/50</t>
        </is>
      </c>
      <c r="K417" t="inlineStr">
        <is>
          <t>2023</t>
        </is>
      </c>
      <c r="L417" t="inlineStr">
        <is>
          <t>6.5-7.0</t>
        </is>
      </c>
      <c r="M417" t="inlineStr">
        <is>
          <t>8-10</t>
        </is>
      </c>
      <c r="N417" t="inlineStr">
        <is>
          <t>14.5-17.0</t>
        </is>
      </c>
      <c r="O417" t="inlineStr">
        <is>
          <t>New Academy School</t>
        </is>
      </c>
      <c r="P417" t="inlineStr">
        <is>
          <t>Aster Hospital Mankhool</t>
        </is>
      </c>
      <c r="Q417" t="inlineStr">
        <is>
          <t>Dubai Mall</t>
        </is>
      </c>
      <c r="R417" t="inlineStr">
        <is>
          <t>Al Khaleej / E11</t>
        </is>
      </c>
      <c r="S417" t="inlineStr">
        <is>
          <t>15</t>
        </is>
      </c>
      <c r="T417" t="inlineStr">
        <is>
          <t>25</t>
        </is>
      </c>
      <c r="U417" t="inlineStr">
        <is>
          <t>15</t>
        </is>
      </c>
      <c r="V417" t="inlineStr">
        <is>
          <t>45</t>
        </is>
      </c>
      <c r="W417" t="n">
        <v>2</v>
      </c>
      <c r="X417" s="12" t="n">
        <v>2200000</v>
      </c>
      <c r="Y417" s="12" t="n">
        <v>2200000</v>
      </c>
      <c r="Z417" s="9" t="n">
        <v>6.5</v>
      </c>
      <c r="AA417" s="9" t="n">
        <v>7</v>
      </c>
      <c r="AB417" s="9" t="n">
        <v>8</v>
      </c>
      <c r="AC417" s="9" t="n">
        <v>10</v>
      </c>
      <c r="AD417" s="9" t="n">
        <v>14.5</v>
      </c>
      <c r="AE417" s="9" t="n">
        <v>17</v>
      </c>
      <c r="AF417" t="n">
        <v>2023</v>
      </c>
      <c r="AH417" t="inlineStr">
        <is>
          <t>Apartment</t>
        </is>
      </c>
      <c r="AI417" t="inlineStr">
        <is>
          <t>MainstreamSelective</t>
        </is>
      </c>
      <c r="AJ417" t="inlineStr">
        <is>
          <t>Established</t>
        </is>
      </c>
      <c r="AK417" t="inlineStr">
        <is>
          <t>Balanced / selective</t>
        </is>
      </c>
      <c r="AL417" t="inlineStr">
        <is>
          <t>Market remains active but increasingly differentiated by developer, micro-location, livability, and pricing discipline.</t>
        </is>
      </c>
      <c r="AM417" s="9" t="n">
        <v>9</v>
      </c>
      <c r="AN417" s="9" t="n">
        <v>6.75</v>
      </c>
      <c r="AO417" s="10" t="n">
        <v>0.55</v>
      </c>
      <c r="AP417" s="13" t="n">
        <v>0</v>
      </c>
      <c r="AQ417" s="13" t="n">
        <v>0</v>
      </c>
      <c r="AR417" s="13" t="n">
        <v>0</v>
      </c>
      <c r="AS417" s="13" t="n">
        <v>0.01</v>
      </c>
      <c r="AT417" s="13" t="n">
        <v>0</v>
      </c>
      <c r="AU417" s="13" t="n">
        <v>0.0025</v>
      </c>
      <c r="AV417" s="13" t="n">
        <v>-0.005</v>
      </c>
      <c r="AW417" s="13" t="n">
        <v>0.0495</v>
      </c>
      <c r="AX417" s="13" t="n">
        <v>0.007500000000000001</v>
      </c>
      <c r="AY417" s="12" t="n">
        <v>2239633</v>
      </c>
      <c r="AZ417" s="12" t="n">
        <v>2308900</v>
      </c>
      <c r="BA417" s="12" t="n">
        <v>2378167</v>
      </c>
      <c r="BB417" s="12" t="n">
        <v>2256950</v>
      </c>
      <c r="BC417" s="12" t="n">
        <v>2326217</v>
      </c>
      <c r="BD417" s="12" t="n">
        <v>2395484</v>
      </c>
      <c r="BE417" s="12" t="n">
        <v>2343663</v>
      </c>
      <c r="BF417" t="inlineStr">
        <is>
          <t>Frozen values from same rules-based model as formula sheet.</t>
        </is>
      </c>
      <c r="BG417" t="inlineStr">
        <is>
          <t>2026-03-17</t>
        </is>
      </c>
      <c r="BH417" t="inlineStr">
        <is>
          <t>DLD / Digital Dubai / CBUAE / Savills / Knight Frank-Moody’s / Reuters</t>
        </is>
      </c>
    </row>
    <row r="418">
      <c r="A418" t="n">
        <v>417</v>
      </c>
      <c r="B418" t="inlineStr">
        <is>
          <t>Regalia</t>
        </is>
      </c>
      <c r="C418" t="inlineStr">
        <is>
          <t>Deyaar</t>
        </is>
      </c>
      <c r="D418" t="inlineStr">
        <is>
          <t>Business Bay</t>
        </is>
      </c>
      <c r="E418" t="inlineStr">
        <is>
          <t>Apartments</t>
        </is>
      </c>
      <c r="F418" t="inlineStr">
        <is>
          <t>Luxury / Smart</t>
        </is>
      </c>
      <c r="G418" t="inlineStr">
        <is>
          <t>1.8M</t>
        </is>
      </c>
      <c r="H418" t="inlineStr">
        <is>
          <t>2100</t>
        </is>
      </c>
      <c r="I418" t="inlineStr">
        <is>
          <t>20</t>
        </is>
      </c>
      <c r="J418" t="inlineStr">
        <is>
          <t>Completed</t>
        </is>
      </c>
      <c r="K418" t="inlineStr">
        <is>
          <t>2021</t>
        </is>
      </c>
      <c r="L418" t="inlineStr">
        <is>
          <t>6.0-6.5</t>
        </is>
      </c>
      <c r="M418" t="inlineStr">
        <is>
          <t>6-8</t>
        </is>
      </c>
      <c r="N418" t="inlineStr">
        <is>
          <t>12.0-14.5</t>
        </is>
      </c>
      <c r="O418" t="inlineStr">
        <is>
          <t>Hartland Intl</t>
        </is>
      </c>
      <c r="P418" t="inlineStr">
        <is>
          <t>Emirates Hospital BB</t>
        </is>
      </c>
      <c r="Q418" t="inlineStr">
        <is>
          <t>Dubai Mall</t>
        </is>
      </c>
      <c r="R418" t="inlineStr">
        <is>
          <t>Al Khail E44</t>
        </is>
      </c>
      <c r="S418" t="inlineStr">
        <is>
          <t>5</t>
        </is>
      </c>
      <c r="T418" t="inlineStr">
        <is>
          <t>20</t>
        </is>
      </c>
      <c r="U418" t="inlineStr">
        <is>
          <t>15</t>
        </is>
      </c>
      <c r="V418" t="inlineStr">
        <is>
          <t>35</t>
        </is>
      </c>
      <c r="W418" t="n">
        <v>2</v>
      </c>
      <c r="X418" s="12" t="n">
        <v>1800000</v>
      </c>
      <c r="Y418" s="12" t="n">
        <v>1800000</v>
      </c>
      <c r="Z418" s="9" t="n">
        <v>6</v>
      </c>
      <c r="AA418" s="9" t="n">
        <v>6.5</v>
      </c>
      <c r="AB418" s="9" t="n">
        <v>6</v>
      </c>
      <c r="AC418" s="9" t="n">
        <v>8</v>
      </c>
      <c r="AD418" s="9" t="n">
        <v>12</v>
      </c>
      <c r="AE418" s="9" t="n">
        <v>14.5</v>
      </c>
      <c r="AF418" t="n">
        <v>2021</v>
      </c>
      <c r="AH418" t="inlineStr">
        <is>
          <t>Apartment</t>
        </is>
      </c>
      <c r="AI418" t="inlineStr">
        <is>
          <t>Prime</t>
        </is>
      </c>
      <c r="AJ418" t="inlineStr">
        <is>
          <t>Established</t>
        </is>
      </c>
      <c r="AK418" t="inlineStr">
        <is>
          <t>Prime resilient / selective</t>
        </is>
      </c>
      <c r="AL418" t="inlineStr">
        <is>
          <t>Better support from quality, branding, and scarcer prime stock; still entry-price sensitive.</t>
        </is>
      </c>
      <c r="AM418" s="9" t="n">
        <v>7</v>
      </c>
      <c r="AN418" s="9" t="n">
        <v>6.25</v>
      </c>
      <c r="AO418" s="10" t="n">
        <v>0.55</v>
      </c>
      <c r="AP418" s="13" t="n">
        <v>0.02</v>
      </c>
      <c r="AQ418" s="13" t="n">
        <v>0</v>
      </c>
      <c r="AR418" s="13" t="n">
        <v>0</v>
      </c>
      <c r="AS418" s="13" t="n">
        <v>0.03</v>
      </c>
      <c r="AT418" s="13" t="n">
        <v>0</v>
      </c>
      <c r="AU418" s="13" t="n">
        <v>0.0025</v>
      </c>
      <c r="AV418" s="13" t="n">
        <v>-0.005</v>
      </c>
      <c r="AW418" s="13" t="n">
        <v>0.05850000000000001</v>
      </c>
      <c r="AX418" s="13" t="n">
        <v>0.0275</v>
      </c>
      <c r="AY418" s="12" t="n">
        <v>1848141</v>
      </c>
      <c r="AZ418" s="12" t="n">
        <v>1905300</v>
      </c>
      <c r="BA418" s="12" t="n">
        <v>1962459</v>
      </c>
      <c r="BB418" s="12" t="n">
        <v>1900537</v>
      </c>
      <c r="BC418" s="12" t="n">
        <v>1957696</v>
      </c>
      <c r="BD418" s="12" t="n">
        <v>2014855</v>
      </c>
      <c r="BE418" s="12" t="n">
        <v>2011532</v>
      </c>
      <c r="BF418" t="inlineStr">
        <is>
          <t>Frozen values from same rules-based model as formula sheet.</t>
        </is>
      </c>
      <c r="BG418" t="inlineStr">
        <is>
          <t>2026-03-17</t>
        </is>
      </c>
      <c r="BH418" t="inlineStr">
        <is>
          <t>DLD / Digital Dubai / CBUAE / Savills / Knight Frank-Moody’s / Reuters</t>
        </is>
      </c>
    </row>
    <row r="419">
      <c r="A419" t="n">
        <v>418</v>
      </c>
      <c r="B419" t="inlineStr">
        <is>
          <t>Midtown Master Community</t>
        </is>
      </c>
      <c r="C419" t="inlineStr">
        <is>
          <t>Deyaar</t>
        </is>
      </c>
      <c r="D419" t="inlineStr">
        <is>
          <t>Dubai Production City</t>
        </is>
      </c>
      <c r="E419" t="inlineStr">
        <is>
          <t>Apartments</t>
        </is>
      </c>
      <c r="F419" t="inlineStr">
        <is>
          <t>Community / Family</t>
        </is>
      </c>
      <c r="G419" t="inlineStr">
        <is>
          <t>Resale (800k+)</t>
        </is>
      </c>
      <c r="H419" t="inlineStr">
        <is>
          <t>1100</t>
        </is>
      </c>
      <c r="I419" t="inlineStr">
        <is>
          <t>15</t>
        </is>
      </c>
      <c r="J419" t="inlineStr">
        <is>
          <t>Completed</t>
        </is>
      </c>
      <c r="K419" t="inlineStr">
        <is>
          <t>2015</t>
        </is>
      </c>
      <c r="L419" t="inlineStr">
        <is>
          <t>7.5-8.0</t>
        </is>
      </c>
      <c r="M419" t="inlineStr">
        <is>
          <t>5-7</t>
        </is>
      </c>
      <c r="N419" t="inlineStr">
        <is>
          <t>12.5-15.0</t>
        </is>
      </c>
      <c r="O419" t="inlineStr">
        <is>
          <t>Sunmarke School</t>
        </is>
      </c>
      <c r="P419" t="inlineStr">
        <is>
          <t>NMC Royal DIP</t>
        </is>
      </c>
      <c r="Q419" t="inlineStr">
        <is>
          <t>City Centre Me'aisem</t>
        </is>
      </c>
      <c r="R419" t="inlineStr">
        <is>
          <t>E311 / Yalayis</t>
        </is>
      </c>
      <c r="S419" t="inlineStr">
        <is>
          <t>25</t>
        </is>
      </c>
      <c r="T419" t="inlineStr">
        <is>
          <t>20</t>
        </is>
      </c>
      <c r="U419" t="inlineStr">
        <is>
          <t>30</t>
        </is>
      </c>
      <c r="V419" t="inlineStr">
        <is>
          <t>25</t>
        </is>
      </c>
      <c r="W419" t="n">
        <v>2</v>
      </c>
      <c r="X419" s="12" t="n">
        <v>800000</v>
      </c>
      <c r="Y419" s="12" t="n">
        <v>800000</v>
      </c>
      <c r="Z419" s="9" t="n">
        <v>7.5</v>
      </c>
      <c r="AA419" s="9" t="n">
        <v>8</v>
      </c>
      <c r="AB419" s="9" t="n">
        <v>5</v>
      </c>
      <c r="AC419" s="9" t="n">
        <v>7</v>
      </c>
      <c r="AD419" s="9" t="n">
        <v>12.5</v>
      </c>
      <c r="AE419" s="9" t="n">
        <v>15</v>
      </c>
      <c r="AF419" t="n">
        <v>2015</v>
      </c>
      <c r="AH419" t="inlineStr">
        <is>
          <t>Apartment</t>
        </is>
      </c>
      <c r="AI419" t="inlineStr">
        <is>
          <t>MainstreamSelective</t>
        </is>
      </c>
      <c r="AJ419" t="inlineStr">
        <is>
          <t>Established</t>
        </is>
      </c>
      <c r="AK419" t="inlineStr">
        <is>
          <t>Balanced / selective</t>
        </is>
      </c>
      <c r="AL419" t="inlineStr">
        <is>
          <t>Market remains active but increasingly differentiated by developer, micro-location, livability, and pricing discipline.</t>
        </is>
      </c>
      <c r="AM419" s="9" t="n">
        <v>6</v>
      </c>
      <c r="AN419" s="9" t="n">
        <v>7.75</v>
      </c>
      <c r="AO419" s="10" t="n">
        <v>0.55</v>
      </c>
      <c r="AP419" s="13" t="n">
        <v>0</v>
      </c>
      <c r="AQ419" s="13" t="n">
        <v>0</v>
      </c>
      <c r="AR419" s="13" t="n">
        <v>0</v>
      </c>
      <c r="AS419" s="13" t="n">
        <v>0.01</v>
      </c>
      <c r="AT419" s="13" t="n">
        <v>0</v>
      </c>
      <c r="AU419" s="13" t="n">
        <v>0.0025</v>
      </c>
      <c r="AV419" s="13" t="n">
        <v>-0.005</v>
      </c>
      <c r="AW419" s="13" t="n">
        <v>0.033</v>
      </c>
      <c r="AX419" s="13" t="n">
        <v>0.007500000000000001</v>
      </c>
      <c r="AY419" s="12" t="n">
        <v>801608</v>
      </c>
      <c r="AZ419" s="12" t="n">
        <v>826400</v>
      </c>
      <c r="BA419" s="12" t="n">
        <v>851192</v>
      </c>
      <c r="BB419" s="12" t="n">
        <v>807806</v>
      </c>
      <c r="BC419" s="12" t="n">
        <v>832598</v>
      </c>
      <c r="BD419" s="12" t="n">
        <v>857390</v>
      </c>
      <c r="BE419" s="12" t="n">
        <v>838842</v>
      </c>
      <c r="BF419" t="inlineStr">
        <is>
          <t>Frozen values from same rules-based model as formula sheet.</t>
        </is>
      </c>
      <c r="BG419" t="inlineStr">
        <is>
          <t>2026-03-17</t>
        </is>
      </c>
      <c r="BH419" t="inlineStr">
        <is>
          <t>DLD / Digital Dubai / CBUAE / Savills / Knight Frank-Moody’s / Reuters</t>
        </is>
      </c>
    </row>
    <row r="420">
      <c r="A420" t="n">
        <v>419</v>
      </c>
      <c r="B420" t="inlineStr">
        <is>
          <t>Jannat</t>
        </is>
      </c>
      <c r="C420" t="inlineStr">
        <is>
          <t>Deyaar</t>
        </is>
      </c>
      <c r="D420" t="inlineStr">
        <is>
          <t>Midtown</t>
        </is>
      </c>
      <c r="E420" t="inlineStr">
        <is>
          <t>Apartments</t>
        </is>
      </c>
      <c r="F420" t="inlineStr">
        <is>
          <t>Park View</t>
        </is>
      </c>
      <c r="G420" t="inlineStr">
        <is>
          <t>900k</t>
        </is>
      </c>
      <c r="H420" t="inlineStr">
        <is>
          <t>1200</t>
        </is>
      </c>
      <c r="I420" t="inlineStr">
        <is>
          <t>15</t>
        </is>
      </c>
      <c r="J420" t="inlineStr">
        <is>
          <t>50/50</t>
        </is>
      </c>
      <c r="K420" t="inlineStr">
        <is>
          <t>2023</t>
        </is>
      </c>
      <c r="L420" t="inlineStr">
        <is>
          <t>7.5-8.0</t>
        </is>
      </c>
      <c r="M420" t="inlineStr">
        <is>
          <t>6-8</t>
        </is>
      </c>
      <c r="N420" t="inlineStr">
        <is>
          <t>13.5-16.0</t>
        </is>
      </c>
      <c r="O420" t="inlineStr">
        <is>
          <t>Sunmarke School</t>
        </is>
      </c>
      <c r="P420" t="inlineStr">
        <is>
          <t>NMC Royal DIP</t>
        </is>
      </c>
      <c r="Q420" t="inlineStr">
        <is>
          <t>City Centre Me'aisem</t>
        </is>
      </c>
      <c r="R420" t="inlineStr">
        <is>
          <t>E311 / Yalayis</t>
        </is>
      </c>
      <c r="S420" t="inlineStr">
        <is>
          <t>25</t>
        </is>
      </c>
      <c r="T420" t="inlineStr">
        <is>
          <t>20</t>
        </is>
      </c>
      <c r="U420" t="inlineStr">
        <is>
          <t>30</t>
        </is>
      </c>
      <c r="V420" t="inlineStr">
        <is>
          <t>25</t>
        </is>
      </c>
      <c r="W420" t="n">
        <v>2</v>
      </c>
      <c r="X420" s="12" t="n">
        <v>900000</v>
      </c>
      <c r="Y420" s="12" t="n">
        <v>900000</v>
      </c>
      <c r="Z420" s="9" t="n">
        <v>7.5</v>
      </c>
      <c r="AA420" s="9" t="n">
        <v>8</v>
      </c>
      <c r="AB420" s="9" t="n">
        <v>6</v>
      </c>
      <c r="AC420" s="9" t="n">
        <v>8</v>
      </c>
      <c r="AD420" s="9" t="n">
        <v>13.5</v>
      </c>
      <c r="AE420" s="9" t="n">
        <v>16</v>
      </c>
      <c r="AF420" t="n">
        <v>2023</v>
      </c>
      <c r="AH420" t="inlineStr">
        <is>
          <t>Apartment</t>
        </is>
      </c>
      <c r="AI420" t="inlineStr">
        <is>
          <t>MainstreamSelective</t>
        </is>
      </c>
      <c r="AJ420" t="inlineStr">
        <is>
          <t>Established</t>
        </is>
      </c>
      <c r="AK420" t="inlineStr">
        <is>
          <t>Balanced / selective</t>
        </is>
      </c>
      <c r="AL420" t="inlineStr">
        <is>
          <t>Market remains active but increasingly differentiated by developer, micro-location, livability, and pricing discipline.</t>
        </is>
      </c>
      <c r="AM420" s="9" t="n">
        <v>7</v>
      </c>
      <c r="AN420" s="9" t="n">
        <v>7.75</v>
      </c>
      <c r="AO420" s="10" t="n">
        <v>0.55</v>
      </c>
      <c r="AP420" s="13" t="n">
        <v>0</v>
      </c>
      <c r="AQ420" s="13" t="n">
        <v>0</v>
      </c>
      <c r="AR420" s="13" t="n">
        <v>0</v>
      </c>
      <c r="AS420" s="13" t="n">
        <v>0.01</v>
      </c>
      <c r="AT420" s="13" t="n">
        <v>0</v>
      </c>
      <c r="AU420" s="13" t="n">
        <v>0.0025</v>
      </c>
      <c r="AV420" s="13" t="n">
        <v>-0.005</v>
      </c>
      <c r="AW420" s="13" t="n">
        <v>0.03850000000000001</v>
      </c>
      <c r="AX420" s="13" t="n">
        <v>0.007500000000000001</v>
      </c>
      <c r="AY420" s="12" t="n">
        <v>906610</v>
      </c>
      <c r="AZ420" s="12" t="n">
        <v>934650</v>
      </c>
      <c r="BA420" s="12" t="n">
        <v>962690</v>
      </c>
      <c r="BB420" s="12" t="n">
        <v>913620</v>
      </c>
      <c r="BC420" s="12" t="n">
        <v>941660</v>
      </c>
      <c r="BD420" s="12" t="n">
        <v>969699</v>
      </c>
      <c r="BE420" s="12" t="n">
        <v>948722</v>
      </c>
      <c r="BF420" t="inlineStr">
        <is>
          <t>Frozen values from same rules-based model as formula sheet.</t>
        </is>
      </c>
      <c r="BG420" t="inlineStr">
        <is>
          <t>2026-03-17</t>
        </is>
      </c>
      <c r="BH420" t="inlineStr">
        <is>
          <t>DLD / Digital Dubai / CBUAE / Savills / Knight Frank-Moody’s / Reuters</t>
        </is>
      </c>
    </row>
    <row r="421">
      <c r="A421" t="n">
        <v>420</v>
      </c>
      <c r="B421" t="inlineStr">
        <is>
          <t>Rosalia Residences</t>
        </is>
      </c>
      <c r="C421" t="inlineStr">
        <is>
          <t>Deyaar</t>
        </is>
      </c>
      <c r="D421" t="inlineStr">
        <is>
          <t>Al Furjan</t>
        </is>
      </c>
      <c r="E421" t="inlineStr">
        <is>
          <t>Apartments</t>
        </is>
      </c>
      <c r="F421" t="inlineStr">
        <is>
          <t>Family / Metro</t>
        </is>
      </c>
      <c r="G421" t="inlineStr">
        <is>
          <t>1.0M</t>
        </is>
      </c>
      <c r="H421" t="inlineStr">
        <is>
          <t>1200</t>
        </is>
      </c>
      <c r="I421" t="inlineStr">
        <is>
          <t>14</t>
        </is>
      </c>
      <c r="J421" t="inlineStr">
        <is>
          <t>50/50</t>
        </is>
      </c>
      <c r="K421" t="inlineStr">
        <is>
          <t>2024</t>
        </is>
      </c>
      <c r="L421" t="inlineStr">
        <is>
          <t>7.0-7.5</t>
        </is>
      </c>
      <c r="M421" t="inlineStr">
        <is>
          <t>6-8</t>
        </is>
      </c>
      <c r="N421" t="inlineStr">
        <is>
          <t>13.0-15.5</t>
        </is>
      </c>
      <c r="O421" t="inlineStr">
        <is>
          <t>The Arbor School</t>
        </is>
      </c>
      <c r="P421" t="inlineStr">
        <is>
          <t>NMC Royal DIP</t>
        </is>
      </c>
      <c r="Q421" t="inlineStr">
        <is>
          <t>Ibn Battuta Mall</t>
        </is>
      </c>
      <c r="R421" t="inlineStr">
        <is>
          <t>Yalayis / E311</t>
        </is>
      </c>
      <c r="S421" t="inlineStr">
        <is>
          <t>25</t>
        </is>
      </c>
      <c r="T421" t="inlineStr">
        <is>
          <t>15</t>
        </is>
      </c>
      <c r="U421" t="inlineStr">
        <is>
          <t>30</t>
        </is>
      </c>
      <c r="V421" t="inlineStr">
        <is>
          <t>20</t>
        </is>
      </c>
      <c r="W421" t="n">
        <v>2</v>
      </c>
      <c r="X421" s="12" t="n">
        <v>1000000</v>
      </c>
      <c r="Y421" s="12" t="n">
        <v>1000000</v>
      </c>
      <c r="Z421" s="9" t="n">
        <v>7</v>
      </c>
      <c r="AA421" s="9" t="n">
        <v>7.5</v>
      </c>
      <c r="AB421" s="9" t="n">
        <v>6</v>
      </c>
      <c r="AC421" s="9" t="n">
        <v>8</v>
      </c>
      <c r="AD421" s="9" t="n">
        <v>13</v>
      </c>
      <c r="AE421" s="9" t="n">
        <v>15.5</v>
      </c>
      <c r="AF421" t="n">
        <v>2024</v>
      </c>
      <c r="AH421" t="inlineStr">
        <is>
          <t>Apartment</t>
        </is>
      </c>
      <c r="AI421" t="inlineStr">
        <is>
          <t>SupplySensitiveApartment</t>
        </is>
      </c>
      <c r="AJ421" t="inlineStr">
        <is>
          <t>Established</t>
        </is>
      </c>
      <c r="AK421" t="inlineStr">
        <is>
          <t>Supply-sensitive / selective</t>
        </is>
      </c>
      <c r="AL421" t="inlineStr">
        <is>
          <t>Higher delivery risk in more price-sensitive apartment clusters; building selection and exit liquidity matter.</t>
        </is>
      </c>
      <c r="AM421" s="9" t="n">
        <v>7</v>
      </c>
      <c r="AN421" s="9" t="n">
        <v>7.25</v>
      </c>
      <c r="AO421" s="10" t="n">
        <v>0.55</v>
      </c>
      <c r="AP421" s="13" t="n">
        <v>0</v>
      </c>
      <c r="AQ421" s="13" t="n">
        <v>0</v>
      </c>
      <c r="AR421" s="13" t="n">
        <v>-0.01</v>
      </c>
      <c r="AS421" s="13" t="n">
        <v>-0.01</v>
      </c>
      <c r="AT421" s="13" t="n">
        <v>0</v>
      </c>
      <c r="AU421" s="13" t="n">
        <v>0.0025</v>
      </c>
      <c r="AV421" s="13" t="n">
        <v>-0.005</v>
      </c>
      <c r="AW421" s="13" t="n">
        <v>0.0285</v>
      </c>
      <c r="AX421" s="13" t="n">
        <v>-0.0125</v>
      </c>
      <c r="AY421" s="12" t="n">
        <v>997645</v>
      </c>
      <c r="AZ421" s="12" t="n">
        <v>1028500</v>
      </c>
      <c r="BA421" s="12" t="n">
        <v>1059355</v>
      </c>
      <c r="BB421" s="12" t="n">
        <v>984789</v>
      </c>
      <c r="BC421" s="12" t="n">
        <v>1015644</v>
      </c>
      <c r="BD421" s="12" t="n">
        <v>1046499</v>
      </c>
      <c r="BE421" s="12" t="n">
        <v>1002948</v>
      </c>
      <c r="BF421" t="inlineStr">
        <is>
          <t>Frozen values from same rules-based model as formula sheet.</t>
        </is>
      </c>
      <c r="BG421" t="inlineStr">
        <is>
          <t>2026-03-17</t>
        </is>
      </c>
      <c r="BH421" t="inlineStr">
        <is>
          <t>DLD / Digital Dubai / CBUAE / Savills / Knight Frank-Moody’s / Reuters</t>
        </is>
      </c>
    </row>
    <row r="422">
      <c r="A422" t="n">
        <v>421</v>
      </c>
      <c r="B422" t="inlineStr">
        <is>
          <t>Amalia Residences</t>
        </is>
      </c>
      <c r="C422" t="inlineStr">
        <is>
          <t>Deyaar</t>
        </is>
      </c>
      <c r="D422" t="inlineStr">
        <is>
          <t>Al Furjan</t>
        </is>
      </c>
      <c r="E422" t="inlineStr">
        <is>
          <t>Apartments</t>
        </is>
      </c>
      <c r="F422" t="inlineStr">
        <is>
          <t>Family / Metro</t>
        </is>
      </c>
      <c r="G422" t="inlineStr">
        <is>
          <t>900k</t>
        </is>
      </c>
      <c r="H422" t="inlineStr">
        <is>
          <t>1150</t>
        </is>
      </c>
      <c r="I422" t="inlineStr">
        <is>
          <t>14</t>
        </is>
      </c>
      <c r="J422" t="inlineStr">
        <is>
          <t>50/50</t>
        </is>
      </c>
      <c r="K422" t="inlineStr">
        <is>
          <t>2023</t>
        </is>
      </c>
      <c r="L422" t="inlineStr">
        <is>
          <t>7.0-7.5</t>
        </is>
      </c>
      <c r="M422" t="inlineStr">
        <is>
          <t>6-8</t>
        </is>
      </c>
      <c r="N422" t="inlineStr">
        <is>
          <t>13.0-15.5</t>
        </is>
      </c>
      <c r="O422" t="inlineStr">
        <is>
          <t>The Arbor School</t>
        </is>
      </c>
      <c r="P422" t="inlineStr">
        <is>
          <t>NMC Royal DIP</t>
        </is>
      </c>
      <c r="Q422" t="inlineStr">
        <is>
          <t>Ibn Battuta Mall</t>
        </is>
      </c>
      <c r="R422" t="inlineStr">
        <is>
          <t>Yalayis / E311</t>
        </is>
      </c>
      <c r="S422" t="inlineStr">
        <is>
          <t>25</t>
        </is>
      </c>
      <c r="T422" t="inlineStr">
        <is>
          <t>15</t>
        </is>
      </c>
      <c r="U422" t="inlineStr">
        <is>
          <t>30</t>
        </is>
      </c>
      <c r="V422" t="inlineStr">
        <is>
          <t>20</t>
        </is>
      </c>
      <c r="W422" t="n">
        <v>2</v>
      </c>
      <c r="X422" s="12" t="n">
        <v>900000</v>
      </c>
      <c r="Y422" s="12" t="n">
        <v>900000</v>
      </c>
      <c r="Z422" s="9" t="n">
        <v>7</v>
      </c>
      <c r="AA422" s="9" t="n">
        <v>7.5</v>
      </c>
      <c r="AB422" s="9" t="n">
        <v>6</v>
      </c>
      <c r="AC422" s="9" t="n">
        <v>8</v>
      </c>
      <c r="AD422" s="9" t="n">
        <v>13</v>
      </c>
      <c r="AE422" s="9" t="n">
        <v>15.5</v>
      </c>
      <c r="AF422" t="n">
        <v>2023</v>
      </c>
      <c r="AH422" t="inlineStr">
        <is>
          <t>Apartment</t>
        </is>
      </c>
      <c r="AI422" t="inlineStr">
        <is>
          <t>SupplySensitiveApartment</t>
        </is>
      </c>
      <c r="AJ422" t="inlineStr">
        <is>
          <t>Established</t>
        </is>
      </c>
      <c r="AK422" t="inlineStr">
        <is>
          <t>Supply-sensitive / selective</t>
        </is>
      </c>
      <c r="AL422" t="inlineStr">
        <is>
          <t>Higher delivery risk in more price-sensitive apartment clusters; building selection and exit liquidity matter.</t>
        </is>
      </c>
      <c r="AM422" s="9" t="n">
        <v>7</v>
      </c>
      <c r="AN422" s="9" t="n">
        <v>7.25</v>
      </c>
      <c r="AO422" s="10" t="n">
        <v>0.55</v>
      </c>
      <c r="AP422" s="13" t="n">
        <v>0</v>
      </c>
      <c r="AQ422" s="13" t="n">
        <v>0</v>
      </c>
      <c r="AR422" s="13" t="n">
        <v>-0.01</v>
      </c>
      <c r="AS422" s="13" t="n">
        <v>-0.01</v>
      </c>
      <c r="AT422" s="13" t="n">
        <v>0</v>
      </c>
      <c r="AU422" s="13" t="n">
        <v>0.0025</v>
      </c>
      <c r="AV422" s="13" t="n">
        <v>-0.005</v>
      </c>
      <c r="AW422" s="13" t="n">
        <v>0.0285</v>
      </c>
      <c r="AX422" s="13" t="n">
        <v>-0.0125</v>
      </c>
      <c r="AY422" s="12" t="n">
        <v>897880</v>
      </c>
      <c r="AZ422" s="12" t="n">
        <v>925650</v>
      </c>
      <c r="BA422" s="12" t="n">
        <v>953420</v>
      </c>
      <c r="BB422" s="12" t="n">
        <v>886310</v>
      </c>
      <c r="BC422" s="12" t="n">
        <v>914079</v>
      </c>
      <c r="BD422" s="12" t="n">
        <v>941849</v>
      </c>
      <c r="BE422" s="12" t="n">
        <v>902653</v>
      </c>
      <c r="BF422" t="inlineStr">
        <is>
          <t>Frozen values from same rules-based model as formula sheet.</t>
        </is>
      </c>
      <c r="BG422" t="inlineStr">
        <is>
          <t>2026-03-17</t>
        </is>
      </c>
      <c r="BH422" t="inlineStr">
        <is>
          <t>DLD / Digital Dubai / CBUAE / Savills / Knight Frank-Moody’s / Reuters</t>
        </is>
      </c>
    </row>
    <row r="423">
      <c r="A423" t="n">
        <v>422</v>
      </c>
      <c r="B423" t="inlineStr">
        <is>
          <t>Millennium Talia</t>
        </is>
      </c>
      <c r="C423" t="inlineStr">
        <is>
          <t>Deyaar</t>
        </is>
      </c>
      <c r="D423" t="inlineStr">
        <is>
          <t>Al Furjan</t>
        </is>
      </c>
      <c r="E423" t="inlineStr">
        <is>
          <t>Hotel Apts</t>
        </is>
      </c>
      <c r="F423" t="inlineStr">
        <is>
          <t>Investment</t>
        </is>
      </c>
      <c r="G423" t="inlineStr">
        <is>
          <t>1.1M</t>
        </is>
      </c>
      <c r="H423" t="inlineStr">
        <is>
          <t>1300</t>
        </is>
      </c>
      <c r="I423" t="inlineStr">
        <is>
          <t>18</t>
        </is>
      </c>
      <c r="J423" t="inlineStr">
        <is>
          <t>50/50</t>
        </is>
      </c>
      <c r="K423" t="inlineStr">
        <is>
          <t>2023</t>
        </is>
      </c>
      <c r="L423" t="inlineStr">
        <is>
          <t>8.0-9.0</t>
        </is>
      </c>
      <c r="M423" t="inlineStr">
        <is>
          <t>5-7</t>
        </is>
      </c>
      <c r="N423" t="inlineStr">
        <is>
          <t>13.0-16.0</t>
        </is>
      </c>
      <c r="O423" t="inlineStr">
        <is>
          <t>The Arbor School</t>
        </is>
      </c>
      <c r="P423" t="inlineStr">
        <is>
          <t>NMC Royal DIP</t>
        </is>
      </c>
      <c r="Q423" t="inlineStr">
        <is>
          <t>Ibn Battuta Mall</t>
        </is>
      </c>
      <c r="R423" t="inlineStr">
        <is>
          <t>Yalayis / E311</t>
        </is>
      </c>
      <c r="S423" t="inlineStr">
        <is>
          <t>25</t>
        </is>
      </c>
      <c r="T423" t="inlineStr">
        <is>
          <t>15</t>
        </is>
      </c>
      <c r="U423" t="inlineStr">
        <is>
          <t>30</t>
        </is>
      </c>
      <c r="V423" t="inlineStr">
        <is>
          <t>20</t>
        </is>
      </c>
      <c r="W423" t="n">
        <v>2</v>
      </c>
      <c r="X423" s="12" t="n">
        <v>1100000</v>
      </c>
      <c r="Y423" s="12" t="n">
        <v>1100000</v>
      </c>
      <c r="Z423" s="9" t="n">
        <v>8</v>
      </c>
      <c r="AA423" s="9" t="n">
        <v>9</v>
      </c>
      <c r="AB423" s="9" t="n">
        <v>5</v>
      </c>
      <c r="AC423" s="9" t="n">
        <v>7</v>
      </c>
      <c r="AD423" s="9" t="n">
        <v>13</v>
      </c>
      <c r="AE423" s="9" t="n">
        <v>16</v>
      </c>
      <c r="AF423" t="n">
        <v>2023</v>
      </c>
      <c r="AH423" t="inlineStr">
        <is>
          <t>Apartment</t>
        </is>
      </c>
      <c r="AI423" t="inlineStr">
        <is>
          <t>SupplySensitiveApartment</t>
        </is>
      </c>
      <c r="AJ423" t="inlineStr">
        <is>
          <t>Established</t>
        </is>
      </c>
      <c r="AK423" t="inlineStr">
        <is>
          <t>Supply-sensitive / selective</t>
        </is>
      </c>
      <c r="AL423" t="inlineStr">
        <is>
          <t>Higher delivery risk in more price-sensitive apartment clusters; building selection and exit liquidity matter.</t>
        </is>
      </c>
      <c r="AM423" s="9" t="n">
        <v>6</v>
      </c>
      <c r="AN423" s="9" t="n">
        <v>8.5</v>
      </c>
      <c r="AO423" s="10" t="n">
        <v>0.55</v>
      </c>
      <c r="AP423" s="13" t="n">
        <v>0</v>
      </c>
      <c r="AQ423" s="13" t="n">
        <v>0</v>
      </c>
      <c r="AR423" s="13" t="n">
        <v>-0.01</v>
      </c>
      <c r="AS423" s="13" t="n">
        <v>-0.01</v>
      </c>
      <c r="AT423" s="13" t="n">
        <v>0</v>
      </c>
      <c r="AU423" s="13" t="n">
        <v>0.0025</v>
      </c>
      <c r="AV423" s="13" t="n">
        <v>-0.005</v>
      </c>
      <c r="AW423" s="13" t="n">
        <v>0.023</v>
      </c>
      <c r="AX423" s="13" t="n">
        <v>-0.0125</v>
      </c>
      <c r="AY423" s="12" t="n">
        <v>1091541</v>
      </c>
      <c r="AZ423" s="12" t="n">
        <v>1125300</v>
      </c>
      <c r="BA423" s="12" t="n">
        <v>1159059</v>
      </c>
      <c r="BB423" s="12" t="n">
        <v>1077475</v>
      </c>
      <c r="BC423" s="12" t="n">
        <v>1111234</v>
      </c>
      <c r="BD423" s="12" t="n">
        <v>1144993</v>
      </c>
      <c r="BE423" s="12" t="n">
        <v>1097343</v>
      </c>
      <c r="BF423" t="inlineStr">
        <is>
          <t>Frozen values from same rules-based model as formula sheet.</t>
        </is>
      </c>
      <c r="BG423" t="inlineStr">
        <is>
          <t>2026-03-17</t>
        </is>
      </c>
      <c r="BH423" t="inlineStr">
        <is>
          <t>DLD / Digital Dubai / CBUAE / Savills / Knight Frank-Moody’s / Reuters</t>
        </is>
      </c>
    </row>
    <row r="424">
      <c r="A424" t="n">
        <v>423</v>
      </c>
      <c r="B424" t="inlineStr">
        <is>
          <t>Town Square (Master Community)</t>
        </is>
      </c>
      <c r="C424" t="inlineStr">
        <is>
          <t>Nshama</t>
        </is>
      </c>
      <c r="D424" t="inlineStr">
        <is>
          <t>Dubailand (Al Qudra)</t>
        </is>
      </c>
      <c r="E424" t="inlineStr">
        <is>
          <t>Mixed</t>
        </is>
      </c>
      <c r="F424" t="inlineStr">
        <is>
          <t>Family / Affordable</t>
        </is>
      </c>
      <c r="I424" t="inlineStr">
        <is>
          <t>12</t>
        </is>
      </c>
      <c r="J424" t="inlineStr">
        <is>
          <t>Varies</t>
        </is>
      </c>
      <c r="K424" t="inlineStr">
        <is>
          <t>Ongoing</t>
        </is>
      </c>
      <c r="L424" t="inlineStr">
        <is>
          <t>7.0-7.5</t>
        </is>
      </c>
      <c r="M424" t="inlineStr">
        <is>
          <t>5-7</t>
        </is>
      </c>
      <c r="N424" t="inlineStr">
        <is>
          <t>12.0-14.5</t>
        </is>
      </c>
      <c r="O424" t="inlineStr">
        <is>
          <t>Fairgreen Intl</t>
        </is>
      </c>
      <c r="P424" t="inlineStr">
        <is>
          <t>Saudi German Hospital</t>
        </is>
      </c>
      <c r="Q424" t="inlineStr">
        <is>
          <t>Town Square Comm. Ctr</t>
        </is>
      </c>
      <c r="R424" t="inlineStr">
        <is>
          <t>Al Qudra Rd</t>
        </is>
      </c>
      <c r="S424" t="inlineStr">
        <is>
          <t>25</t>
        </is>
      </c>
      <c r="T424" t="inlineStr">
        <is>
          <t>30</t>
        </is>
      </c>
      <c r="U424" t="inlineStr">
        <is>
          <t>30</t>
        </is>
      </c>
      <c r="V424" t="inlineStr">
        <is>
          <t>30</t>
        </is>
      </c>
      <c r="W424" t="n">
        <v>2</v>
      </c>
      <c r="X424" s="12" t="n"/>
      <c r="Y424" s="12" t="n"/>
      <c r="Z424" s="9" t="n">
        <v>7</v>
      </c>
      <c r="AA424" s="9" t="n">
        <v>7.5</v>
      </c>
      <c r="AB424" s="9" t="n">
        <v>5</v>
      </c>
      <c r="AC424" s="9" t="n">
        <v>7</v>
      </c>
      <c r="AD424" s="9" t="n">
        <v>12</v>
      </c>
      <c r="AE424" s="9" t="n">
        <v>14.5</v>
      </c>
      <c r="AH424" t="inlineStr">
        <is>
          <t>Mixed/Other</t>
        </is>
      </c>
      <c r="AI424" t="inlineStr">
        <is>
          <t>MainstreamSelective</t>
        </is>
      </c>
      <c r="AJ424" t="inlineStr">
        <is>
          <t>Established</t>
        </is>
      </c>
      <c r="AK424" t="inlineStr">
        <is>
          <t>Balanced / selective</t>
        </is>
      </c>
      <c r="AL424" t="inlineStr">
        <is>
          <t>Market remains active but increasingly differentiated by developer, micro-location, livability, and pricing discipline.</t>
        </is>
      </c>
      <c r="AM424" s="9" t="n">
        <v>6</v>
      </c>
      <c r="AN424" s="9" t="n">
        <v>7.25</v>
      </c>
      <c r="AO424" s="10" t="n">
        <v>0.25</v>
      </c>
      <c r="AP424" s="13" t="n">
        <v>0</v>
      </c>
      <c r="AQ424" s="13" t="n">
        <v>0</v>
      </c>
      <c r="AR424" s="13" t="n">
        <v>0</v>
      </c>
      <c r="AS424" s="13" t="n">
        <v>0.01</v>
      </c>
      <c r="AT424" s="13" t="n">
        <v>0</v>
      </c>
      <c r="AU424" s="13" t="n">
        <v>0.0025</v>
      </c>
      <c r="AV424" s="13" t="n">
        <v>-0.005</v>
      </c>
      <c r="AW424" s="13" t="n">
        <v>0.015</v>
      </c>
      <c r="AX424" s="13" t="n">
        <v>0.007500000000000001</v>
      </c>
      <c r="AY424" s="12" t="n"/>
      <c r="AZ424" s="12" t="n"/>
      <c r="BA424" s="12" t="n"/>
      <c r="BB424" s="12" t="n"/>
      <c r="BC424" s="12" t="n"/>
      <c r="BD424" s="12" t="n"/>
      <c r="BE424" s="12" t="n"/>
      <c r="BF424" t="inlineStr">
        <is>
          <t>Frozen values from same rules-based model as formula sheet.</t>
        </is>
      </c>
      <c r="BG424" t="inlineStr">
        <is>
          <t>2026-03-17</t>
        </is>
      </c>
      <c r="BH424" t="inlineStr">
        <is>
          <t>DLD / Digital Dubai / CBUAE / Savills / Knight Frank-Moody’s / Reuters</t>
        </is>
      </c>
    </row>
    <row r="425">
      <c r="A425" t="n">
        <v>424</v>
      </c>
      <c r="B425" t="inlineStr">
        <is>
          <t>Fia</t>
        </is>
      </c>
      <c r="C425" t="inlineStr">
        <is>
          <t>Nshama</t>
        </is>
      </c>
      <c r="D425" t="inlineStr">
        <is>
          <t>Town Square</t>
        </is>
      </c>
      <c r="E425" t="inlineStr">
        <is>
          <t>Apartments</t>
        </is>
      </c>
      <c r="F425" t="inlineStr">
        <is>
          <t>Park View</t>
        </is>
      </c>
      <c r="G425" t="inlineStr">
        <is>
          <t>800k</t>
        </is>
      </c>
      <c r="H425" t="inlineStr">
        <is>
          <t>1100</t>
        </is>
      </c>
      <c r="I425" t="inlineStr">
        <is>
          <t>14</t>
        </is>
      </c>
      <c r="J425" t="inlineStr">
        <is>
          <t>50/50</t>
        </is>
      </c>
      <c r="K425" t="inlineStr">
        <is>
          <t>2024</t>
        </is>
      </c>
      <c r="L425" t="inlineStr">
        <is>
          <t>7.0-7.5</t>
        </is>
      </c>
      <c r="M425" t="inlineStr">
        <is>
          <t>6-8</t>
        </is>
      </c>
      <c r="N425" t="inlineStr">
        <is>
          <t>13.0-15.5</t>
        </is>
      </c>
      <c r="O425" t="inlineStr">
        <is>
          <t>Fairgreen Intl</t>
        </is>
      </c>
      <c r="P425" t="inlineStr">
        <is>
          <t>Saudi German Hospital</t>
        </is>
      </c>
      <c r="Q425" t="inlineStr">
        <is>
          <t>Town Square Comm. Ctr</t>
        </is>
      </c>
      <c r="R425" t="inlineStr">
        <is>
          <t>Al Qudra Rd</t>
        </is>
      </c>
      <c r="S425" t="inlineStr">
        <is>
          <t>25</t>
        </is>
      </c>
      <c r="T425" t="inlineStr">
        <is>
          <t>30</t>
        </is>
      </c>
      <c r="U425" t="inlineStr">
        <is>
          <t>30</t>
        </is>
      </c>
      <c r="V425" t="inlineStr">
        <is>
          <t>30</t>
        </is>
      </c>
      <c r="W425" t="n">
        <v>2</v>
      </c>
      <c r="X425" s="12" t="n">
        <v>800000</v>
      </c>
      <c r="Y425" s="12" t="n">
        <v>800000</v>
      </c>
      <c r="Z425" s="9" t="n">
        <v>7</v>
      </c>
      <c r="AA425" s="9" t="n">
        <v>7.5</v>
      </c>
      <c r="AB425" s="9" t="n">
        <v>6</v>
      </c>
      <c r="AC425" s="9" t="n">
        <v>8</v>
      </c>
      <c r="AD425" s="9" t="n">
        <v>13</v>
      </c>
      <c r="AE425" s="9" t="n">
        <v>15.5</v>
      </c>
      <c r="AF425" t="n">
        <v>2024</v>
      </c>
      <c r="AH425" t="inlineStr">
        <is>
          <t>Apartment</t>
        </is>
      </c>
      <c r="AI425" t="inlineStr">
        <is>
          <t>SupplySensitiveApartment</t>
        </is>
      </c>
      <c r="AJ425" t="inlineStr">
        <is>
          <t>Established</t>
        </is>
      </c>
      <c r="AK425" t="inlineStr">
        <is>
          <t>Supply-sensitive / selective</t>
        </is>
      </c>
      <c r="AL425" t="inlineStr">
        <is>
          <t>Higher delivery risk in more price-sensitive apartment clusters; building selection and exit liquidity matter.</t>
        </is>
      </c>
      <c r="AM425" s="9" t="n">
        <v>7</v>
      </c>
      <c r="AN425" s="9" t="n">
        <v>7.25</v>
      </c>
      <c r="AO425" s="10" t="n">
        <v>0.55</v>
      </c>
      <c r="AP425" s="13" t="n">
        <v>0</v>
      </c>
      <c r="AQ425" s="13" t="n">
        <v>0</v>
      </c>
      <c r="AR425" s="13" t="n">
        <v>-0.01</v>
      </c>
      <c r="AS425" s="13" t="n">
        <v>-0.01</v>
      </c>
      <c r="AT425" s="13" t="n">
        <v>0</v>
      </c>
      <c r="AU425" s="13" t="n">
        <v>0.0025</v>
      </c>
      <c r="AV425" s="13" t="n">
        <v>-0.005</v>
      </c>
      <c r="AW425" s="13" t="n">
        <v>0.0285</v>
      </c>
      <c r="AX425" s="13" t="n">
        <v>-0.0125</v>
      </c>
      <c r="AY425" s="12" t="n">
        <v>798116</v>
      </c>
      <c r="AZ425" s="12" t="n">
        <v>822800</v>
      </c>
      <c r="BA425" s="12" t="n">
        <v>847484</v>
      </c>
      <c r="BB425" s="12" t="n">
        <v>787831</v>
      </c>
      <c r="BC425" s="12" t="n">
        <v>812515</v>
      </c>
      <c r="BD425" s="12" t="n">
        <v>837199</v>
      </c>
      <c r="BE425" s="12" t="n">
        <v>802359</v>
      </c>
      <c r="BF425" t="inlineStr">
        <is>
          <t>Frozen values from same rules-based model as formula sheet.</t>
        </is>
      </c>
      <c r="BG425" t="inlineStr">
        <is>
          <t>2026-03-17</t>
        </is>
      </c>
      <c r="BH425" t="inlineStr">
        <is>
          <t>DLD / Digital Dubai / CBUAE / Savills / Knight Frank-Moody’s / Reuters</t>
        </is>
      </c>
    </row>
    <row r="426">
      <c r="A426" t="n">
        <v>425</v>
      </c>
      <c r="B426" t="inlineStr">
        <is>
          <t>Elaya</t>
        </is>
      </c>
      <c r="C426" t="inlineStr">
        <is>
          <t>Nshama</t>
        </is>
      </c>
      <c r="D426" t="inlineStr">
        <is>
          <t>Town Square</t>
        </is>
      </c>
      <c r="E426" t="inlineStr">
        <is>
          <t>Apartments</t>
        </is>
      </c>
      <c r="F426" t="inlineStr">
        <is>
          <t>Park View</t>
        </is>
      </c>
      <c r="G426" t="inlineStr">
        <is>
          <t>850k</t>
        </is>
      </c>
      <c r="H426" t="inlineStr">
        <is>
          <t>1150</t>
        </is>
      </c>
      <c r="I426" t="inlineStr">
        <is>
          <t>14</t>
        </is>
      </c>
      <c r="J426" t="inlineStr">
        <is>
          <t>50/50</t>
        </is>
      </c>
      <c r="K426" t="inlineStr">
        <is>
          <t>2024</t>
        </is>
      </c>
      <c r="L426" t="inlineStr">
        <is>
          <t>7.0-7.5</t>
        </is>
      </c>
      <c r="M426" t="inlineStr">
        <is>
          <t>6-8</t>
        </is>
      </c>
      <c r="N426" t="inlineStr">
        <is>
          <t>13.0-15.5</t>
        </is>
      </c>
      <c r="O426" t="inlineStr">
        <is>
          <t>Fairgreen Intl</t>
        </is>
      </c>
      <c r="P426" t="inlineStr">
        <is>
          <t>Saudi German Hospital</t>
        </is>
      </c>
      <c r="Q426" t="inlineStr">
        <is>
          <t>Town Square Comm. Ctr</t>
        </is>
      </c>
      <c r="R426" t="inlineStr">
        <is>
          <t>Al Qudra Rd</t>
        </is>
      </c>
      <c r="S426" t="inlineStr">
        <is>
          <t>25</t>
        </is>
      </c>
      <c r="T426" t="inlineStr">
        <is>
          <t>30</t>
        </is>
      </c>
      <c r="U426" t="inlineStr">
        <is>
          <t>30</t>
        </is>
      </c>
      <c r="V426" t="inlineStr">
        <is>
          <t>30</t>
        </is>
      </c>
      <c r="W426" t="n">
        <v>2</v>
      </c>
      <c r="X426" s="12" t="n">
        <v>850000</v>
      </c>
      <c r="Y426" s="12" t="n">
        <v>850000</v>
      </c>
      <c r="Z426" s="9" t="n">
        <v>7</v>
      </c>
      <c r="AA426" s="9" t="n">
        <v>7.5</v>
      </c>
      <c r="AB426" s="9" t="n">
        <v>6</v>
      </c>
      <c r="AC426" s="9" t="n">
        <v>8</v>
      </c>
      <c r="AD426" s="9" t="n">
        <v>13</v>
      </c>
      <c r="AE426" s="9" t="n">
        <v>15.5</v>
      </c>
      <c r="AF426" t="n">
        <v>2024</v>
      </c>
      <c r="AH426" t="inlineStr">
        <is>
          <t>Apartment</t>
        </is>
      </c>
      <c r="AI426" t="inlineStr">
        <is>
          <t>SupplySensitiveApartment</t>
        </is>
      </c>
      <c r="AJ426" t="inlineStr">
        <is>
          <t>Established</t>
        </is>
      </c>
      <c r="AK426" t="inlineStr">
        <is>
          <t>Supply-sensitive / selective</t>
        </is>
      </c>
      <c r="AL426" t="inlineStr">
        <is>
          <t>Higher delivery risk in more price-sensitive apartment clusters; building selection and exit liquidity matter.</t>
        </is>
      </c>
      <c r="AM426" s="9" t="n">
        <v>7</v>
      </c>
      <c r="AN426" s="9" t="n">
        <v>7.25</v>
      </c>
      <c r="AO426" s="10" t="n">
        <v>0.55</v>
      </c>
      <c r="AP426" s="13" t="n">
        <v>0</v>
      </c>
      <c r="AQ426" s="13" t="n">
        <v>0</v>
      </c>
      <c r="AR426" s="13" t="n">
        <v>-0.01</v>
      </c>
      <c r="AS426" s="13" t="n">
        <v>-0.01</v>
      </c>
      <c r="AT426" s="13" t="n">
        <v>0</v>
      </c>
      <c r="AU426" s="13" t="n">
        <v>0.0025</v>
      </c>
      <c r="AV426" s="13" t="n">
        <v>-0.005</v>
      </c>
      <c r="AW426" s="13" t="n">
        <v>0.0285</v>
      </c>
      <c r="AX426" s="13" t="n">
        <v>-0.0125</v>
      </c>
      <c r="AY426" s="12" t="n">
        <v>847998</v>
      </c>
      <c r="AZ426" s="12" t="n">
        <v>874225</v>
      </c>
      <c r="BA426" s="12" t="n">
        <v>900452</v>
      </c>
      <c r="BB426" s="12" t="n">
        <v>837070</v>
      </c>
      <c r="BC426" s="12" t="n">
        <v>863297</v>
      </c>
      <c r="BD426" s="12" t="n">
        <v>889524</v>
      </c>
      <c r="BE426" s="12" t="n">
        <v>852506</v>
      </c>
      <c r="BF426" t="inlineStr">
        <is>
          <t>Frozen values from same rules-based model as formula sheet.</t>
        </is>
      </c>
      <c r="BG426" t="inlineStr">
        <is>
          <t>2026-03-17</t>
        </is>
      </c>
      <c r="BH426" t="inlineStr">
        <is>
          <t>DLD / Digital Dubai / CBUAE / Savills / Knight Frank-Moody’s / Reuters</t>
        </is>
      </c>
    </row>
    <row r="427">
      <c r="A427" t="n">
        <v>426</v>
      </c>
      <c r="B427" t="inlineStr">
        <is>
          <t>Ayala</t>
        </is>
      </c>
      <c r="C427" t="inlineStr">
        <is>
          <t>Nshama</t>
        </is>
      </c>
      <c r="D427" t="inlineStr">
        <is>
          <t>Town Square</t>
        </is>
      </c>
      <c r="E427" t="inlineStr">
        <is>
          <t>Apartments</t>
        </is>
      </c>
      <c r="F427" t="inlineStr">
        <is>
          <t>Park View</t>
        </is>
      </c>
      <c r="G427" t="inlineStr">
        <is>
          <t>850k</t>
        </is>
      </c>
      <c r="H427" t="inlineStr">
        <is>
          <t>1150</t>
        </is>
      </c>
      <c r="I427" t="inlineStr">
        <is>
          <t>14</t>
        </is>
      </c>
      <c r="J427" t="inlineStr">
        <is>
          <t>50/50</t>
        </is>
      </c>
      <c r="K427" t="inlineStr">
        <is>
          <t>2024</t>
        </is>
      </c>
      <c r="L427" t="inlineStr">
        <is>
          <t>7.0-7.5</t>
        </is>
      </c>
      <c r="M427" t="inlineStr">
        <is>
          <t>6-8</t>
        </is>
      </c>
      <c r="N427" t="inlineStr">
        <is>
          <t>13.0-15.5</t>
        </is>
      </c>
      <c r="O427" t="inlineStr">
        <is>
          <t>Fairgreen Intl</t>
        </is>
      </c>
      <c r="P427" t="inlineStr">
        <is>
          <t>Saudi German Hospital</t>
        </is>
      </c>
      <c r="Q427" t="inlineStr">
        <is>
          <t>Town Square Comm. Ctr</t>
        </is>
      </c>
      <c r="R427" t="inlineStr">
        <is>
          <t>Al Qudra Rd</t>
        </is>
      </c>
      <c r="S427" t="inlineStr">
        <is>
          <t>25</t>
        </is>
      </c>
      <c r="T427" t="inlineStr">
        <is>
          <t>30</t>
        </is>
      </c>
      <c r="U427" t="inlineStr">
        <is>
          <t>30</t>
        </is>
      </c>
      <c r="V427" t="inlineStr">
        <is>
          <t>30</t>
        </is>
      </c>
      <c r="W427" t="n">
        <v>2</v>
      </c>
      <c r="X427" s="12" t="n">
        <v>850000</v>
      </c>
      <c r="Y427" s="12" t="n">
        <v>850000</v>
      </c>
      <c r="Z427" s="9" t="n">
        <v>7</v>
      </c>
      <c r="AA427" s="9" t="n">
        <v>7.5</v>
      </c>
      <c r="AB427" s="9" t="n">
        <v>6</v>
      </c>
      <c r="AC427" s="9" t="n">
        <v>8</v>
      </c>
      <c r="AD427" s="9" t="n">
        <v>13</v>
      </c>
      <c r="AE427" s="9" t="n">
        <v>15.5</v>
      </c>
      <c r="AF427" t="n">
        <v>2024</v>
      </c>
      <c r="AH427" t="inlineStr">
        <is>
          <t>Apartment</t>
        </is>
      </c>
      <c r="AI427" t="inlineStr">
        <is>
          <t>SupplySensitiveApartment</t>
        </is>
      </c>
      <c r="AJ427" t="inlineStr">
        <is>
          <t>Established</t>
        </is>
      </c>
      <c r="AK427" t="inlineStr">
        <is>
          <t>Supply-sensitive / selective</t>
        </is>
      </c>
      <c r="AL427" t="inlineStr">
        <is>
          <t>Higher delivery risk in more price-sensitive apartment clusters; building selection and exit liquidity matter.</t>
        </is>
      </c>
      <c r="AM427" s="9" t="n">
        <v>7</v>
      </c>
      <c r="AN427" s="9" t="n">
        <v>7.25</v>
      </c>
      <c r="AO427" s="10" t="n">
        <v>0.55</v>
      </c>
      <c r="AP427" s="13" t="n">
        <v>0</v>
      </c>
      <c r="AQ427" s="13" t="n">
        <v>0</v>
      </c>
      <c r="AR427" s="13" t="n">
        <v>-0.01</v>
      </c>
      <c r="AS427" s="13" t="n">
        <v>-0.01</v>
      </c>
      <c r="AT427" s="13" t="n">
        <v>0</v>
      </c>
      <c r="AU427" s="13" t="n">
        <v>0.0025</v>
      </c>
      <c r="AV427" s="13" t="n">
        <v>-0.005</v>
      </c>
      <c r="AW427" s="13" t="n">
        <v>0.0285</v>
      </c>
      <c r="AX427" s="13" t="n">
        <v>-0.0125</v>
      </c>
      <c r="AY427" s="12" t="n">
        <v>847998</v>
      </c>
      <c r="AZ427" s="12" t="n">
        <v>874225</v>
      </c>
      <c r="BA427" s="12" t="n">
        <v>900452</v>
      </c>
      <c r="BB427" s="12" t="n">
        <v>837070</v>
      </c>
      <c r="BC427" s="12" t="n">
        <v>863297</v>
      </c>
      <c r="BD427" s="12" t="n">
        <v>889524</v>
      </c>
      <c r="BE427" s="12" t="n">
        <v>852506</v>
      </c>
      <c r="BF427" t="inlineStr">
        <is>
          <t>Frozen values from same rules-based model as formula sheet.</t>
        </is>
      </c>
      <c r="BG427" t="inlineStr">
        <is>
          <t>2026-03-17</t>
        </is>
      </c>
      <c r="BH427" t="inlineStr">
        <is>
          <t>DLD / Digital Dubai / CBUAE / Savills / Knight Frank-Moody’s / Reuters</t>
        </is>
      </c>
    </row>
    <row r="428">
      <c r="A428" t="n">
        <v>427</v>
      </c>
      <c r="B428" t="inlineStr">
        <is>
          <t>Symphony</t>
        </is>
      </c>
      <c r="C428" t="inlineStr">
        <is>
          <t>Nshama</t>
        </is>
      </c>
      <c r="D428" t="inlineStr">
        <is>
          <t>Town Square</t>
        </is>
      </c>
      <c r="E428" t="inlineStr">
        <is>
          <t>Apartments</t>
        </is>
      </c>
      <c r="F428" t="inlineStr">
        <is>
          <t>Park View</t>
        </is>
      </c>
      <c r="G428" t="inlineStr">
        <is>
          <t>900k</t>
        </is>
      </c>
      <c r="H428" t="inlineStr">
        <is>
          <t>1200</t>
        </is>
      </c>
      <c r="I428" t="inlineStr">
        <is>
          <t>14</t>
        </is>
      </c>
      <c r="J428" t="inlineStr">
        <is>
          <t>50/50</t>
        </is>
      </c>
      <c r="K428" t="inlineStr">
        <is>
          <t>2023</t>
        </is>
      </c>
      <c r="L428" t="inlineStr">
        <is>
          <t>7.0-7.5</t>
        </is>
      </c>
      <c r="M428" t="inlineStr">
        <is>
          <t>6-8</t>
        </is>
      </c>
      <c r="N428" t="inlineStr">
        <is>
          <t>13.0-15.5</t>
        </is>
      </c>
      <c r="O428" t="inlineStr">
        <is>
          <t>Fairgreen Intl</t>
        </is>
      </c>
      <c r="P428" t="inlineStr">
        <is>
          <t>Saudi German Hospital</t>
        </is>
      </c>
      <c r="Q428" t="inlineStr">
        <is>
          <t>Town Square Comm. Ctr</t>
        </is>
      </c>
      <c r="R428" t="inlineStr">
        <is>
          <t>Al Qudra Rd</t>
        </is>
      </c>
      <c r="S428" t="inlineStr">
        <is>
          <t>25</t>
        </is>
      </c>
      <c r="T428" t="inlineStr">
        <is>
          <t>30</t>
        </is>
      </c>
      <c r="U428" t="inlineStr">
        <is>
          <t>30</t>
        </is>
      </c>
      <c r="V428" t="inlineStr">
        <is>
          <t>30</t>
        </is>
      </c>
      <c r="W428" t="n">
        <v>2</v>
      </c>
      <c r="X428" s="12" t="n">
        <v>900000</v>
      </c>
      <c r="Y428" s="12" t="n">
        <v>900000</v>
      </c>
      <c r="Z428" s="9" t="n">
        <v>7</v>
      </c>
      <c r="AA428" s="9" t="n">
        <v>7.5</v>
      </c>
      <c r="AB428" s="9" t="n">
        <v>6</v>
      </c>
      <c r="AC428" s="9" t="n">
        <v>8</v>
      </c>
      <c r="AD428" s="9" t="n">
        <v>13</v>
      </c>
      <c r="AE428" s="9" t="n">
        <v>15.5</v>
      </c>
      <c r="AF428" t="n">
        <v>2023</v>
      </c>
      <c r="AH428" t="inlineStr">
        <is>
          <t>Apartment</t>
        </is>
      </c>
      <c r="AI428" t="inlineStr">
        <is>
          <t>SupplySensitiveApartment</t>
        </is>
      </c>
      <c r="AJ428" t="inlineStr">
        <is>
          <t>Established</t>
        </is>
      </c>
      <c r="AK428" t="inlineStr">
        <is>
          <t>Supply-sensitive / selective</t>
        </is>
      </c>
      <c r="AL428" t="inlineStr">
        <is>
          <t>Higher delivery risk in more price-sensitive apartment clusters; building selection and exit liquidity matter.</t>
        </is>
      </c>
      <c r="AM428" s="9" t="n">
        <v>7</v>
      </c>
      <c r="AN428" s="9" t="n">
        <v>7.25</v>
      </c>
      <c r="AO428" s="10" t="n">
        <v>0.55</v>
      </c>
      <c r="AP428" s="13" t="n">
        <v>0</v>
      </c>
      <c r="AQ428" s="13" t="n">
        <v>0</v>
      </c>
      <c r="AR428" s="13" t="n">
        <v>-0.01</v>
      </c>
      <c r="AS428" s="13" t="n">
        <v>-0.01</v>
      </c>
      <c r="AT428" s="13" t="n">
        <v>0</v>
      </c>
      <c r="AU428" s="13" t="n">
        <v>0.0025</v>
      </c>
      <c r="AV428" s="13" t="n">
        <v>-0.005</v>
      </c>
      <c r="AW428" s="13" t="n">
        <v>0.0285</v>
      </c>
      <c r="AX428" s="13" t="n">
        <v>-0.0125</v>
      </c>
      <c r="AY428" s="12" t="n">
        <v>897880</v>
      </c>
      <c r="AZ428" s="12" t="n">
        <v>925650</v>
      </c>
      <c r="BA428" s="12" t="n">
        <v>953420</v>
      </c>
      <c r="BB428" s="12" t="n">
        <v>886310</v>
      </c>
      <c r="BC428" s="12" t="n">
        <v>914079</v>
      </c>
      <c r="BD428" s="12" t="n">
        <v>941849</v>
      </c>
      <c r="BE428" s="12" t="n">
        <v>902653</v>
      </c>
      <c r="BF428" t="inlineStr">
        <is>
          <t>Frozen values from same rules-based model as formula sheet.</t>
        </is>
      </c>
      <c r="BG428" t="inlineStr">
        <is>
          <t>2026-03-17</t>
        </is>
      </c>
      <c r="BH428" t="inlineStr">
        <is>
          <t>DLD / Digital Dubai / CBUAE / Savills / Knight Frank-Moody’s / Reuters</t>
        </is>
      </c>
    </row>
    <row r="429">
      <c r="A429" t="n">
        <v>428</v>
      </c>
      <c r="B429" t="inlineStr">
        <is>
          <t>Aroha</t>
        </is>
      </c>
      <c r="C429" t="inlineStr">
        <is>
          <t>Nshama</t>
        </is>
      </c>
      <c r="D429" t="inlineStr">
        <is>
          <t>Town Square</t>
        </is>
      </c>
      <c r="E429" t="inlineStr">
        <is>
          <t>Apartments</t>
        </is>
      </c>
      <c r="F429" t="inlineStr">
        <is>
          <t>Park View</t>
        </is>
      </c>
      <c r="G429" t="inlineStr">
        <is>
          <t>800k</t>
        </is>
      </c>
      <c r="H429" t="inlineStr">
        <is>
          <t>1100</t>
        </is>
      </c>
      <c r="I429" t="inlineStr">
        <is>
          <t>14</t>
        </is>
      </c>
      <c r="J429" t="inlineStr">
        <is>
          <t>50/50</t>
        </is>
      </c>
      <c r="K429" t="inlineStr">
        <is>
          <t>2023</t>
        </is>
      </c>
      <c r="L429" t="inlineStr">
        <is>
          <t>7.0-7.5</t>
        </is>
      </c>
      <c r="M429" t="inlineStr">
        <is>
          <t>6-8</t>
        </is>
      </c>
      <c r="N429" t="inlineStr">
        <is>
          <t>13.0-15.5</t>
        </is>
      </c>
      <c r="O429" t="inlineStr">
        <is>
          <t>Fairgreen Intl</t>
        </is>
      </c>
      <c r="P429" t="inlineStr">
        <is>
          <t>Saudi German Hospital</t>
        </is>
      </c>
      <c r="Q429" t="inlineStr">
        <is>
          <t>Town Square Comm. Ctr</t>
        </is>
      </c>
      <c r="R429" t="inlineStr">
        <is>
          <t>Al Qudra Rd</t>
        </is>
      </c>
      <c r="S429" t="inlineStr">
        <is>
          <t>25</t>
        </is>
      </c>
      <c r="T429" t="inlineStr">
        <is>
          <t>30</t>
        </is>
      </c>
      <c r="U429" t="inlineStr">
        <is>
          <t>30</t>
        </is>
      </c>
      <c r="V429" t="inlineStr">
        <is>
          <t>30</t>
        </is>
      </c>
      <c r="W429" t="n">
        <v>2</v>
      </c>
      <c r="X429" s="12" t="n">
        <v>800000</v>
      </c>
      <c r="Y429" s="12" t="n">
        <v>800000</v>
      </c>
      <c r="Z429" s="9" t="n">
        <v>7</v>
      </c>
      <c r="AA429" s="9" t="n">
        <v>7.5</v>
      </c>
      <c r="AB429" s="9" t="n">
        <v>6</v>
      </c>
      <c r="AC429" s="9" t="n">
        <v>8</v>
      </c>
      <c r="AD429" s="9" t="n">
        <v>13</v>
      </c>
      <c r="AE429" s="9" t="n">
        <v>15.5</v>
      </c>
      <c r="AF429" t="n">
        <v>2023</v>
      </c>
      <c r="AH429" t="inlineStr">
        <is>
          <t>Apartment</t>
        </is>
      </c>
      <c r="AI429" t="inlineStr">
        <is>
          <t>SupplySensitiveApartment</t>
        </is>
      </c>
      <c r="AJ429" t="inlineStr">
        <is>
          <t>Established</t>
        </is>
      </c>
      <c r="AK429" t="inlineStr">
        <is>
          <t>Supply-sensitive / selective</t>
        </is>
      </c>
      <c r="AL429" t="inlineStr">
        <is>
          <t>Higher delivery risk in more price-sensitive apartment clusters; building selection and exit liquidity matter.</t>
        </is>
      </c>
      <c r="AM429" s="9" t="n">
        <v>7</v>
      </c>
      <c r="AN429" s="9" t="n">
        <v>7.25</v>
      </c>
      <c r="AO429" s="10" t="n">
        <v>0.55</v>
      </c>
      <c r="AP429" s="13" t="n">
        <v>0</v>
      </c>
      <c r="AQ429" s="13" t="n">
        <v>0</v>
      </c>
      <c r="AR429" s="13" t="n">
        <v>-0.01</v>
      </c>
      <c r="AS429" s="13" t="n">
        <v>-0.01</v>
      </c>
      <c r="AT429" s="13" t="n">
        <v>0</v>
      </c>
      <c r="AU429" s="13" t="n">
        <v>0.0025</v>
      </c>
      <c r="AV429" s="13" t="n">
        <v>-0.005</v>
      </c>
      <c r="AW429" s="13" t="n">
        <v>0.0285</v>
      </c>
      <c r="AX429" s="13" t="n">
        <v>-0.0125</v>
      </c>
      <c r="AY429" s="12" t="n">
        <v>798116</v>
      </c>
      <c r="AZ429" s="12" t="n">
        <v>822800</v>
      </c>
      <c r="BA429" s="12" t="n">
        <v>847484</v>
      </c>
      <c r="BB429" s="12" t="n">
        <v>787831</v>
      </c>
      <c r="BC429" s="12" t="n">
        <v>812515</v>
      </c>
      <c r="BD429" s="12" t="n">
        <v>837199</v>
      </c>
      <c r="BE429" s="12" t="n">
        <v>802359</v>
      </c>
      <c r="BF429" t="inlineStr">
        <is>
          <t>Frozen values from same rules-based model as formula sheet.</t>
        </is>
      </c>
      <c r="BG429" t="inlineStr">
        <is>
          <t>2026-03-17</t>
        </is>
      </c>
      <c r="BH429" t="inlineStr">
        <is>
          <t>DLD / Digital Dubai / CBUAE / Savills / Knight Frank-Moody’s / Reuters</t>
        </is>
      </c>
    </row>
    <row r="430">
      <c r="A430" t="n">
        <v>429</v>
      </c>
      <c r="B430" t="inlineStr">
        <is>
          <t>The Hamilton</t>
        </is>
      </c>
      <c r="C430" t="inlineStr">
        <is>
          <t>Nshama</t>
        </is>
      </c>
      <c r="D430" t="inlineStr">
        <is>
          <t>Town Square</t>
        </is>
      </c>
      <c r="E430" t="inlineStr">
        <is>
          <t>Apartments</t>
        </is>
      </c>
      <c r="F430" t="inlineStr">
        <is>
          <t>Park View</t>
        </is>
      </c>
      <c r="G430" t="inlineStr">
        <is>
          <t>800k</t>
        </is>
      </c>
      <c r="H430" t="inlineStr">
        <is>
          <t>1100</t>
        </is>
      </c>
      <c r="I430" t="inlineStr">
        <is>
          <t>14</t>
        </is>
      </c>
      <c r="J430" t="inlineStr">
        <is>
          <t>50/50</t>
        </is>
      </c>
      <c r="K430" t="inlineStr">
        <is>
          <t>2023</t>
        </is>
      </c>
      <c r="L430" t="inlineStr">
        <is>
          <t>7.0-7.5</t>
        </is>
      </c>
      <c r="M430" t="inlineStr">
        <is>
          <t>6-8</t>
        </is>
      </c>
      <c r="N430" t="inlineStr">
        <is>
          <t>13.0-15.5</t>
        </is>
      </c>
      <c r="O430" t="inlineStr">
        <is>
          <t>Fairgreen Intl</t>
        </is>
      </c>
      <c r="P430" t="inlineStr">
        <is>
          <t>Saudi German Hospital</t>
        </is>
      </c>
      <c r="Q430" t="inlineStr">
        <is>
          <t>Town Square Comm. Ctr</t>
        </is>
      </c>
      <c r="R430" t="inlineStr">
        <is>
          <t>Al Qudra Rd</t>
        </is>
      </c>
      <c r="S430" t="inlineStr">
        <is>
          <t>25</t>
        </is>
      </c>
      <c r="T430" t="inlineStr">
        <is>
          <t>30</t>
        </is>
      </c>
      <c r="U430" t="inlineStr">
        <is>
          <t>30</t>
        </is>
      </c>
      <c r="V430" t="inlineStr">
        <is>
          <t>30</t>
        </is>
      </c>
      <c r="W430" t="n">
        <v>2</v>
      </c>
      <c r="X430" s="12" t="n">
        <v>800000</v>
      </c>
      <c r="Y430" s="12" t="n">
        <v>800000</v>
      </c>
      <c r="Z430" s="9" t="n">
        <v>7</v>
      </c>
      <c r="AA430" s="9" t="n">
        <v>7.5</v>
      </c>
      <c r="AB430" s="9" t="n">
        <v>6</v>
      </c>
      <c r="AC430" s="9" t="n">
        <v>8</v>
      </c>
      <c r="AD430" s="9" t="n">
        <v>13</v>
      </c>
      <c r="AE430" s="9" t="n">
        <v>15.5</v>
      </c>
      <c r="AF430" t="n">
        <v>2023</v>
      </c>
      <c r="AH430" t="inlineStr">
        <is>
          <t>Apartment</t>
        </is>
      </c>
      <c r="AI430" t="inlineStr">
        <is>
          <t>SupplySensitiveApartment</t>
        </is>
      </c>
      <c r="AJ430" t="inlineStr">
        <is>
          <t>Established</t>
        </is>
      </c>
      <c r="AK430" t="inlineStr">
        <is>
          <t>Supply-sensitive / selective</t>
        </is>
      </c>
      <c r="AL430" t="inlineStr">
        <is>
          <t>Higher delivery risk in more price-sensitive apartment clusters; building selection and exit liquidity matter.</t>
        </is>
      </c>
      <c r="AM430" s="9" t="n">
        <v>7</v>
      </c>
      <c r="AN430" s="9" t="n">
        <v>7.25</v>
      </c>
      <c r="AO430" s="10" t="n">
        <v>0.55</v>
      </c>
      <c r="AP430" s="13" t="n">
        <v>0</v>
      </c>
      <c r="AQ430" s="13" t="n">
        <v>0</v>
      </c>
      <c r="AR430" s="13" t="n">
        <v>-0.01</v>
      </c>
      <c r="AS430" s="13" t="n">
        <v>-0.01</v>
      </c>
      <c r="AT430" s="13" t="n">
        <v>0</v>
      </c>
      <c r="AU430" s="13" t="n">
        <v>0.0025</v>
      </c>
      <c r="AV430" s="13" t="n">
        <v>-0.005</v>
      </c>
      <c r="AW430" s="13" t="n">
        <v>0.0285</v>
      </c>
      <c r="AX430" s="13" t="n">
        <v>-0.0125</v>
      </c>
      <c r="AY430" s="12" t="n">
        <v>798116</v>
      </c>
      <c r="AZ430" s="12" t="n">
        <v>822800</v>
      </c>
      <c r="BA430" s="12" t="n">
        <v>847484</v>
      </c>
      <c r="BB430" s="12" t="n">
        <v>787831</v>
      </c>
      <c r="BC430" s="12" t="n">
        <v>812515</v>
      </c>
      <c r="BD430" s="12" t="n">
        <v>837199</v>
      </c>
      <c r="BE430" s="12" t="n">
        <v>802359</v>
      </c>
      <c r="BF430" t="inlineStr">
        <is>
          <t>Frozen values from same rules-based model as formula sheet.</t>
        </is>
      </c>
      <c r="BG430" t="inlineStr">
        <is>
          <t>2026-03-17</t>
        </is>
      </c>
      <c r="BH430" t="inlineStr">
        <is>
          <t>DLD / Digital Dubai / CBUAE / Savills / Knight Frank-Moody’s / Reuters</t>
        </is>
      </c>
    </row>
    <row r="431">
      <c r="A431" t="n">
        <v>430</v>
      </c>
      <c r="B431" t="inlineStr">
        <is>
          <t>Holland Gardens</t>
        </is>
      </c>
      <c r="C431" t="inlineStr">
        <is>
          <t>Nshama</t>
        </is>
      </c>
      <c r="D431" t="inlineStr">
        <is>
          <t>Town Square</t>
        </is>
      </c>
      <c r="E431" t="inlineStr">
        <is>
          <t>Apartments</t>
        </is>
      </c>
      <c r="F431" t="inlineStr">
        <is>
          <t>Park View</t>
        </is>
      </c>
      <c r="G431" t="inlineStr">
        <is>
          <t>800k</t>
        </is>
      </c>
      <c r="H431" t="inlineStr">
        <is>
          <t>1100</t>
        </is>
      </c>
      <c r="I431" t="inlineStr">
        <is>
          <t>14</t>
        </is>
      </c>
      <c r="J431" t="inlineStr">
        <is>
          <t>50/50</t>
        </is>
      </c>
      <c r="K431" t="inlineStr">
        <is>
          <t>2023</t>
        </is>
      </c>
      <c r="L431" t="inlineStr">
        <is>
          <t>7.0-7.5</t>
        </is>
      </c>
      <c r="M431" t="inlineStr">
        <is>
          <t>6-8</t>
        </is>
      </c>
      <c r="N431" t="inlineStr">
        <is>
          <t>13.0-15.5</t>
        </is>
      </c>
      <c r="O431" t="inlineStr">
        <is>
          <t>Fairgreen Intl</t>
        </is>
      </c>
      <c r="P431" t="inlineStr">
        <is>
          <t>Saudi German Hospital</t>
        </is>
      </c>
      <c r="Q431" t="inlineStr">
        <is>
          <t>Town Square Comm. Ctr</t>
        </is>
      </c>
      <c r="R431" t="inlineStr">
        <is>
          <t>Al Qudra Rd</t>
        </is>
      </c>
      <c r="S431" t="inlineStr">
        <is>
          <t>25</t>
        </is>
      </c>
      <c r="T431" t="inlineStr">
        <is>
          <t>30</t>
        </is>
      </c>
      <c r="U431" t="inlineStr">
        <is>
          <t>30</t>
        </is>
      </c>
      <c r="V431" t="inlineStr">
        <is>
          <t>30</t>
        </is>
      </c>
      <c r="W431" t="n">
        <v>2</v>
      </c>
      <c r="X431" s="12" t="n">
        <v>800000</v>
      </c>
      <c r="Y431" s="12" t="n">
        <v>800000</v>
      </c>
      <c r="Z431" s="9" t="n">
        <v>7</v>
      </c>
      <c r="AA431" s="9" t="n">
        <v>7.5</v>
      </c>
      <c r="AB431" s="9" t="n">
        <v>6</v>
      </c>
      <c r="AC431" s="9" t="n">
        <v>8</v>
      </c>
      <c r="AD431" s="9" t="n">
        <v>13</v>
      </c>
      <c r="AE431" s="9" t="n">
        <v>15.5</v>
      </c>
      <c r="AF431" t="n">
        <v>2023</v>
      </c>
      <c r="AH431" t="inlineStr">
        <is>
          <t>Apartment</t>
        </is>
      </c>
      <c r="AI431" t="inlineStr">
        <is>
          <t>SupplySensitiveApartment</t>
        </is>
      </c>
      <c r="AJ431" t="inlineStr">
        <is>
          <t>Established</t>
        </is>
      </c>
      <c r="AK431" t="inlineStr">
        <is>
          <t>Supply-sensitive / selective</t>
        </is>
      </c>
      <c r="AL431" t="inlineStr">
        <is>
          <t>Higher delivery risk in more price-sensitive apartment clusters; building selection and exit liquidity matter.</t>
        </is>
      </c>
      <c r="AM431" s="9" t="n">
        <v>7</v>
      </c>
      <c r="AN431" s="9" t="n">
        <v>7.25</v>
      </c>
      <c r="AO431" s="10" t="n">
        <v>0.55</v>
      </c>
      <c r="AP431" s="13" t="n">
        <v>0</v>
      </c>
      <c r="AQ431" s="13" t="n">
        <v>0</v>
      </c>
      <c r="AR431" s="13" t="n">
        <v>-0.01</v>
      </c>
      <c r="AS431" s="13" t="n">
        <v>-0.01</v>
      </c>
      <c r="AT431" s="13" t="n">
        <v>0</v>
      </c>
      <c r="AU431" s="13" t="n">
        <v>0.0025</v>
      </c>
      <c r="AV431" s="13" t="n">
        <v>-0.005</v>
      </c>
      <c r="AW431" s="13" t="n">
        <v>0.0285</v>
      </c>
      <c r="AX431" s="13" t="n">
        <v>-0.0125</v>
      </c>
      <c r="AY431" s="12" t="n">
        <v>798116</v>
      </c>
      <c r="AZ431" s="12" t="n">
        <v>822800</v>
      </c>
      <c r="BA431" s="12" t="n">
        <v>847484</v>
      </c>
      <c r="BB431" s="12" t="n">
        <v>787831</v>
      </c>
      <c r="BC431" s="12" t="n">
        <v>812515</v>
      </c>
      <c r="BD431" s="12" t="n">
        <v>837199</v>
      </c>
      <c r="BE431" s="12" t="n">
        <v>802359</v>
      </c>
      <c r="BF431" t="inlineStr">
        <is>
          <t>Frozen values from same rules-based model as formula sheet.</t>
        </is>
      </c>
      <c r="BG431" t="inlineStr">
        <is>
          <t>2026-03-17</t>
        </is>
      </c>
      <c r="BH431" t="inlineStr">
        <is>
          <t>DLD / Digital Dubai / CBUAE / Savills / Knight Frank-Moody’s / Reuters</t>
        </is>
      </c>
    </row>
    <row r="432">
      <c r="A432" t="n">
        <v>431</v>
      </c>
      <c r="B432" t="inlineStr">
        <is>
          <t>The Diplomat</t>
        </is>
      </c>
      <c r="C432" t="inlineStr">
        <is>
          <t>Nshama</t>
        </is>
      </c>
      <c r="D432" t="inlineStr">
        <is>
          <t>Town Square</t>
        </is>
      </c>
      <c r="E432" t="inlineStr">
        <is>
          <t>Apartments</t>
        </is>
      </c>
      <c r="F432" t="inlineStr">
        <is>
          <t>Park View</t>
        </is>
      </c>
      <c r="G432" t="inlineStr">
        <is>
          <t>850k</t>
        </is>
      </c>
      <c r="H432" t="inlineStr">
        <is>
          <t>1150</t>
        </is>
      </c>
      <c r="I432" t="inlineStr">
        <is>
          <t>14</t>
        </is>
      </c>
      <c r="J432" t="inlineStr">
        <is>
          <t>50/50</t>
        </is>
      </c>
      <c r="K432" t="inlineStr">
        <is>
          <t>2022</t>
        </is>
      </c>
      <c r="L432" t="inlineStr">
        <is>
          <t>7.0-7.5</t>
        </is>
      </c>
      <c r="M432" t="inlineStr">
        <is>
          <t>6-8</t>
        </is>
      </c>
      <c r="N432" t="inlineStr">
        <is>
          <t>13.0-15.5</t>
        </is>
      </c>
      <c r="O432" t="inlineStr">
        <is>
          <t>Fairgreen Intl</t>
        </is>
      </c>
      <c r="P432" t="inlineStr">
        <is>
          <t>Saudi German Hospital</t>
        </is>
      </c>
      <c r="Q432" t="inlineStr">
        <is>
          <t>Town Square Comm. Ctr</t>
        </is>
      </c>
      <c r="R432" t="inlineStr">
        <is>
          <t>Al Qudra Rd</t>
        </is>
      </c>
      <c r="S432" t="inlineStr">
        <is>
          <t>25</t>
        </is>
      </c>
      <c r="T432" t="inlineStr">
        <is>
          <t>30</t>
        </is>
      </c>
      <c r="U432" t="inlineStr">
        <is>
          <t>30</t>
        </is>
      </c>
      <c r="V432" t="inlineStr">
        <is>
          <t>30</t>
        </is>
      </c>
      <c r="W432" t="n">
        <v>2</v>
      </c>
      <c r="X432" s="12" t="n">
        <v>850000</v>
      </c>
      <c r="Y432" s="12" t="n">
        <v>850000</v>
      </c>
      <c r="Z432" s="9" t="n">
        <v>7</v>
      </c>
      <c r="AA432" s="9" t="n">
        <v>7.5</v>
      </c>
      <c r="AB432" s="9" t="n">
        <v>6</v>
      </c>
      <c r="AC432" s="9" t="n">
        <v>8</v>
      </c>
      <c r="AD432" s="9" t="n">
        <v>13</v>
      </c>
      <c r="AE432" s="9" t="n">
        <v>15.5</v>
      </c>
      <c r="AF432" t="n">
        <v>2022</v>
      </c>
      <c r="AH432" t="inlineStr">
        <is>
          <t>Apartment</t>
        </is>
      </c>
      <c r="AI432" t="inlineStr">
        <is>
          <t>SupplySensitiveApartment</t>
        </is>
      </c>
      <c r="AJ432" t="inlineStr">
        <is>
          <t>Established</t>
        </is>
      </c>
      <c r="AK432" t="inlineStr">
        <is>
          <t>Supply-sensitive / selective</t>
        </is>
      </c>
      <c r="AL432" t="inlineStr">
        <is>
          <t>Higher delivery risk in more price-sensitive apartment clusters; building selection and exit liquidity matter.</t>
        </is>
      </c>
      <c r="AM432" s="9" t="n">
        <v>7</v>
      </c>
      <c r="AN432" s="9" t="n">
        <v>7.25</v>
      </c>
      <c r="AO432" s="10" t="n">
        <v>0.55</v>
      </c>
      <c r="AP432" s="13" t="n">
        <v>0</v>
      </c>
      <c r="AQ432" s="13" t="n">
        <v>0</v>
      </c>
      <c r="AR432" s="13" t="n">
        <v>-0.01</v>
      </c>
      <c r="AS432" s="13" t="n">
        <v>-0.01</v>
      </c>
      <c r="AT432" s="13" t="n">
        <v>0</v>
      </c>
      <c r="AU432" s="13" t="n">
        <v>0.0025</v>
      </c>
      <c r="AV432" s="13" t="n">
        <v>-0.005</v>
      </c>
      <c r="AW432" s="13" t="n">
        <v>0.0285</v>
      </c>
      <c r="AX432" s="13" t="n">
        <v>-0.0125</v>
      </c>
      <c r="AY432" s="12" t="n">
        <v>847998</v>
      </c>
      <c r="AZ432" s="12" t="n">
        <v>874225</v>
      </c>
      <c r="BA432" s="12" t="n">
        <v>900452</v>
      </c>
      <c r="BB432" s="12" t="n">
        <v>837070</v>
      </c>
      <c r="BC432" s="12" t="n">
        <v>863297</v>
      </c>
      <c r="BD432" s="12" t="n">
        <v>889524</v>
      </c>
      <c r="BE432" s="12" t="n">
        <v>852506</v>
      </c>
      <c r="BF432" t="inlineStr">
        <is>
          <t>Frozen values from same rules-based model as formula sheet.</t>
        </is>
      </c>
      <c r="BG432" t="inlineStr">
        <is>
          <t>2026-03-17</t>
        </is>
      </c>
      <c r="BH432" t="inlineStr">
        <is>
          <t>DLD / Digital Dubai / CBUAE / Savills / Knight Frank-Moody’s / Reuters</t>
        </is>
      </c>
    </row>
    <row r="433">
      <c r="A433" t="n">
        <v>432</v>
      </c>
      <c r="B433" t="inlineStr">
        <is>
          <t>Liva</t>
        </is>
      </c>
      <c r="C433" t="inlineStr">
        <is>
          <t>Nshama</t>
        </is>
      </c>
      <c r="D433" t="inlineStr">
        <is>
          <t>Town Square</t>
        </is>
      </c>
      <c r="E433" t="inlineStr">
        <is>
          <t>Apartments</t>
        </is>
      </c>
      <c r="F433" t="inlineStr">
        <is>
          <t>Studio/1Bed</t>
        </is>
      </c>
      <c r="G433" t="inlineStr">
        <is>
          <t>500k</t>
        </is>
      </c>
      <c r="H433" t="inlineStr">
        <is>
          <t>1000</t>
        </is>
      </c>
      <c r="I433" t="inlineStr">
        <is>
          <t>14</t>
        </is>
      </c>
      <c r="J433" t="inlineStr">
        <is>
          <t>Completed</t>
        </is>
      </c>
      <c r="K433" t="inlineStr">
        <is>
          <t>2022</t>
        </is>
      </c>
      <c r="L433" t="inlineStr">
        <is>
          <t>7.5-8.0</t>
        </is>
      </c>
      <c r="M433" t="inlineStr">
        <is>
          <t>5-7</t>
        </is>
      </c>
      <c r="N433" t="inlineStr">
        <is>
          <t>12.5-15.0</t>
        </is>
      </c>
      <c r="O433" t="inlineStr">
        <is>
          <t>Fairgreen Intl</t>
        </is>
      </c>
      <c r="P433" t="inlineStr">
        <is>
          <t>Saudi German Hospital</t>
        </is>
      </c>
      <c r="Q433" t="inlineStr">
        <is>
          <t>Town Square Comm. Ctr</t>
        </is>
      </c>
      <c r="R433" t="inlineStr">
        <is>
          <t>Al Qudra Rd</t>
        </is>
      </c>
      <c r="S433" t="inlineStr">
        <is>
          <t>25</t>
        </is>
      </c>
      <c r="T433" t="inlineStr">
        <is>
          <t>30</t>
        </is>
      </c>
      <c r="U433" t="inlineStr">
        <is>
          <t>30</t>
        </is>
      </c>
      <c r="V433" t="inlineStr">
        <is>
          <t>30</t>
        </is>
      </c>
      <c r="W433" t="n">
        <v>2</v>
      </c>
      <c r="X433" s="12" t="n">
        <v>500000</v>
      </c>
      <c r="Y433" s="12" t="n">
        <v>500000</v>
      </c>
      <c r="Z433" s="9" t="n">
        <v>7.5</v>
      </c>
      <c r="AA433" s="9" t="n">
        <v>8</v>
      </c>
      <c r="AB433" s="9" t="n">
        <v>5</v>
      </c>
      <c r="AC433" s="9" t="n">
        <v>7</v>
      </c>
      <c r="AD433" s="9" t="n">
        <v>12.5</v>
      </c>
      <c r="AE433" s="9" t="n">
        <v>15</v>
      </c>
      <c r="AF433" t="n">
        <v>2022</v>
      </c>
      <c r="AH433" t="inlineStr">
        <is>
          <t>Apartment</t>
        </is>
      </c>
      <c r="AI433" t="inlineStr">
        <is>
          <t>SupplySensitiveApartment</t>
        </is>
      </c>
      <c r="AJ433" t="inlineStr">
        <is>
          <t>Established</t>
        </is>
      </c>
      <c r="AK433" t="inlineStr">
        <is>
          <t>Supply-sensitive / selective</t>
        </is>
      </c>
      <c r="AL433" t="inlineStr">
        <is>
          <t>Higher delivery risk in more price-sensitive apartment clusters; building selection and exit liquidity matter.</t>
        </is>
      </c>
      <c r="AM433" s="9" t="n">
        <v>6</v>
      </c>
      <c r="AN433" s="9" t="n">
        <v>7.75</v>
      </c>
      <c r="AO433" s="10" t="n">
        <v>0.55</v>
      </c>
      <c r="AP433" s="13" t="n">
        <v>0</v>
      </c>
      <c r="AQ433" s="13" t="n">
        <v>0</v>
      </c>
      <c r="AR433" s="13" t="n">
        <v>-0.01</v>
      </c>
      <c r="AS433" s="13" t="n">
        <v>-0.01</v>
      </c>
      <c r="AT433" s="13" t="n">
        <v>0</v>
      </c>
      <c r="AU433" s="13" t="n">
        <v>0.0025</v>
      </c>
      <c r="AV433" s="13" t="n">
        <v>-0.005</v>
      </c>
      <c r="AW433" s="13" t="n">
        <v>0.023</v>
      </c>
      <c r="AX433" s="13" t="n">
        <v>-0.0125</v>
      </c>
      <c r="AY433" s="12" t="n">
        <v>496155</v>
      </c>
      <c r="AZ433" s="12" t="n">
        <v>511500</v>
      </c>
      <c r="BA433" s="12" t="n">
        <v>526845</v>
      </c>
      <c r="BB433" s="12" t="n">
        <v>489761</v>
      </c>
      <c r="BC433" s="12" t="n">
        <v>505106</v>
      </c>
      <c r="BD433" s="12" t="n">
        <v>520451</v>
      </c>
      <c r="BE433" s="12" t="n">
        <v>498792</v>
      </c>
      <c r="BF433" t="inlineStr">
        <is>
          <t>Frozen values from same rules-based model as formula sheet.</t>
        </is>
      </c>
      <c r="BG433" t="inlineStr">
        <is>
          <t>2026-03-17</t>
        </is>
      </c>
      <c r="BH433" t="inlineStr">
        <is>
          <t>DLD / Digital Dubai / CBUAE / Savills / Knight Frank-Moody’s / Reuters</t>
        </is>
      </c>
    </row>
    <row r="434">
      <c r="A434" t="n">
        <v>433</v>
      </c>
      <c r="B434" t="inlineStr">
        <is>
          <t>Una</t>
        </is>
      </c>
      <c r="C434" t="inlineStr">
        <is>
          <t>Nshama</t>
        </is>
      </c>
      <c r="D434" t="inlineStr">
        <is>
          <t>Town Square</t>
        </is>
      </c>
      <c r="E434" t="inlineStr">
        <is>
          <t>Apartments</t>
        </is>
      </c>
      <c r="F434" t="inlineStr">
        <is>
          <t>Co-Living / Youth</t>
        </is>
      </c>
      <c r="G434" t="inlineStr">
        <is>
          <t>Resale (500k+)</t>
        </is>
      </c>
      <c r="H434" t="inlineStr">
        <is>
          <t>1000</t>
        </is>
      </c>
      <c r="I434" t="inlineStr">
        <is>
          <t>15</t>
        </is>
      </c>
      <c r="J434" t="inlineStr">
        <is>
          <t>Completed</t>
        </is>
      </c>
      <c r="K434" t="inlineStr">
        <is>
          <t>2019</t>
        </is>
      </c>
      <c r="L434" t="inlineStr">
        <is>
          <t>7.5-8.0</t>
        </is>
      </c>
      <c r="M434" t="inlineStr">
        <is>
          <t>5-7</t>
        </is>
      </c>
      <c r="N434" t="inlineStr">
        <is>
          <t>12.5-15.0</t>
        </is>
      </c>
      <c r="O434" t="inlineStr">
        <is>
          <t>Fairgreen Intl</t>
        </is>
      </c>
      <c r="P434" t="inlineStr">
        <is>
          <t>Saudi German Hospital</t>
        </is>
      </c>
      <c r="Q434" t="inlineStr">
        <is>
          <t>Town Square Comm. Ctr</t>
        </is>
      </c>
      <c r="R434" t="inlineStr">
        <is>
          <t>Al Qudra Rd</t>
        </is>
      </c>
      <c r="S434" t="inlineStr">
        <is>
          <t>25</t>
        </is>
      </c>
      <c r="T434" t="inlineStr">
        <is>
          <t>30</t>
        </is>
      </c>
      <c r="U434" t="inlineStr">
        <is>
          <t>30</t>
        </is>
      </c>
      <c r="V434" t="inlineStr">
        <is>
          <t>30</t>
        </is>
      </c>
      <c r="W434" t="n">
        <v>2</v>
      </c>
      <c r="X434" s="12" t="n">
        <v>500000</v>
      </c>
      <c r="Y434" s="12" t="n">
        <v>500000</v>
      </c>
      <c r="Z434" s="9" t="n">
        <v>7.5</v>
      </c>
      <c r="AA434" s="9" t="n">
        <v>8</v>
      </c>
      <c r="AB434" s="9" t="n">
        <v>5</v>
      </c>
      <c r="AC434" s="9" t="n">
        <v>7</v>
      </c>
      <c r="AD434" s="9" t="n">
        <v>12.5</v>
      </c>
      <c r="AE434" s="9" t="n">
        <v>15</v>
      </c>
      <c r="AF434" t="n">
        <v>2019</v>
      </c>
      <c r="AH434" t="inlineStr">
        <is>
          <t>Apartment</t>
        </is>
      </c>
      <c r="AI434" t="inlineStr">
        <is>
          <t>SupplySensitiveApartment</t>
        </is>
      </c>
      <c r="AJ434" t="inlineStr">
        <is>
          <t>Established</t>
        </is>
      </c>
      <c r="AK434" t="inlineStr">
        <is>
          <t>Supply-sensitive / selective</t>
        </is>
      </c>
      <c r="AL434" t="inlineStr">
        <is>
          <t>Higher delivery risk in more price-sensitive apartment clusters; building selection and exit liquidity matter.</t>
        </is>
      </c>
      <c r="AM434" s="9" t="n">
        <v>6</v>
      </c>
      <c r="AN434" s="9" t="n">
        <v>7.75</v>
      </c>
      <c r="AO434" s="10" t="n">
        <v>0.55</v>
      </c>
      <c r="AP434" s="13" t="n">
        <v>0</v>
      </c>
      <c r="AQ434" s="13" t="n">
        <v>0</v>
      </c>
      <c r="AR434" s="13" t="n">
        <v>-0.01</v>
      </c>
      <c r="AS434" s="13" t="n">
        <v>-0.01</v>
      </c>
      <c r="AT434" s="13" t="n">
        <v>0</v>
      </c>
      <c r="AU434" s="13" t="n">
        <v>0.0025</v>
      </c>
      <c r="AV434" s="13" t="n">
        <v>-0.005</v>
      </c>
      <c r="AW434" s="13" t="n">
        <v>0.023</v>
      </c>
      <c r="AX434" s="13" t="n">
        <v>-0.0125</v>
      </c>
      <c r="AY434" s="12" t="n">
        <v>496155</v>
      </c>
      <c r="AZ434" s="12" t="n">
        <v>511500</v>
      </c>
      <c r="BA434" s="12" t="n">
        <v>526845</v>
      </c>
      <c r="BB434" s="12" t="n">
        <v>489761</v>
      </c>
      <c r="BC434" s="12" t="n">
        <v>505106</v>
      </c>
      <c r="BD434" s="12" t="n">
        <v>520451</v>
      </c>
      <c r="BE434" s="12" t="n">
        <v>498792</v>
      </c>
      <c r="BF434" t="inlineStr">
        <is>
          <t>Frozen values from same rules-based model as formula sheet.</t>
        </is>
      </c>
      <c r="BG434" t="inlineStr">
        <is>
          <t>2026-03-17</t>
        </is>
      </c>
      <c r="BH434" t="inlineStr">
        <is>
          <t>DLD / Digital Dubai / CBUAE / Savills / Knight Frank-Moody’s / Reuters</t>
        </is>
      </c>
    </row>
    <row r="435">
      <c r="A435" t="n">
        <v>434</v>
      </c>
      <c r="B435" t="inlineStr">
        <is>
          <t>Rawda / Zahra / Hayat</t>
        </is>
      </c>
      <c r="C435" t="inlineStr">
        <is>
          <t>Nshama</t>
        </is>
      </c>
      <c r="D435" t="inlineStr">
        <is>
          <t>Town Square</t>
        </is>
      </c>
      <c r="E435" t="inlineStr">
        <is>
          <t>Apartments</t>
        </is>
      </c>
      <c r="F435" t="inlineStr">
        <is>
          <t>Park View</t>
        </is>
      </c>
      <c r="G435" t="inlineStr">
        <is>
          <t>Resale (600k+)</t>
        </is>
      </c>
      <c r="H435" t="inlineStr">
        <is>
          <t>900</t>
        </is>
      </c>
      <c r="I435" t="inlineStr">
        <is>
          <t>14</t>
        </is>
      </c>
      <c r="J435" t="inlineStr">
        <is>
          <t>Completed</t>
        </is>
      </c>
      <c r="K435" t="inlineStr">
        <is>
          <t>2015-2019</t>
        </is>
      </c>
      <c r="L435" t="inlineStr">
        <is>
          <t>7.0-7.5</t>
        </is>
      </c>
      <c r="M435" t="inlineStr">
        <is>
          <t>5-7</t>
        </is>
      </c>
      <c r="N435" t="inlineStr">
        <is>
          <t>12.0-14.5</t>
        </is>
      </c>
      <c r="O435" t="inlineStr">
        <is>
          <t>Fairgreen Intl</t>
        </is>
      </c>
      <c r="P435" t="inlineStr">
        <is>
          <t>Saudi German Hospital</t>
        </is>
      </c>
      <c r="Q435" t="inlineStr">
        <is>
          <t>Town Square Comm. Ctr</t>
        </is>
      </c>
      <c r="R435" t="inlineStr">
        <is>
          <t>Al Qudra Rd</t>
        </is>
      </c>
      <c r="S435" t="inlineStr">
        <is>
          <t>25</t>
        </is>
      </c>
      <c r="T435" t="inlineStr">
        <is>
          <t>30</t>
        </is>
      </c>
      <c r="U435" t="inlineStr">
        <is>
          <t>30</t>
        </is>
      </c>
      <c r="V435" t="inlineStr">
        <is>
          <t>30</t>
        </is>
      </c>
      <c r="W435" t="n">
        <v>2</v>
      </c>
      <c r="X435" s="12" t="n">
        <v>600000</v>
      </c>
      <c r="Y435" s="12" t="n">
        <v>600000</v>
      </c>
      <c r="Z435" s="9" t="n">
        <v>7</v>
      </c>
      <c r="AA435" s="9" t="n">
        <v>7.5</v>
      </c>
      <c r="AB435" s="9" t="n">
        <v>5</v>
      </c>
      <c r="AC435" s="9" t="n">
        <v>7</v>
      </c>
      <c r="AD435" s="9" t="n">
        <v>12</v>
      </c>
      <c r="AE435" s="9" t="n">
        <v>14.5</v>
      </c>
      <c r="AF435" t="n">
        <v>2015</v>
      </c>
      <c r="AH435" t="inlineStr">
        <is>
          <t>Apartment</t>
        </is>
      </c>
      <c r="AI435" t="inlineStr">
        <is>
          <t>SupplySensitiveApartment</t>
        </is>
      </c>
      <c r="AJ435" t="inlineStr">
        <is>
          <t>Established</t>
        </is>
      </c>
      <c r="AK435" t="inlineStr">
        <is>
          <t>Supply-sensitive / selective</t>
        </is>
      </c>
      <c r="AL435" t="inlineStr">
        <is>
          <t>Higher delivery risk in more price-sensitive apartment clusters; building selection and exit liquidity matter.</t>
        </is>
      </c>
      <c r="AM435" s="9" t="n">
        <v>6</v>
      </c>
      <c r="AN435" s="9" t="n">
        <v>7.25</v>
      </c>
      <c r="AO435" s="10" t="n">
        <v>0.55</v>
      </c>
      <c r="AP435" s="13" t="n">
        <v>0</v>
      </c>
      <c r="AQ435" s="13" t="n">
        <v>0</v>
      </c>
      <c r="AR435" s="13" t="n">
        <v>-0.01</v>
      </c>
      <c r="AS435" s="13" t="n">
        <v>-0.01</v>
      </c>
      <c r="AT435" s="13" t="n">
        <v>0</v>
      </c>
      <c r="AU435" s="13" t="n">
        <v>0.0025</v>
      </c>
      <c r="AV435" s="13" t="n">
        <v>-0.005</v>
      </c>
      <c r="AW435" s="13" t="n">
        <v>0.023</v>
      </c>
      <c r="AX435" s="13" t="n">
        <v>-0.0125</v>
      </c>
      <c r="AY435" s="12" t="n">
        <v>595386</v>
      </c>
      <c r="AZ435" s="12" t="n">
        <v>613800</v>
      </c>
      <c r="BA435" s="12" t="n">
        <v>632214</v>
      </c>
      <c r="BB435" s="12" t="n">
        <v>587714</v>
      </c>
      <c r="BC435" s="12" t="n">
        <v>606128</v>
      </c>
      <c r="BD435" s="12" t="n">
        <v>624542</v>
      </c>
      <c r="BE435" s="12" t="n">
        <v>598551</v>
      </c>
      <c r="BF435" t="inlineStr">
        <is>
          <t>Frozen values from same rules-based model as formula sheet.</t>
        </is>
      </c>
      <c r="BG435" t="inlineStr">
        <is>
          <t>2026-03-17</t>
        </is>
      </c>
      <c r="BH435" t="inlineStr">
        <is>
          <t>DLD / Digital Dubai / CBUAE / Savills / Knight Frank-Moody’s / Reuters</t>
        </is>
      </c>
    </row>
    <row r="436">
      <c r="A436" t="n">
        <v>435</v>
      </c>
      <c r="B436" t="inlineStr">
        <is>
          <t>Verdana Phase 1</t>
        </is>
      </c>
      <c r="C436" t="inlineStr">
        <is>
          <t>Reportage Properties</t>
        </is>
      </c>
      <c r="D436" t="inlineStr">
        <is>
          <t>DIP</t>
        </is>
      </c>
      <c r="E436" t="inlineStr">
        <is>
          <t>Townhouses</t>
        </is>
      </c>
      <c r="F436" t="inlineStr">
        <is>
          <t>Family / Budget</t>
        </is>
      </c>
      <c r="G436" t="inlineStr">
        <is>
          <t>1.5M</t>
        </is>
      </c>
      <c r="H436" t="inlineStr">
        <is>
          <t>900</t>
        </is>
      </c>
      <c r="I436" t="inlineStr">
        <is>
          <t>12</t>
        </is>
      </c>
      <c r="J436" t="inlineStr">
        <is>
          <t>Varies</t>
        </is>
      </c>
      <c r="K436" t="inlineStr">
        <is>
          <t>2022</t>
        </is>
      </c>
      <c r="L436" t="inlineStr">
        <is>
          <t>7.0-7.5</t>
        </is>
      </c>
      <c r="M436" t="inlineStr">
        <is>
          <t>6-8</t>
        </is>
      </c>
      <c r="N436" t="inlineStr">
        <is>
          <t>13.0-15.5</t>
        </is>
      </c>
      <c r="O436" t="inlineStr">
        <is>
          <t>Greenfield Intl</t>
        </is>
      </c>
      <c r="P436" t="inlineStr">
        <is>
          <t>NMC Royal DIP</t>
        </is>
      </c>
      <c r="Q436" t="inlineStr">
        <is>
          <t>Souq Extra DIP</t>
        </is>
      </c>
      <c r="R436" t="inlineStr">
        <is>
          <t>Yalayis / E611</t>
        </is>
      </c>
      <c r="S436" t="inlineStr">
        <is>
          <t>30</t>
        </is>
      </c>
      <c r="T436" t="inlineStr">
        <is>
          <t>20</t>
        </is>
      </c>
      <c r="U436" t="inlineStr">
        <is>
          <t>35</t>
        </is>
      </c>
      <c r="V436" t="inlineStr">
        <is>
          <t>15</t>
        </is>
      </c>
      <c r="W436" t="n">
        <v>2</v>
      </c>
      <c r="X436" s="12" t="n">
        <v>1500000</v>
      </c>
      <c r="Y436" s="12" t="n">
        <v>1500000</v>
      </c>
      <c r="Z436" s="9" t="n">
        <v>7</v>
      </c>
      <c r="AA436" s="9" t="n">
        <v>7.5</v>
      </c>
      <c r="AB436" s="9" t="n">
        <v>6</v>
      </c>
      <c r="AC436" s="9" t="n">
        <v>8</v>
      </c>
      <c r="AD436" s="9" t="n">
        <v>13</v>
      </c>
      <c r="AE436" s="9" t="n">
        <v>15.5</v>
      </c>
      <c r="AF436" t="n">
        <v>2022</v>
      </c>
      <c r="AH436" t="inlineStr">
        <is>
          <t>Townhouse</t>
        </is>
      </c>
      <c r="AI436" t="inlineStr">
        <is>
          <t>MainstreamSelective</t>
        </is>
      </c>
      <c r="AJ436" t="inlineStr">
        <is>
          <t>MidTier</t>
        </is>
      </c>
      <c r="AK436" t="inlineStr">
        <is>
          <t>Family-villa resilient</t>
        </is>
      </c>
      <c r="AL436" t="inlineStr">
        <is>
          <t>Villa/townhouse demand remains relatively firmer, though growth should be slower than the post-2020 surge.</t>
        </is>
      </c>
      <c r="AM436" s="9" t="n">
        <v>7</v>
      </c>
      <c r="AN436" s="9" t="n">
        <v>7.25</v>
      </c>
      <c r="AO436" s="10" t="n">
        <v>0.55</v>
      </c>
      <c r="AP436" s="13" t="n">
        <v>0</v>
      </c>
      <c r="AQ436" s="13" t="n">
        <v>0.015</v>
      </c>
      <c r="AR436" s="13" t="n">
        <v>0</v>
      </c>
      <c r="AS436" s="13" t="n">
        <v>0.025</v>
      </c>
      <c r="AT436" s="13" t="n">
        <v>-0.005</v>
      </c>
      <c r="AU436" s="13" t="n">
        <v>0.0025</v>
      </c>
      <c r="AV436" s="13" t="n">
        <v>-0.005</v>
      </c>
      <c r="AW436" s="13" t="n">
        <v>0.05350000000000001</v>
      </c>
      <c r="AX436" s="13" t="n">
        <v>0.0175</v>
      </c>
      <c r="AY436" s="12" t="n">
        <v>1532842</v>
      </c>
      <c r="AZ436" s="12" t="n">
        <v>1580250</v>
      </c>
      <c r="BA436" s="12" t="n">
        <v>1627658</v>
      </c>
      <c r="BB436" s="12" t="n">
        <v>1560497</v>
      </c>
      <c r="BC436" s="12" t="n">
        <v>1607904</v>
      </c>
      <c r="BD436" s="12" t="n">
        <v>1655312</v>
      </c>
      <c r="BE436" s="12" t="n">
        <v>1636043</v>
      </c>
      <c r="BF436" t="inlineStr">
        <is>
          <t>Frozen values from same rules-based model as formula sheet.</t>
        </is>
      </c>
      <c r="BG436" t="inlineStr">
        <is>
          <t>2026-03-17</t>
        </is>
      </c>
      <c r="BH436" t="inlineStr">
        <is>
          <t>DLD / Digital Dubai / CBUAE / Savills / Knight Frank-Moody’s / Reuters</t>
        </is>
      </c>
    </row>
    <row r="437">
      <c r="A437" t="n">
        <v>436</v>
      </c>
      <c r="B437" t="inlineStr">
        <is>
          <t>Verdana Phase 2</t>
        </is>
      </c>
      <c r="C437" t="inlineStr">
        <is>
          <t>Reportage Properties</t>
        </is>
      </c>
      <c r="D437" t="inlineStr">
        <is>
          <t>DIP</t>
        </is>
      </c>
      <c r="E437" t="inlineStr">
        <is>
          <t>Townhouses</t>
        </is>
      </c>
      <c r="F437" t="inlineStr">
        <is>
          <t>Family / Budget</t>
        </is>
      </c>
      <c r="G437" t="inlineStr">
        <is>
          <t>1.6M</t>
        </is>
      </c>
      <c r="H437" t="inlineStr">
        <is>
          <t>950</t>
        </is>
      </c>
      <c r="I437" t="inlineStr">
        <is>
          <t>12</t>
        </is>
      </c>
      <c r="J437" t="inlineStr">
        <is>
          <t>Varies</t>
        </is>
      </c>
      <c r="K437" t="inlineStr">
        <is>
          <t>2022</t>
        </is>
      </c>
      <c r="L437" t="inlineStr">
        <is>
          <t>7.0-7.5</t>
        </is>
      </c>
      <c r="M437" t="inlineStr">
        <is>
          <t>6-8</t>
        </is>
      </c>
      <c r="N437" t="inlineStr">
        <is>
          <t>13.0-15.5</t>
        </is>
      </c>
      <c r="O437" t="inlineStr">
        <is>
          <t>Greenfield Intl</t>
        </is>
      </c>
      <c r="P437" t="inlineStr">
        <is>
          <t>NMC Royal DIP</t>
        </is>
      </c>
      <c r="Q437" t="inlineStr">
        <is>
          <t>Souq Extra DIP</t>
        </is>
      </c>
      <c r="R437" t="inlineStr">
        <is>
          <t>Yalayis / E611</t>
        </is>
      </c>
      <c r="S437" t="inlineStr">
        <is>
          <t>30</t>
        </is>
      </c>
      <c r="T437" t="inlineStr">
        <is>
          <t>20</t>
        </is>
      </c>
      <c r="U437" t="inlineStr">
        <is>
          <t>35</t>
        </is>
      </c>
      <c r="V437" t="inlineStr">
        <is>
          <t>15</t>
        </is>
      </c>
      <c r="W437" t="n">
        <v>2</v>
      </c>
      <c r="X437" s="12" t="n">
        <v>1600000</v>
      </c>
      <c r="Y437" s="12" t="n">
        <v>1600000</v>
      </c>
      <c r="Z437" s="9" t="n">
        <v>7</v>
      </c>
      <c r="AA437" s="9" t="n">
        <v>7.5</v>
      </c>
      <c r="AB437" s="9" t="n">
        <v>6</v>
      </c>
      <c r="AC437" s="9" t="n">
        <v>8</v>
      </c>
      <c r="AD437" s="9" t="n">
        <v>13</v>
      </c>
      <c r="AE437" s="9" t="n">
        <v>15.5</v>
      </c>
      <c r="AF437" t="n">
        <v>2022</v>
      </c>
      <c r="AH437" t="inlineStr">
        <is>
          <t>Townhouse</t>
        </is>
      </c>
      <c r="AI437" t="inlineStr">
        <is>
          <t>MainstreamSelective</t>
        </is>
      </c>
      <c r="AJ437" t="inlineStr">
        <is>
          <t>MidTier</t>
        </is>
      </c>
      <c r="AK437" t="inlineStr">
        <is>
          <t>Family-villa resilient</t>
        </is>
      </c>
      <c r="AL437" t="inlineStr">
        <is>
          <t>Villa/townhouse demand remains relatively firmer, though growth should be slower than the post-2020 surge.</t>
        </is>
      </c>
      <c r="AM437" s="9" t="n">
        <v>7</v>
      </c>
      <c r="AN437" s="9" t="n">
        <v>7.25</v>
      </c>
      <c r="AO437" s="10" t="n">
        <v>0.55</v>
      </c>
      <c r="AP437" s="13" t="n">
        <v>0</v>
      </c>
      <c r="AQ437" s="13" t="n">
        <v>0.015</v>
      </c>
      <c r="AR437" s="13" t="n">
        <v>0</v>
      </c>
      <c r="AS437" s="13" t="n">
        <v>0.025</v>
      </c>
      <c r="AT437" s="13" t="n">
        <v>-0.005</v>
      </c>
      <c r="AU437" s="13" t="n">
        <v>0.0025</v>
      </c>
      <c r="AV437" s="13" t="n">
        <v>-0.005</v>
      </c>
      <c r="AW437" s="13" t="n">
        <v>0.05350000000000001</v>
      </c>
      <c r="AX437" s="13" t="n">
        <v>0.0175</v>
      </c>
      <c r="AY437" s="12" t="n">
        <v>1635032</v>
      </c>
      <c r="AZ437" s="12" t="n">
        <v>1685600</v>
      </c>
      <c r="BA437" s="12" t="n">
        <v>1736168</v>
      </c>
      <c r="BB437" s="12" t="n">
        <v>1664530</v>
      </c>
      <c r="BC437" s="12" t="n">
        <v>1715098</v>
      </c>
      <c r="BD437" s="12" t="n">
        <v>1765666</v>
      </c>
      <c r="BE437" s="12" t="n">
        <v>1745112</v>
      </c>
      <c r="BF437" t="inlineStr">
        <is>
          <t>Frozen values from same rules-based model as formula sheet.</t>
        </is>
      </c>
      <c r="BG437" t="inlineStr">
        <is>
          <t>2026-03-17</t>
        </is>
      </c>
      <c r="BH437" t="inlineStr">
        <is>
          <t>DLD / Digital Dubai / CBUAE / Savills / Knight Frank-Moody’s / Reuters</t>
        </is>
      </c>
    </row>
    <row r="438">
      <c r="A438" t="n">
        <v>437</v>
      </c>
      <c r="B438" t="inlineStr">
        <is>
          <t>Verdana Phase 3</t>
        </is>
      </c>
      <c r="C438" t="inlineStr">
        <is>
          <t>Reportage Properties</t>
        </is>
      </c>
      <c r="D438" t="inlineStr">
        <is>
          <t>DIP</t>
        </is>
      </c>
      <c r="E438" t="inlineStr">
        <is>
          <t>Townhouses</t>
        </is>
      </c>
      <c r="F438" t="inlineStr">
        <is>
          <t>Family / Budget</t>
        </is>
      </c>
      <c r="G438" t="inlineStr">
        <is>
          <t>1.7M</t>
        </is>
      </c>
      <c r="H438" t="inlineStr">
        <is>
          <t>950</t>
        </is>
      </c>
      <c r="I438" t="inlineStr">
        <is>
          <t>12</t>
        </is>
      </c>
      <c r="J438" t="inlineStr">
        <is>
          <t>Varies</t>
        </is>
      </c>
      <c r="K438" t="inlineStr">
        <is>
          <t>2023</t>
        </is>
      </c>
      <c r="L438" t="inlineStr">
        <is>
          <t>7.0-7.5</t>
        </is>
      </c>
      <c r="M438" t="inlineStr">
        <is>
          <t>6-8</t>
        </is>
      </c>
      <c r="N438" t="inlineStr">
        <is>
          <t>13.0-15.5</t>
        </is>
      </c>
      <c r="O438" t="inlineStr">
        <is>
          <t>Greenfield Intl</t>
        </is>
      </c>
      <c r="P438" t="inlineStr">
        <is>
          <t>NMC Royal DIP</t>
        </is>
      </c>
      <c r="Q438" t="inlineStr">
        <is>
          <t>Souq Extra DIP</t>
        </is>
      </c>
      <c r="R438" t="inlineStr">
        <is>
          <t>Yalayis / E611</t>
        </is>
      </c>
      <c r="S438" t="inlineStr">
        <is>
          <t>30</t>
        </is>
      </c>
      <c r="T438" t="inlineStr">
        <is>
          <t>20</t>
        </is>
      </c>
      <c r="U438" t="inlineStr">
        <is>
          <t>35</t>
        </is>
      </c>
      <c r="V438" t="inlineStr">
        <is>
          <t>15</t>
        </is>
      </c>
      <c r="W438" t="n">
        <v>2</v>
      </c>
      <c r="X438" s="12" t="n">
        <v>1700000</v>
      </c>
      <c r="Y438" s="12" t="n">
        <v>1700000</v>
      </c>
      <c r="Z438" s="9" t="n">
        <v>7</v>
      </c>
      <c r="AA438" s="9" t="n">
        <v>7.5</v>
      </c>
      <c r="AB438" s="9" t="n">
        <v>6</v>
      </c>
      <c r="AC438" s="9" t="n">
        <v>8</v>
      </c>
      <c r="AD438" s="9" t="n">
        <v>13</v>
      </c>
      <c r="AE438" s="9" t="n">
        <v>15.5</v>
      </c>
      <c r="AF438" t="n">
        <v>2023</v>
      </c>
      <c r="AH438" t="inlineStr">
        <is>
          <t>Townhouse</t>
        </is>
      </c>
      <c r="AI438" t="inlineStr">
        <is>
          <t>MainstreamSelective</t>
        </is>
      </c>
      <c r="AJ438" t="inlineStr">
        <is>
          <t>MidTier</t>
        </is>
      </c>
      <c r="AK438" t="inlineStr">
        <is>
          <t>Family-villa resilient</t>
        </is>
      </c>
      <c r="AL438" t="inlineStr">
        <is>
          <t>Villa/townhouse demand remains relatively firmer, though growth should be slower than the post-2020 surge.</t>
        </is>
      </c>
      <c r="AM438" s="9" t="n">
        <v>7</v>
      </c>
      <c r="AN438" s="9" t="n">
        <v>7.25</v>
      </c>
      <c r="AO438" s="10" t="n">
        <v>0.55</v>
      </c>
      <c r="AP438" s="13" t="n">
        <v>0</v>
      </c>
      <c r="AQ438" s="13" t="n">
        <v>0.015</v>
      </c>
      <c r="AR438" s="13" t="n">
        <v>0</v>
      </c>
      <c r="AS438" s="13" t="n">
        <v>0.025</v>
      </c>
      <c r="AT438" s="13" t="n">
        <v>-0.005</v>
      </c>
      <c r="AU438" s="13" t="n">
        <v>0.0025</v>
      </c>
      <c r="AV438" s="13" t="n">
        <v>-0.005</v>
      </c>
      <c r="AW438" s="13" t="n">
        <v>0.05350000000000001</v>
      </c>
      <c r="AX438" s="13" t="n">
        <v>0.0175</v>
      </c>
      <c r="AY438" s="12" t="n">
        <v>1737222</v>
      </c>
      <c r="AZ438" s="12" t="n">
        <v>1790950</v>
      </c>
      <c r="BA438" s="12" t="n">
        <v>1844678</v>
      </c>
      <c r="BB438" s="12" t="n">
        <v>1768563</v>
      </c>
      <c r="BC438" s="12" t="n">
        <v>1822292</v>
      </c>
      <c r="BD438" s="12" t="n">
        <v>1876020</v>
      </c>
      <c r="BE438" s="12" t="n">
        <v>1854182</v>
      </c>
      <c r="BF438" t="inlineStr">
        <is>
          <t>Frozen values from same rules-based model as formula sheet.</t>
        </is>
      </c>
      <c r="BG438" t="inlineStr">
        <is>
          <t>2026-03-17</t>
        </is>
      </c>
      <c r="BH438" t="inlineStr">
        <is>
          <t>DLD / Digital Dubai / CBUAE / Savills / Knight Frank-Moody’s / Reuters</t>
        </is>
      </c>
    </row>
    <row r="439">
      <c r="A439" t="n">
        <v>438</v>
      </c>
      <c r="B439" t="inlineStr">
        <is>
          <t>Verdana Phase 4</t>
        </is>
      </c>
      <c r="C439" t="inlineStr">
        <is>
          <t>Reportage Properties</t>
        </is>
      </c>
      <c r="D439" t="inlineStr">
        <is>
          <t>DIP</t>
        </is>
      </c>
      <c r="E439" t="inlineStr">
        <is>
          <t>Townhouses</t>
        </is>
      </c>
      <c r="F439" t="inlineStr">
        <is>
          <t>Family / Budget</t>
        </is>
      </c>
      <c r="G439" t="inlineStr">
        <is>
          <t>1.75M</t>
        </is>
      </c>
      <c r="H439" t="inlineStr">
        <is>
          <t>1000</t>
        </is>
      </c>
      <c r="I439" t="inlineStr">
        <is>
          <t>12</t>
        </is>
      </c>
      <c r="J439" t="inlineStr">
        <is>
          <t>Varies</t>
        </is>
      </c>
      <c r="K439" t="inlineStr">
        <is>
          <t>2023</t>
        </is>
      </c>
      <c r="L439" t="inlineStr">
        <is>
          <t>7.0-7.5</t>
        </is>
      </c>
      <c r="M439" t="inlineStr">
        <is>
          <t>6-8</t>
        </is>
      </c>
      <c r="N439" t="inlineStr">
        <is>
          <t>13.0-15.5</t>
        </is>
      </c>
      <c r="O439" t="inlineStr">
        <is>
          <t>Greenfield Intl</t>
        </is>
      </c>
      <c r="P439" t="inlineStr">
        <is>
          <t>NMC Royal DIP</t>
        </is>
      </c>
      <c r="Q439" t="inlineStr">
        <is>
          <t>Souq Extra DIP</t>
        </is>
      </c>
      <c r="R439" t="inlineStr">
        <is>
          <t>Yalayis / E611</t>
        </is>
      </c>
      <c r="S439" t="inlineStr">
        <is>
          <t>30</t>
        </is>
      </c>
      <c r="T439" t="inlineStr">
        <is>
          <t>20</t>
        </is>
      </c>
      <c r="U439" t="inlineStr">
        <is>
          <t>35</t>
        </is>
      </c>
      <c r="V439" t="inlineStr">
        <is>
          <t>15</t>
        </is>
      </c>
      <c r="W439" t="n">
        <v>2</v>
      </c>
      <c r="X439" s="12" t="n">
        <v>1750000</v>
      </c>
      <c r="Y439" s="12" t="n">
        <v>1750000</v>
      </c>
      <c r="Z439" s="9" t="n">
        <v>7</v>
      </c>
      <c r="AA439" s="9" t="n">
        <v>7.5</v>
      </c>
      <c r="AB439" s="9" t="n">
        <v>6</v>
      </c>
      <c r="AC439" s="9" t="n">
        <v>8</v>
      </c>
      <c r="AD439" s="9" t="n">
        <v>13</v>
      </c>
      <c r="AE439" s="9" t="n">
        <v>15.5</v>
      </c>
      <c r="AF439" t="n">
        <v>2023</v>
      </c>
      <c r="AH439" t="inlineStr">
        <is>
          <t>Townhouse</t>
        </is>
      </c>
      <c r="AI439" t="inlineStr">
        <is>
          <t>MainstreamSelective</t>
        </is>
      </c>
      <c r="AJ439" t="inlineStr">
        <is>
          <t>MidTier</t>
        </is>
      </c>
      <c r="AK439" t="inlineStr">
        <is>
          <t>Family-villa resilient</t>
        </is>
      </c>
      <c r="AL439" t="inlineStr">
        <is>
          <t>Villa/townhouse demand remains relatively firmer, though growth should be slower than the post-2020 surge.</t>
        </is>
      </c>
      <c r="AM439" s="9" t="n">
        <v>7</v>
      </c>
      <c r="AN439" s="9" t="n">
        <v>7.25</v>
      </c>
      <c r="AO439" s="10" t="n">
        <v>0.55</v>
      </c>
      <c r="AP439" s="13" t="n">
        <v>0</v>
      </c>
      <c r="AQ439" s="13" t="n">
        <v>0.015</v>
      </c>
      <c r="AR439" s="13" t="n">
        <v>0</v>
      </c>
      <c r="AS439" s="13" t="n">
        <v>0.025</v>
      </c>
      <c r="AT439" s="13" t="n">
        <v>-0.005</v>
      </c>
      <c r="AU439" s="13" t="n">
        <v>0.0025</v>
      </c>
      <c r="AV439" s="13" t="n">
        <v>-0.005</v>
      </c>
      <c r="AW439" s="13" t="n">
        <v>0.05350000000000001</v>
      </c>
      <c r="AX439" s="13" t="n">
        <v>0.0175</v>
      </c>
      <c r="AY439" s="12" t="n">
        <v>1788316</v>
      </c>
      <c r="AZ439" s="12" t="n">
        <v>1843625</v>
      </c>
      <c r="BA439" s="12" t="n">
        <v>1898934</v>
      </c>
      <c r="BB439" s="12" t="n">
        <v>1820580</v>
      </c>
      <c r="BC439" s="12" t="n">
        <v>1875888</v>
      </c>
      <c r="BD439" s="12" t="n">
        <v>1931197</v>
      </c>
      <c r="BE439" s="12" t="n">
        <v>1908716</v>
      </c>
      <c r="BF439" t="inlineStr">
        <is>
          <t>Frozen values from same rules-based model as formula sheet.</t>
        </is>
      </c>
      <c r="BG439" t="inlineStr">
        <is>
          <t>2026-03-17</t>
        </is>
      </c>
      <c r="BH439" t="inlineStr">
        <is>
          <t>DLD / Digital Dubai / CBUAE / Savills / Knight Frank-Moody’s / Reuters</t>
        </is>
      </c>
    </row>
    <row r="440">
      <c r="A440" t="n">
        <v>439</v>
      </c>
      <c r="B440" t="inlineStr">
        <is>
          <t>Verdana Phase 5</t>
        </is>
      </c>
      <c r="C440" t="inlineStr">
        <is>
          <t>Reportage Properties</t>
        </is>
      </c>
      <c r="D440" t="inlineStr">
        <is>
          <t>DIP</t>
        </is>
      </c>
      <c r="E440" t="inlineStr">
        <is>
          <t>Townhouses</t>
        </is>
      </c>
      <c r="F440" t="inlineStr">
        <is>
          <t>Family / Budget</t>
        </is>
      </c>
      <c r="G440" t="inlineStr">
        <is>
          <t>1.8M</t>
        </is>
      </c>
      <c r="H440" t="inlineStr">
        <is>
          <t>1000</t>
        </is>
      </c>
      <c r="I440" t="inlineStr">
        <is>
          <t>12</t>
        </is>
      </c>
      <c r="J440" t="inlineStr">
        <is>
          <t>Varies</t>
        </is>
      </c>
      <c r="K440" t="inlineStr">
        <is>
          <t>2024</t>
        </is>
      </c>
      <c r="L440" t="inlineStr">
        <is>
          <t>7.0-7.5</t>
        </is>
      </c>
      <c r="M440" t="inlineStr">
        <is>
          <t>6-8</t>
        </is>
      </c>
      <c r="N440" t="inlineStr">
        <is>
          <t>13.0-15.5</t>
        </is>
      </c>
      <c r="O440" t="inlineStr">
        <is>
          <t>Greenfield Intl</t>
        </is>
      </c>
      <c r="P440" t="inlineStr">
        <is>
          <t>NMC Royal DIP</t>
        </is>
      </c>
      <c r="Q440" t="inlineStr">
        <is>
          <t>Souq Extra DIP</t>
        </is>
      </c>
      <c r="R440" t="inlineStr">
        <is>
          <t>Yalayis / E611</t>
        </is>
      </c>
      <c r="S440" t="inlineStr">
        <is>
          <t>30</t>
        </is>
      </c>
      <c r="T440" t="inlineStr">
        <is>
          <t>20</t>
        </is>
      </c>
      <c r="U440" t="inlineStr">
        <is>
          <t>35</t>
        </is>
      </c>
      <c r="V440" t="inlineStr">
        <is>
          <t>15</t>
        </is>
      </c>
      <c r="W440" t="n">
        <v>2</v>
      </c>
      <c r="X440" s="12" t="n">
        <v>1800000</v>
      </c>
      <c r="Y440" s="12" t="n">
        <v>1800000</v>
      </c>
      <c r="Z440" s="9" t="n">
        <v>7</v>
      </c>
      <c r="AA440" s="9" t="n">
        <v>7.5</v>
      </c>
      <c r="AB440" s="9" t="n">
        <v>6</v>
      </c>
      <c r="AC440" s="9" t="n">
        <v>8</v>
      </c>
      <c r="AD440" s="9" t="n">
        <v>13</v>
      </c>
      <c r="AE440" s="9" t="n">
        <v>15.5</v>
      </c>
      <c r="AF440" t="n">
        <v>2024</v>
      </c>
      <c r="AH440" t="inlineStr">
        <is>
          <t>Townhouse</t>
        </is>
      </c>
      <c r="AI440" t="inlineStr">
        <is>
          <t>MainstreamSelective</t>
        </is>
      </c>
      <c r="AJ440" t="inlineStr">
        <is>
          <t>MidTier</t>
        </is>
      </c>
      <c r="AK440" t="inlineStr">
        <is>
          <t>Family-villa resilient</t>
        </is>
      </c>
      <c r="AL440" t="inlineStr">
        <is>
          <t>Villa/townhouse demand remains relatively firmer, though growth should be slower than the post-2020 surge.</t>
        </is>
      </c>
      <c r="AM440" s="9" t="n">
        <v>7</v>
      </c>
      <c r="AN440" s="9" t="n">
        <v>7.25</v>
      </c>
      <c r="AO440" s="10" t="n">
        <v>0.55</v>
      </c>
      <c r="AP440" s="13" t="n">
        <v>0</v>
      </c>
      <c r="AQ440" s="13" t="n">
        <v>0.015</v>
      </c>
      <c r="AR440" s="13" t="n">
        <v>0</v>
      </c>
      <c r="AS440" s="13" t="n">
        <v>0.025</v>
      </c>
      <c r="AT440" s="13" t="n">
        <v>-0.005</v>
      </c>
      <c r="AU440" s="13" t="n">
        <v>0.0025</v>
      </c>
      <c r="AV440" s="13" t="n">
        <v>-0.005</v>
      </c>
      <c r="AW440" s="13" t="n">
        <v>0.05350000000000001</v>
      </c>
      <c r="AX440" s="13" t="n">
        <v>0.0175</v>
      </c>
      <c r="AY440" s="12" t="n">
        <v>1839411</v>
      </c>
      <c r="AZ440" s="12" t="n">
        <v>1896300</v>
      </c>
      <c r="BA440" s="12" t="n">
        <v>1953189</v>
      </c>
      <c r="BB440" s="12" t="n">
        <v>1872596</v>
      </c>
      <c r="BC440" s="12" t="n">
        <v>1929485</v>
      </c>
      <c r="BD440" s="12" t="n">
        <v>1986374</v>
      </c>
      <c r="BE440" s="12" t="n">
        <v>1963251</v>
      </c>
      <c r="BF440" t="inlineStr">
        <is>
          <t>Frozen values from same rules-based model as formula sheet.</t>
        </is>
      </c>
      <c r="BG440" t="inlineStr">
        <is>
          <t>2026-03-17</t>
        </is>
      </c>
      <c r="BH440" t="inlineStr">
        <is>
          <t>DLD / Digital Dubai / CBUAE / Savills / Knight Frank-Moody’s / Reuters</t>
        </is>
      </c>
    </row>
    <row r="441">
      <c r="A441" t="n">
        <v>440</v>
      </c>
      <c r="B441" t="inlineStr">
        <is>
          <t>Rukan Lofts</t>
        </is>
      </c>
      <c r="C441" t="inlineStr">
        <is>
          <t>Reportage Properties</t>
        </is>
      </c>
      <c r="D441" t="inlineStr">
        <is>
          <t>Dubailand (Wadi Al Safa)</t>
        </is>
      </c>
      <c r="E441" t="inlineStr">
        <is>
          <t>Townhouses</t>
        </is>
      </c>
      <c r="F441" t="inlineStr">
        <is>
          <t>Budget / Loft</t>
        </is>
      </c>
      <c r="G441" t="inlineStr">
        <is>
          <t>Resale (900k+)</t>
        </is>
      </c>
      <c r="H441" t="inlineStr">
        <is>
          <t>800</t>
        </is>
      </c>
      <c r="I441" t="inlineStr">
        <is>
          <t>10</t>
        </is>
      </c>
      <c r="J441" t="inlineStr">
        <is>
          <t>Completed</t>
        </is>
      </c>
      <c r="K441" t="inlineStr">
        <is>
          <t>2019</t>
        </is>
      </c>
      <c r="L441" t="inlineStr">
        <is>
          <t>7.0-7.5</t>
        </is>
      </c>
      <c r="M441" t="inlineStr">
        <is>
          <t>5-7</t>
        </is>
      </c>
      <c r="N441" t="inlineStr">
        <is>
          <t>12.0-14.5</t>
        </is>
      </c>
      <c r="O441" t="inlineStr">
        <is>
          <t>GEMS Metropole</t>
        </is>
      </c>
      <c r="P441" t="inlineStr">
        <is>
          <t>Mediclinic Parkview</t>
        </is>
      </c>
      <c r="Q441" t="inlineStr">
        <is>
          <t>Cityland Mall</t>
        </is>
      </c>
      <c r="R441" t="inlineStr">
        <is>
          <t>E611 / Al Ain Rd</t>
        </is>
      </c>
      <c r="S441" t="inlineStr">
        <is>
          <t>20</t>
        </is>
      </c>
      <c r="T441" t="inlineStr">
        <is>
          <t>25</t>
        </is>
      </c>
      <c r="U441" t="inlineStr">
        <is>
          <t>25</t>
        </is>
      </c>
      <c r="V441" t="inlineStr">
        <is>
          <t>30</t>
        </is>
      </c>
      <c r="W441" t="n">
        <v>2</v>
      </c>
      <c r="X441" s="12" t="n">
        <v>900000</v>
      </c>
      <c r="Y441" s="12" t="n">
        <v>900000</v>
      </c>
      <c r="Z441" s="9" t="n">
        <v>7</v>
      </c>
      <c r="AA441" s="9" t="n">
        <v>7.5</v>
      </c>
      <c r="AB441" s="9" t="n">
        <v>5</v>
      </c>
      <c r="AC441" s="9" t="n">
        <v>7</v>
      </c>
      <c r="AD441" s="9" t="n">
        <v>12</v>
      </c>
      <c r="AE441" s="9" t="n">
        <v>14.5</v>
      </c>
      <c r="AF441" t="n">
        <v>2019</v>
      </c>
      <c r="AH441" t="inlineStr">
        <is>
          <t>Townhouse</t>
        </is>
      </c>
      <c r="AI441" t="inlineStr">
        <is>
          <t>MainstreamSelective</t>
        </is>
      </c>
      <c r="AJ441" t="inlineStr">
        <is>
          <t>MidTier</t>
        </is>
      </c>
      <c r="AK441" t="inlineStr">
        <is>
          <t>Family-villa resilient</t>
        </is>
      </c>
      <c r="AL441" t="inlineStr">
        <is>
          <t>Villa/townhouse demand remains relatively firmer, though growth should be slower than the post-2020 surge.</t>
        </is>
      </c>
      <c r="AM441" s="9" t="n">
        <v>6</v>
      </c>
      <c r="AN441" s="9" t="n">
        <v>7.25</v>
      </c>
      <c r="AO441" s="10" t="n">
        <v>0.55</v>
      </c>
      <c r="AP441" s="13" t="n">
        <v>0</v>
      </c>
      <c r="AQ441" s="13" t="n">
        <v>0.015</v>
      </c>
      <c r="AR441" s="13" t="n">
        <v>0</v>
      </c>
      <c r="AS441" s="13" t="n">
        <v>0.025</v>
      </c>
      <c r="AT441" s="13" t="n">
        <v>-0.005</v>
      </c>
      <c r="AU441" s="13" t="n">
        <v>0.0025</v>
      </c>
      <c r="AV441" s="13" t="n">
        <v>-0.005</v>
      </c>
      <c r="AW441" s="13" t="n">
        <v>0.048</v>
      </c>
      <c r="AX441" s="13" t="n">
        <v>0.0175</v>
      </c>
      <c r="AY441" s="12" t="n">
        <v>914904</v>
      </c>
      <c r="AZ441" s="12" t="n">
        <v>943200</v>
      </c>
      <c r="BA441" s="12" t="n">
        <v>971496</v>
      </c>
      <c r="BB441" s="12" t="n">
        <v>931410</v>
      </c>
      <c r="BC441" s="12" t="n">
        <v>959706</v>
      </c>
      <c r="BD441" s="12" t="n">
        <v>988002</v>
      </c>
      <c r="BE441" s="12" t="n">
        <v>976501</v>
      </c>
      <c r="BF441" t="inlineStr">
        <is>
          <t>Frozen values from same rules-based model as formula sheet.</t>
        </is>
      </c>
      <c r="BG441" t="inlineStr">
        <is>
          <t>2026-03-17</t>
        </is>
      </c>
      <c r="BH441" t="inlineStr">
        <is>
          <t>DLD / Digital Dubai / CBUAE / Savills / Knight Frank-Moody’s / Reuters</t>
        </is>
      </c>
    </row>
    <row r="442">
      <c r="A442" t="n">
        <v>441</v>
      </c>
      <c r="B442" t="inlineStr">
        <is>
          <t>Rukan Tower</t>
        </is>
      </c>
      <c r="C442" t="inlineStr">
        <is>
          <t>Reportage Properties</t>
        </is>
      </c>
      <c r="D442" t="inlineStr">
        <is>
          <t>Dubailand</t>
        </is>
      </c>
      <c r="E442" t="inlineStr">
        <is>
          <t>Apartments</t>
        </is>
      </c>
      <c r="F442" t="inlineStr">
        <is>
          <t>Budget</t>
        </is>
      </c>
      <c r="G442" t="inlineStr">
        <is>
          <t>500k</t>
        </is>
      </c>
      <c r="H442" t="inlineStr">
        <is>
          <t>800</t>
        </is>
      </c>
      <c r="I442" t="inlineStr">
        <is>
          <t>10</t>
        </is>
      </c>
      <c r="J442" t="inlineStr">
        <is>
          <t>Completed</t>
        </is>
      </c>
      <c r="K442" t="inlineStr">
        <is>
          <t>2020</t>
        </is>
      </c>
      <c r="L442" t="inlineStr">
        <is>
          <t>7.5-8.0</t>
        </is>
      </c>
      <c r="M442" t="inlineStr">
        <is>
          <t>5-7</t>
        </is>
      </c>
      <c r="N442" t="inlineStr">
        <is>
          <t>12.5-15.0</t>
        </is>
      </c>
      <c r="O442" t="inlineStr">
        <is>
          <t>GEMS Metropole</t>
        </is>
      </c>
      <c r="P442" t="inlineStr">
        <is>
          <t>Mediclinic Parkview</t>
        </is>
      </c>
      <c r="Q442" t="inlineStr">
        <is>
          <t>Cityland Mall</t>
        </is>
      </c>
      <c r="R442" t="inlineStr">
        <is>
          <t>E611 / Al Ain Rd</t>
        </is>
      </c>
      <c r="S442" t="inlineStr">
        <is>
          <t>20</t>
        </is>
      </c>
      <c r="T442" t="inlineStr">
        <is>
          <t>25</t>
        </is>
      </c>
      <c r="U442" t="inlineStr">
        <is>
          <t>25</t>
        </is>
      </c>
      <c r="V442" t="inlineStr">
        <is>
          <t>30</t>
        </is>
      </c>
      <c r="W442" t="n">
        <v>2</v>
      </c>
      <c r="X442" s="12" t="n">
        <v>500000</v>
      </c>
      <c r="Y442" s="12" t="n">
        <v>500000</v>
      </c>
      <c r="Z442" s="9" t="n">
        <v>7.5</v>
      </c>
      <c r="AA442" s="9" t="n">
        <v>8</v>
      </c>
      <c r="AB442" s="9" t="n">
        <v>5</v>
      </c>
      <c r="AC442" s="9" t="n">
        <v>7</v>
      </c>
      <c r="AD442" s="9" t="n">
        <v>12.5</v>
      </c>
      <c r="AE442" s="9" t="n">
        <v>15</v>
      </c>
      <c r="AF442" t="n">
        <v>2020</v>
      </c>
      <c r="AH442" t="inlineStr">
        <is>
          <t>Apartment</t>
        </is>
      </c>
      <c r="AI442" t="inlineStr">
        <is>
          <t>SupplySensitiveApartment</t>
        </is>
      </c>
      <c r="AJ442" t="inlineStr">
        <is>
          <t>MidTier</t>
        </is>
      </c>
      <c r="AK442" t="inlineStr">
        <is>
          <t>Supply-sensitive / selective</t>
        </is>
      </c>
      <c r="AL442" t="inlineStr">
        <is>
          <t>Higher delivery risk in more price-sensitive apartment clusters; building selection and exit liquidity matter.</t>
        </is>
      </c>
      <c r="AM442" s="9" t="n">
        <v>6</v>
      </c>
      <c r="AN442" s="9" t="n">
        <v>7.75</v>
      </c>
      <c r="AO442" s="10" t="n">
        <v>0.55</v>
      </c>
      <c r="AP442" s="13" t="n">
        <v>0</v>
      </c>
      <c r="AQ442" s="13" t="n">
        <v>0</v>
      </c>
      <c r="AR442" s="13" t="n">
        <v>-0.01</v>
      </c>
      <c r="AS442" s="13" t="n">
        <v>-0.01</v>
      </c>
      <c r="AT442" s="13" t="n">
        <v>-0.005</v>
      </c>
      <c r="AU442" s="13" t="n">
        <v>0.0025</v>
      </c>
      <c r="AV442" s="13" t="n">
        <v>-0.005</v>
      </c>
      <c r="AW442" s="13" t="n">
        <v>0.023</v>
      </c>
      <c r="AX442" s="13" t="n">
        <v>-0.0175</v>
      </c>
      <c r="AY442" s="12" t="n">
        <v>496155</v>
      </c>
      <c r="AZ442" s="12" t="n">
        <v>511500</v>
      </c>
      <c r="BA442" s="12" t="n">
        <v>526845</v>
      </c>
      <c r="BB442" s="12" t="n">
        <v>487204</v>
      </c>
      <c r="BC442" s="12" t="n">
        <v>502549</v>
      </c>
      <c r="BD442" s="12" t="n">
        <v>517894</v>
      </c>
      <c r="BE442" s="12" t="n">
        <v>493754</v>
      </c>
      <c r="BF442" t="inlineStr">
        <is>
          <t>Frozen values from same rules-based model as formula sheet.</t>
        </is>
      </c>
      <c r="BG442" t="inlineStr">
        <is>
          <t>2026-03-17</t>
        </is>
      </c>
      <c r="BH442" t="inlineStr">
        <is>
          <t>DLD / Digital Dubai / CBUAE / Savills / Knight Frank-Moody’s / Reuters</t>
        </is>
      </c>
    </row>
    <row r="443">
      <c r="A443" t="n">
        <v>442</v>
      </c>
      <c r="B443" t="inlineStr">
        <is>
          <t>Bianchi</t>
        </is>
      </c>
      <c r="C443" t="inlineStr">
        <is>
          <t>Reportage Properties</t>
        </is>
      </c>
      <c r="D443" t="inlineStr">
        <is>
          <t>Rukan (Dubailand)</t>
        </is>
      </c>
      <c r="E443" t="inlineStr">
        <is>
          <t>Townhouses</t>
        </is>
      </c>
      <c r="F443" t="inlineStr">
        <is>
          <t>Budget / Modern</t>
        </is>
      </c>
      <c r="G443" t="inlineStr">
        <is>
          <t>1.2M</t>
        </is>
      </c>
      <c r="H443" t="inlineStr">
        <is>
          <t>900</t>
        </is>
      </c>
      <c r="I443" t="inlineStr">
        <is>
          <t>10</t>
        </is>
      </c>
      <c r="J443" t="inlineStr">
        <is>
          <t>Varies</t>
        </is>
      </c>
      <c r="K443" t="inlineStr">
        <is>
          <t>2023</t>
        </is>
      </c>
      <c r="L443" t="inlineStr">
        <is>
          <t>7.0-7.5</t>
        </is>
      </c>
      <c r="M443" t="inlineStr">
        <is>
          <t>6-8</t>
        </is>
      </c>
      <c r="N443" t="inlineStr">
        <is>
          <t>13.0-15.5</t>
        </is>
      </c>
      <c r="O443" t="inlineStr">
        <is>
          <t>GEMS Metropole</t>
        </is>
      </c>
      <c r="P443" t="inlineStr">
        <is>
          <t>Mediclinic Parkview</t>
        </is>
      </c>
      <c r="Q443" t="inlineStr">
        <is>
          <t>Cityland Mall</t>
        </is>
      </c>
      <c r="R443" t="inlineStr">
        <is>
          <t>E611 / Al Ain Rd</t>
        </is>
      </c>
      <c r="S443" t="inlineStr">
        <is>
          <t>20</t>
        </is>
      </c>
      <c r="T443" t="inlineStr">
        <is>
          <t>25</t>
        </is>
      </c>
      <c r="U443" t="inlineStr">
        <is>
          <t>25</t>
        </is>
      </c>
      <c r="V443" t="inlineStr">
        <is>
          <t>30</t>
        </is>
      </c>
      <c r="W443" t="n">
        <v>2</v>
      </c>
      <c r="X443" s="12" t="n">
        <v>1200000</v>
      </c>
      <c r="Y443" s="12" t="n">
        <v>1200000</v>
      </c>
      <c r="Z443" s="9" t="n">
        <v>7</v>
      </c>
      <c r="AA443" s="9" t="n">
        <v>7.5</v>
      </c>
      <c r="AB443" s="9" t="n">
        <v>6</v>
      </c>
      <c r="AC443" s="9" t="n">
        <v>8</v>
      </c>
      <c r="AD443" s="9" t="n">
        <v>13</v>
      </c>
      <c r="AE443" s="9" t="n">
        <v>15.5</v>
      </c>
      <c r="AF443" t="n">
        <v>2023</v>
      </c>
      <c r="AH443" t="inlineStr">
        <is>
          <t>Townhouse</t>
        </is>
      </c>
      <c r="AI443" t="inlineStr">
        <is>
          <t>MainstreamSelective</t>
        </is>
      </c>
      <c r="AJ443" t="inlineStr">
        <is>
          <t>MidTier</t>
        </is>
      </c>
      <c r="AK443" t="inlineStr">
        <is>
          <t>Family-villa resilient</t>
        </is>
      </c>
      <c r="AL443" t="inlineStr">
        <is>
          <t>Villa/townhouse demand remains relatively firmer, though growth should be slower than the post-2020 surge.</t>
        </is>
      </c>
      <c r="AM443" s="9" t="n">
        <v>7</v>
      </c>
      <c r="AN443" s="9" t="n">
        <v>7.25</v>
      </c>
      <c r="AO443" s="10" t="n">
        <v>0.55</v>
      </c>
      <c r="AP443" s="13" t="n">
        <v>0</v>
      </c>
      <c r="AQ443" s="13" t="n">
        <v>0.015</v>
      </c>
      <c r="AR443" s="13" t="n">
        <v>0</v>
      </c>
      <c r="AS443" s="13" t="n">
        <v>0.025</v>
      </c>
      <c r="AT443" s="13" t="n">
        <v>-0.005</v>
      </c>
      <c r="AU443" s="13" t="n">
        <v>0.0025</v>
      </c>
      <c r="AV443" s="13" t="n">
        <v>-0.005</v>
      </c>
      <c r="AW443" s="13" t="n">
        <v>0.05350000000000001</v>
      </c>
      <c r="AX443" s="13" t="n">
        <v>0.0175</v>
      </c>
      <c r="AY443" s="12" t="n">
        <v>1226274</v>
      </c>
      <c r="AZ443" s="12" t="n">
        <v>1264200</v>
      </c>
      <c r="BA443" s="12" t="n">
        <v>1302126</v>
      </c>
      <c r="BB443" s="12" t="n">
        <v>1248398</v>
      </c>
      <c r="BC443" s="12" t="n">
        <v>1286324</v>
      </c>
      <c r="BD443" s="12" t="n">
        <v>1324250</v>
      </c>
      <c r="BE443" s="12" t="n">
        <v>1308834</v>
      </c>
      <c r="BF443" t="inlineStr">
        <is>
          <t>Frozen values from same rules-based model as formula sheet.</t>
        </is>
      </c>
      <c r="BG443" t="inlineStr">
        <is>
          <t>2026-03-17</t>
        </is>
      </c>
      <c r="BH443" t="inlineStr">
        <is>
          <t>DLD / Digital Dubai / CBUAE / Savills / Knight Frank-Moody’s / Reuters</t>
        </is>
      </c>
    </row>
    <row r="444">
      <c r="A444" t="n">
        <v>443</v>
      </c>
      <c r="B444" t="inlineStr">
        <is>
          <t>Taormina Village</t>
        </is>
      </c>
      <c r="C444" t="inlineStr">
        <is>
          <t>Reportage Properties</t>
        </is>
      </c>
      <c r="D444" t="inlineStr">
        <is>
          <t>Dubailand</t>
        </is>
      </c>
      <c r="E444" t="inlineStr">
        <is>
          <t>Townhouses</t>
        </is>
      </c>
      <c r="F444" t="inlineStr">
        <is>
          <t>Italian Style</t>
        </is>
      </c>
      <c r="G444" t="inlineStr">
        <is>
          <t>1.5M</t>
        </is>
      </c>
      <c r="H444" t="inlineStr">
        <is>
          <t>1000</t>
        </is>
      </c>
      <c r="I444" t="inlineStr">
        <is>
          <t>10</t>
        </is>
      </c>
      <c r="J444" t="inlineStr">
        <is>
          <t>Varies</t>
        </is>
      </c>
      <c r="K444" t="inlineStr">
        <is>
          <t>2024</t>
        </is>
      </c>
      <c r="L444" t="inlineStr">
        <is>
          <t>7.0-7.5</t>
        </is>
      </c>
      <c r="M444" t="inlineStr">
        <is>
          <t>6-8</t>
        </is>
      </c>
      <c r="N444" t="inlineStr">
        <is>
          <t>13.0-15.5</t>
        </is>
      </c>
      <c r="O444" t="inlineStr">
        <is>
          <t>GEMS Metropole</t>
        </is>
      </c>
      <c r="P444" t="inlineStr">
        <is>
          <t>Mediclinic Parkview</t>
        </is>
      </c>
      <c r="Q444" t="inlineStr">
        <is>
          <t>Cityland Mall</t>
        </is>
      </c>
      <c r="R444" t="inlineStr">
        <is>
          <t>E611 / Al Ain Rd</t>
        </is>
      </c>
      <c r="S444" t="inlineStr">
        <is>
          <t>20</t>
        </is>
      </c>
      <c r="T444" t="inlineStr">
        <is>
          <t>25</t>
        </is>
      </c>
      <c r="U444" t="inlineStr">
        <is>
          <t>25</t>
        </is>
      </c>
      <c r="V444" t="inlineStr">
        <is>
          <t>30</t>
        </is>
      </c>
      <c r="W444" t="n">
        <v>2</v>
      </c>
      <c r="X444" s="12" t="n">
        <v>1500000</v>
      </c>
      <c r="Y444" s="12" t="n">
        <v>1500000</v>
      </c>
      <c r="Z444" s="9" t="n">
        <v>7</v>
      </c>
      <c r="AA444" s="9" t="n">
        <v>7.5</v>
      </c>
      <c r="AB444" s="9" t="n">
        <v>6</v>
      </c>
      <c r="AC444" s="9" t="n">
        <v>8</v>
      </c>
      <c r="AD444" s="9" t="n">
        <v>13</v>
      </c>
      <c r="AE444" s="9" t="n">
        <v>15.5</v>
      </c>
      <c r="AF444" t="n">
        <v>2024</v>
      </c>
      <c r="AH444" t="inlineStr">
        <is>
          <t>Townhouse</t>
        </is>
      </c>
      <c r="AI444" t="inlineStr">
        <is>
          <t>MainstreamSelective</t>
        </is>
      </c>
      <c r="AJ444" t="inlineStr">
        <is>
          <t>MidTier</t>
        </is>
      </c>
      <c r="AK444" t="inlineStr">
        <is>
          <t>Family-villa resilient</t>
        </is>
      </c>
      <c r="AL444" t="inlineStr">
        <is>
          <t>Villa/townhouse demand remains relatively firmer, though growth should be slower than the post-2020 surge.</t>
        </is>
      </c>
      <c r="AM444" s="9" t="n">
        <v>7</v>
      </c>
      <c r="AN444" s="9" t="n">
        <v>7.25</v>
      </c>
      <c r="AO444" s="10" t="n">
        <v>0.55</v>
      </c>
      <c r="AP444" s="13" t="n">
        <v>0</v>
      </c>
      <c r="AQ444" s="13" t="n">
        <v>0.015</v>
      </c>
      <c r="AR444" s="13" t="n">
        <v>0</v>
      </c>
      <c r="AS444" s="13" t="n">
        <v>0.025</v>
      </c>
      <c r="AT444" s="13" t="n">
        <v>-0.005</v>
      </c>
      <c r="AU444" s="13" t="n">
        <v>0.0025</v>
      </c>
      <c r="AV444" s="13" t="n">
        <v>-0.005</v>
      </c>
      <c r="AW444" s="13" t="n">
        <v>0.05350000000000001</v>
      </c>
      <c r="AX444" s="13" t="n">
        <v>0.0175</v>
      </c>
      <c r="AY444" s="12" t="n">
        <v>1532842</v>
      </c>
      <c r="AZ444" s="12" t="n">
        <v>1580250</v>
      </c>
      <c r="BA444" s="12" t="n">
        <v>1627658</v>
      </c>
      <c r="BB444" s="12" t="n">
        <v>1560497</v>
      </c>
      <c r="BC444" s="12" t="n">
        <v>1607904</v>
      </c>
      <c r="BD444" s="12" t="n">
        <v>1655312</v>
      </c>
      <c r="BE444" s="12" t="n">
        <v>1636043</v>
      </c>
      <c r="BF444" t="inlineStr">
        <is>
          <t>Frozen values from same rules-based model as formula sheet.</t>
        </is>
      </c>
      <c r="BG444" t="inlineStr">
        <is>
          <t>2026-03-17</t>
        </is>
      </c>
      <c r="BH444" t="inlineStr">
        <is>
          <t>DLD / Digital Dubai / CBUAE / Savills / Knight Frank-Moody’s / Reuters</t>
        </is>
      </c>
    </row>
    <row r="445">
      <c r="A445" t="n">
        <v>444</v>
      </c>
      <c r="B445" t="inlineStr">
        <is>
          <t>Alexis Tower</t>
        </is>
      </c>
      <c r="C445" t="inlineStr">
        <is>
          <t>Reportage Properties</t>
        </is>
      </c>
      <c r="D445" t="inlineStr">
        <is>
          <t>Jebel Ali</t>
        </is>
      </c>
      <c r="E445" t="inlineStr">
        <is>
          <t>Apartments</t>
        </is>
      </c>
      <c r="F445" t="inlineStr">
        <is>
          <t>Budget</t>
        </is>
      </c>
      <c r="G445" t="inlineStr">
        <is>
          <t>600k</t>
        </is>
      </c>
      <c r="H445" t="inlineStr">
        <is>
          <t>900</t>
        </is>
      </c>
      <c r="I445" t="inlineStr">
        <is>
          <t>12</t>
        </is>
      </c>
      <c r="J445" t="inlineStr">
        <is>
          <t>Completed</t>
        </is>
      </c>
      <c r="K445" t="inlineStr">
        <is>
          <t>2020</t>
        </is>
      </c>
      <c r="L445" t="inlineStr">
        <is>
          <t>7.5-8.0</t>
        </is>
      </c>
      <c r="M445" t="inlineStr">
        <is>
          <t>5-7</t>
        </is>
      </c>
      <c r="N445" t="inlineStr">
        <is>
          <t>12.5-15.0</t>
        </is>
      </c>
      <c r="O445" t="inlineStr">
        <is>
          <t>The Winchester</t>
        </is>
      </c>
      <c r="P445" t="inlineStr">
        <is>
          <t>Aster Cedars Jebel Ali</t>
        </is>
      </c>
      <c r="Q445" t="inlineStr">
        <is>
          <t>Ibn Battuta Mall</t>
        </is>
      </c>
      <c r="R445" t="inlineStr">
        <is>
          <t>Sheikh Zayed E11</t>
        </is>
      </c>
      <c r="S445" t="inlineStr">
        <is>
          <t>25</t>
        </is>
      </c>
      <c r="T445" t="inlineStr">
        <is>
          <t>10</t>
        </is>
      </c>
      <c r="U445" t="inlineStr">
        <is>
          <t>35</t>
        </is>
      </c>
      <c r="V445" t="inlineStr">
        <is>
          <t>20</t>
        </is>
      </c>
      <c r="W445" t="n">
        <v>2</v>
      </c>
      <c r="X445" s="12" t="n">
        <v>600000</v>
      </c>
      <c r="Y445" s="12" t="n">
        <v>600000</v>
      </c>
      <c r="Z445" s="9" t="n">
        <v>7.5</v>
      </c>
      <c r="AA445" s="9" t="n">
        <v>8</v>
      </c>
      <c r="AB445" s="9" t="n">
        <v>5</v>
      </c>
      <c r="AC445" s="9" t="n">
        <v>7</v>
      </c>
      <c r="AD445" s="9" t="n">
        <v>12.5</v>
      </c>
      <c r="AE445" s="9" t="n">
        <v>15</v>
      </c>
      <c r="AF445" t="n">
        <v>2020</v>
      </c>
      <c r="AH445" t="inlineStr">
        <is>
          <t>Apartment</t>
        </is>
      </c>
      <c r="AI445" t="inlineStr">
        <is>
          <t>MainstreamSelective</t>
        </is>
      </c>
      <c r="AJ445" t="inlineStr">
        <is>
          <t>MidTier</t>
        </is>
      </c>
      <c r="AK445" t="inlineStr">
        <is>
          <t>Balanced / selective</t>
        </is>
      </c>
      <c r="AL445" t="inlineStr">
        <is>
          <t>Market remains active but increasingly differentiated by developer, micro-location, livability, and pricing discipline.</t>
        </is>
      </c>
      <c r="AM445" s="9" t="n">
        <v>6</v>
      </c>
      <c r="AN445" s="9" t="n">
        <v>7.75</v>
      </c>
      <c r="AO445" s="10" t="n">
        <v>0.55</v>
      </c>
      <c r="AP445" s="13" t="n">
        <v>0</v>
      </c>
      <c r="AQ445" s="13" t="n">
        <v>0</v>
      </c>
      <c r="AR445" s="13" t="n">
        <v>0</v>
      </c>
      <c r="AS445" s="13" t="n">
        <v>0.01</v>
      </c>
      <c r="AT445" s="13" t="n">
        <v>-0.005</v>
      </c>
      <c r="AU445" s="13" t="n">
        <v>0.0025</v>
      </c>
      <c r="AV445" s="13" t="n">
        <v>-0.005</v>
      </c>
      <c r="AW445" s="13" t="n">
        <v>0.033</v>
      </c>
      <c r="AX445" s="13" t="n">
        <v>0.0025</v>
      </c>
      <c r="AY445" s="12" t="n">
        <v>601206</v>
      </c>
      <c r="AZ445" s="12" t="n">
        <v>619800</v>
      </c>
      <c r="BA445" s="12" t="n">
        <v>638394</v>
      </c>
      <c r="BB445" s="12" t="n">
        <v>602756</v>
      </c>
      <c r="BC445" s="12" t="n">
        <v>621350</v>
      </c>
      <c r="BD445" s="12" t="n">
        <v>639944</v>
      </c>
      <c r="BE445" s="12" t="n">
        <v>622903</v>
      </c>
      <c r="BF445" t="inlineStr">
        <is>
          <t>Frozen values from same rules-based model as formula sheet.</t>
        </is>
      </c>
      <c r="BG445" t="inlineStr">
        <is>
          <t>2026-03-17</t>
        </is>
      </c>
      <c r="BH445" t="inlineStr">
        <is>
          <t>DLD / Digital Dubai / CBUAE / Savills / Knight Frank-Moody’s / Reuters</t>
        </is>
      </c>
    </row>
    <row r="446">
      <c r="A446" t="n">
        <v>445</v>
      </c>
      <c r="B446" t="inlineStr">
        <is>
          <t>The Gate</t>
        </is>
      </c>
      <c r="C446" t="inlineStr">
        <is>
          <t>Reportage Properties</t>
        </is>
      </c>
      <c r="D446" t="inlineStr">
        <is>
          <t>Masdar City (AD)</t>
        </is>
      </c>
      <c r="E446" t="inlineStr">
        <is>
          <t>Apartments</t>
        </is>
      </c>
      <c r="F446" t="inlineStr">
        <is>
          <t>Modern / Eco</t>
        </is>
      </c>
      <c r="G446" t="inlineStr">
        <is>
          <t>800k</t>
        </is>
      </c>
      <c r="H446" t="inlineStr">
        <is>
          <t>1100</t>
        </is>
      </c>
      <c r="I446" t="inlineStr">
        <is>
          <t>14</t>
        </is>
      </c>
      <c r="J446" t="inlineStr">
        <is>
          <t>Varies</t>
        </is>
      </c>
      <c r="K446" t="inlineStr">
        <is>
          <t>2020</t>
        </is>
      </c>
      <c r="L446" t="inlineStr">
        <is>
          <t>7.0-7.5</t>
        </is>
      </c>
      <c r="M446" t="inlineStr">
        <is>
          <t>5-7</t>
        </is>
      </c>
      <c r="N446" t="inlineStr">
        <is>
          <t>12.0-14.5</t>
        </is>
      </c>
      <c r="O446" t="inlineStr">
        <is>
          <t>GEMS United (AD)</t>
        </is>
      </c>
      <c r="P446" t="inlineStr">
        <is>
          <t>Cleveland Clinic AD</t>
        </is>
      </c>
      <c r="Q446" t="inlineStr">
        <is>
          <t>Yas Mall</t>
        </is>
      </c>
      <c r="R446" t="inlineStr">
        <is>
          <t>E10 (Abu Dhabi)</t>
        </is>
      </c>
      <c r="S446" t="inlineStr">
        <is>
          <t>75</t>
        </is>
      </c>
      <c r="T446" t="inlineStr">
        <is>
          <t>60</t>
        </is>
      </c>
      <c r="U446" t="inlineStr">
        <is>
          <t>80</t>
        </is>
      </c>
      <c r="V446" t="inlineStr">
        <is>
          <t>65</t>
        </is>
      </c>
      <c r="W446" t="n">
        <v>2</v>
      </c>
      <c r="X446" s="12" t="n">
        <v>800000</v>
      </c>
      <c r="Y446" s="12" t="n">
        <v>800000</v>
      </c>
      <c r="Z446" s="9" t="n">
        <v>7</v>
      </c>
      <c r="AA446" s="9" t="n">
        <v>7.5</v>
      </c>
      <c r="AB446" s="9" t="n">
        <v>5</v>
      </c>
      <c r="AC446" s="9" t="n">
        <v>7</v>
      </c>
      <c r="AD446" s="9" t="n">
        <v>12</v>
      </c>
      <c r="AE446" s="9" t="n">
        <v>14.5</v>
      </c>
      <c r="AF446" t="n">
        <v>2020</v>
      </c>
      <c r="AH446" t="inlineStr">
        <is>
          <t>Apartment</t>
        </is>
      </c>
      <c r="AI446" t="inlineStr">
        <is>
          <t>MainstreamSelective</t>
        </is>
      </c>
      <c r="AJ446" t="inlineStr">
        <is>
          <t>MidTier</t>
        </is>
      </c>
      <c r="AK446" t="inlineStr">
        <is>
          <t>Balanced / selective</t>
        </is>
      </c>
      <c r="AL446" t="inlineStr">
        <is>
          <t>Market remains active but increasingly differentiated by developer, micro-location, livability, and pricing discipline.</t>
        </is>
      </c>
      <c r="AM446" s="9" t="n">
        <v>6</v>
      </c>
      <c r="AN446" s="9" t="n">
        <v>7.25</v>
      </c>
      <c r="AO446" s="10" t="n">
        <v>0.55</v>
      </c>
      <c r="AP446" s="13" t="n">
        <v>0</v>
      </c>
      <c r="AQ446" s="13" t="n">
        <v>0</v>
      </c>
      <c r="AR446" s="13" t="n">
        <v>0</v>
      </c>
      <c r="AS446" s="13" t="n">
        <v>0.01</v>
      </c>
      <c r="AT446" s="13" t="n">
        <v>-0.005</v>
      </c>
      <c r="AU446" s="13" t="n">
        <v>0.0025</v>
      </c>
      <c r="AV446" s="13" t="n">
        <v>-0.005</v>
      </c>
      <c r="AW446" s="13" t="n">
        <v>0.033</v>
      </c>
      <c r="AX446" s="13" t="n">
        <v>0.0025</v>
      </c>
      <c r="AY446" s="12" t="n">
        <v>801608</v>
      </c>
      <c r="AZ446" s="12" t="n">
        <v>826400</v>
      </c>
      <c r="BA446" s="12" t="n">
        <v>851192</v>
      </c>
      <c r="BB446" s="12" t="n">
        <v>803674</v>
      </c>
      <c r="BC446" s="12" t="n">
        <v>828466</v>
      </c>
      <c r="BD446" s="12" t="n">
        <v>853258</v>
      </c>
      <c r="BE446" s="12" t="n">
        <v>830537</v>
      </c>
      <c r="BF446" t="inlineStr">
        <is>
          <t>Frozen values from same rules-based model as formula sheet.</t>
        </is>
      </c>
      <c r="BG446" t="inlineStr">
        <is>
          <t>2026-03-17</t>
        </is>
      </c>
      <c r="BH446" t="inlineStr">
        <is>
          <t>DLD / Digital Dubai / CBUAE / Savills / Knight Frank-Moody’s / Reuters</t>
        </is>
      </c>
    </row>
    <row r="447">
      <c r="A447" t="n">
        <v>446</v>
      </c>
      <c r="B447" t="inlineStr">
        <is>
          <t>LIV LUX</t>
        </is>
      </c>
      <c r="C447" t="inlineStr">
        <is>
          <t>LIV Developers</t>
        </is>
      </c>
      <c r="D447" t="inlineStr">
        <is>
          <t>Dubai Marina</t>
        </is>
      </c>
      <c r="E447" t="inlineStr">
        <is>
          <t>Luxury Apts</t>
        </is>
      </c>
      <c r="F447" t="inlineStr">
        <is>
          <t>High-Rise / View</t>
        </is>
      </c>
      <c r="G447" t="inlineStr">
        <is>
          <t>3.5M</t>
        </is>
      </c>
      <c r="H447" t="inlineStr">
        <is>
          <t>3000</t>
        </is>
      </c>
      <c r="I447" t="inlineStr">
        <is>
          <t>25</t>
        </is>
      </c>
      <c r="J447" t="inlineStr">
        <is>
          <t>60/40</t>
        </is>
      </c>
      <c r="K447" t="inlineStr">
        <is>
          <t>2022</t>
        </is>
      </c>
      <c r="L447" t="inlineStr">
        <is>
          <t>5.5-6.0</t>
        </is>
      </c>
      <c r="M447" t="inlineStr">
        <is>
          <t>7-9</t>
        </is>
      </c>
      <c r="N447" t="inlineStr">
        <is>
          <t>12.5-15.0</t>
        </is>
      </c>
      <c r="O447" t="inlineStr">
        <is>
          <t>American Univ. Dubai</t>
        </is>
      </c>
      <c r="P447" t="inlineStr">
        <is>
          <t>Saudi German Hospital</t>
        </is>
      </c>
      <c r="Q447" t="inlineStr">
        <is>
          <t>Dubai Marina Mall</t>
        </is>
      </c>
      <c r="R447" t="inlineStr">
        <is>
          <t>Sheikh Zayed E11</t>
        </is>
      </c>
      <c r="S447" t="inlineStr">
        <is>
          <t>20</t>
        </is>
      </c>
      <c r="T447" t="inlineStr">
        <is>
          <t>5</t>
        </is>
      </c>
      <c r="U447" t="inlineStr">
        <is>
          <t>25</t>
        </is>
      </c>
      <c r="V447" t="inlineStr">
        <is>
          <t>30</t>
        </is>
      </c>
      <c r="W447" t="n">
        <v>2</v>
      </c>
      <c r="X447" s="12" t="n">
        <v>3500000</v>
      </c>
      <c r="Y447" s="12" t="n">
        <v>3500000</v>
      </c>
      <c r="Z447" s="9" t="n">
        <v>5.5</v>
      </c>
      <c r="AA447" s="9" t="n">
        <v>6</v>
      </c>
      <c r="AB447" s="9" t="n">
        <v>7</v>
      </c>
      <c r="AC447" s="9" t="n">
        <v>9</v>
      </c>
      <c r="AD447" s="9" t="n">
        <v>12.5</v>
      </c>
      <c r="AE447" s="9" t="n">
        <v>15</v>
      </c>
      <c r="AF447" t="n">
        <v>2022</v>
      </c>
      <c r="AH447" t="inlineStr">
        <is>
          <t>Apartment</t>
        </is>
      </c>
      <c r="AI447" t="inlineStr">
        <is>
          <t>Prime</t>
        </is>
      </c>
      <c r="AJ447" t="inlineStr">
        <is>
          <t>Established</t>
        </is>
      </c>
      <c r="AK447" t="inlineStr">
        <is>
          <t>Prime resilient / selective</t>
        </is>
      </c>
      <c r="AL447" t="inlineStr">
        <is>
          <t>Better support from quality, branding, and scarcer prime stock; still entry-price sensitive.</t>
        </is>
      </c>
      <c r="AM447" s="9" t="n">
        <v>8</v>
      </c>
      <c r="AN447" s="9" t="n">
        <v>5.75</v>
      </c>
      <c r="AO447" s="10" t="n">
        <v>0.55</v>
      </c>
      <c r="AP447" s="13" t="n">
        <v>0.02</v>
      </c>
      <c r="AQ447" s="13" t="n">
        <v>0</v>
      </c>
      <c r="AR447" s="13" t="n">
        <v>0</v>
      </c>
      <c r="AS447" s="13" t="n">
        <v>0.03</v>
      </c>
      <c r="AT447" s="13" t="n">
        <v>0</v>
      </c>
      <c r="AU447" s="13" t="n">
        <v>0</v>
      </c>
      <c r="AV447" s="13" t="n">
        <v>-0.005</v>
      </c>
      <c r="AW447" s="13" t="n">
        <v>0.064</v>
      </c>
      <c r="AX447" s="13" t="n">
        <v>0.025</v>
      </c>
      <c r="AY447" s="12" t="n">
        <v>3612280</v>
      </c>
      <c r="AZ447" s="12" t="n">
        <v>3724000</v>
      </c>
      <c r="BA447" s="12" t="n">
        <v>3835720</v>
      </c>
      <c r="BB447" s="12" t="n">
        <v>3705380</v>
      </c>
      <c r="BC447" s="12" t="n">
        <v>3817100</v>
      </c>
      <c r="BD447" s="12" t="n">
        <v>3928820</v>
      </c>
      <c r="BE447" s="12" t="n">
        <v>3912527</v>
      </c>
      <c r="BF447" t="inlineStr">
        <is>
          <t>Frozen values from same rules-based model as formula sheet.</t>
        </is>
      </c>
      <c r="BG447" t="inlineStr">
        <is>
          <t>2026-03-17</t>
        </is>
      </c>
      <c r="BH447" t="inlineStr">
        <is>
          <t>DLD / Digital Dubai / CBUAE / Savills / Knight Frank-Moody’s / Reuters</t>
        </is>
      </c>
    </row>
    <row r="448">
      <c r="A448" t="n">
        <v>447</v>
      </c>
      <c r="B448" t="inlineStr">
        <is>
          <t>LIV Marina</t>
        </is>
      </c>
      <c r="C448" t="inlineStr">
        <is>
          <t>LIV Developers</t>
        </is>
      </c>
      <c r="D448" t="inlineStr">
        <is>
          <t>Dubai Marina</t>
        </is>
      </c>
      <c r="E448" t="inlineStr">
        <is>
          <t>Luxury Apts</t>
        </is>
      </c>
      <c r="F448" t="inlineStr">
        <is>
          <t>High-Rise / View</t>
        </is>
      </c>
      <c r="G448" t="inlineStr">
        <is>
          <t>Resale (2.5M+)</t>
        </is>
      </c>
      <c r="H448" t="inlineStr">
        <is>
          <t>2800</t>
        </is>
      </c>
      <c r="I448" t="inlineStr">
        <is>
          <t>25</t>
        </is>
      </c>
      <c r="J448" t="inlineStr">
        <is>
          <t>Completed</t>
        </is>
      </c>
      <c r="K448" t="inlineStr">
        <is>
          <t>2021</t>
        </is>
      </c>
      <c r="L448" t="inlineStr">
        <is>
          <t>6.0-6.5</t>
        </is>
      </c>
      <c r="M448" t="inlineStr">
        <is>
          <t>5-7</t>
        </is>
      </c>
      <c r="N448" t="inlineStr">
        <is>
          <t>11.0-13.5</t>
        </is>
      </c>
      <c r="O448" t="inlineStr">
        <is>
          <t>American Univ. Dubai</t>
        </is>
      </c>
      <c r="P448" t="inlineStr">
        <is>
          <t>Saudi German Hospital</t>
        </is>
      </c>
      <c r="Q448" t="inlineStr">
        <is>
          <t>Dubai Marina Mall</t>
        </is>
      </c>
      <c r="R448" t="inlineStr">
        <is>
          <t>Sheikh Zayed E11</t>
        </is>
      </c>
      <c r="S448" t="inlineStr">
        <is>
          <t>20</t>
        </is>
      </c>
      <c r="T448" t="inlineStr">
        <is>
          <t>5</t>
        </is>
      </c>
      <c r="U448" t="inlineStr">
        <is>
          <t>25</t>
        </is>
      </c>
      <c r="V448" t="inlineStr">
        <is>
          <t>30</t>
        </is>
      </c>
      <c r="W448" t="n">
        <v>2</v>
      </c>
      <c r="X448" s="12" t="n">
        <v>2500000</v>
      </c>
      <c r="Y448" s="12" t="n">
        <v>2500000</v>
      </c>
      <c r="Z448" s="9" t="n">
        <v>6</v>
      </c>
      <c r="AA448" s="9" t="n">
        <v>6.5</v>
      </c>
      <c r="AB448" s="9" t="n">
        <v>5</v>
      </c>
      <c r="AC448" s="9" t="n">
        <v>7</v>
      </c>
      <c r="AD448" s="9" t="n">
        <v>11</v>
      </c>
      <c r="AE448" s="9" t="n">
        <v>13.5</v>
      </c>
      <c r="AF448" t="n">
        <v>2021</v>
      </c>
      <c r="AH448" t="inlineStr">
        <is>
          <t>Apartment</t>
        </is>
      </c>
      <c r="AI448" t="inlineStr">
        <is>
          <t>Prime</t>
        </is>
      </c>
      <c r="AJ448" t="inlineStr">
        <is>
          <t>Established</t>
        </is>
      </c>
      <c r="AK448" t="inlineStr">
        <is>
          <t>Prime resilient / selective</t>
        </is>
      </c>
      <c r="AL448" t="inlineStr">
        <is>
          <t>Better support from quality, branding, and scarcer prime stock; still entry-price sensitive.</t>
        </is>
      </c>
      <c r="AM448" s="9" t="n">
        <v>6</v>
      </c>
      <c r="AN448" s="9" t="n">
        <v>6.25</v>
      </c>
      <c r="AO448" s="10" t="n">
        <v>0.55</v>
      </c>
      <c r="AP448" s="13" t="n">
        <v>0.02</v>
      </c>
      <c r="AQ448" s="13" t="n">
        <v>0</v>
      </c>
      <c r="AR448" s="13" t="n">
        <v>0</v>
      </c>
      <c r="AS448" s="13" t="n">
        <v>0.03</v>
      </c>
      <c r="AT448" s="13" t="n">
        <v>0</v>
      </c>
      <c r="AU448" s="13" t="n">
        <v>0.0025</v>
      </c>
      <c r="AV448" s="13" t="n">
        <v>-0.005</v>
      </c>
      <c r="AW448" s="13" t="n">
        <v>0.05300000000000001</v>
      </c>
      <c r="AX448" s="13" t="n">
        <v>0.0275</v>
      </c>
      <c r="AY448" s="12" t="n">
        <v>2553525</v>
      </c>
      <c r="AZ448" s="12" t="n">
        <v>2632500</v>
      </c>
      <c r="BA448" s="12" t="n">
        <v>2711475</v>
      </c>
      <c r="BB448" s="12" t="n">
        <v>2625919</v>
      </c>
      <c r="BC448" s="12" t="n">
        <v>2704894</v>
      </c>
      <c r="BD448" s="12" t="n">
        <v>2783869</v>
      </c>
      <c r="BE448" s="12" t="n">
        <v>2779278</v>
      </c>
      <c r="BF448" t="inlineStr">
        <is>
          <t>Frozen values from same rules-based model as formula sheet.</t>
        </is>
      </c>
      <c r="BG448" t="inlineStr">
        <is>
          <t>2026-03-17</t>
        </is>
      </c>
      <c r="BH448" t="inlineStr">
        <is>
          <t>DLD / Digital Dubai / CBUAE / Savills / Knight Frank-Moody’s / Reuters</t>
        </is>
      </c>
    </row>
    <row r="449">
      <c r="A449" t="n">
        <v>448</v>
      </c>
      <c r="B449" t="inlineStr">
        <is>
          <t>LIV Residence</t>
        </is>
      </c>
      <c r="C449" t="inlineStr">
        <is>
          <t>LIV Developers</t>
        </is>
      </c>
      <c r="D449" t="inlineStr">
        <is>
          <t>Dubai Marina</t>
        </is>
      </c>
      <c r="E449" t="inlineStr">
        <is>
          <t>Luxury Apts</t>
        </is>
      </c>
      <c r="F449" t="inlineStr">
        <is>
          <t>High-Rise / View</t>
        </is>
      </c>
      <c r="G449" t="inlineStr">
        <is>
          <t>Resale (2.2M+)</t>
        </is>
      </c>
      <c r="H449" t="inlineStr">
        <is>
          <t>2500</t>
        </is>
      </c>
      <c r="I449" t="inlineStr">
        <is>
          <t>25</t>
        </is>
      </c>
      <c r="J449" t="inlineStr">
        <is>
          <t>Completed</t>
        </is>
      </c>
      <c r="K449" t="inlineStr">
        <is>
          <t>2018</t>
        </is>
      </c>
      <c r="L449" t="inlineStr">
        <is>
          <t>6.0-6.5</t>
        </is>
      </c>
      <c r="M449" t="inlineStr">
        <is>
          <t>5-7</t>
        </is>
      </c>
      <c r="N449" t="inlineStr">
        <is>
          <t>11.0-13.5</t>
        </is>
      </c>
      <c r="O449" t="inlineStr">
        <is>
          <t>American Univ. Dubai</t>
        </is>
      </c>
      <c r="P449" t="inlineStr">
        <is>
          <t>Saudi German Hospital</t>
        </is>
      </c>
      <c r="Q449" t="inlineStr">
        <is>
          <t>Dubai Marina Mall</t>
        </is>
      </c>
      <c r="R449" t="inlineStr">
        <is>
          <t>Sheikh Zayed E11</t>
        </is>
      </c>
      <c r="S449" t="inlineStr">
        <is>
          <t>20</t>
        </is>
      </c>
      <c r="T449" t="inlineStr">
        <is>
          <t>5</t>
        </is>
      </c>
      <c r="U449" t="inlineStr">
        <is>
          <t>25</t>
        </is>
      </c>
      <c r="V449" t="inlineStr">
        <is>
          <t>30</t>
        </is>
      </c>
      <c r="W449" t="n">
        <v>2</v>
      </c>
      <c r="X449" s="12" t="n">
        <v>2200000</v>
      </c>
      <c r="Y449" s="12" t="n">
        <v>2200000</v>
      </c>
      <c r="Z449" s="9" t="n">
        <v>6</v>
      </c>
      <c r="AA449" s="9" t="n">
        <v>6.5</v>
      </c>
      <c r="AB449" s="9" t="n">
        <v>5</v>
      </c>
      <c r="AC449" s="9" t="n">
        <v>7</v>
      </c>
      <c r="AD449" s="9" t="n">
        <v>11</v>
      </c>
      <c r="AE449" s="9" t="n">
        <v>13.5</v>
      </c>
      <c r="AF449" t="n">
        <v>2018</v>
      </c>
      <c r="AH449" t="inlineStr">
        <is>
          <t>Apartment</t>
        </is>
      </c>
      <c r="AI449" t="inlineStr">
        <is>
          <t>Prime</t>
        </is>
      </c>
      <c r="AJ449" t="inlineStr">
        <is>
          <t>Established</t>
        </is>
      </c>
      <c r="AK449" t="inlineStr">
        <is>
          <t>Prime resilient / selective</t>
        </is>
      </c>
      <c r="AL449" t="inlineStr">
        <is>
          <t>Better support from quality, branding, and scarcer prime stock; still entry-price sensitive.</t>
        </is>
      </c>
      <c r="AM449" s="9" t="n">
        <v>6</v>
      </c>
      <c r="AN449" s="9" t="n">
        <v>6.25</v>
      </c>
      <c r="AO449" s="10" t="n">
        <v>0.55</v>
      </c>
      <c r="AP449" s="13" t="n">
        <v>0.02</v>
      </c>
      <c r="AQ449" s="13" t="n">
        <v>0</v>
      </c>
      <c r="AR449" s="13" t="n">
        <v>0</v>
      </c>
      <c r="AS449" s="13" t="n">
        <v>0.03</v>
      </c>
      <c r="AT449" s="13" t="n">
        <v>0</v>
      </c>
      <c r="AU449" s="13" t="n">
        <v>0.0025</v>
      </c>
      <c r="AV449" s="13" t="n">
        <v>-0.005</v>
      </c>
      <c r="AW449" s="13" t="n">
        <v>0.05300000000000001</v>
      </c>
      <c r="AX449" s="13" t="n">
        <v>0.0275</v>
      </c>
      <c r="AY449" s="12" t="n">
        <v>2247102</v>
      </c>
      <c r="AZ449" s="12" t="n">
        <v>2316600</v>
      </c>
      <c r="BA449" s="12" t="n">
        <v>2386098</v>
      </c>
      <c r="BB449" s="12" t="n">
        <v>2310808</v>
      </c>
      <c r="BC449" s="12" t="n">
        <v>2380306</v>
      </c>
      <c r="BD449" s="12" t="n">
        <v>2449805</v>
      </c>
      <c r="BE449" s="12" t="n">
        <v>2445765</v>
      </c>
      <c r="BF449" t="inlineStr">
        <is>
          <t>Frozen values from same rules-based model as formula sheet.</t>
        </is>
      </c>
      <c r="BG449" t="inlineStr">
        <is>
          <t>2026-03-17</t>
        </is>
      </c>
      <c r="BH449" t="inlineStr">
        <is>
          <t>DLD / Digital Dubai / CBUAE / Savills / Knight Frank-Moody’s / Reuters</t>
        </is>
      </c>
    </row>
    <row r="450">
      <c r="A450" t="n">
        <v>449</v>
      </c>
      <c r="B450" t="inlineStr">
        <is>
          <t>LIV Waterside</t>
        </is>
      </c>
      <c r="C450" t="inlineStr">
        <is>
          <t>LIV Developers</t>
        </is>
      </c>
      <c r="D450" t="inlineStr">
        <is>
          <t>Dubai Marina</t>
        </is>
      </c>
      <c r="E450" t="inlineStr">
        <is>
          <t>Luxury Apts/Villas</t>
        </is>
      </c>
      <c r="F450" t="inlineStr">
        <is>
          <t>Waterfront</t>
        </is>
      </c>
      <c r="G450" t="inlineStr">
        <is>
          <t>4.0M</t>
        </is>
      </c>
      <c r="H450" t="inlineStr">
        <is>
          <t>3200</t>
        </is>
      </c>
      <c r="I450" t="inlineStr">
        <is>
          <t>25</t>
        </is>
      </c>
      <c r="J450" t="inlineStr">
        <is>
          <t>60/40</t>
        </is>
      </c>
      <c r="K450" t="inlineStr">
        <is>
          <t>2023</t>
        </is>
      </c>
      <c r="L450" t="inlineStr">
        <is>
          <t>5.0-5.5</t>
        </is>
      </c>
      <c r="M450" t="inlineStr">
        <is>
          <t>8-12</t>
        </is>
      </c>
      <c r="N450" t="inlineStr">
        <is>
          <t>13.0-17.5</t>
        </is>
      </c>
      <c r="O450" t="inlineStr">
        <is>
          <t>American Univ. Dubai</t>
        </is>
      </c>
      <c r="P450" t="inlineStr">
        <is>
          <t>Saudi German Hospital</t>
        </is>
      </c>
      <c r="Q450" t="inlineStr">
        <is>
          <t>Dubai Marina Mall</t>
        </is>
      </c>
      <c r="R450" t="inlineStr">
        <is>
          <t>Sheikh Zayed E11</t>
        </is>
      </c>
      <c r="S450" t="inlineStr">
        <is>
          <t>20</t>
        </is>
      </c>
      <c r="T450" t="inlineStr">
        <is>
          <t>5</t>
        </is>
      </c>
      <c r="U450" t="inlineStr">
        <is>
          <t>25</t>
        </is>
      </c>
      <c r="V450" t="inlineStr">
        <is>
          <t>30</t>
        </is>
      </c>
      <c r="W450" t="n">
        <v>2</v>
      </c>
      <c r="X450" s="12" t="n">
        <v>4000000</v>
      </c>
      <c r="Y450" s="12" t="n">
        <v>4000000</v>
      </c>
      <c r="Z450" s="9" t="n">
        <v>5</v>
      </c>
      <c r="AA450" s="9" t="n">
        <v>5.5</v>
      </c>
      <c r="AB450" s="9" t="n">
        <v>8</v>
      </c>
      <c r="AC450" s="9" t="n">
        <v>12</v>
      </c>
      <c r="AD450" s="9" t="n">
        <v>13</v>
      </c>
      <c r="AE450" s="9" t="n">
        <v>17.5</v>
      </c>
      <c r="AF450" t="n">
        <v>2023</v>
      </c>
      <c r="AH450" t="inlineStr">
        <is>
          <t>Villa</t>
        </is>
      </c>
      <c r="AI450" t="inlineStr">
        <is>
          <t>Prime</t>
        </is>
      </c>
      <c r="AJ450" t="inlineStr">
        <is>
          <t>Established</t>
        </is>
      </c>
      <c r="AK450" t="inlineStr">
        <is>
          <t>Prime resilient / selective</t>
        </is>
      </c>
      <c r="AL450" t="inlineStr">
        <is>
          <t>Better support from quality, branding, and scarcer prime stock; still entry-price sensitive.</t>
        </is>
      </c>
      <c r="AM450" s="9" t="n">
        <v>10</v>
      </c>
      <c r="AN450" s="9" t="n">
        <v>5.25</v>
      </c>
      <c r="AO450" s="10" t="n">
        <v>0.55</v>
      </c>
      <c r="AP450" s="13" t="n">
        <v>0.02</v>
      </c>
      <c r="AQ450" s="13" t="n">
        <v>0.015</v>
      </c>
      <c r="AR450" s="13" t="n">
        <v>0</v>
      </c>
      <c r="AS450" s="13" t="n">
        <v>0.03</v>
      </c>
      <c r="AT450" s="13" t="n">
        <v>0</v>
      </c>
      <c r="AU450" s="13" t="n">
        <v>0</v>
      </c>
      <c r="AV450" s="13" t="n">
        <v>-0.005</v>
      </c>
      <c r="AW450" s="13" t="n">
        <v>0.09000000000000001</v>
      </c>
      <c r="AX450" s="13" t="n">
        <v>0.025</v>
      </c>
      <c r="AY450" s="12" t="n">
        <v>4229200</v>
      </c>
      <c r="AZ450" s="12" t="n">
        <v>4360000</v>
      </c>
      <c r="BA450" s="12" t="n">
        <v>4490800</v>
      </c>
      <c r="BB450" s="12" t="n">
        <v>4338200</v>
      </c>
      <c r="BC450" s="12" t="n">
        <v>4469000</v>
      </c>
      <c r="BD450" s="12" t="n">
        <v>4599800</v>
      </c>
      <c r="BE450" s="12" t="n">
        <v>4580725</v>
      </c>
      <c r="BF450" t="inlineStr">
        <is>
          <t>Frozen values from same rules-based model as formula sheet.</t>
        </is>
      </c>
      <c r="BG450" t="inlineStr">
        <is>
          <t>2026-03-17</t>
        </is>
      </c>
      <c r="BH450" t="inlineStr">
        <is>
          <t>DLD / Digital Dubai / CBUAE / Savills / Knight Frank-Moody’s / Reuters</t>
        </is>
      </c>
    </row>
    <row r="451">
      <c r="A451" t="n">
        <v>450</v>
      </c>
      <c r="B451" t="inlineStr">
        <is>
          <t>LIV Maritime</t>
        </is>
      </c>
      <c r="C451" t="inlineStr">
        <is>
          <t>LIV Developers</t>
        </is>
      </c>
      <c r="D451" t="inlineStr">
        <is>
          <t>Dubai Maritime City</t>
        </is>
      </c>
      <c r="E451" t="inlineStr">
        <is>
          <t>Apartments</t>
        </is>
      </c>
      <c r="F451" t="inlineStr">
        <is>
          <t>Sea View</t>
        </is>
      </c>
      <c r="G451" t="inlineStr">
        <is>
          <t>1.8M</t>
        </is>
      </c>
      <c r="H451" t="inlineStr">
        <is>
          <t>2200</t>
        </is>
      </c>
      <c r="I451" t="inlineStr">
        <is>
          <t>20</t>
        </is>
      </c>
      <c r="J451" t="inlineStr">
        <is>
          <t>60/40</t>
        </is>
      </c>
      <c r="K451" t="inlineStr">
        <is>
          <t>2024</t>
        </is>
      </c>
      <c r="L451" t="inlineStr">
        <is>
          <t>6.5-7.0</t>
        </is>
      </c>
      <c r="M451" t="inlineStr">
        <is>
          <t>8-10</t>
        </is>
      </c>
      <c r="N451" t="inlineStr">
        <is>
          <t>14.5-17.0</t>
        </is>
      </c>
      <c r="O451" t="inlineStr">
        <is>
          <t>New Academy School</t>
        </is>
      </c>
      <c r="P451" t="inlineStr">
        <is>
          <t>Aster Hospital Mankhool</t>
        </is>
      </c>
      <c r="Q451" t="inlineStr">
        <is>
          <t>Dubai Mall</t>
        </is>
      </c>
      <c r="R451" t="inlineStr">
        <is>
          <t>Al Khaleej / E11</t>
        </is>
      </c>
      <c r="S451" t="inlineStr">
        <is>
          <t>15</t>
        </is>
      </c>
      <c r="T451" t="inlineStr">
        <is>
          <t>25</t>
        </is>
      </c>
      <c r="U451" t="inlineStr">
        <is>
          <t>15</t>
        </is>
      </c>
      <c r="V451" t="inlineStr">
        <is>
          <t>45</t>
        </is>
      </c>
      <c r="W451" t="n">
        <v>2</v>
      </c>
      <c r="X451" s="12" t="n">
        <v>1800000</v>
      </c>
      <c r="Y451" s="12" t="n">
        <v>1800000</v>
      </c>
      <c r="Z451" s="9" t="n">
        <v>6.5</v>
      </c>
      <c r="AA451" s="9" t="n">
        <v>7</v>
      </c>
      <c r="AB451" s="9" t="n">
        <v>8</v>
      </c>
      <c r="AC451" s="9" t="n">
        <v>10</v>
      </c>
      <c r="AD451" s="9" t="n">
        <v>14.5</v>
      </c>
      <c r="AE451" s="9" t="n">
        <v>17</v>
      </c>
      <c r="AF451" t="n">
        <v>2024</v>
      </c>
      <c r="AH451" t="inlineStr">
        <is>
          <t>Apartment</t>
        </is>
      </c>
      <c r="AI451" t="inlineStr">
        <is>
          <t>MainstreamSelective</t>
        </is>
      </c>
      <c r="AJ451" t="inlineStr">
        <is>
          <t>Established</t>
        </is>
      </c>
      <c r="AK451" t="inlineStr">
        <is>
          <t>Balanced / selective</t>
        </is>
      </c>
      <c r="AL451" t="inlineStr">
        <is>
          <t>Market remains active but increasingly differentiated by developer, micro-location, livability, and pricing discipline.</t>
        </is>
      </c>
      <c r="AM451" s="9" t="n">
        <v>9</v>
      </c>
      <c r="AN451" s="9" t="n">
        <v>6.75</v>
      </c>
      <c r="AO451" s="10" t="n">
        <v>0.55</v>
      </c>
      <c r="AP451" s="13" t="n">
        <v>0</v>
      </c>
      <c r="AQ451" s="13" t="n">
        <v>0</v>
      </c>
      <c r="AR451" s="13" t="n">
        <v>0</v>
      </c>
      <c r="AS451" s="13" t="n">
        <v>0.01</v>
      </c>
      <c r="AT451" s="13" t="n">
        <v>0</v>
      </c>
      <c r="AU451" s="13" t="n">
        <v>0.0025</v>
      </c>
      <c r="AV451" s="13" t="n">
        <v>-0.005</v>
      </c>
      <c r="AW451" s="13" t="n">
        <v>0.0495</v>
      </c>
      <c r="AX451" s="13" t="n">
        <v>0.007500000000000001</v>
      </c>
      <c r="AY451" s="12" t="n">
        <v>1832427</v>
      </c>
      <c r="AZ451" s="12" t="n">
        <v>1889100</v>
      </c>
      <c r="BA451" s="12" t="n">
        <v>1945773</v>
      </c>
      <c r="BB451" s="12" t="n">
        <v>1846595</v>
      </c>
      <c r="BC451" s="12" t="n">
        <v>1903268</v>
      </c>
      <c r="BD451" s="12" t="n">
        <v>1959941</v>
      </c>
      <c r="BE451" s="12" t="n">
        <v>1917543</v>
      </c>
      <c r="BF451" t="inlineStr">
        <is>
          <t>Frozen values from same rules-based model as formula sheet.</t>
        </is>
      </c>
      <c r="BG451" t="inlineStr">
        <is>
          <t>2026-03-17</t>
        </is>
      </c>
      <c r="BH451" t="inlineStr">
        <is>
          <t>DLD / Digital Dubai / CBUAE / Savills / Knight Frank-Moody’s / Reuters</t>
        </is>
      </c>
    </row>
    <row r="452">
      <c r="A452" t="n">
        <v>451</v>
      </c>
      <c r="B452" t="inlineStr">
        <is>
          <t>LIV Oceanside</t>
        </is>
      </c>
      <c r="C452" t="inlineStr">
        <is>
          <t>LIV Developers</t>
        </is>
      </c>
      <c r="D452" t="inlineStr">
        <is>
          <t>Dubai Maritime City</t>
        </is>
      </c>
      <c r="E452" t="inlineStr">
        <is>
          <t>Apartments</t>
        </is>
      </c>
      <c r="F452" t="inlineStr">
        <is>
          <t>Sea View</t>
        </is>
      </c>
      <c r="G452" t="inlineStr">
        <is>
          <t>1.9M</t>
        </is>
      </c>
      <c r="H452" t="inlineStr">
        <is>
          <t>2300</t>
        </is>
      </c>
      <c r="I452" t="inlineStr">
        <is>
          <t>20</t>
        </is>
      </c>
      <c r="J452" t="inlineStr">
        <is>
          <t>60/40</t>
        </is>
      </c>
      <c r="K452" t="inlineStr">
        <is>
          <t>2024</t>
        </is>
      </c>
      <c r="L452" t="inlineStr">
        <is>
          <t>6.5-7.0</t>
        </is>
      </c>
      <c r="M452" t="inlineStr">
        <is>
          <t>8-10</t>
        </is>
      </c>
      <c r="N452" t="inlineStr">
        <is>
          <t>14.5-17.0</t>
        </is>
      </c>
      <c r="O452" t="inlineStr">
        <is>
          <t>New Academy School</t>
        </is>
      </c>
      <c r="P452" t="inlineStr">
        <is>
          <t>Aster Hospital Mankhool</t>
        </is>
      </c>
      <c r="Q452" t="inlineStr">
        <is>
          <t>Dubai Mall</t>
        </is>
      </c>
      <c r="R452" t="inlineStr">
        <is>
          <t>Al Khaleej / E11</t>
        </is>
      </c>
      <c r="S452" t="inlineStr">
        <is>
          <t>15</t>
        </is>
      </c>
      <c r="T452" t="inlineStr">
        <is>
          <t>25</t>
        </is>
      </c>
      <c r="U452" t="inlineStr">
        <is>
          <t>15</t>
        </is>
      </c>
      <c r="V452" t="inlineStr">
        <is>
          <t>45</t>
        </is>
      </c>
      <c r="W452" t="n">
        <v>2</v>
      </c>
      <c r="X452" s="12" t="n">
        <v>1900000</v>
      </c>
      <c r="Y452" s="12" t="n">
        <v>1900000</v>
      </c>
      <c r="Z452" s="9" t="n">
        <v>6.5</v>
      </c>
      <c r="AA452" s="9" t="n">
        <v>7</v>
      </c>
      <c r="AB452" s="9" t="n">
        <v>8</v>
      </c>
      <c r="AC452" s="9" t="n">
        <v>10</v>
      </c>
      <c r="AD452" s="9" t="n">
        <v>14.5</v>
      </c>
      <c r="AE452" s="9" t="n">
        <v>17</v>
      </c>
      <c r="AF452" t="n">
        <v>2024</v>
      </c>
      <c r="AH452" t="inlineStr">
        <is>
          <t>Apartment</t>
        </is>
      </c>
      <c r="AI452" t="inlineStr">
        <is>
          <t>MainstreamSelective</t>
        </is>
      </c>
      <c r="AJ452" t="inlineStr">
        <is>
          <t>Established</t>
        </is>
      </c>
      <c r="AK452" t="inlineStr">
        <is>
          <t>Balanced / selective</t>
        </is>
      </c>
      <c r="AL452" t="inlineStr">
        <is>
          <t>Market remains active but increasingly differentiated by developer, micro-location, livability, and pricing discipline.</t>
        </is>
      </c>
      <c r="AM452" s="9" t="n">
        <v>9</v>
      </c>
      <c r="AN452" s="9" t="n">
        <v>6.75</v>
      </c>
      <c r="AO452" s="10" t="n">
        <v>0.55</v>
      </c>
      <c r="AP452" s="13" t="n">
        <v>0</v>
      </c>
      <c r="AQ452" s="13" t="n">
        <v>0</v>
      </c>
      <c r="AR452" s="13" t="n">
        <v>0</v>
      </c>
      <c r="AS452" s="13" t="n">
        <v>0.01</v>
      </c>
      <c r="AT452" s="13" t="n">
        <v>0</v>
      </c>
      <c r="AU452" s="13" t="n">
        <v>0.0025</v>
      </c>
      <c r="AV452" s="13" t="n">
        <v>-0.005</v>
      </c>
      <c r="AW452" s="13" t="n">
        <v>0.0495</v>
      </c>
      <c r="AX452" s="13" t="n">
        <v>0.007500000000000001</v>
      </c>
      <c r="AY452" s="12" t="n">
        <v>1934228</v>
      </c>
      <c r="AZ452" s="12" t="n">
        <v>1994050</v>
      </c>
      <c r="BA452" s="12" t="n">
        <v>2053872</v>
      </c>
      <c r="BB452" s="12" t="n">
        <v>1949184</v>
      </c>
      <c r="BC452" s="12" t="n">
        <v>2009005</v>
      </c>
      <c r="BD452" s="12" t="n">
        <v>2068827</v>
      </c>
      <c r="BE452" s="12" t="n">
        <v>2024073</v>
      </c>
      <c r="BF452" t="inlineStr">
        <is>
          <t>Frozen values from same rules-based model as formula sheet.</t>
        </is>
      </c>
      <c r="BG452" t="inlineStr">
        <is>
          <t>2026-03-17</t>
        </is>
      </c>
      <c r="BH452" t="inlineStr">
        <is>
          <t>DLD / Digital Dubai / CBUAE / Savills / Knight Frank-Moody’s / Reuters</t>
        </is>
      </c>
    </row>
    <row r="453">
      <c r="A453" t="n">
        <v>452</v>
      </c>
      <c r="B453" t="inlineStr">
        <is>
          <t>Nordic</t>
        </is>
      </c>
      <c r="C453" t="inlineStr">
        <is>
          <t>LIV Developers</t>
        </is>
      </c>
      <c r="D453" t="inlineStr">
        <is>
          <t>JVC (Planned)</t>
        </is>
      </c>
      <c r="E453" t="inlineStr">
        <is>
          <t>Apartments</t>
        </is>
      </c>
      <c r="F453" t="inlineStr">
        <is>
          <t>Scandinavian</t>
        </is>
      </c>
      <c r="G453" t="inlineStr">
        <is>
          <t>TBA</t>
        </is>
      </c>
      <c r="H453" t="inlineStr">
        <is>
          <t>TBA</t>
        </is>
      </c>
      <c r="I453" t="inlineStr">
        <is>
          <t>15</t>
        </is>
      </c>
      <c r="J453" t="inlineStr">
        <is>
          <t>TBA</t>
        </is>
      </c>
      <c r="K453" t="inlineStr">
        <is>
          <t>Planned</t>
        </is>
      </c>
      <c r="L453" t="inlineStr">
        <is>
          <t>7.5-8.0</t>
        </is>
      </c>
      <c r="M453" t="inlineStr">
        <is>
          <t>6-8</t>
        </is>
      </c>
      <c r="N453" t="inlineStr">
        <is>
          <t>13.5-16.0</t>
        </is>
      </c>
      <c r="O453" t="inlineStr">
        <is>
          <t>JSS International</t>
        </is>
      </c>
      <c r="P453" t="inlineStr">
        <is>
          <t>Saudi German Hospital</t>
        </is>
      </c>
      <c r="Q453" t="inlineStr">
        <is>
          <t>Circle Mall</t>
        </is>
      </c>
      <c r="R453" t="inlineStr">
        <is>
          <t>Hessa St / E44</t>
        </is>
      </c>
      <c r="S453" t="inlineStr">
        <is>
          <t>20</t>
        </is>
      </c>
      <c r="T453" t="inlineStr">
        <is>
          <t>15</t>
        </is>
      </c>
      <c r="U453" t="inlineStr">
        <is>
          <t>25</t>
        </is>
      </c>
      <c r="V453" t="inlineStr">
        <is>
          <t>30</t>
        </is>
      </c>
      <c r="W453" t="n">
        <v>2</v>
      </c>
      <c r="X453" s="12" t="n"/>
      <c r="Y453" s="12" t="n"/>
      <c r="Z453" s="9" t="n">
        <v>7.5</v>
      </c>
      <c r="AA453" s="9" t="n">
        <v>8</v>
      </c>
      <c r="AB453" s="9" t="n">
        <v>6</v>
      </c>
      <c r="AC453" s="9" t="n">
        <v>8</v>
      </c>
      <c r="AD453" s="9" t="n">
        <v>13.5</v>
      </c>
      <c r="AE453" s="9" t="n">
        <v>16</v>
      </c>
      <c r="AH453" t="inlineStr">
        <is>
          <t>Apartment</t>
        </is>
      </c>
      <c r="AI453" t="inlineStr">
        <is>
          <t>MainstreamSelective</t>
        </is>
      </c>
      <c r="AJ453" t="inlineStr">
        <is>
          <t>Established</t>
        </is>
      </c>
      <c r="AK453" t="inlineStr">
        <is>
          <t>Balanced / selective</t>
        </is>
      </c>
      <c r="AL453" t="inlineStr">
        <is>
          <t>Market remains active but increasingly differentiated by developer, micro-location, livability, and pricing discipline.</t>
        </is>
      </c>
      <c r="AM453" s="9" t="n">
        <v>7</v>
      </c>
      <c r="AN453" s="9" t="n">
        <v>7.75</v>
      </c>
      <c r="AO453" s="10" t="n">
        <v>0.25</v>
      </c>
      <c r="AP453" s="13" t="n">
        <v>0</v>
      </c>
      <c r="AQ453" s="13" t="n">
        <v>0</v>
      </c>
      <c r="AR453" s="13" t="n">
        <v>0</v>
      </c>
      <c r="AS453" s="13" t="n">
        <v>0.01</v>
      </c>
      <c r="AT453" s="13" t="n">
        <v>0</v>
      </c>
      <c r="AU453" s="13" t="n">
        <v>0.0025</v>
      </c>
      <c r="AV453" s="13" t="n">
        <v>-0.005</v>
      </c>
      <c r="AW453" s="13" t="n">
        <v>0.0175</v>
      </c>
      <c r="AX453" s="13" t="n">
        <v>0.007500000000000001</v>
      </c>
      <c r="AY453" s="12" t="n"/>
      <c r="AZ453" s="12" t="n"/>
      <c r="BA453" s="12" t="n"/>
      <c r="BB453" s="12" t="n"/>
      <c r="BC453" s="12" t="n"/>
      <c r="BD453" s="12" t="n"/>
      <c r="BE453" s="12" t="n"/>
      <c r="BF453" t="inlineStr">
        <is>
          <t>Frozen values from same rules-based model as formula sheet.</t>
        </is>
      </c>
      <c r="BG453" t="inlineStr">
        <is>
          <t>2026-03-17</t>
        </is>
      </c>
      <c r="BH453" t="inlineStr">
        <is>
          <t>DLD / Digital Dubai / CBUAE / Savills / Knight Frank-Moody’s / Reuters</t>
        </is>
      </c>
    </row>
    <row r="454">
      <c r="A454" t="n">
        <v>453</v>
      </c>
      <c r="B454" t="inlineStr">
        <is>
          <t>Hollywood</t>
        </is>
      </c>
      <c r="C454" t="inlineStr">
        <is>
          <t>LIV Developers</t>
        </is>
      </c>
      <c r="D454" t="inlineStr">
        <is>
          <t>JVC (Planned)</t>
        </is>
      </c>
      <c r="E454" t="inlineStr">
        <is>
          <t>Apartments</t>
        </is>
      </c>
      <c r="F454" t="inlineStr">
        <is>
          <t>Themed</t>
        </is>
      </c>
      <c r="G454" t="inlineStr">
        <is>
          <t>TBA</t>
        </is>
      </c>
      <c r="H454" t="inlineStr">
        <is>
          <t>TBA</t>
        </is>
      </c>
      <c r="I454" t="inlineStr">
        <is>
          <t>15</t>
        </is>
      </c>
      <c r="J454" t="inlineStr">
        <is>
          <t>TBA</t>
        </is>
      </c>
      <c r="K454" t="inlineStr">
        <is>
          <t>Planned</t>
        </is>
      </c>
      <c r="L454" t="inlineStr">
        <is>
          <t>7.5-8.0</t>
        </is>
      </c>
      <c r="M454" t="inlineStr">
        <is>
          <t>6-8</t>
        </is>
      </c>
      <c r="N454" t="inlineStr">
        <is>
          <t>13.5-16.0</t>
        </is>
      </c>
      <c r="O454" t="inlineStr">
        <is>
          <t>JSS International</t>
        </is>
      </c>
      <c r="P454" t="inlineStr">
        <is>
          <t>Saudi German Hospital</t>
        </is>
      </c>
      <c r="Q454" t="inlineStr">
        <is>
          <t>Circle Mall</t>
        </is>
      </c>
      <c r="R454" t="inlineStr">
        <is>
          <t>Hessa St / E44</t>
        </is>
      </c>
      <c r="S454" t="inlineStr">
        <is>
          <t>20</t>
        </is>
      </c>
      <c r="T454" t="inlineStr">
        <is>
          <t>15</t>
        </is>
      </c>
      <c r="U454" t="inlineStr">
        <is>
          <t>25</t>
        </is>
      </c>
      <c r="V454" t="inlineStr">
        <is>
          <t>30</t>
        </is>
      </c>
      <c r="W454" t="n">
        <v>2</v>
      </c>
      <c r="X454" s="12" t="n"/>
      <c r="Y454" s="12" t="n"/>
      <c r="Z454" s="9" t="n">
        <v>7.5</v>
      </c>
      <c r="AA454" s="9" t="n">
        <v>8</v>
      </c>
      <c r="AB454" s="9" t="n">
        <v>6</v>
      </c>
      <c r="AC454" s="9" t="n">
        <v>8</v>
      </c>
      <c r="AD454" s="9" t="n">
        <v>13.5</v>
      </c>
      <c r="AE454" s="9" t="n">
        <v>16</v>
      </c>
      <c r="AH454" t="inlineStr">
        <is>
          <t>Apartment</t>
        </is>
      </c>
      <c r="AI454" t="inlineStr">
        <is>
          <t>MainstreamSelective</t>
        </is>
      </c>
      <c r="AJ454" t="inlineStr">
        <is>
          <t>Established</t>
        </is>
      </c>
      <c r="AK454" t="inlineStr">
        <is>
          <t>Balanced / selective</t>
        </is>
      </c>
      <c r="AL454" t="inlineStr">
        <is>
          <t>Market remains active but increasingly differentiated by developer, micro-location, livability, and pricing discipline.</t>
        </is>
      </c>
      <c r="AM454" s="9" t="n">
        <v>7</v>
      </c>
      <c r="AN454" s="9" t="n">
        <v>7.75</v>
      </c>
      <c r="AO454" s="10" t="n">
        <v>0.25</v>
      </c>
      <c r="AP454" s="13" t="n">
        <v>0</v>
      </c>
      <c r="AQ454" s="13" t="n">
        <v>0</v>
      </c>
      <c r="AR454" s="13" t="n">
        <v>0</v>
      </c>
      <c r="AS454" s="13" t="n">
        <v>0.01</v>
      </c>
      <c r="AT454" s="13" t="n">
        <v>0</v>
      </c>
      <c r="AU454" s="13" t="n">
        <v>0.0025</v>
      </c>
      <c r="AV454" s="13" t="n">
        <v>-0.005</v>
      </c>
      <c r="AW454" s="13" t="n">
        <v>0.0175</v>
      </c>
      <c r="AX454" s="13" t="n">
        <v>0.007500000000000001</v>
      </c>
      <c r="AY454" s="12" t="n"/>
      <c r="AZ454" s="12" t="n"/>
      <c r="BA454" s="12" t="n"/>
      <c r="BB454" s="12" t="n"/>
      <c r="BC454" s="12" t="n"/>
      <c r="BD454" s="12" t="n"/>
      <c r="BE454" s="12" t="n"/>
      <c r="BF454" t="inlineStr">
        <is>
          <t>Frozen values from same rules-based model as formula sheet.</t>
        </is>
      </c>
      <c r="BG454" t="inlineStr">
        <is>
          <t>2026-03-17</t>
        </is>
      </c>
      <c r="BH454" t="inlineStr">
        <is>
          <t>DLD / Digital Dubai / CBUAE / Savills / Knight Frank-Moody’s / Reuters</t>
        </is>
      </c>
    </row>
    <row r="455">
      <c r="A455" t="n">
        <v>454</v>
      </c>
      <c r="B455" t="inlineStr">
        <is>
          <t>New York</t>
        </is>
      </c>
      <c r="C455" t="inlineStr">
        <is>
          <t>LIV Developers</t>
        </is>
      </c>
      <c r="D455" t="inlineStr">
        <is>
          <t>JVC (Planned)</t>
        </is>
      </c>
      <c r="E455" t="inlineStr">
        <is>
          <t>Apartments</t>
        </is>
      </c>
      <c r="F455" t="inlineStr">
        <is>
          <t>Themed</t>
        </is>
      </c>
      <c r="G455" t="inlineStr">
        <is>
          <t>TBA</t>
        </is>
      </c>
      <c r="H455" t="inlineStr">
        <is>
          <t>TBA</t>
        </is>
      </c>
      <c r="I455" t="inlineStr">
        <is>
          <t>15</t>
        </is>
      </c>
      <c r="J455" t="inlineStr">
        <is>
          <t>TBA</t>
        </is>
      </c>
      <c r="K455" t="inlineStr">
        <is>
          <t>Planned</t>
        </is>
      </c>
      <c r="L455" t="inlineStr">
        <is>
          <t>7.5-8.0</t>
        </is>
      </c>
      <c r="M455" t="inlineStr">
        <is>
          <t>6-8</t>
        </is>
      </c>
      <c r="N455" t="inlineStr">
        <is>
          <t>13.5-16.0</t>
        </is>
      </c>
      <c r="O455" t="inlineStr">
        <is>
          <t>JSS International</t>
        </is>
      </c>
      <c r="P455" t="inlineStr">
        <is>
          <t>Saudi German Hospital</t>
        </is>
      </c>
      <c r="Q455" t="inlineStr">
        <is>
          <t>Circle Mall</t>
        </is>
      </c>
      <c r="R455" t="inlineStr">
        <is>
          <t>Hessa St / E44</t>
        </is>
      </c>
      <c r="S455" t="inlineStr">
        <is>
          <t>20</t>
        </is>
      </c>
      <c r="T455" t="inlineStr">
        <is>
          <t>15</t>
        </is>
      </c>
      <c r="U455" t="inlineStr">
        <is>
          <t>25</t>
        </is>
      </c>
      <c r="V455" t="inlineStr">
        <is>
          <t>30</t>
        </is>
      </c>
      <c r="W455" t="n">
        <v>2</v>
      </c>
      <c r="X455" s="12" t="n"/>
      <c r="Y455" s="12" t="n"/>
      <c r="Z455" s="9" t="n">
        <v>7.5</v>
      </c>
      <c r="AA455" s="9" t="n">
        <v>8</v>
      </c>
      <c r="AB455" s="9" t="n">
        <v>6</v>
      </c>
      <c r="AC455" s="9" t="n">
        <v>8</v>
      </c>
      <c r="AD455" s="9" t="n">
        <v>13.5</v>
      </c>
      <c r="AE455" s="9" t="n">
        <v>16</v>
      </c>
      <c r="AH455" t="inlineStr">
        <is>
          <t>Apartment</t>
        </is>
      </c>
      <c r="AI455" t="inlineStr">
        <is>
          <t>MainstreamSelective</t>
        </is>
      </c>
      <c r="AJ455" t="inlineStr">
        <is>
          <t>Established</t>
        </is>
      </c>
      <c r="AK455" t="inlineStr">
        <is>
          <t>Balanced / selective</t>
        </is>
      </c>
      <c r="AL455" t="inlineStr">
        <is>
          <t>Market remains active but increasingly differentiated by developer, micro-location, livability, and pricing discipline.</t>
        </is>
      </c>
      <c r="AM455" s="9" t="n">
        <v>7</v>
      </c>
      <c r="AN455" s="9" t="n">
        <v>7.75</v>
      </c>
      <c r="AO455" s="10" t="n">
        <v>0.25</v>
      </c>
      <c r="AP455" s="13" t="n">
        <v>0</v>
      </c>
      <c r="AQ455" s="13" t="n">
        <v>0</v>
      </c>
      <c r="AR455" s="13" t="n">
        <v>0</v>
      </c>
      <c r="AS455" s="13" t="n">
        <v>0.01</v>
      </c>
      <c r="AT455" s="13" t="n">
        <v>0</v>
      </c>
      <c r="AU455" s="13" t="n">
        <v>0.0025</v>
      </c>
      <c r="AV455" s="13" t="n">
        <v>-0.005</v>
      </c>
      <c r="AW455" s="13" t="n">
        <v>0.0175</v>
      </c>
      <c r="AX455" s="13" t="n">
        <v>0.007500000000000001</v>
      </c>
      <c r="AY455" s="12" t="n"/>
      <c r="AZ455" s="12" t="n"/>
      <c r="BA455" s="12" t="n"/>
      <c r="BB455" s="12" t="n"/>
      <c r="BC455" s="12" t="n"/>
      <c r="BD455" s="12" t="n"/>
      <c r="BE455" s="12" t="n"/>
      <c r="BF455" t="inlineStr">
        <is>
          <t>Frozen values from same rules-based model as formula sheet.</t>
        </is>
      </c>
      <c r="BG455" t="inlineStr">
        <is>
          <t>2026-03-17</t>
        </is>
      </c>
      <c r="BH455" t="inlineStr">
        <is>
          <t>DLD / Digital Dubai / CBUAE / Savills / Knight Frank-Moody’s / Reuters</t>
        </is>
      </c>
    </row>
    <row r="456">
      <c r="A456" t="n">
        <v>455</v>
      </c>
      <c r="B456" t="inlineStr">
        <is>
          <t>Luce</t>
        </is>
      </c>
      <c r="C456" t="inlineStr">
        <is>
          <t>Taraf Properties</t>
        </is>
      </c>
      <c r="D456" t="inlineStr">
        <is>
          <t>Palm Jumeirah</t>
        </is>
      </c>
      <c r="E456" t="inlineStr">
        <is>
          <t>Apartments</t>
        </is>
      </c>
      <c r="F456" t="inlineStr">
        <is>
          <t>Luxury / Beach</t>
        </is>
      </c>
      <c r="G456" t="inlineStr">
        <is>
          <t>8.0M+</t>
        </is>
      </c>
      <c r="H456" t="inlineStr">
        <is>
          <t>4000</t>
        </is>
      </c>
      <c r="I456" t="inlineStr">
        <is>
          <t>30</t>
        </is>
      </c>
      <c r="J456" t="inlineStr">
        <is>
          <t>60/40</t>
        </is>
      </c>
      <c r="K456" t="inlineStr">
        <is>
          <t>2023</t>
        </is>
      </c>
      <c r="L456" t="inlineStr">
        <is>
          <t>4.0-4.5</t>
        </is>
      </c>
      <c r="M456" t="inlineStr">
        <is>
          <t>8-10</t>
        </is>
      </c>
      <c r="N456" t="inlineStr">
        <is>
          <t>12.0-14.5</t>
        </is>
      </c>
      <c r="O456" t="inlineStr">
        <is>
          <t>Chevalier College</t>
        </is>
      </c>
      <c r="P456" t="inlineStr">
        <is>
          <t>Emirates Hospital</t>
        </is>
      </c>
      <c r="Q456" t="inlineStr">
        <is>
          <t>Nakheel Mall</t>
        </is>
      </c>
      <c r="R456" t="inlineStr">
        <is>
          <t>Sheikh Zayed E11</t>
        </is>
      </c>
      <c r="S456" t="inlineStr">
        <is>
          <t>20</t>
        </is>
      </c>
      <c r="T456" t="inlineStr">
        <is>
          <t>10</t>
        </is>
      </c>
      <c r="U456" t="inlineStr">
        <is>
          <t>25</t>
        </is>
      </c>
      <c r="V456" t="inlineStr">
        <is>
          <t>35</t>
        </is>
      </c>
      <c r="W456" t="n">
        <v>2</v>
      </c>
      <c r="X456" s="12" t="n">
        <v>8000000</v>
      </c>
      <c r="Y456" s="12" t="n">
        <v>8000000</v>
      </c>
      <c r="Z456" s="9" t="n">
        <v>4</v>
      </c>
      <c r="AA456" s="9" t="n">
        <v>4.5</v>
      </c>
      <c r="AB456" s="9" t="n">
        <v>8</v>
      </c>
      <c r="AC456" s="9" t="n">
        <v>10</v>
      </c>
      <c r="AD456" s="9" t="n">
        <v>12</v>
      </c>
      <c r="AE456" s="9" t="n">
        <v>14.5</v>
      </c>
      <c r="AF456" t="n">
        <v>2023</v>
      </c>
      <c r="AH456" t="inlineStr">
        <is>
          <t>Apartment</t>
        </is>
      </c>
      <c r="AI456" t="inlineStr">
        <is>
          <t>Prime</t>
        </is>
      </c>
      <c r="AJ456" t="inlineStr">
        <is>
          <t>Established</t>
        </is>
      </c>
      <c r="AK456" t="inlineStr">
        <is>
          <t>Prime resilient / selective</t>
        </is>
      </c>
      <c r="AL456" t="inlineStr">
        <is>
          <t>Better support from quality, branding, and scarcer prime stock; still entry-price sensitive.</t>
        </is>
      </c>
      <c r="AM456" s="9" t="n">
        <v>9</v>
      </c>
      <c r="AN456" s="9" t="n">
        <v>4.25</v>
      </c>
      <c r="AO456" s="10" t="n">
        <v>0.55</v>
      </c>
      <c r="AP456" s="13" t="n">
        <v>0.02</v>
      </c>
      <c r="AQ456" s="13" t="n">
        <v>0</v>
      </c>
      <c r="AR456" s="13" t="n">
        <v>0</v>
      </c>
      <c r="AS456" s="13" t="n">
        <v>0.03</v>
      </c>
      <c r="AT456" s="13" t="n">
        <v>0</v>
      </c>
      <c r="AU456" s="13" t="n">
        <v>0</v>
      </c>
      <c r="AV456" s="13" t="n">
        <v>-0.005</v>
      </c>
      <c r="AW456" s="13" t="n">
        <v>0.06950000000000001</v>
      </c>
      <c r="AX456" s="13" t="n">
        <v>0.025</v>
      </c>
      <c r="AY456" s="12" t="n">
        <v>8299320</v>
      </c>
      <c r="AZ456" s="12" t="n">
        <v>8556000</v>
      </c>
      <c r="BA456" s="12" t="n">
        <v>8812680</v>
      </c>
      <c r="BB456" s="12" t="n">
        <v>8513220</v>
      </c>
      <c r="BC456" s="12" t="n">
        <v>8769900</v>
      </c>
      <c r="BD456" s="12" t="n">
        <v>9026580</v>
      </c>
      <c r="BE456" s="12" t="n">
        <v>8989148</v>
      </c>
      <c r="BF456" t="inlineStr">
        <is>
          <t>Frozen values from same rules-based model as formula sheet.</t>
        </is>
      </c>
      <c r="BG456" t="inlineStr">
        <is>
          <t>2026-03-17</t>
        </is>
      </c>
      <c r="BH456" t="inlineStr">
        <is>
          <t>DLD / Digital Dubai / CBUAE / Savills / Knight Frank-Moody’s / Reuters</t>
        </is>
      </c>
    </row>
    <row r="457">
      <c r="A457" t="n">
        <v>456</v>
      </c>
      <c r="B457" t="inlineStr">
        <is>
          <t>Terra Golf Collection</t>
        </is>
      </c>
      <c r="C457" t="inlineStr">
        <is>
          <t>Taraf Properties</t>
        </is>
      </c>
      <c r="D457" t="inlineStr">
        <is>
          <t>Jumeirah Golf Estates</t>
        </is>
      </c>
      <c r="E457" t="inlineStr">
        <is>
          <t>Villas</t>
        </is>
      </c>
      <c r="F457" t="inlineStr">
        <is>
          <t>Golf / Luxury</t>
        </is>
      </c>
      <c r="G457" t="inlineStr">
        <is>
          <t>8.0M+</t>
        </is>
      </c>
      <c r="H457" t="inlineStr">
        <is>
          <t>2200</t>
        </is>
      </c>
      <c r="I457" t="inlineStr">
        <is>
          <t>20</t>
        </is>
      </c>
      <c r="J457" t="inlineStr">
        <is>
          <t>60/40</t>
        </is>
      </c>
      <c r="K457" t="inlineStr">
        <is>
          <t>2023</t>
        </is>
      </c>
      <c r="L457" t="inlineStr">
        <is>
          <t>5.0-5.5</t>
        </is>
      </c>
      <c r="M457" t="inlineStr">
        <is>
          <t>8-10</t>
        </is>
      </c>
      <c r="N457" t="inlineStr">
        <is>
          <t>13.0-15.5</t>
        </is>
      </c>
      <c r="O457" t="inlineStr">
        <is>
          <t>Victory Heights</t>
        </is>
      </c>
      <c r="P457" t="inlineStr">
        <is>
          <t>NMC Royal DIP</t>
        </is>
      </c>
      <c r="Q457" t="inlineStr">
        <is>
          <t>City Centre Me'aisem</t>
        </is>
      </c>
      <c r="R457" t="inlineStr">
        <is>
          <t>E311 / Yalayis</t>
        </is>
      </c>
      <c r="S457" t="inlineStr">
        <is>
          <t>25</t>
        </is>
      </c>
      <c r="T457" t="inlineStr">
        <is>
          <t>20</t>
        </is>
      </c>
      <c r="U457" t="inlineStr">
        <is>
          <t>30</t>
        </is>
      </c>
      <c r="V457" t="inlineStr">
        <is>
          <t>20</t>
        </is>
      </c>
      <c r="W457" t="n">
        <v>2</v>
      </c>
      <c r="X457" s="12" t="n">
        <v>8000000</v>
      </c>
      <c r="Y457" s="12" t="n">
        <v>8000000</v>
      </c>
      <c r="Z457" s="9" t="n">
        <v>5</v>
      </c>
      <c r="AA457" s="9" t="n">
        <v>5.5</v>
      </c>
      <c r="AB457" s="9" t="n">
        <v>8</v>
      </c>
      <c r="AC457" s="9" t="n">
        <v>10</v>
      </c>
      <c r="AD457" s="9" t="n">
        <v>13</v>
      </c>
      <c r="AE457" s="9" t="n">
        <v>15.5</v>
      </c>
      <c r="AF457" t="n">
        <v>2023</v>
      </c>
      <c r="AH457" t="inlineStr">
        <is>
          <t>Villa</t>
        </is>
      </c>
      <c r="AI457" t="inlineStr">
        <is>
          <t>MainstreamSelective</t>
        </is>
      </c>
      <c r="AJ457" t="inlineStr">
        <is>
          <t>Established</t>
        </is>
      </c>
      <c r="AK457" t="inlineStr">
        <is>
          <t>Family-villa resilient</t>
        </is>
      </c>
      <c r="AL457" t="inlineStr">
        <is>
          <t>Villa/townhouse demand remains relatively firmer, though growth should be slower than the post-2020 surge.</t>
        </is>
      </c>
      <c r="AM457" s="9" t="n">
        <v>9</v>
      </c>
      <c r="AN457" s="9" t="n">
        <v>5.25</v>
      </c>
      <c r="AO457" s="10" t="n">
        <v>0.55</v>
      </c>
      <c r="AP457" s="13" t="n">
        <v>0</v>
      </c>
      <c r="AQ457" s="13" t="n">
        <v>0.015</v>
      </c>
      <c r="AR457" s="13" t="n">
        <v>0</v>
      </c>
      <c r="AS457" s="13" t="n">
        <v>0.025</v>
      </c>
      <c r="AT457" s="13" t="n">
        <v>0</v>
      </c>
      <c r="AU457" s="13" t="n">
        <v>0</v>
      </c>
      <c r="AV457" s="13" t="n">
        <v>-0.005</v>
      </c>
      <c r="AW457" s="13" t="n">
        <v>0.0645</v>
      </c>
      <c r="AX457" s="13" t="n">
        <v>0.02</v>
      </c>
      <c r="AY457" s="12" t="n">
        <v>8260520</v>
      </c>
      <c r="AZ457" s="12" t="n">
        <v>8516000</v>
      </c>
      <c r="BA457" s="12" t="n">
        <v>8771480</v>
      </c>
      <c r="BB457" s="12" t="n">
        <v>8430840</v>
      </c>
      <c r="BC457" s="12" t="n">
        <v>8686320</v>
      </c>
      <c r="BD457" s="12" t="n">
        <v>8941800</v>
      </c>
      <c r="BE457" s="12" t="n">
        <v>8860046</v>
      </c>
      <c r="BF457" t="inlineStr">
        <is>
          <t>Frozen values from same rules-based model as formula sheet.</t>
        </is>
      </c>
      <c r="BG457" t="inlineStr">
        <is>
          <t>2026-03-17</t>
        </is>
      </c>
      <c r="BH457" t="inlineStr">
        <is>
          <t>DLD / Digital Dubai / CBUAE / Savills / Knight Frank-Moody’s / Reuters</t>
        </is>
      </c>
    </row>
    <row r="458">
      <c r="A458" t="n">
        <v>457</v>
      </c>
      <c r="B458" t="inlineStr">
        <is>
          <t>Terrazzo</t>
        </is>
      </c>
      <c r="C458" t="inlineStr">
        <is>
          <t>Taraf Properties</t>
        </is>
      </c>
      <c r="D458" t="inlineStr">
        <is>
          <t>JVC</t>
        </is>
      </c>
      <c r="E458" t="inlineStr">
        <is>
          <t>Apartments</t>
        </is>
      </c>
      <c r="F458" t="inlineStr">
        <is>
          <t>Modern / Design</t>
        </is>
      </c>
      <c r="G458" t="inlineStr">
        <is>
          <t>1.1M</t>
        </is>
      </c>
      <c r="H458" t="inlineStr">
        <is>
          <t>1400</t>
        </is>
      </c>
      <c r="I458" t="inlineStr">
        <is>
          <t>15</t>
        </is>
      </c>
      <c r="J458" t="inlineStr">
        <is>
          <t>60/40</t>
        </is>
      </c>
      <c r="K458" t="inlineStr">
        <is>
          <t>2023</t>
        </is>
      </c>
      <c r="L458" t="inlineStr">
        <is>
          <t>7.5-8.0</t>
        </is>
      </c>
      <c r="M458" t="inlineStr">
        <is>
          <t>6-8</t>
        </is>
      </c>
      <c r="N458" t="inlineStr">
        <is>
          <t>13.5-16.0</t>
        </is>
      </c>
      <c r="O458" t="inlineStr">
        <is>
          <t>JSS International</t>
        </is>
      </c>
      <c r="P458" t="inlineStr">
        <is>
          <t>Saudi German Hospital</t>
        </is>
      </c>
      <c r="Q458" t="inlineStr">
        <is>
          <t>Circle Mall</t>
        </is>
      </c>
      <c r="R458" t="inlineStr">
        <is>
          <t>Hessa St / E44</t>
        </is>
      </c>
      <c r="S458" t="inlineStr">
        <is>
          <t>20</t>
        </is>
      </c>
      <c r="T458" t="inlineStr">
        <is>
          <t>15</t>
        </is>
      </c>
      <c r="U458" t="inlineStr">
        <is>
          <t>25</t>
        </is>
      </c>
      <c r="V458" t="inlineStr">
        <is>
          <t>30</t>
        </is>
      </c>
      <c r="W458" t="n">
        <v>2</v>
      </c>
      <c r="X458" s="12" t="n">
        <v>1100000</v>
      </c>
      <c r="Y458" s="12" t="n">
        <v>1100000</v>
      </c>
      <c r="Z458" s="9" t="n">
        <v>7.5</v>
      </c>
      <c r="AA458" s="9" t="n">
        <v>8</v>
      </c>
      <c r="AB458" s="9" t="n">
        <v>6</v>
      </c>
      <c r="AC458" s="9" t="n">
        <v>8</v>
      </c>
      <c r="AD458" s="9" t="n">
        <v>13.5</v>
      </c>
      <c r="AE458" s="9" t="n">
        <v>16</v>
      </c>
      <c r="AF458" t="n">
        <v>2023</v>
      </c>
      <c r="AH458" t="inlineStr">
        <is>
          <t>Apartment</t>
        </is>
      </c>
      <c r="AI458" t="inlineStr">
        <is>
          <t>SupplySensitiveApartment</t>
        </is>
      </c>
      <c r="AJ458" t="inlineStr">
        <is>
          <t>Established</t>
        </is>
      </c>
      <c r="AK458" t="inlineStr">
        <is>
          <t>Supply-sensitive / selective</t>
        </is>
      </c>
      <c r="AL458" t="inlineStr">
        <is>
          <t>Higher delivery risk in more price-sensitive apartment clusters; building selection and exit liquidity matter.</t>
        </is>
      </c>
      <c r="AM458" s="9" t="n">
        <v>7</v>
      </c>
      <c r="AN458" s="9" t="n">
        <v>7.75</v>
      </c>
      <c r="AO458" s="10" t="n">
        <v>0.55</v>
      </c>
      <c r="AP458" s="13" t="n">
        <v>0</v>
      </c>
      <c r="AQ458" s="13" t="n">
        <v>0</v>
      </c>
      <c r="AR458" s="13" t="n">
        <v>-0.01</v>
      </c>
      <c r="AS458" s="13" t="n">
        <v>-0.01</v>
      </c>
      <c r="AT458" s="13" t="n">
        <v>0</v>
      </c>
      <c r="AU458" s="13" t="n">
        <v>0.0025</v>
      </c>
      <c r="AV458" s="13" t="n">
        <v>-0.005</v>
      </c>
      <c r="AW458" s="13" t="n">
        <v>0.0285</v>
      </c>
      <c r="AX458" s="13" t="n">
        <v>-0.0125</v>
      </c>
      <c r="AY458" s="12" t="n">
        <v>1097410</v>
      </c>
      <c r="AZ458" s="12" t="n">
        <v>1131350</v>
      </c>
      <c r="BA458" s="12" t="n">
        <v>1165290</v>
      </c>
      <c r="BB458" s="12" t="n">
        <v>1083268</v>
      </c>
      <c r="BC458" s="12" t="n">
        <v>1117208</v>
      </c>
      <c r="BD458" s="12" t="n">
        <v>1151149</v>
      </c>
      <c r="BE458" s="12" t="n">
        <v>1103243</v>
      </c>
      <c r="BF458" t="inlineStr">
        <is>
          <t>Frozen values from same rules-based model as formula sheet.</t>
        </is>
      </c>
      <c r="BG458" t="inlineStr">
        <is>
          <t>2026-03-17</t>
        </is>
      </c>
      <c r="BH458" t="inlineStr">
        <is>
          <t>DLD / Digital Dubai / CBUAE / Savills / Knight Frank-Moody’s / Reuters</t>
        </is>
      </c>
    </row>
    <row r="459">
      <c r="A459" t="n">
        <v>458</v>
      </c>
      <c r="B459" t="inlineStr">
        <is>
          <t>Cello</t>
        </is>
      </c>
      <c r="C459" t="inlineStr">
        <is>
          <t>Taraf Properties</t>
        </is>
      </c>
      <c r="D459" t="inlineStr">
        <is>
          <t>JVC</t>
        </is>
      </c>
      <c r="E459" t="inlineStr">
        <is>
          <t>Apartments</t>
        </is>
      </c>
      <c r="F459" t="inlineStr">
        <is>
          <t>Music / Design</t>
        </is>
      </c>
      <c r="G459" t="inlineStr">
        <is>
          <t>1.0M</t>
        </is>
      </c>
      <c r="H459" t="inlineStr">
        <is>
          <t>1350</t>
        </is>
      </c>
      <c r="I459" t="inlineStr">
        <is>
          <t>15</t>
        </is>
      </c>
      <c r="J459" t="inlineStr">
        <is>
          <t>60/40</t>
        </is>
      </c>
      <c r="K459" t="inlineStr">
        <is>
          <t>2023</t>
        </is>
      </c>
      <c r="L459" t="inlineStr">
        <is>
          <t>7.5-8.0</t>
        </is>
      </c>
      <c r="M459" t="inlineStr">
        <is>
          <t>6-8</t>
        </is>
      </c>
      <c r="N459" t="inlineStr">
        <is>
          <t>13.5-16.0</t>
        </is>
      </c>
      <c r="O459" t="inlineStr">
        <is>
          <t>JSS International</t>
        </is>
      </c>
      <c r="P459" t="inlineStr">
        <is>
          <t>Saudi German Hospital</t>
        </is>
      </c>
      <c r="Q459" t="inlineStr">
        <is>
          <t>Circle Mall</t>
        </is>
      </c>
      <c r="R459" t="inlineStr">
        <is>
          <t>Hessa St / E44</t>
        </is>
      </c>
      <c r="S459" t="inlineStr">
        <is>
          <t>20</t>
        </is>
      </c>
      <c r="T459" t="inlineStr">
        <is>
          <t>15</t>
        </is>
      </c>
      <c r="U459" t="inlineStr">
        <is>
          <t>25</t>
        </is>
      </c>
      <c r="V459" t="inlineStr">
        <is>
          <t>30</t>
        </is>
      </c>
      <c r="W459" t="n">
        <v>2</v>
      </c>
      <c r="X459" s="12" t="n">
        <v>1000000</v>
      </c>
      <c r="Y459" s="12" t="n">
        <v>1000000</v>
      </c>
      <c r="Z459" s="9" t="n">
        <v>7.5</v>
      </c>
      <c r="AA459" s="9" t="n">
        <v>8</v>
      </c>
      <c r="AB459" s="9" t="n">
        <v>6</v>
      </c>
      <c r="AC459" s="9" t="n">
        <v>8</v>
      </c>
      <c r="AD459" s="9" t="n">
        <v>13.5</v>
      </c>
      <c r="AE459" s="9" t="n">
        <v>16</v>
      </c>
      <c r="AF459" t="n">
        <v>2023</v>
      </c>
      <c r="AH459" t="inlineStr">
        <is>
          <t>Apartment</t>
        </is>
      </c>
      <c r="AI459" t="inlineStr">
        <is>
          <t>SupplySensitiveApartment</t>
        </is>
      </c>
      <c r="AJ459" t="inlineStr">
        <is>
          <t>Established</t>
        </is>
      </c>
      <c r="AK459" t="inlineStr">
        <is>
          <t>Supply-sensitive / selective</t>
        </is>
      </c>
      <c r="AL459" t="inlineStr">
        <is>
          <t>Higher delivery risk in more price-sensitive apartment clusters; building selection and exit liquidity matter.</t>
        </is>
      </c>
      <c r="AM459" s="9" t="n">
        <v>7</v>
      </c>
      <c r="AN459" s="9" t="n">
        <v>7.75</v>
      </c>
      <c r="AO459" s="10" t="n">
        <v>0.55</v>
      </c>
      <c r="AP459" s="13" t="n">
        <v>0</v>
      </c>
      <c r="AQ459" s="13" t="n">
        <v>0</v>
      </c>
      <c r="AR459" s="13" t="n">
        <v>-0.01</v>
      </c>
      <c r="AS459" s="13" t="n">
        <v>-0.01</v>
      </c>
      <c r="AT459" s="13" t="n">
        <v>0</v>
      </c>
      <c r="AU459" s="13" t="n">
        <v>0.0025</v>
      </c>
      <c r="AV459" s="13" t="n">
        <v>-0.005</v>
      </c>
      <c r="AW459" s="13" t="n">
        <v>0.0285</v>
      </c>
      <c r="AX459" s="13" t="n">
        <v>-0.0125</v>
      </c>
      <c r="AY459" s="12" t="n">
        <v>997645</v>
      </c>
      <c r="AZ459" s="12" t="n">
        <v>1028500</v>
      </c>
      <c r="BA459" s="12" t="n">
        <v>1059355</v>
      </c>
      <c r="BB459" s="12" t="n">
        <v>984789</v>
      </c>
      <c r="BC459" s="12" t="n">
        <v>1015644</v>
      </c>
      <c r="BD459" s="12" t="n">
        <v>1046499</v>
      </c>
      <c r="BE459" s="12" t="n">
        <v>1002948</v>
      </c>
      <c r="BF459" t="inlineStr">
        <is>
          <t>Frozen values from same rules-based model as formula sheet.</t>
        </is>
      </c>
      <c r="BG459" t="inlineStr">
        <is>
          <t>2026-03-17</t>
        </is>
      </c>
      <c r="BH459" t="inlineStr">
        <is>
          <t>DLD / Digital Dubai / CBUAE / Savills / Knight Frank-Moody’s / Reuters</t>
        </is>
      </c>
    </row>
    <row r="460">
      <c r="A460" t="n">
        <v>459</v>
      </c>
      <c r="B460" t="inlineStr">
        <is>
          <t>Karl Lagerfeld Villas</t>
        </is>
      </c>
      <c r="C460" t="inlineStr">
        <is>
          <t>Taraf Properties</t>
        </is>
      </c>
      <c r="D460" t="inlineStr">
        <is>
          <t>MBR City (Meydan)</t>
        </is>
      </c>
      <c r="E460" t="inlineStr">
        <is>
          <t>Villas</t>
        </is>
      </c>
      <c r="F460" t="inlineStr">
        <is>
          <t>Branded / Fashion</t>
        </is>
      </c>
      <c r="G460" t="inlineStr">
        <is>
          <t>15M+</t>
        </is>
      </c>
      <c r="H460" t="inlineStr">
        <is>
          <t>3000</t>
        </is>
      </c>
      <c r="I460" t="inlineStr">
        <is>
          <t>25</t>
        </is>
      </c>
      <c r="J460" t="inlineStr">
        <is>
          <t>60/40</t>
        </is>
      </c>
      <c r="K460" t="inlineStr">
        <is>
          <t>2024</t>
        </is>
      </c>
      <c r="L460" t="inlineStr">
        <is>
          <t>4.5-5.0</t>
        </is>
      </c>
      <c r="M460" t="inlineStr">
        <is>
          <t>8-12</t>
        </is>
      </c>
      <c r="N460" t="inlineStr">
        <is>
          <t>12.5-17.0</t>
        </is>
      </c>
      <c r="O460" t="inlineStr">
        <is>
          <t>Hartland Intl</t>
        </is>
      </c>
      <c r="P460" t="inlineStr">
        <is>
          <t>American Hospital</t>
        </is>
      </c>
      <c r="Q460" t="inlineStr">
        <is>
          <t>Dubai Mall</t>
        </is>
      </c>
      <c r="R460" t="inlineStr">
        <is>
          <t>Ras Al Khor / E44</t>
        </is>
      </c>
      <c r="S460" t="inlineStr">
        <is>
          <t>12</t>
        </is>
      </c>
      <c r="T460" t="inlineStr">
        <is>
          <t>25</t>
        </is>
      </c>
      <c r="U460" t="inlineStr">
        <is>
          <t>15</t>
        </is>
      </c>
      <c r="V460" t="inlineStr">
        <is>
          <t>40</t>
        </is>
      </c>
      <c r="W460" t="n">
        <v>2</v>
      </c>
      <c r="X460" s="12" t="n">
        <v>15000000</v>
      </c>
      <c r="Y460" s="12" t="n">
        <v>15000000</v>
      </c>
      <c r="Z460" s="9" t="n">
        <v>4.5</v>
      </c>
      <c r="AA460" s="9" t="n">
        <v>5</v>
      </c>
      <c r="AB460" s="9" t="n">
        <v>8</v>
      </c>
      <c r="AC460" s="9" t="n">
        <v>12</v>
      </c>
      <c r="AD460" s="9" t="n">
        <v>12.5</v>
      </c>
      <c r="AE460" s="9" t="n">
        <v>17</v>
      </c>
      <c r="AF460" t="n">
        <v>2024</v>
      </c>
      <c r="AH460" t="inlineStr">
        <is>
          <t>Villa</t>
        </is>
      </c>
      <c r="AI460" t="inlineStr">
        <is>
          <t>MainstreamSelective</t>
        </is>
      </c>
      <c r="AJ460" t="inlineStr">
        <is>
          <t>Established</t>
        </is>
      </c>
      <c r="AK460" t="inlineStr">
        <is>
          <t>Family-villa resilient</t>
        </is>
      </c>
      <c r="AL460" t="inlineStr">
        <is>
          <t>Villa/townhouse demand remains relatively firmer, though growth should be slower than the post-2020 surge.</t>
        </is>
      </c>
      <c r="AM460" s="9" t="n">
        <v>10</v>
      </c>
      <c r="AN460" s="9" t="n">
        <v>4.75</v>
      </c>
      <c r="AO460" s="10" t="n">
        <v>0.55</v>
      </c>
      <c r="AP460" s="13" t="n">
        <v>0</v>
      </c>
      <c r="AQ460" s="13" t="n">
        <v>0.015</v>
      </c>
      <c r="AR460" s="13" t="n">
        <v>0</v>
      </c>
      <c r="AS460" s="13" t="n">
        <v>0.025</v>
      </c>
      <c r="AT460" s="13" t="n">
        <v>0</v>
      </c>
      <c r="AU460" s="13" t="n">
        <v>0</v>
      </c>
      <c r="AV460" s="13" t="n">
        <v>-0.005</v>
      </c>
      <c r="AW460" s="13" t="n">
        <v>0.07000000000000001</v>
      </c>
      <c r="AX460" s="13" t="n">
        <v>0.02</v>
      </c>
      <c r="AY460" s="12" t="n">
        <v>15568500</v>
      </c>
      <c r="AZ460" s="12" t="n">
        <v>16050000</v>
      </c>
      <c r="BA460" s="12" t="n">
        <v>16531500</v>
      </c>
      <c r="BB460" s="12" t="n">
        <v>15889500</v>
      </c>
      <c r="BC460" s="12" t="n">
        <v>16371000</v>
      </c>
      <c r="BD460" s="12" t="n">
        <v>16852500</v>
      </c>
      <c r="BE460" s="12" t="n">
        <v>16698420</v>
      </c>
      <c r="BF460" t="inlineStr">
        <is>
          <t>Frozen values from same rules-based model as formula sheet.</t>
        </is>
      </c>
      <c r="BG460" t="inlineStr">
        <is>
          <t>2026-03-17</t>
        </is>
      </c>
      <c r="BH460" t="inlineStr">
        <is>
          <t>DLD / Digital Dubai / CBUAE / Savills / Knight Frank-Moody’s / Reuters</t>
        </is>
      </c>
    </row>
    <row r="461">
      <c r="A461" t="n">
        <v>460</v>
      </c>
      <c r="B461" t="inlineStr">
        <is>
          <t>Muraba Residences</t>
        </is>
      </c>
      <c r="C461" t="inlineStr">
        <is>
          <t>Muraba</t>
        </is>
      </c>
      <c r="D461" t="inlineStr">
        <is>
          <t>Palm Jumeirah</t>
        </is>
      </c>
      <c r="E461" t="inlineStr">
        <is>
          <t>Apartments</t>
        </is>
      </c>
      <c r="F461" t="inlineStr">
        <is>
          <t>Pritzker Design</t>
        </is>
      </c>
      <c r="G461" t="inlineStr">
        <is>
          <t>Resale (5M+)</t>
        </is>
      </c>
      <c r="H461" t="inlineStr">
        <is>
          <t>3500</t>
        </is>
      </c>
      <c r="I461" t="inlineStr">
        <is>
          <t>30</t>
        </is>
      </c>
      <c r="J461" t="inlineStr">
        <is>
          <t>Completed</t>
        </is>
      </c>
      <c r="K461" t="inlineStr">
        <is>
          <t>2016</t>
        </is>
      </c>
      <c r="L461" t="inlineStr">
        <is>
          <t>4.5-5.0</t>
        </is>
      </c>
      <c r="M461" t="inlineStr">
        <is>
          <t>5-7</t>
        </is>
      </c>
      <c r="N461" t="inlineStr">
        <is>
          <t>9.5-12.0</t>
        </is>
      </c>
      <c r="O461" t="inlineStr">
        <is>
          <t>Chevalier College</t>
        </is>
      </c>
      <c r="P461" t="inlineStr">
        <is>
          <t>Emirates Hospital</t>
        </is>
      </c>
      <c r="Q461" t="inlineStr">
        <is>
          <t>Nakheel Mall</t>
        </is>
      </c>
      <c r="R461" t="inlineStr">
        <is>
          <t>Sheikh Zayed E11</t>
        </is>
      </c>
      <c r="S461" t="inlineStr">
        <is>
          <t>20</t>
        </is>
      </c>
      <c r="T461" t="inlineStr">
        <is>
          <t>10</t>
        </is>
      </c>
      <c r="U461" t="inlineStr">
        <is>
          <t>25</t>
        </is>
      </c>
      <c r="V461" t="inlineStr">
        <is>
          <t>35</t>
        </is>
      </c>
      <c r="W461" t="n">
        <v>2</v>
      </c>
      <c r="X461" s="12" t="n">
        <v>5000000</v>
      </c>
      <c r="Y461" s="12" t="n">
        <v>5000000</v>
      </c>
      <c r="Z461" s="9" t="n">
        <v>4.5</v>
      </c>
      <c r="AA461" s="9" t="n">
        <v>5</v>
      </c>
      <c r="AB461" s="9" t="n">
        <v>5</v>
      </c>
      <c r="AC461" s="9" t="n">
        <v>7</v>
      </c>
      <c r="AD461" s="9" t="n">
        <v>9.5</v>
      </c>
      <c r="AE461" s="9" t="n">
        <v>12</v>
      </c>
      <c r="AF461" t="n">
        <v>2016</v>
      </c>
      <c r="AH461" t="inlineStr">
        <is>
          <t>Apartment</t>
        </is>
      </c>
      <c r="AI461" t="inlineStr">
        <is>
          <t>Prime</t>
        </is>
      </c>
      <c r="AJ461" t="inlineStr">
        <is>
          <t>Established</t>
        </is>
      </c>
      <c r="AK461" t="inlineStr">
        <is>
          <t>Prime resilient / selective</t>
        </is>
      </c>
      <c r="AL461" t="inlineStr">
        <is>
          <t>Better support from quality, branding, and scarcer prime stock; still entry-price sensitive.</t>
        </is>
      </c>
      <c r="AM461" s="9" t="n">
        <v>6</v>
      </c>
      <c r="AN461" s="9" t="n">
        <v>4.75</v>
      </c>
      <c r="AO461" s="10" t="n">
        <v>0.55</v>
      </c>
      <c r="AP461" s="13" t="n">
        <v>0.02</v>
      </c>
      <c r="AQ461" s="13" t="n">
        <v>0</v>
      </c>
      <c r="AR461" s="13" t="n">
        <v>0</v>
      </c>
      <c r="AS461" s="13" t="n">
        <v>0.03</v>
      </c>
      <c r="AT461" s="13" t="n">
        <v>0</v>
      </c>
      <c r="AU461" s="13" t="n">
        <v>0</v>
      </c>
      <c r="AV461" s="13" t="n">
        <v>-0.005</v>
      </c>
      <c r="AW461" s="13" t="n">
        <v>0.05300000000000001</v>
      </c>
      <c r="AX461" s="13" t="n">
        <v>0.025</v>
      </c>
      <c r="AY461" s="12" t="n">
        <v>5107050</v>
      </c>
      <c r="AZ461" s="12" t="n">
        <v>5265000</v>
      </c>
      <c r="BA461" s="12" t="n">
        <v>5422950</v>
      </c>
      <c r="BB461" s="12" t="n">
        <v>5238675</v>
      </c>
      <c r="BC461" s="12" t="n">
        <v>5396625</v>
      </c>
      <c r="BD461" s="12" t="n">
        <v>5554575</v>
      </c>
      <c r="BE461" s="12" t="n">
        <v>5531541</v>
      </c>
      <c r="BF461" t="inlineStr">
        <is>
          <t>Frozen values from same rules-based model as formula sheet.</t>
        </is>
      </c>
      <c r="BG461" t="inlineStr">
        <is>
          <t>2026-03-17</t>
        </is>
      </c>
      <c r="BH461" t="inlineStr">
        <is>
          <t>DLD / Digital Dubai / CBUAE / Savills / Knight Frank-Moody’s / Reuters</t>
        </is>
      </c>
    </row>
    <row r="462">
      <c r="A462" t="n">
        <v>461</v>
      </c>
      <c r="B462" t="inlineStr">
        <is>
          <t>Muraba Veil</t>
        </is>
      </c>
      <c r="C462" t="inlineStr">
        <is>
          <t>Muraba</t>
        </is>
      </c>
      <c r="D462" t="inlineStr">
        <is>
          <t>Sheikh Zayed Road</t>
        </is>
      </c>
      <c r="E462" t="inlineStr">
        <is>
          <t>Apartments</t>
        </is>
      </c>
      <c r="F462" t="inlineStr">
        <is>
          <t>Thin Tower</t>
        </is>
      </c>
      <c r="G462" t="inlineStr">
        <is>
          <t>TBA</t>
        </is>
      </c>
      <c r="H462" t="inlineStr">
        <is>
          <t>TBA</t>
        </is>
      </c>
      <c r="I462" t="inlineStr">
        <is>
          <t>30+</t>
        </is>
      </c>
      <c r="J462" t="inlineStr">
        <is>
          <t>TBA</t>
        </is>
      </c>
      <c r="K462" t="inlineStr">
        <is>
          <t>2024</t>
        </is>
      </c>
      <c r="L462" t="inlineStr">
        <is>
          <t>5.0-5.5</t>
        </is>
      </c>
      <c r="M462" t="inlineStr">
        <is>
          <t>8-12</t>
        </is>
      </c>
      <c r="N462" t="inlineStr">
        <is>
          <t>13.0-17.5</t>
        </is>
      </c>
      <c r="O462" t="inlineStr">
        <is>
          <t>JESS Jumeirah</t>
        </is>
      </c>
      <c r="P462" t="inlineStr">
        <is>
          <t>Medcare Hospital</t>
        </is>
      </c>
      <c r="Q462" t="inlineStr">
        <is>
          <t>Dubai Mall</t>
        </is>
      </c>
      <c r="R462" t="inlineStr">
        <is>
          <t>Sheikh Zayed E11</t>
        </is>
      </c>
      <c r="S462" t="inlineStr">
        <is>
          <t>5</t>
        </is>
      </c>
      <c r="T462" t="inlineStr">
        <is>
          <t>15</t>
        </is>
      </c>
      <c r="U462" t="inlineStr">
        <is>
          <t>15</t>
        </is>
      </c>
      <c r="V462" t="inlineStr">
        <is>
          <t>35</t>
        </is>
      </c>
      <c r="W462" t="n">
        <v>2</v>
      </c>
      <c r="X462" s="12" t="n"/>
      <c r="Y462" s="12" t="n"/>
      <c r="Z462" s="9" t="n">
        <v>5</v>
      </c>
      <c r="AA462" s="9" t="n">
        <v>5.5</v>
      </c>
      <c r="AB462" s="9" t="n">
        <v>8</v>
      </c>
      <c r="AC462" s="9" t="n">
        <v>12</v>
      </c>
      <c r="AD462" s="9" t="n">
        <v>13</v>
      </c>
      <c r="AE462" s="9" t="n">
        <v>17.5</v>
      </c>
      <c r="AF462" t="n">
        <v>2024</v>
      </c>
      <c r="AH462" t="inlineStr">
        <is>
          <t>Apartment</t>
        </is>
      </c>
      <c r="AI462" t="inlineStr">
        <is>
          <t>MainstreamSelective</t>
        </is>
      </c>
      <c r="AJ462" t="inlineStr">
        <is>
          <t>Established</t>
        </is>
      </c>
      <c r="AK462" t="inlineStr">
        <is>
          <t>Balanced / selective</t>
        </is>
      </c>
      <c r="AL462" t="inlineStr">
        <is>
          <t>Market remains active but increasingly differentiated by developer, micro-location, livability, and pricing discipline.</t>
        </is>
      </c>
      <c r="AM462" s="9" t="n">
        <v>10</v>
      </c>
      <c r="AN462" s="9" t="n">
        <v>5.25</v>
      </c>
      <c r="AO462" s="10" t="n">
        <v>0.55</v>
      </c>
      <c r="AP462" s="13" t="n">
        <v>0</v>
      </c>
      <c r="AQ462" s="13" t="n">
        <v>0</v>
      </c>
      <c r="AR462" s="13" t="n">
        <v>0</v>
      </c>
      <c r="AS462" s="13" t="n">
        <v>0.01</v>
      </c>
      <c r="AT462" s="13" t="n">
        <v>0</v>
      </c>
      <c r="AU462" s="13" t="n">
        <v>0</v>
      </c>
      <c r="AV462" s="13" t="n">
        <v>-0.005</v>
      </c>
      <c r="AW462" s="13" t="n">
        <v>0.05500000000000001</v>
      </c>
      <c r="AX462" s="13" t="n">
        <v>0.005</v>
      </c>
      <c r="AY462" s="12" t="n"/>
      <c r="AZ462" s="12" t="n"/>
      <c r="BA462" s="12" t="n"/>
      <c r="BB462" s="12" t="n"/>
      <c r="BC462" s="12" t="n"/>
      <c r="BD462" s="12" t="n"/>
      <c r="BE462" s="12" t="n"/>
      <c r="BF462" t="inlineStr">
        <is>
          <t>Frozen values from same rules-based model as formula sheet.</t>
        </is>
      </c>
      <c r="BG462" t="inlineStr">
        <is>
          <t>2026-03-17</t>
        </is>
      </c>
      <c r="BH462" t="inlineStr">
        <is>
          <t>DLD / Digital Dubai / CBUAE / Savills / Knight Frank-Moody’s / Reuters</t>
        </is>
      </c>
    </row>
    <row r="463">
      <c r="A463" t="n">
        <v>462</v>
      </c>
      <c r="B463" t="inlineStr">
        <is>
          <t>Muraba Dia (Planned)</t>
        </is>
      </c>
      <c r="C463" t="inlineStr">
        <is>
          <t>Muraba</t>
        </is>
      </c>
      <c r="D463" t="inlineStr">
        <is>
          <t>TBA</t>
        </is>
      </c>
      <c r="E463" t="inlineStr">
        <is>
          <t>Apartments</t>
        </is>
      </c>
      <c r="F463" t="inlineStr">
        <is>
          <t>Design</t>
        </is>
      </c>
      <c r="G463" t="inlineStr">
        <is>
          <t>TBA</t>
        </is>
      </c>
      <c r="H463" t="inlineStr">
        <is>
          <t>TBA</t>
        </is>
      </c>
      <c r="I463" t="inlineStr">
        <is>
          <t>TBA</t>
        </is>
      </c>
      <c r="J463" t="inlineStr">
        <is>
          <t>TBA</t>
        </is>
      </c>
      <c r="K463" t="inlineStr">
        <is>
          <t>Planned</t>
        </is>
      </c>
      <c r="L463" t="inlineStr">
        <is>
          <t>TBA</t>
        </is>
      </c>
      <c r="M463" t="inlineStr">
        <is>
          <t>TBA</t>
        </is>
      </c>
      <c r="N463" t="inlineStr">
        <is>
          <t>TBA</t>
        </is>
      </c>
      <c r="O463" t="inlineStr">
        <is>
          <t>TBA</t>
        </is>
      </c>
      <c r="P463" t="inlineStr">
        <is>
          <t>TBA</t>
        </is>
      </c>
      <c r="Q463" t="inlineStr">
        <is>
          <t>TBA</t>
        </is>
      </c>
      <c r="R463" t="inlineStr">
        <is>
          <t>TBA</t>
        </is>
      </c>
      <c r="S463" t="inlineStr">
        <is>
          <t>TBA</t>
        </is>
      </c>
      <c r="T463" t="inlineStr">
        <is>
          <t>TBA</t>
        </is>
      </c>
      <c r="U463" t="inlineStr">
        <is>
          <t>TBA</t>
        </is>
      </c>
      <c r="V463" t="inlineStr">
        <is>
          <t>TBA</t>
        </is>
      </c>
      <c r="W463" t="n">
        <v>2</v>
      </c>
      <c r="X463" s="12" t="n"/>
      <c r="Y463" s="12" t="n"/>
      <c r="Z463" s="9" t="n"/>
      <c r="AA463" s="9" t="n"/>
      <c r="AB463" s="9" t="n"/>
      <c r="AC463" s="9" t="n"/>
      <c r="AD463" s="9" t="n"/>
      <c r="AE463" s="9" t="n"/>
      <c r="AH463" t="inlineStr">
        <is>
          <t>Apartment</t>
        </is>
      </c>
      <c r="AI463" t="inlineStr">
        <is>
          <t>MainstreamSelective</t>
        </is>
      </c>
      <c r="AJ463" t="inlineStr">
        <is>
          <t>Established</t>
        </is>
      </c>
      <c r="AK463" t="inlineStr">
        <is>
          <t>Balanced / selective</t>
        </is>
      </c>
      <c r="AL463" t="inlineStr">
        <is>
          <t>Market remains active but increasingly differentiated by developer, micro-location, livability, and pricing discipline.</t>
        </is>
      </c>
      <c r="AM463" s="9" t="n">
        <v>0</v>
      </c>
      <c r="AN463" s="9" t="n">
        <v>0</v>
      </c>
      <c r="AO463" s="10" t="n">
        <v>0.25</v>
      </c>
      <c r="AP463" s="13" t="n">
        <v>0</v>
      </c>
      <c r="AQ463" s="13" t="n">
        <v>0</v>
      </c>
      <c r="AR463" s="13" t="n">
        <v>0</v>
      </c>
      <c r="AS463" s="13" t="n">
        <v>0.01</v>
      </c>
      <c r="AT463" s="13" t="n">
        <v>0</v>
      </c>
      <c r="AU463" s="13" t="n">
        <v>0</v>
      </c>
      <c r="AV463" s="13" t="n">
        <v>-0.005</v>
      </c>
      <c r="AW463" s="13" t="n">
        <v>0</v>
      </c>
      <c r="AX463" s="13" t="n">
        <v>0.005</v>
      </c>
      <c r="AY463" s="12" t="n"/>
      <c r="AZ463" s="12" t="n"/>
      <c r="BA463" s="12" t="n"/>
      <c r="BB463" s="12" t="n"/>
      <c r="BC463" s="12" t="n"/>
      <c r="BD463" s="12" t="n"/>
      <c r="BE463" s="12" t="n"/>
      <c r="BF463" t="inlineStr">
        <is>
          <t>Frozen values from same rules-based model as formula sheet.</t>
        </is>
      </c>
      <c r="BG463" t="inlineStr">
        <is>
          <t>2026-03-17</t>
        </is>
      </c>
      <c r="BH463" t="inlineStr">
        <is>
          <t>DLD / Digital Dubai / CBUAE / Savills / Knight Frank-Moody’s / Reuters</t>
        </is>
      </c>
    </row>
    <row r="464">
      <c r="A464" t="n">
        <v>463</v>
      </c>
      <c r="B464" t="inlineStr">
        <is>
          <t>Eywa</t>
        </is>
      </c>
      <c r="C464" t="inlineStr">
        <is>
          <t>R.Evolution</t>
        </is>
      </c>
      <c r="D464" t="inlineStr">
        <is>
          <t>Business Bay</t>
        </is>
      </c>
      <c r="E464" t="inlineStr">
        <is>
          <t>Apartments</t>
        </is>
      </c>
      <c r="F464" t="inlineStr">
        <is>
          <t>Wellness / Tree of Life</t>
        </is>
      </c>
      <c r="G464" t="inlineStr">
        <is>
          <t>8.0M</t>
        </is>
      </c>
      <c r="H464" t="inlineStr">
        <is>
          <t>4000</t>
        </is>
      </c>
      <c r="I464" t="inlineStr">
        <is>
          <t>35</t>
        </is>
      </c>
      <c r="J464" t="inlineStr">
        <is>
          <t>60/40</t>
        </is>
      </c>
      <c r="K464" t="inlineStr">
        <is>
          <t>2023</t>
        </is>
      </c>
      <c r="L464" t="inlineStr">
        <is>
          <t>5.0-5.5</t>
        </is>
      </c>
      <c r="M464" t="inlineStr">
        <is>
          <t>8-12</t>
        </is>
      </c>
      <c r="N464" t="inlineStr">
        <is>
          <t>13.0-17.5</t>
        </is>
      </c>
      <c r="O464" t="inlineStr">
        <is>
          <t>Hartland Intl</t>
        </is>
      </c>
      <c r="P464" t="inlineStr">
        <is>
          <t>Emirates Hospital BB</t>
        </is>
      </c>
      <c r="Q464" t="inlineStr">
        <is>
          <t>Dubai Mall</t>
        </is>
      </c>
      <c r="R464" t="inlineStr">
        <is>
          <t>Al Khail E44</t>
        </is>
      </c>
      <c r="S464" t="inlineStr">
        <is>
          <t>5</t>
        </is>
      </c>
      <c r="T464" t="inlineStr">
        <is>
          <t>20</t>
        </is>
      </c>
      <c r="U464" t="inlineStr">
        <is>
          <t>15</t>
        </is>
      </c>
      <c r="V464" t="inlineStr">
        <is>
          <t>35</t>
        </is>
      </c>
      <c r="W464" t="n">
        <v>2</v>
      </c>
      <c r="X464" s="12" t="n">
        <v>8000000</v>
      </c>
      <c r="Y464" s="12" t="n">
        <v>8000000</v>
      </c>
      <c r="Z464" s="9" t="n">
        <v>5</v>
      </c>
      <c r="AA464" s="9" t="n">
        <v>5.5</v>
      </c>
      <c r="AB464" s="9" t="n">
        <v>8</v>
      </c>
      <c r="AC464" s="9" t="n">
        <v>12</v>
      </c>
      <c r="AD464" s="9" t="n">
        <v>13</v>
      </c>
      <c r="AE464" s="9" t="n">
        <v>17.5</v>
      </c>
      <c r="AF464" t="n">
        <v>2023</v>
      </c>
      <c r="AH464" t="inlineStr">
        <is>
          <t>Apartment</t>
        </is>
      </c>
      <c r="AI464" t="inlineStr">
        <is>
          <t>Prime</t>
        </is>
      </c>
      <c r="AJ464" t="inlineStr">
        <is>
          <t>Established</t>
        </is>
      </c>
      <c r="AK464" t="inlineStr">
        <is>
          <t>Prime resilient / selective</t>
        </is>
      </c>
      <c r="AL464" t="inlineStr">
        <is>
          <t>Better support from quality, branding, and scarcer prime stock; still entry-price sensitive.</t>
        </is>
      </c>
      <c r="AM464" s="9" t="n">
        <v>10</v>
      </c>
      <c r="AN464" s="9" t="n">
        <v>5.25</v>
      </c>
      <c r="AO464" s="10" t="n">
        <v>0.55</v>
      </c>
      <c r="AP464" s="13" t="n">
        <v>0.02</v>
      </c>
      <c r="AQ464" s="13" t="n">
        <v>0</v>
      </c>
      <c r="AR464" s="13" t="n">
        <v>0</v>
      </c>
      <c r="AS464" s="13" t="n">
        <v>0.03</v>
      </c>
      <c r="AT464" s="13" t="n">
        <v>0</v>
      </c>
      <c r="AU464" s="13" t="n">
        <v>0</v>
      </c>
      <c r="AV464" s="13" t="n">
        <v>-0.005</v>
      </c>
      <c r="AW464" s="13" t="n">
        <v>0.07500000000000001</v>
      </c>
      <c r="AX464" s="13" t="n">
        <v>0.025</v>
      </c>
      <c r="AY464" s="12" t="n">
        <v>8342000</v>
      </c>
      <c r="AZ464" s="12" t="n">
        <v>8600000</v>
      </c>
      <c r="BA464" s="12" t="n">
        <v>8858000</v>
      </c>
      <c r="BB464" s="12" t="n">
        <v>8557000</v>
      </c>
      <c r="BC464" s="12" t="n">
        <v>8815000</v>
      </c>
      <c r="BD464" s="12" t="n">
        <v>9073000</v>
      </c>
      <c r="BE464" s="12" t="n">
        <v>9035375</v>
      </c>
      <c r="BF464" t="inlineStr">
        <is>
          <t>Frozen values from same rules-based model as formula sheet.</t>
        </is>
      </c>
      <c r="BG464" t="inlineStr">
        <is>
          <t>2026-03-17</t>
        </is>
      </c>
      <c r="BH464" t="inlineStr">
        <is>
          <t>DLD / Digital Dubai / CBUAE / Savills / Knight Frank-Moody’s / Reuters</t>
        </is>
      </c>
    </row>
    <row r="465">
      <c r="A465" t="n">
        <v>464</v>
      </c>
      <c r="B465" t="inlineStr">
        <is>
          <t>Eywa 2 (Planned)</t>
        </is>
      </c>
      <c r="C465" t="inlineStr">
        <is>
          <t>R.Evolution</t>
        </is>
      </c>
      <c r="D465" t="inlineStr">
        <is>
          <t>TBA</t>
        </is>
      </c>
      <c r="E465" t="inlineStr">
        <is>
          <t>Apartments</t>
        </is>
      </c>
      <c r="F465" t="inlineStr">
        <is>
          <t>Wellness</t>
        </is>
      </c>
      <c r="G465" t="inlineStr">
        <is>
          <t>TBA</t>
        </is>
      </c>
      <c r="H465" t="inlineStr">
        <is>
          <t>TBA</t>
        </is>
      </c>
      <c r="I465" t="inlineStr">
        <is>
          <t>TBA</t>
        </is>
      </c>
      <c r="J465" t="inlineStr">
        <is>
          <t>TBA</t>
        </is>
      </c>
      <c r="K465" t="inlineStr">
        <is>
          <t>Planned</t>
        </is>
      </c>
      <c r="L465" t="inlineStr">
        <is>
          <t>TBA</t>
        </is>
      </c>
      <c r="M465" t="inlineStr">
        <is>
          <t>TBA</t>
        </is>
      </c>
      <c r="N465" t="inlineStr">
        <is>
          <t>TBA</t>
        </is>
      </c>
      <c r="O465" t="inlineStr">
        <is>
          <t>Hartland Intl</t>
        </is>
      </c>
      <c r="P465" t="inlineStr">
        <is>
          <t>Emirates Hospital BB</t>
        </is>
      </c>
      <c r="Q465" t="inlineStr">
        <is>
          <t>Dubai Mall</t>
        </is>
      </c>
      <c r="R465" t="inlineStr">
        <is>
          <t>Al Khail E44</t>
        </is>
      </c>
      <c r="S465" t="inlineStr">
        <is>
          <t>5</t>
        </is>
      </c>
      <c r="T465" t="inlineStr">
        <is>
          <t>20</t>
        </is>
      </c>
      <c r="U465" t="inlineStr">
        <is>
          <t>15</t>
        </is>
      </c>
      <c r="V465" t="inlineStr">
        <is>
          <t>35</t>
        </is>
      </c>
      <c r="W465" t="n">
        <v>2</v>
      </c>
      <c r="X465" s="12" t="n"/>
      <c r="Y465" s="12" t="n"/>
      <c r="Z465" s="9" t="n"/>
      <c r="AA465" s="9" t="n"/>
      <c r="AB465" s="9" t="n"/>
      <c r="AC465" s="9" t="n"/>
      <c r="AD465" s="9" t="n"/>
      <c r="AE465" s="9" t="n"/>
      <c r="AH465" t="inlineStr">
        <is>
          <t>Apartment</t>
        </is>
      </c>
      <c r="AI465" t="inlineStr">
        <is>
          <t>MainstreamSelective</t>
        </is>
      </c>
      <c r="AJ465" t="inlineStr">
        <is>
          <t>Established</t>
        </is>
      </c>
      <c r="AK465" t="inlineStr">
        <is>
          <t>Balanced / selective</t>
        </is>
      </c>
      <c r="AL465" t="inlineStr">
        <is>
          <t>Market remains active but increasingly differentiated by developer, micro-location, livability, and pricing discipline.</t>
        </is>
      </c>
      <c r="AM465" s="9" t="n">
        <v>0</v>
      </c>
      <c r="AN465" s="9" t="n">
        <v>0</v>
      </c>
      <c r="AO465" s="10" t="n">
        <v>0.25</v>
      </c>
      <c r="AP465" s="13" t="n">
        <v>0</v>
      </c>
      <c r="AQ465" s="13" t="n">
        <v>0</v>
      </c>
      <c r="AR465" s="13" t="n">
        <v>0</v>
      </c>
      <c r="AS465" s="13" t="n">
        <v>0.01</v>
      </c>
      <c r="AT465" s="13" t="n">
        <v>0</v>
      </c>
      <c r="AU465" s="13" t="n">
        <v>0</v>
      </c>
      <c r="AV465" s="13" t="n">
        <v>-0.005</v>
      </c>
      <c r="AW465" s="13" t="n">
        <v>0</v>
      </c>
      <c r="AX465" s="13" t="n">
        <v>0.005</v>
      </c>
      <c r="AY465" s="12" t="n"/>
      <c r="AZ465" s="12" t="n"/>
      <c r="BA465" s="12" t="n"/>
      <c r="BB465" s="12" t="n"/>
      <c r="BC465" s="12" t="n"/>
      <c r="BD465" s="12" t="n"/>
      <c r="BE465" s="12" t="n"/>
      <c r="BF465" t="inlineStr">
        <is>
          <t>Frozen values from same rules-based model as formula sheet.</t>
        </is>
      </c>
      <c r="BG465" t="inlineStr">
        <is>
          <t>2026-03-17</t>
        </is>
      </c>
      <c r="BH465" t="inlineStr">
        <is>
          <t>DLD / Digital Dubai / CBUAE / Savills / Knight Frank-Moody’s / Reuters</t>
        </is>
      </c>
    </row>
    <row r="466">
      <c r="A466" t="n">
        <v>465</v>
      </c>
      <c r="B466" t="inlineStr">
        <is>
          <t>The Fields</t>
        </is>
      </c>
      <c r="C466" t="inlineStr">
        <is>
          <t>G&amp;Co</t>
        </is>
      </c>
      <c r="D466" t="inlineStr">
        <is>
          <t>MBR City (District 11)</t>
        </is>
      </c>
      <c r="E466" t="inlineStr">
        <is>
          <t>Townhouses</t>
        </is>
      </c>
      <c r="F466" t="inlineStr">
        <is>
          <t>Gated / Family</t>
        </is>
      </c>
      <c r="G466" t="inlineStr">
        <is>
          <t>Resale (3.5M+)</t>
        </is>
      </c>
      <c r="H466" t="inlineStr">
        <is>
          <t>1200</t>
        </is>
      </c>
      <c r="I466" t="inlineStr">
        <is>
          <t>12</t>
        </is>
      </c>
      <c r="J466" t="inlineStr">
        <is>
          <t>Completed</t>
        </is>
      </c>
      <c r="K466" t="inlineStr">
        <is>
          <t>2019-2023</t>
        </is>
      </c>
      <c r="L466" t="inlineStr">
        <is>
          <t>6.0-6.5</t>
        </is>
      </c>
      <c r="M466" t="inlineStr">
        <is>
          <t>5-7</t>
        </is>
      </c>
      <c r="N466" t="inlineStr">
        <is>
          <t>11.0-13.5</t>
        </is>
      </c>
      <c r="O466" t="inlineStr">
        <is>
          <t>Kent College</t>
        </is>
      </c>
      <c r="P466" t="inlineStr">
        <is>
          <t>Fakeeh University Hosp</t>
        </is>
      </c>
      <c r="Q466" t="inlineStr">
        <is>
          <t>Dubai Outlet Mall</t>
        </is>
      </c>
      <c r="R466" t="inlineStr">
        <is>
          <t>Al Ain Rd E66</t>
        </is>
      </c>
      <c r="S466" t="inlineStr">
        <is>
          <t>15</t>
        </is>
      </c>
      <c r="T466" t="inlineStr">
        <is>
          <t>20</t>
        </is>
      </c>
      <c r="U466" t="inlineStr">
        <is>
          <t>20</t>
        </is>
      </c>
      <c r="V466" t="inlineStr">
        <is>
          <t>30</t>
        </is>
      </c>
      <c r="W466" t="n">
        <v>2</v>
      </c>
      <c r="X466" s="12" t="n">
        <v>3500000</v>
      </c>
      <c r="Y466" s="12" t="n">
        <v>3500000</v>
      </c>
      <c r="Z466" s="9" t="n">
        <v>6</v>
      </c>
      <c r="AA466" s="9" t="n">
        <v>6.5</v>
      </c>
      <c r="AB466" s="9" t="n">
        <v>5</v>
      </c>
      <c r="AC466" s="9" t="n">
        <v>7</v>
      </c>
      <c r="AD466" s="9" t="n">
        <v>11</v>
      </c>
      <c r="AE466" s="9" t="n">
        <v>13.5</v>
      </c>
      <c r="AF466" t="n">
        <v>2019</v>
      </c>
      <c r="AH466" t="inlineStr">
        <is>
          <t>Townhouse</t>
        </is>
      </c>
      <c r="AI466" t="inlineStr">
        <is>
          <t>MainstreamSelective</t>
        </is>
      </c>
      <c r="AJ466" t="inlineStr">
        <is>
          <t>Established</t>
        </is>
      </c>
      <c r="AK466" t="inlineStr">
        <is>
          <t>Family-villa resilient</t>
        </is>
      </c>
      <c r="AL466" t="inlineStr">
        <is>
          <t>Villa/townhouse demand remains relatively firmer, though growth should be slower than the post-2020 surge.</t>
        </is>
      </c>
      <c r="AM466" s="9" t="n">
        <v>6</v>
      </c>
      <c r="AN466" s="9" t="n">
        <v>6.25</v>
      </c>
      <c r="AO466" s="10" t="n">
        <v>0.55</v>
      </c>
      <c r="AP466" s="13" t="n">
        <v>0</v>
      </c>
      <c r="AQ466" s="13" t="n">
        <v>0.015</v>
      </c>
      <c r="AR466" s="13" t="n">
        <v>0</v>
      </c>
      <c r="AS466" s="13" t="n">
        <v>0.025</v>
      </c>
      <c r="AT466" s="13" t="n">
        <v>0</v>
      </c>
      <c r="AU466" s="13" t="n">
        <v>0.0025</v>
      </c>
      <c r="AV466" s="13" t="n">
        <v>-0.005</v>
      </c>
      <c r="AW466" s="13" t="n">
        <v>0.048</v>
      </c>
      <c r="AX466" s="13" t="n">
        <v>0.0225</v>
      </c>
      <c r="AY466" s="12" t="n">
        <v>3557960</v>
      </c>
      <c r="AZ466" s="12" t="n">
        <v>3668000</v>
      </c>
      <c r="BA466" s="12" t="n">
        <v>3778040</v>
      </c>
      <c r="BB466" s="12" t="n">
        <v>3640490</v>
      </c>
      <c r="BC466" s="12" t="n">
        <v>3750530</v>
      </c>
      <c r="BD466" s="12" t="n">
        <v>3860570</v>
      </c>
      <c r="BE466" s="12" t="n">
        <v>3834917</v>
      </c>
      <c r="BF466" t="inlineStr">
        <is>
          <t>Frozen values from same rules-based model as formula sheet.</t>
        </is>
      </c>
      <c r="BG466" t="inlineStr">
        <is>
          <t>2026-03-17</t>
        </is>
      </c>
      <c r="BH466" t="inlineStr">
        <is>
          <t>DLD / Digital Dubai / CBUAE / Savills / Knight Frank-Moody’s / Reuters</t>
        </is>
      </c>
    </row>
    <row r="467">
      <c r="A467" t="n">
        <v>466</v>
      </c>
      <c r="B467" t="inlineStr">
        <is>
          <t>Elie Saab Townhouses</t>
        </is>
      </c>
      <c r="C467" t="inlineStr">
        <is>
          <t>G&amp;Co</t>
        </is>
      </c>
      <c r="D467" t="inlineStr">
        <is>
          <t>The Fields (MBR City)</t>
        </is>
      </c>
      <c r="E467" t="inlineStr">
        <is>
          <t>Branded TH</t>
        </is>
      </c>
      <c r="F467" t="inlineStr">
        <is>
          <t>Fashion / Design</t>
        </is>
      </c>
      <c r="G467" t="inlineStr">
        <is>
          <t>4.5M</t>
        </is>
      </c>
      <c r="H467" t="inlineStr">
        <is>
          <t>1400</t>
        </is>
      </c>
      <c r="I467" t="inlineStr">
        <is>
          <t>15</t>
        </is>
      </c>
      <c r="J467" t="inlineStr">
        <is>
          <t>Completed</t>
        </is>
      </c>
      <c r="K467" t="inlineStr">
        <is>
          <t>2022</t>
        </is>
      </c>
      <c r="L467" t="inlineStr">
        <is>
          <t>6.0-6.5</t>
        </is>
      </c>
      <c r="M467" t="inlineStr">
        <is>
          <t>5-7</t>
        </is>
      </c>
      <c r="N467" t="inlineStr">
        <is>
          <t>11.0-13.5</t>
        </is>
      </c>
      <c r="O467" t="inlineStr">
        <is>
          <t>Kent College</t>
        </is>
      </c>
      <c r="P467" t="inlineStr">
        <is>
          <t>Fakeeh University Hosp</t>
        </is>
      </c>
      <c r="Q467" t="inlineStr">
        <is>
          <t>Dubai Outlet Mall</t>
        </is>
      </c>
      <c r="R467" t="inlineStr">
        <is>
          <t>Al Ain Rd E66</t>
        </is>
      </c>
      <c r="S467" t="inlineStr">
        <is>
          <t>15</t>
        </is>
      </c>
      <c r="T467" t="inlineStr">
        <is>
          <t>20</t>
        </is>
      </c>
      <c r="U467" t="inlineStr">
        <is>
          <t>20</t>
        </is>
      </c>
      <c r="V467" t="inlineStr">
        <is>
          <t>30</t>
        </is>
      </c>
      <c r="W467" t="n">
        <v>2</v>
      </c>
      <c r="X467" s="12" t="n">
        <v>4500000</v>
      </c>
      <c r="Y467" s="12" t="n">
        <v>4500000</v>
      </c>
      <c r="Z467" s="9" t="n">
        <v>6</v>
      </c>
      <c r="AA467" s="9" t="n">
        <v>6.5</v>
      </c>
      <c r="AB467" s="9" t="n">
        <v>5</v>
      </c>
      <c r="AC467" s="9" t="n">
        <v>7</v>
      </c>
      <c r="AD467" s="9" t="n">
        <v>11</v>
      </c>
      <c r="AE467" s="9" t="n">
        <v>13.5</v>
      </c>
      <c r="AF467" t="n">
        <v>2022</v>
      </c>
      <c r="AH467" t="inlineStr">
        <is>
          <t>Mixed/Other</t>
        </is>
      </c>
      <c r="AI467" t="inlineStr">
        <is>
          <t>MainstreamSelective</t>
        </is>
      </c>
      <c r="AJ467" t="inlineStr">
        <is>
          <t>Established</t>
        </is>
      </c>
      <c r="AK467" t="inlineStr">
        <is>
          <t>Balanced / selective</t>
        </is>
      </c>
      <c r="AL467" t="inlineStr">
        <is>
          <t>Market remains active but increasingly differentiated by developer, micro-location, livability, and pricing discipline.</t>
        </is>
      </c>
      <c r="AM467" s="9" t="n">
        <v>6</v>
      </c>
      <c r="AN467" s="9" t="n">
        <v>6.25</v>
      </c>
      <c r="AO467" s="10" t="n">
        <v>0.55</v>
      </c>
      <c r="AP467" s="13" t="n">
        <v>0</v>
      </c>
      <c r="AQ467" s="13" t="n">
        <v>0</v>
      </c>
      <c r="AR467" s="13" t="n">
        <v>0</v>
      </c>
      <c r="AS467" s="13" t="n">
        <v>0.01</v>
      </c>
      <c r="AT467" s="13" t="n">
        <v>0</v>
      </c>
      <c r="AU467" s="13" t="n">
        <v>0.0025</v>
      </c>
      <c r="AV467" s="13" t="n">
        <v>-0.005</v>
      </c>
      <c r="AW467" s="13" t="n">
        <v>0.033</v>
      </c>
      <c r="AX467" s="13" t="n">
        <v>0.007500000000000001</v>
      </c>
      <c r="AY467" s="12" t="n">
        <v>4509045</v>
      </c>
      <c r="AZ467" s="12" t="n">
        <v>4648500</v>
      </c>
      <c r="BA467" s="12" t="n">
        <v>4787955</v>
      </c>
      <c r="BB467" s="12" t="n">
        <v>4543909</v>
      </c>
      <c r="BC467" s="12" t="n">
        <v>4683364</v>
      </c>
      <c r="BD467" s="12" t="n">
        <v>4822819</v>
      </c>
      <c r="BE467" s="12" t="n">
        <v>4718489</v>
      </c>
      <c r="BF467" t="inlineStr">
        <is>
          <t>Frozen values from same rules-based model as formula sheet.</t>
        </is>
      </c>
      <c r="BG467" t="inlineStr">
        <is>
          <t>2026-03-17</t>
        </is>
      </c>
      <c r="BH467" t="inlineStr">
        <is>
          <t>DLD / Digital Dubai / CBUAE / Savills / Knight Frank-Moody’s / Reuters</t>
        </is>
      </c>
    </row>
    <row r="468">
      <c r="A468" t="n">
        <v>467</v>
      </c>
      <c r="B468" t="inlineStr">
        <is>
          <t>Grand Views</t>
        </is>
      </c>
      <c r="C468" t="inlineStr">
        <is>
          <t>G&amp;Co</t>
        </is>
      </c>
      <c r="D468" t="inlineStr">
        <is>
          <t>MBR City (Millennium)</t>
        </is>
      </c>
      <c r="E468" t="inlineStr">
        <is>
          <t>Villas &amp; TH</t>
        </is>
      </c>
      <c r="F468" t="inlineStr">
        <is>
          <t>Gated / Luxury</t>
        </is>
      </c>
      <c r="G468" t="inlineStr">
        <is>
          <t>Resale (6M+)</t>
        </is>
      </c>
      <c r="H468" t="inlineStr">
        <is>
          <t>1300</t>
        </is>
      </c>
      <c r="I468" t="inlineStr">
        <is>
          <t>12</t>
        </is>
      </c>
      <c r="J468" t="inlineStr">
        <is>
          <t>Completed</t>
        </is>
      </c>
      <c r="K468" t="inlineStr">
        <is>
          <t>2018</t>
        </is>
      </c>
      <c r="L468" t="inlineStr">
        <is>
          <t>5.5-6.0</t>
        </is>
      </c>
      <c r="M468" t="inlineStr">
        <is>
          <t>5-7</t>
        </is>
      </c>
      <c r="N468" t="inlineStr">
        <is>
          <t>10.5-13.0</t>
        </is>
      </c>
      <c r="O468" t="inlineStr">
        <is>
          <t>Repton School</t>
        </is>
      </c>
      <c r="P468" t="inlineStr">
        <is>
          <t>Nad Al Sheba Health</t>
        </is>
      </c>
      <c r="Q468" t="inlineStr">
        <is>
          <t>Meydan One (Planned)</t>
        </is>
      </c>
      <c r="R468" t="inlineStr">
        <is>
          <t>Al Ain Rd E66</t>
        </is>
      </c>
      <c r="S468" t="inlineStr">
        <is>
          <t>15</t>
        </is>
      </c>
      <c r="T468" t="inlineStr">
        <is>
          <t>20</t>
        </is>
      </c>
      <c r="U468" t="inlineStr">
        <is>
          <t>20</t>
        </is>
      </c>
      <c r="V468" t="inlineStr">
        <is>
          <t>30</t>
        </is>
      </c>
      <c r="W468" t="n">
        <v>2</v>
      </c>
      <c r="X468" s="12" t="n">
        <v>6000000</v>
      </c>
      <c r="Y468" s="12" t="n">
        <v>6000000</v>
      </c>
      <c r="Z468" s="9" t="n">
        <v>5.5</v>
      </c>
      <c r="AA468" s="9" t="n">
        <v>6</v>
      </c>
      <c r="AB468" s="9" t="n">
        <v>5</v>
      </c>
      <c r="AC468" s="9" t="n">
        <v>7</v>
      </c>
      <c r="AD468" s="9" t="n">
        <v>10.5</v>
      </c>
      <c r="AE468" s="9" t="n">
        <v>13</v>
      </c>
      <c r="AF468" t="n">
        <v>2018</v>
      </c>
      <c r="AH468" t="inlineStr">
        <is>
          <t>Villa</t>
        </is>
      </c>
      <c r="AI468" t="inlineStr">
        <is>
          <t>MainstreamSelective</t>
        </is>
      </c>
      <c r="AJ468" t="inlineStr">
        <is>
          <t>Established</t>
        </is>
      </c>
      <c r="AK468" t="inlineStr">
        <is>
          <t>Family-villa resilient</t>
        </is>
      </c>
      <c r="AL468" t="inlineStr">
        <is>
          <t>Villa/townhouse demand remains relatively firmer, though growth should be slower than the post-2020 surge.</t>
        </is>
      </c>
      <c r="AM468" s="9" t="n">
        <v>6</v>
      </c>
      <c r="AN468" s="9" t="n">
        <v>5.75</v>
      </c>
      <c r="AO468" s="10" t="n">
        <v>0.55</v>
      </c>
      <c r="AP468" s="13" t="n">
        <v>0</v>
      </c>
      <c r="AQ468" s="13" t="n">
        <v>0.015</v>
      </c>
      <c r="AR468" s="13" t="n">
        <v>0</v>
      </c>
      <c r="AS468" s="13" t="n">
        <v>0.025</v>
      </c>
      <c r="AT468" s="13" t="n">
        <v>0</v>
      </c>
      <c r="AU468" s="13" t="n">
        <v>0</v>
      </c>
      <c r="AV468" s="13" t="n">
        <v>-0.005</v>
      </c>
      <c r="AW468" s="13" t="n">
        <v>0.048</v>
      </c>
      <c r="AX468" s="13" t="n">
        <v>0.02</v>
      </c>
      <c r="AY468" s="12" t="n">
        <v>6099360</v>
      </c>
      <c r="AZ468" s="12" t="n">
        <v>6288000</v>
      </c>
      <c r="BA468" s="12" t="n">
        <v>6476640</v>
      </c>
      <c r="BB468" s="12" t="n">
        <v>6225120</v>
      </c>
      <c r="BC468" s="12" t="n">
        <v>6413760</v>
      </c>
      <c r="BD468" s="12" t="n">
        <v>6602400</v>
      </c>
      <c r="BE468" s="12" t="n">
        <v>6542035</v>
      </c>
      <c r="BF468" t="inlineStr">
        <is>
          <t>Frozen values from same rules-based model as formula sheet.</t>
        </is>
      </c>
      <c r="BG468" t="inlineStr">
        <is>
          <t>2026-03-17</t>
        </is>
      </c>
      <c r="BH468" t="inlineStr">
        <is>
          <t>DLD / Digital Dubai / CBUAE / Savills / Knight Frank-Moody’s / Reuters</t>
        </is>
      </c>
    </row>
    <row r="469">
      <c r="A469" t="n">
        <v>468</v>
      </c>
      <c r="B469" t="inlineStr">
        <is>
          <t>Millennium Estates</t>
        </is>
      </c>
      <c r="C469" t="inlineStr">
        <is>
          <t>G&amp;Co</t>
        </is>
      </c>
      <c r="D469" t="inlineStr">
        <is>
          <t>MBR City</t>
        </is>
      </c>
      <c r="E469" t="inlineStr">
        <is>
          <t>Villas</t>
        </is>
      </c>
      <c r="F469" t="inlineStr">
        <is>
          <t>Gated / Luxury</t>
        </is>
      </c>
      <c r="G469" t="inlineStr">
        <is>
          <t>Resale (8M+)</t>
        </is>
      </c>
      <c r="H469" t="inlineStr">
        <is>
          <t>1200</t>
        </is>
      </c>
      <c r="I469" t="inlineStr">
        <is>
          <t>12</t>
        </is>
      </c>
      <c r="J469" t="inlineStr">
        <is>
          <t>Completed</t>
        </is>
      </c>
      <c r="K469" t="inlineStr">
        <is>
          <t>2015</t>
        </is>
      </c>
      <c r="L469" t="inlineStr">
        <is>
          <t>5.5-6.0</t>
        </is>
      </c>
      <c r="M469" t="inlineStr">
        <is>
          <t>5-7</t>
        </is>
      </c>
      <c r="N469" t="inlineStr">
        <is>
          <t>10.5-13.0</t>
        </is>
      </c>
      <c r="O469" t="inlineStr">
        <is>
          <t>Repton School</t>
        </is>
      </c>
      <c r="P469" t="inlineStr">
        <is>
          <t>Nad Al Sheba Health</t>
        </is>
      </c>
      <c r="Q469" t="inlineStr">
        <is>
          <t>Meydan One (Planned)</t>
        </is>
      </c>
      <c r="R469" t="inlineStr">
        <is>
          <t>Al Ain Rd E66</t>
        </is>
      </c>
      <c r="S469" t="inlineStr">
        <is>
          <t>15</t>
        </is>
      </c>
      <c r="T469" t="inlineStr">
        <is>
          <t>20</t>
        </is>
      </c>
      <c r="U469" t="inlineStr">
        <is>
          <t>20</t>
        </is>
      </c>
      <c r="V469" t="inlineStr">
        <is>
          <t>30</t>
        </is>
      </c>
      <c r="W469" t="n">
        <v>2</v>
      </c>
      <c r="X469" s="12" t="n">
        <v>8000000</v>
      </c>
      <c r="Y469" s="12" t="n">
        <v>8000000</v>
      </c>
      <c r="Z469" s="9" t="n">
        <v>5.5</v>
      </c>
      <c r="AA469" s="9" t="n">
        <v>6</v>
      </c>
      <c r="AB469" s="9" t="n">
        <v>5</v>
      </c>
      <c r="AC469" s="9" t="n">
        <v>7</v>
      </c>
      <c r="AD469" s="9" t="n">
        <v>10.5</v>
      </c>
      <c r="AE469" s="9" t="n">
        <v>13</v>
      </c>
      <c r="AF469" t="n">
        <v>2015</v>
      </c>
      <c r="AH469" t="inlineStr">
        <is>
          <t>Villa</t>
        </is>
      </c>
      <c r="AI469" t="inlineStr">
        <is>
          <t>MainstreamSelective</t>
        </is>
      </c>
      <c r="AJ469" t="inlineStr">
        <is>
          <t>Established</t>
        </is>
      </c>
      <c r="AK469" t="inlineStr">
        <is>
          <t>Family-villa resilient</t>
        </is>
      </c>
      <c r="AL469" t="inlineStr">
        <is>
          <t>Villa/townhouse demand remains relatively firmer, though growth should be slower than the post-2020 surge.</t>
        </is>
      </c>
      <c r="AM469" s="9" t="n">
        <v>6</v>
      </c>
      <c r="AN469" s="9" t="n">
        <v>5.75</v>
      </c>
      <c r="AO469" s="10" t="n">
        <v>0.55</v>
      </c>
      <c r="AP469" s="13" t="n">
        <v>0</v>
      </c>
      <c r="AQ469" s="13" t="n">
        <v>0.015</v>
      </c>
      <c r="AR469" s="13" t="n">
        <v>0</v>
      </c>
      <c r="AS469" s="13" t="n">
        <v>0.025</v>
      </c>
      <c r="AT469" s="13" t="n">
        <v>0</v>
      </c>
      <c r="AU469" s="13" t="n">
        <v>0</v>
      </c>
      <c r="AV469" s="13" t="n">
        <v>-0.005</v>
      </c>
      <c r="AW469" s="13" t="n">
        <v>0.048</v>
      </c>
      <c r="AX469" s="13" t="n">
        <v>0.02</v>
      </c>
      <c r="AY469" s="12" t="n">
        <v>8132480</v>
      </c>
      <c r="AZ469" s="12" t="n">
        <v>8384000</v>
      </c>
      <c r="BA469" s="12" t="n">
        <v>8635520</v>
      </c>
      <c r="BB469" s="12" t="n">
        <v>8300160</v>
      </c>
      <c r="BC469" s="12" t="n">
        <v>8551680</v>
      </c>
      <c r="BD469" s="12" t="n">
        <v>8803200</v>
      </c>
      <c r="BE469" s="12" t="n">
        <v>8722714</v>
      </c>
      <c r="BF469" t="inlineStr">
        <is>
          <t>Frozen values from same rules-based model as formula sheet.</t>
        </is>
      </c>
      <c r="BG469" t="inlineStr">
        <is>
          <t>2026-03-17</t>
        </is>
      </c>
      <c r="BH469" t="inlineStr">
        <is>
          <t>DLD / Digital Dubai / CBUAE / Savills / Knight Frank-Moody’s / Reuters</t>
        </is>
      </c>
    </row>
    <row r="470">
      <c r="A470" t="n">
        <v>469</v>
      </c>
      <c r="B470" t="inlineStr">
        <is>
          <t>ZāZEN One</t>
        </is>
      </c>
      <c r="C470" t="inlineStr">
        <is>
          <t>ZāZEN Properties</t>
        </is>
      </c>
      <c r="D470" t="inlineStr">
        <is>
          <t>JVT</t>
        </is>
      </c>
      <c r="E470" t="inlineStr">
        <is>
          <t>Apartments</t>
        </is>
      </c>
      <c r="F470" t="inlineStr">
        <is>
          <t>Sustainable</t>
        </is>
      </c>
      <c r="G470" t="inlineStr">
        <is>
          <t>Resale (1M+)</t>
        </is>
      </c>
      <c r="H470" t="inlineStr">
        <is>
          <t>1100</t>
        </is>
      </c>
      <c r="I470" t="inlineStr">
        <is>
          <t>14</t>
        </is>
      </c>
      <c r="J470" t="inlineStr">
        <is>
          <t>Completed</t>
        </is>
      </c>
      <c r="K470" t="inlineStr">
        <is>
          <t>2021</t>
        </is>
      </c>
      <c r="L470" t="inlineStr">
        <is>
          <t>7.0-7.5</t>
        </is>
      </c>
      <c r="M470" t="inlineStr">
        <is>
          <t>5-7</t>
        </is>
      </c>
      <c r="N470" t="inlineStr">
        <is>
          <t>12.0-14.5</t>
        </is>
      </c>
      <c r="O470" t="inlineStr">
        <is>
          <t>Sunmarke School</t>
        </is>
      </c>
      <c r="P470" t="inlineStr">
        <is>
          <t>NMC Royal DIP</t>
        </is>
      </c>
      <c r="Q470" t="inlineStr">
        <is>
          <t>Circle Mall</t>
        </is>
      </c>
      <c r="R470" t="inlineStr">
        <is>
          <t>E311 / Yalayis</t>
        </is>
      </c>
      <c r="S470" t="inlineStr">
        <is>
          <t>20</t>
        </is>
      </c>
      <c r="T470" t="inlineStr">
        <is>
          <t>15</t>
        </is>
      </c>
      <c r="U470" t="inlineStr">
        <is>
          <t>30</t>
        </is>
      </c>
      <c r="V470" t="inlineStr">
        <is>
          <t>20</t>
        </is>
      </c>
      <c r="W470" t="n">
        <v>2</v>
      </c>
      <c r="X470" s="12" t="n">
        <v>1000000</v>
      </c>
      <c r="Y470" s="12" t="n">
        <v>1000000</v>
      </c>
      <c r="Z470" s="9" t="n">
        <v>7</v>
      </c>
      <c r="AA470" s="9" t="n">
        <v>7.5</v>
      </c>
      <c r="AB470" s="9" t="n">
        <v>5</v>
      </c>
      <c r="AC470" s="9" t="n">
        <v>7</v>
      </c>
      <c r="AD470" s="9" t="n">
        <v>12</v>
      </c>
      <c r="AE470" s="9" t="n">
        <v>14.5</v>
      </c>
      <c r="AF470" t="n">
        <v>2021</v>
      </c>
      <c r="AH470" t="inlineStr">
        <is>
          <t>Apartment</t>
        </is>
      </c>
      <c r="AI470" t="inlineStr">
        <is>
          <t>SupplySensitiveApartment</t>
        </is>
      </c>
      <c r="AJ470" t="inlineStr">
        <is>
          <t>Established</t>
        </is>
      </c>
      <c r="AK470" t="inlineStr">
        <is>
          <t>Supply-sensitive / selective</t>
        </is>
      </c>
      <c r="AL470" t="inlineStr">
        <is>
          <t>Higher delivery risk in more price-sensitive apartment clusters; building selection and exit liquidity matter.</t>
        </is>
      </c>
      <c r="AM470" s="9" t="n">
        <v>6</v>
      </c>
      <c r="AN470" s="9" t="n">
        <v>7.25</v>
      </c>
      <c r="AO470" s="10" t="n">
        <v>0.55</v>
      </c>
      <c r="AP470" s="13" t="n">
        <v>0</v>
      </c>
      <c r="AQ470" s="13" t="n">
        <v>0</v>
      </c>
      <c r="AR470" s="13" t="n">
        <v>-0.01</v>
      </c>
      <c r="AS470" s="13" t="n">
        <v>-0.01</v>
      </c>
      <c r="AT470" s="13" t="n">
        <v>0</v>
      </c>
      <c r="AU470" s="13" t="n">
        <v>0.0025</v>
      </c>
      <c r="AV470" s="13" t="n">
        <v>-0.005</v>
      </c>
      <c r="AW470" s="13" t="n">
        <v>0.023</v>
      </c>
      <c r="AX470" s="13" t="n">
        <v>-0.0125</v>
      </c>
      <c r="AY470" s="12" t="n">
        <v>992310</v>
      </c>
      <c r="AZ470" s="12" t="n">
        <v>1023000</v>
      </c>
      <c r="BA470" s="12" t="n">
        <v>1053690</v>
      </c>
      <c r="BB470" s="12" t="n">
        <v>979522</v>
      </c>
      <c r="BC470" s="12" t="n">
        <v>1010212</v>
      </c>
      <c r="BD470" s="12" t="n">
        <v>1040903</v>
      </c>
      <c r="BE470" s="12" t="n">
        <v>997585</v>
      </c>
      <c r="BF470" t="inlineStr">
        <is>
          <t>Frozen values from same rules-based model as formula sheet.</t>
        </is>
      </c>
      <c r="BG470" t="inlineStr">
        <is>
          <t>2026-03-17</t>
        </is>
      </c>
      <c r="BH470" t="inlineStr">
        <is>
          <t>DLD / Digital Dubai / CBUAE / Savills / Knight Frank-Moody’s / Reuters</t>
        </is>
      </c>
    </row>
    <row r="471">
      <c r="A471" t="n">
        <v>470</v>
      </c>
      <c r="B471" t="inlineStr">
        <is>
          <t>ZāZEN Gardens</t>
        </is>
      </c>
      <c r="C471" t="inlineStr">
        <is>
          <t>ZāZEN Properties</t>
        </is>
      </c>
      <c r="D471" t="inlineStr">
        <is>
          <t>Al Furjan</t>
        </is>
      </c>
      <c r="E471" t="inlineStr">
        <is>
          <t>Apartments</t>
        </is>
      </c>
      <c r="F471" t="inlineStr">
        <is>
          <t>LEED Gold</t>
        </is>
      </c>
      <c r="G471" t="inlineStr">
        <is>
          <t>1.2M</t>
        </is>
      </c>
      <c r="H471" t="inlineStr">
        <is>
          <t>1200</t>
        </is>
      </c>
      <c r="I471" t="inlineStr">
        <is>
          <t>14</t>
        </is>
      </c>
      <c r="J471" t="inlineStr">
        <is>
          <t>Completed</t>
        </is>
      </c>
      <c r="K471" t="inlineStr">
        <is>
          <t>2023</t>
        </is>
      </c>
      <c r="L471" t="inlineStr">
        <is>
          <t>7.0-7.5</t>
        </is>
      </c>
      <c r="M471" t="inlineStr">
        <is>
          <t>6-8</t>
        </is>
      </c>
      <c r="N471" t="inlineStr">
        <is>
          <t>13.0-15.5</t>
        </is>
      </c>
      <c r="O471" t="inlineStr">
        <is>
          <t>The Arbor School</t>
        </is>
      </c>
      <c r="P471" t="inlineStr">
        <is>
          <t>NMC Royal DIP</t>
        </is>
      </c>
      <c r="Q471" t="inlineStr">
        <is>
          <t>Ibn Battuta Mall</t>
        </is>
      </c>
      <c r="R471" t="inlineStr">
        <is>
          <t>Yalayis / E311</t>
        </is>
      </c>
      <c r="S471" t="inlineStr">
        <is>
          <t>25</t>
        </is>
      </c>
      <c r="T471" t="inlineStr">
        <is>
          <t>15</t>
        </is>
      </c>
      <c r="U471" t="inlineStr">
        <is>
          <t>30</t>
        </is>
      </c>
      <c r="V471" t="inlineStr">
        <is>
          <t>20</t>
        </is>
      </c>
      <c r="W471" t="n">
        <v>2</v>
      </c>
      <c r="X471" s="12" t="n">
        <v>1200000</v>
      </c>
      <c r="Y471" s="12" t="n">
        <v>1200000</v>
      </c>
      <c r="Z471" s="9" t="n">
        <v>7</v>
      </c>
      <c r="AA471" s="9" t="n">
        <v>7.5</v>
      </c>
      <c r="AB471" s="9" t="n">
        <v>6</v>
      </c>
      <c r="AC471" s="9" t="n">
        <v>8</v>
      </c>
      <c r="AD471" s="9" t="n">
        <v>13</v>
      </c>
      <c r="AE471" s="9" t="n">
        <v>15.5</v>
      </c>
      <c r="AF471" t="n">
        <v>2023</v>
      </c>
      <c r="AH471" t="inlineStr">
        <is>
          <t>Apartment</t>
        </is>
      </c>
      <c r="AI471" t="inlineStr">
        <is>
          <t>SupplySensitiveApartment</t>
        </is>
      </c>
      <c r="AJ471" t="inlineStr">
        <is>
          <t>Established</t>
        </is>
      </c>
      <c r="AK471" t="inlineStr">
        <is>
          <t>Supply-sensitive / selective</t>
        </is>
      </c>
      <c r="AL471" t="inlineStr">
        <is>
          <t>Higher delivery risk in more price-sensitive apartment clusters; building selection and exit liquidity matter.</t>
        </is>
      </c>
      <c r="AM471" s="9" t="n">
        <v>7</v>
      </c>
      <c r="AN471" s="9" t="n">
        <v>7.25</v>
      </c>
      <c r="AO471" s="10" t="n">
        <v>0.55</v>
      </c>
      <c r="AP471" s="13" t="n">
        <v>0</v>
      </c>
      <c r="AQ471" s="13" t="n">
        <v>0</v>
      </c>
      <c r="AR471" s="13" t="n">
        <v>-0.01</v>
      </c>
      <c r="AS471" s="13" t="n">
        <v>-0.01</v>
      </c>
      <c r="AT471" s="13" t="n">
        <v>0</v>
      </c>
      <c r="AU471" s="13" t="n">
        <v>0.0025</v>
      </c>
      <c r="AV471" s="13" t="n">
        <v>-0.005</v>
      </c>
      <c r="AW471" s="13" t="n">
        <v>0.0285</v>
      </c>
      <c r="AX471" s="13" t="n">
        <v>-0.0125</v>
      </c>
      <c r="AY471" s="12" t="n">
        <v>1197174</v>
      </c>
      <c r="AZ471" s="12" t="n">
        <v>1234200</v>
      </c>
      <c r="BA471" s="12" t="n">
        <v>1271226</v>
      </c>
      <c r="BB471" s="12" t="n">
        <v>1181746</v>
      </c>
      <c r="BC471" s="12" t="n">
        <v>1218772</v>
      </c>
      <c r="BD471" s="12" t="n">
        <v>1255798</v>
      </c>
      <c r="BE471" s="12" t="n">
        <v>1203538</v>
      </c>
      <c r="BF471" t="inlineStr">
        <is>
          <t>Frozen values from same rules-based model as formula sheet.</t>
        </is>
      </c>
      <c r="BG471" t="inlineStr">
        <is>
          <t>2026-03-17</t>
        </is>
      </c>
      <c r="BH471" t="inlineStr">
        <is>
          <t>DLD / Digital Dubai / CBUAE / Savills / Knight Frank-Moody’s / Reuters</t>
        </is>
      </c>
    </row>
    <row r="472">
      <c r="A472" t="n">
        <v>471</v>
      </c>
      <c r="B472" t="inlineStr">
        <is>
          <t>ZāZEN Ivy</t>
        </is>
      </c>
      <c r="C472" t="inlineStr">
        <is>
          <t>ZāZEN Properties</t>
        </is>
      </c>
      <c r="D472" t="inlineStr">
        <is>
          <t>Al Furjan</t>
        </is>
      </c>
      <c r="E472" t="inlineStr">
        <is>
          <t>Apartments</t>
        </is>
      </c>
      <c r="F472" t="inlineStr">
        <is>
          <t>Sustainable</t>
        </is>
      </c>
      <c r="G472" t="inlineStr">
        <is>
          <t>1.3M</t>
        </is>
      </c>
      <c r="H472" t="inlineStr">
        <is>
          <t>1250</t>
        </is>
      </c>
      <c r="I472" t="inlineStr">
        <is>
          <t>14</t>
        </is>
      </c>
      <c r="J472" t="inlineStr">
        <is>
          <t>50/50</t>
        </is>
      </c>
      <c r="K472" t="inlineStr">
        <is>
          <t>2024</t>
        </is>
      </c>
      <c r="L472" t="inlineStr">
        <is>
          <t>7.0-7.5</t>
        </is>
      </c>
      <c r="M472" t="inlineStr">
        <is>
          <t>6-8</t>
        </is>
      </c>
      <c r="N472" t="inlineStr">
        <is>
          <t>13.0-15.5</t>
        </is>
      </c>
      <c r="O472" t="inlineStr">
        <is>
          <t>The Arbor School</t>
        </is>
      </c>
      <c r="P472" t="inlineStr">
        <is>
          <t>NMC Royal DIP</t>
        </is>
      </c>
      <c r="Q472" t="inlineStr">
        <is>
          <t>Ibn Battuta Mall</t>
        </is>
      </c>
      <c r="R472" t="inlineStr">
        <is>
          <t>Yalayis / E311</t>
        </is>
      </c>
      <c r="S472" t="inlineStr">
        <is>
          <t>25</t>
        </is>
      </c>
      <c r="T472" t="inlineStr">
        <is>
          <t>15</t>
        </is>
      </c>
      <c r="U472" t="inlineStr">
        <is>
          <t>30</t>
        </is>
      </c>
      <c r="V472" t="inlineStr">
        <is>
          <t>20</t>
        </is>
      </c>
      <c r="W472" t="n">
        <v>2</v>
      </c>
      <c r="X472" s="12" t="n">
        <v>1300000</v>
      </c>
      <c r="Y472" s="12" t="n">
        <v>1300000</v>
      </c>
      <c r="Z472" s="9" t="n">
        <v>7</v>
      </c>
      <c r="AA472" s="9" t="n">
        <v>7.5</v>
      </c>
      <c r="AB472" s="9" t="n">
        <v>6</v>
      </c>
      <c r="AC472" s="9" t="n">
        <v>8</v>
      </c>
      <c r="AD472" s="9" t="n">
        <v>13</v>
      </c>
      <c r="AE472" s="9" t="n">
        <v>15.5</v>
      </c>
      <c r="AF472" t="n">
        <v>2024</v>
      </c>
      <c r="AH472" t="inlineStr">
        <is>
          <t>Apartment</t>
        </is>
      </c>
      <c r="AI472" t="inlineStr">
        <is>
          <t>SupplySensitiveApartment</t>
        </is>
      </c>
      <c r="AJ472" t="inlineStr">
        <is>
          <t>Established</t>
        </is>
      </c>
      <c r="AK472" t="inlineStr">
        <is>
          <t>Supply-sensitive / selective</t>
        </is>
      </c>
      <c r="AL472" t="inlineStr">
        <is>
          <t>Higher delivery risk in more price-sensitive apartment clusters; building selection and exit liquidity matter.</t>
        </is>
      </c>
      <c r="AM472" s="9" t="n">
        <v>7</v>
      </c>
      <c r="AN472" s="9" t="n">
        <v>7.25</v>
      </c>
      <c r="AO472" s="10" t="n">
        <v>0.55</v>
      </c>
      <c r="AP472" s="13" t="n">
        <v>0</v>
      </c>
      <c r="AQ472" s="13" t="n">
        <v>0</v>
      </c>
      <c r="AR472" s="13" t="n">
        <v>-0.01</v>
      </c>
      <c r="AS472" s="13" t="n">
        <v>-0.01</v>
      </c>
      <c r="AT472" s="13" t="n">
        <v>0</v>
      </c>
      <c r="AU472" s="13" t="n">
        <v>0.0025</v>
      </c>
      <c r="AV472" s="13" t="n">
        <v>-0.005</v>
      </c>
      <c r="AW472" s="13" t="n">
        <v>0.0285</v>
      </c>
      <c r="AX472" s="13" t="n">
        <v>-0.0125</v>
      </c>
      <c r="AY472" s="12" t="n">
        <v>1296938</v>
      </c>
      <c r="AZ472" s="12" t="n">
        <v>1337050</v>
      </c>
      <c r="BA472" s="12" t="n">
        <v>1377162</v>
      </c>
      <c r="BB472" s="12" t="n">
        <v>1280225</v>
      </c>
      <c r="BC472" s="12" t="n">
        <v>1320337</v>
      </c>
      <c r="BD472" s="12" t="n">
        <v>1360448</v>
      </c>
      <c r="BE472" s="12" t="n">
        <v>1303833</v>
      </c>
      <c r="BF472" t="inlineStr">
        <is>
          <t>Frozen values from same rules-based model as formula sheet.</t>
        </is>
      </c>
      <c r="BG472" t="inlineStr">
        <is>
          <t>2026-03-17</t>
        </is>
      </c>
      <c r="BH472" t="inlineStr">
        <is>
          <t>DLD / Digital Dubai / CBUAE / Savills / Knight Frank-Moody’s / Reuters</t>
        </is>
      </c>
    </row>
    <row r="473">
      <c r="A473" t="n">
        <v>472</v>
      </c>
      <c r="B473" t="inlineStr">
        <is>
          <t>XXII Carat</t>
        </is>
      </c>
      <c r="C473" t="inlineStr">
        <is>
          <t>Forum Group</t>
        </is>
      </c>
      <c r="D473" t="inlineStr">
        <is>
          <t>Palm Jumeirah</t>
        </is>
      </c>
      <c r="E473" t="inlineStr">
        <is>
          <t>Villas</t>
        </is>
      </c>
      <c r="F473" t="inlineStr">
        <is>
          <t>Ultra-Luxury / Classic</t>
        </is>
      </c>
      <c r="G473" t="inlineStr">
        <is>
          <t>40M+</t>
        </is>
      </c>
      <c r="H473" t="inlineStr">
        <is>
          <t>5000+</t>
        </is>
      </c>
      <c r="I473" t="inlineStr">
        <is>
          <t>50+</t>
        </is>
      </c>
      <c r="J473" t="inlineStr">
        <is>
          <t>Completed</t>
        </is>
      </c>
      <c r="K473" t="inlineStr">
        <is>
          <t>2017</t>
        </is>
      </c>
      <c r="L473" t="inlineStr">
        <is>
          <t>3.0-3.5</t>
        </is>
      </c>
      <c r="M473" t="inlineStr">
        <is>
          <t>5-8</t>
        </is>
      </c>
      <c r="N473" t="inlineStr">
        <is>
          <t>8.0-11.5</t>
        </is>
      </c>
      <c r="O473" t="inlineStr">
        <is>
          <t>Chevalier College</t>
        </is>
      </c>
      <c r="P473" t="inlineStr">
        <is>
          <t>Emirates Hospital</t>
        </is>
      </c>
      <c r="Q473" t="inlineStr">
        <is>
          <t>Nakheel Mall</t>
        </is>
      </c>
      <c r="R473" t="inlineStr">
        <is>
          <t>Sheikh Zayed E11</t>
        </is>
      </c>
      <c r="S473" t="inlineStr">
        <is>
          <t>20</t>
        </is>
      </c>
      <c r="T473" t="inlineStr">
        <is>
          <t>10</t>
        </is>
      </c>
      <c r="U473" t="inlineStr">
        <is>
          <t>25</t>
        </is>
      </c>
      <c r="V473" t="inlineStr">
        <is>
          <t>35</t>
        </is>
      </c>
      <c r="W473" t="n">
        <v>2</v>
      </c>
      <c r="X473" s="12" t="n">
        <v>40000000</v>
      </c>
      <c r="Y473" s="12" t="n">
        <v>40000000</v>
      </c>
      <c r="Z473" s="9" t="n">
        <v>3</v>
      </c>
      <c r="AA473" s="9" t="n">
        <v>3.5</v>
      </c>
      <c r="AB473" s="9" t="n">
        <v>5</v>
      </c>
      <c r="AC473" s="9" t="n">
        <v>8</v>
      </c>
      <c r="AD473" s="9" t="n">
        <v>8</v>
      </c>
      <c r="AE473" s="9" t="n">
        <v>11.5</v>
      </c>
      <c r="AF473" t="n">
        <v>2017</v>
      </c>
      <c r="AH473" t="inlineStr">
        <is>
          <t>Villa</t>
        </is>
      </c>
      <c r="AI473" t="inlineStr">
        <is>
          <t>Prime</t>
        </is>
      </c>
      <c r="AJ473" t="inlineStr">
        <is>
          <t>Established</t>
        </is>
      </c>
      <c r="AK473" t="inlineStr">
        <is>
          <t>Prime resilient / selective</t>
        </is>
      </c>
      <c r="AL473" t="inlineStr">
        <is>
          <t>Better support from quality, branding, and scarcer prime stock; still entry-price sensitive.</t>
        </is>
      </c>
      <c r="AM473" s="9" t="n">
        <v>6.5</v>
      </c>
      <c r="AN473" s="9" t="n">
        <v>3.25</v>
      </c>
      <c r="AO473" s="10" t="n">
        <v>0.55</v>
      </c>
      <c r="AP473" s="13" t="n">
        <v>0.02</v>
      </c>
      <c r="AQ473" s="13" t="n">
        <v>0.015</v>
      </c>
      <c r="AR473" s="13" t="n">
        <v>0</v>
      </c>
      <c r="AS473" s="13" t="n">
        <v>0.03</v>
      </c>
      <c r="AT473" s="13" t="n">
        <v>0</v>
      </c>
      <c r="AU473" s="13" t="n">
        <v>0</v>
      </c>
      <c r="AV473" s="13" t="n">
        <v>-0.005</v>
      </c>
      <c r="AW473" s="13" t="n">
        <v>0.07075000000000001</v>
      </c>
      <c r="AX473" s="13" t="n">
        <v>0.025</v>
      </c>
      <c r="AY473" s="12" t="n">
        <v>41545100</v>
      </c>
      <c r="AZ473" s="12" t="n">
        <v>42830000</v>
      </c>
      <c r="BA473" s="12" t="n">
        <v>44114900</v>
      </c>
      <c r="BB473" s="12" t="n">
        <v>42615850</v>
      </c>
      <c r="BC473" s="12" t="n">
        <v>43900750</v>
      </c>
      <c r="BD473" s="12" t="n">
        <v>45185650</v>
      </c>
      <c r="BE473" s="12" t="n">
        <v>44998269</v>
      </c>
      <c r="BF473" t="inlineStr">
        <is>
          <t>Frozen values from same rules-based model as formula sheet.</t>
        </is>
      </c>
      <c r="BG473" t="inlineStr">
        <is>
          <t>2026-03-17</t>
        </is>
      </c>
      <c r="BH473" t="inlineStr">
        <is>
          <t>DLD / Digital Dubai / CBUAE / Savills / Knight Frank-Moody’s / Reuters</t>
        </is>
      </c>
    </row>
    <row r="474">
      <c r="A474" t="n">
        <v>473</v>
      </c>
      <c r="B474" t="inlineStr">
        <is>
          <t>FH Residency</t>
        </is>
      </c>
      <c r="C474" t="inlineStr">
        <is>
          <t>Forum Group</t>
        </is>
      </c>
      <c r="D474" t="inlineStr">
        <is>
          <t>JVT</t>
        </is>
      </c>
      <c r="E474" t="inlineStr">
        <is>
          <t>Apartments</t>
        </is>
      </c>
      <c r="F474" t="inlineStr">
        <is>
          <t>Family</t>
        </is>
      </c>
      <c r="G474" t="inlineStr">
        <is>
          <t>800k</t>
        </is>
      </c>
      <c r="H474" t="inlineStr">
        <is>
          <t>1100</t>
        </is>
      </c>
      <c r="I474" t="inlineStr">
        <is>
          <t>15</t>
        </is>
      </c>
      <c r="J474" t="inlineStr">
        <is>
          <t>TBA</t>
        </is>
      </c>
      <c r="K474" t="inlineStr">
        <is>
          <t>2023</t>
        </is>
      </c>
      <c r="L474" t="inlineStr">
        <is>
          <t>7.0-7.5</t>
        </is>
      </c>
      <c r="M474" t="inlineStr">
        <is>
          <t>6-8</t>
        </is>
      </c>
      <c r="N474" t="inlineStr">
        <is>
          <t>13.0-15.5</t>
        </is>
      </c>
      <c r="O474" t="inlineStr">
        <is>
          <t>Sunmarke School</t>
        </is>
      </c>
      <c r="P474" t="inlineStr">
        <is>
          <t>NMC Royal DIP</t>
        </is>
      </c>
      <c r="Q474" t="inlineStr">
        <is>
          <t>Circle Mall</t>
        </is>
      </c>
      <c r="R474" t="inlineStr">
        <is>
          <t>E311 / Yalayis</t>
        </is>
      </c>
      <c r="S474" t="inlineStr">
        <is>
          <t>20</t>
        </is>
      </c>
      <c r="T474" t="inlineStr">
        <is>
          <t>15</t>
        </is>
      </c>
      <c r="U474" t="inlineStr">
        <is>
          <t>30</t>
        </is>
      </c>
      <c r="V474" t="inlineStr">
        <is>
          <t>20</t>
        </is>
      </c>
      <c r="W474" t="n">
        <v>2</v>
      </c>
      <c r="X474" s="12" t="n">
        <v>800000</v>
      </c>
      <c r="Y474" s="12" t="n">
        <v>800000</v>
      </c>
      <c r="Z474" s="9" t="n">
        <v>7</v>
      </c>
      <c r="AA474" s="9" t="n">
        <v>7.5</v>
      </c>
      <c r="AB474" s="9" t="n">
        <v>6</v>
      </c>
      <c r="AC474" s="9" t="n">
        <v>8</v>
      </c>
      <c r="AD474" s="9" t="n">
        <v>13</v>
      </c>
      <c r="AE474" s="9" t="n">
        <v>15.5</v>
      </c>
      <c r="AF474" t="n">
        <v>2023</v>
      </c>
      <c r="AH474" t="inlineStr">
        <is>
          <t>Apartment</t>
        </is>
      </c>
      <c r="AI474" t="inlineStr">
        <is>
          <t>SupplySensitiveApartment</t>
        </is>
      </c>
      <c r="AJ474" t="inlineStr">
        <is>
          <t>Established</t>
        </is>
      </c>
      <c r="AK474" t="inlineStr">
        <is>
          <t>Supply-sensitive / selective</t>
        </is>
      </c>
      <c r="AL474" t="inlineStr">
        <is>
          <t>Higher delivery risk in more price-sensitive apartment clusters; building selection and exit liquidity matter.</t>
        </is>
      </c>
      <c r="AM474" s="9" t="n">
        <v>7</v>
      </c>
      <c r="AN474" s="9" t="n">
        <v>7.25</v>
      </c>
      <c r="AO474" s="10" t="n">
        <v>0.55</v>
      </c>
      <c r="AP474" s="13" t="n">
        <v>0</v>
      </c>
      <c r="AQ474" s="13" t="n">
        <v>0</v>
      </c>
      <c r="AR474" s="13" t="n">
        <v>-0.01</v>
      </c>
      <c r="AS474" s="13" t="n">
        <v>-0.01</v>
      </c>
      <c r="AT474" s="13" t="n">
        <v>0</v>
      </c>
      <c r="AU474" s="13" t="n">
        <v>0.0025</v>
      </c>
      <c r="AV474" s="13" t="n">
        <v>-0.005</v>
      </c>
      <c r="AW474" s="13" t="n">
        <v>0.0285</v>
      </c>
      <c r="AX474" s="13" t="n">
        <v>-0.0125</v>
      </c>
      <c r="AY474" s="12" t="n">
        <v>798116</v>
      </c>
      <c r="AZ474" s="12" t="n">
        <v>822800</v>
      </c>
      <c r="BA474" s="12" t="n">
        <v>847484</v>
      </c>
      <c r="BB474" s="12" t="n">
        <v>787831</v>
      </c>
      <c r="BC474" s="12" t="n">
        <v>812515</v>
      </c>
      <c r="BD474" s="12" t="n">
        <v>837199</v>
      </c>
      <c r="BE474" s="12" t="n">
        <v>802359</v>
      </c>
      <c r="BF474" t="inlineStr">
        <is>
          <t>Frozen values from same rules-based model as formula sheet.</t>
        </is>
      </c>
      <c r="BG474" t="inlineStr">
        <is>
          <t>2026-03-17</t>
        </is>
      </c>
      <c r="BH474" t="inlineStr">
        <is>
          <t>DLD / Digital Dubai / CBUAE / Savills / Knight Frank-Moody’s / Reuters</t>
        </is>
      </c>
    </row>
    <row r="475">
      <c r="A475" t="n">
        <v>474</v>
      </c>
      <c r="B475" t="inlineStr">
        <is>
          <t>Beach Walk</t>
        </is>
      </c>
      <c r="C475" t="inlineStr">
        <is>
          <t>Imtiaz Developments</t>
        </is>
      </c>
      <c r="D475" t="inlineStr">
        <is>
          <t>Dubai Islands</t>
        </is>
      </c>
      <c r="E475" t="inlineStr">
        <is>
          <t>Apartments</t>
        </is>
      </c>
      <c r="F475" t="inlineStr">
        <is>
          <t>Beachfront</t>
        </is>
      </c>
      <c r="G475" t="inlineStr">
        <is>
          <t>1.8M</t>
        </is>
      </c>
      <c r="H475" t="inlineStr">
        <is>
          <t>1800</t>
        </is>
      </c>
      <c r="I475" t="inlineStr">
        <is>
          <t>18</t>
        </is>
      </c>
      <c r="J475" t="inlineStr">
        <is>
          <t>60/40</t>
        </is>
      </c>
      <c r="K475" t="inlineStr">
        <is>
          <t>2024</t>
        </is>
      </c>
      <c r="L475" t="inlineStr">
        <is>
          <t>6.5-7.0</t>
        </is>
      </c>
      <c r="M475" t="inlineStr">
        <is>
          <t>10-12</t>
        </is>
      </c>
      <c r="N475" t="inlineStr">
        <is>
          <t>16.5-19.0</t>
        </is>
      </c>
      <c r="O475" t="inlineStr">
        <is>
          <t>The Elite English</t>
        </is>
      </c>
      <c r="P475" t="inlineStr">
        <is>
          <t>Dubai Hospital</t>
        </is>
      </c>
      <c r="Q475" t="inlineStr">
        <is>
          <t>City Centre Deira</t>
        </is>
      </c>
      <c r="R475" t="inlineStr">
        <is>
          <t>Infinity Bridge</t>
        </is>
      </c>
      <c r="S475" t="inlineStr">
        <is>
          <t>20</t>
        </is>
      </c>
      <c r="T475" t="inlineStr">
        <is>
          <t>35</t>
        </is>
      </c>
      <c r="U475" t="inlineStr">
        <is>
          <t>15</t>
        </is>
      </c>
      <c r="V475" t="inlineStr">
        <is>
          <t>45</t>
        </is>
      </c>
      <c r="W475" t="n">
        <v>2</v>
      </c>
      <c r="X475" s="12" t="n">
        <v>1800000</v>
      </c>
      <c r="Y475" s="12" t="n">
        <v>1800000</v>
      </c>
      <c r="Z475" s="9" t="n">
        <v>6.5</v>
      </c>
      <c r="AA475" s="9" t="n">
        <v>7</v>
      </c>
      <c r="AB475" s="9" t="n">
        <v>10</v>
      </c>
      <c r="AC475" s="9" t="n">
        <v>12</v>
      </c>
      <c r="AD475" s="9" t="n">
        <v>16.5</v>
      </c>
      <c r="AE475" s="9" t="n">
        <v>19</v>
      </c>
      <c r="AF475" t="n">
        <v>2024</v>
      </c>
      <c r="AH475" t="inlineStr">
        <is>
          <t>Apartment</t>
        </is>
      </c>
      <c r="AI475" t="inlineStr">
        <is>
          <t>MainstreamSelective</t>
        </is>
      </c>
      <c r="AJ475" t="inlineStr">
        <is>
          <t>Established</t>
        </is>
      </c>
      <c r="AK475" t="inlineStr">
        <is>
          <t>Balanced / selective</t>
        </is>
      </c>
      <c r="AL475" t="inlineStr">
        <is>
          <t>Market remains active but increasingly differentiated by developer, micro-location, livability, and pricing discipline.</t>
        </is>
      </c>
      <c r="AM475" s="9" t="n">
        <v>11</v>
      </c>
      <c r="AN475" s="9" t="n">
        <v>6.75</v>
      </c>
      <c r="AO475" s="10" t="n">
        <v>0.55</v>
      </c>
      <c r="AP475" s="13" t="n">
        <v>0</v>
      </c>
      <c r="AQ475" s="13" t="n">
        <v>0</v>
      </c>
      <c r="AR475" s="13" t="n">
        <v>0</v>
      </c>
      <c r="AS475" s="13" t="n">
        <v>0.01</v>
      </c>
      <c r="AT475" s="13" t="n">
        <v>0</v>
      </c>
      <c r="AU475" s="13" t="n">
        <v>0.0025</v>
      </c>
      <c r="AV475" s="13" t="n">
        <v>-0.005</v>
      </c>
      <c r="AW475" s="13" t="n">
        <v>0.06050000000000001</v>
      </c>
      <c r="AX475" s="13" t="n">
        <v>0.007500000000000001</v>
      </c>
      <c r="AY475" s="12" t="n">
        <v>1851633</v>
      </c>
      <c r="AZ475" s="12" t="n">
        <v>1908900</v>
      </c>
      <c r="BA475" s="12" t="n">
        <v>1966167</v>
      </c>
      <c r="BB475" s="12" t="n">
        <v>1865950</v>
      </c>
      <c r="BC475" s="12" t="n">
        <v>1923217</v>
      </c>
      <c r="BD475" s="12" t="n">
        <v>1980484</v>
      </c>
      <c r="BE475" s="12" t="n">
        <v>1937641</v>
      </c>
      <c r="BF475" t="inlineStr">
        <is>
          <t>Frozen values from same rules-based model as formula sheet.</t>
        </is>
      </c>
      <c r="BG475" t="inlineStr">
        <is>
          <t>2026-03-17</t>
        </is>
      </c>
      <c r="BH475" t="inlineStr">
        <is>
          <t>DLD / Digital Dubai / CBUAE / Savills / Knight Frank-Moody’s / Reuters</t>
        </is>
      </c>
    </row>
    <row r="476">
      <c r="A476" t="n">
        <v>475</v>
      </c>
      <c r="B476" t="inlineStr">
        <is>
          <t>Luxor</t>
        </is>
      </c>
      <c r="C476" t="inlineStr">
        <is>
          <t>Imtiaz Developments</t>
        </is>
      </c>
      <c r="D476" t="inlineStr">
        <is>
          <t>JVC</t>
        </is>
      </c>
      <c r="E476" t="inlineStr">
        <is>
          <t>Apartments</t>
        </is>
      </c>
      <c r="F476" t="inlineStr">
        <is>
          <t>Modern</t>
        </is>
      </c>
      <c r="G476" t="inlineStr">
        <is>
          <t>900k</t>
        </is>
      </c>
      <c r="H476" t="inlineStr">
        <is>
          <t>1300</t>
        </is>
      </c>
      <c r="I476" t="inlineStr">
        <is>
          <t>15</t>
        </is>
      </c>
      <c r="J476" t="inlineStr">
        <is>
          <t>60/40</t>
        </is>
      </c>
      <c r="K476" t="inlineStr">
        <is>
          <t>2023</t>
        </is>
      </c>
      <c r="L476" t="inlineStr">
        <is>
          <t>7.5-8.0</t>
        </is>
      </c>
      <c r="M476" t="inlineStr">
        <is>
          <t>6-8</t>
        </is>
      </c>
      <c r="N476" t="inlineStr">
        <is>
          <t>13.5-16.0</t>
        </is>
      </c>
      <c r="O476" t="inlineStr">
        <is>
          <t>JSS International</t>
        </is>
      </c>
      <c r="P476" t="inlineStr">
        <is>
          <t>Saudi German Hospital</t>
        </is>
      </c>
      <c r="Q476" t="inlineStr">
        <is>
          <t>Circle Mall</t>
        </is>
      </c>
      <c r="R476" t="inlineStr">
        <is>
          <t>Hessa St / E44</t>
        </is>
      </c>
      <c r="S476" t="inlineStr">
        <is>
          <t>20</t>
        </is>
      </c>
      <c r="T476" t="inlineStr">
        <is>
          <t>15</t>
        </is>
      </c>
      <c r="U476" t="inlineStr">
        <is>
          <t>25</t>
        </is>
      </c>
      <c r="V476" t="inlineStr">
        <is>
          <t>30</t>
        </is>
      </c>
      <c r="W476" t="n">
        <v>2</v>
      </c>
      <c r="X476" s="12" t="n">
        <v>900000</v>
      </c>
      <c r="Y476" s="12" t="n">
        <v>900000</v>
      </c>
      <c r="Z476" s="9" t="n">
        <v>7.5</v>
      </c>
      <c r="AA476" s="9" t="n">
        <v>8</v>
      </c>
      <c r="AB476" s="9" t="n">
        <v>6</v>
      </c>
      <c r="AC476" s="9" t="n">
        <v>8</v>
      </c>
      <c r="AD476" s="9" t="n">
        <v>13.5</v>
      </c>
      <c r="AE476" s="9" t="n">
        <v>16</v>
      </c>
      <c r="AF476" t="n">
        <v>2023</v>
      </c>
      <c r="AH476" t="inlineStr">
        <is>
          <t>Apartment</t>
        </is>
      </c>
      <c r="AI476" t="inlineStr">
        <is>
          <t>SupplySensitiveApartment</t>
        </is>
      </c>
      <c r="AJ476" t="inlineStr">
        <is>
          <t>Established</t>
        </is>
      </c>
      <c r="AK476" t="inlineStr">
        <is>
          <t>Supply-sensitive / selective</t>
        </is>
      </c>
      <c r="AL476" t="inlineStr">
        <is>
          <t>Higher delivery risk in more price-sensitive apartment clusters; building selection and exit liquidity matter.</t>
        </is>
      </c>
      <c r="AM476" s="9" t="n">
        <v>7</v>
      </c>
      <c r="AN476" s="9" t="n">
        <v>7.75</v>
      </c>
      <c r="AO476" s="10" t="n">
        <v>0.55</v>
      </c>
      <c r="AP476" s="13" t="n">
        <v>0</v>
      </c>
      <c r="AQ476" s="13" t="n">
        <v>0</v>
      </c>
      <c r="AR476" s="13" t="n">
        <v>-0.01</v>
      </c>
      <c r="AS476" s="13" t="n">
        <v>-0.01</v>
      </c>
      <c r="AT476" s="13" t="n">
        <v>0</v>
      </c>
      <c r="AU476" s="13" t="n">
        <v>0.0025</v>
      </c>
      <c r="AV476" s="13" t="n">
        <v>-0.005</v>
      </c>
      <c r="AW476" s="13" t="n">
        <v>0.0285</v>
      </c>
      <c r="AX476" s="13" t="n">
        <v>-0.0125</v>
      </c>
      <c r="AY476" s="12" t="n">
        <v>897880</v>
      </c>
      <c r="AZ476" s="12" t="n">
        <v>925650</v>
      </c>
      <c r="BA476" s="12" t="n">
        <v>953420</v>
      </c>
      <c r="BB476" s="12" t="n">
        <v>886310</v>
      </c>
      <c r="BC476" s="12" t="n">
        <v>914079</v>
      </c>
      <c r="BD476" s="12" t="n">
        <v>941849</v>
      </c>
      <c r="BE476" s="12" t="n">
        <v>902653</v>
      </c>
      <c r="BF476" t="inlineStr">
        <is>
          <t>Frozen values from same rules-based model as formula sheet.</t>
        </is>
      </c>
      <c r="BG476" t="inlineStr">
        <is>
          <t>2026-03-17</t>
        </is>
      </c>
      <c r="BH476" t="inlineStr">
        <is>
          <t>DLD / Digital Dubai / CBUAE / Savills / Knight Frank-Moody’s / Reuters</t>
        </is>
      </c>
    </row>
    <row r="477">
      <c r="A477" t="n">
        <v>476</v>
      </c>
      <c r="B477" t="inlineStr">
        <is>
          <t>Pearl House</t>
        </is>
      </c>
      <c r="C477" t="inlineStr">
        <is>
          <t>Imtiaz Developments</t>
        </is>
      </c>
      <c r="D477" t="inlineStr">
        <is>
          <t>JVC</t>
        </is>
      </c>
      <c r="E477" t="inlineStr">
        <is>
          <t>Apartments</t>
        </is>
      </c>
      <c r="F477" t="inlineStr">
        <is>
          <t>Modern</t>
        </is>
      </c>
      <c r="G477" t="inlineStr">
        <is>
          <t>900k</t>
        </is>
      </c>
      <c r="H477" t="inlineStr">
        <is>
          <t>1300</t>
        </is>
      </c>
      <c r="I477" t="inlineStr">
        <is>
          <t>15</t>
        </is>
      </c>
      <c r="J477" t="inlineStr">
        <is>
          <t>60/40</t>
        </is>
      </c>
      <c r="K477" t="inlineStr">
        <is>
          <t>2023</t>
        </is>
      </c>
      <c r="L477" t="inlineStr">
        <is>
          <t>7.5-8.0</t>
        </is>
      </c>
      <c r="M477" t="inlineStr">
        <is>
          <t>6-8</t>
        </is>
      </c>
      <c r="N477" t="inlineStr">
        <is>
          <t>13.5-16.0</t>
        </is>
      </c>
      <c r="O477" t="inlineStr">
        <is>
          <t>JSS International</t>
        </is>
      </c>
      <c r="P477" t="inlineStr">
        <is>
          <t>Saudi German Hospital</t>
        </is>
      </c>
      <c r="Q477" t="inlineStr">
        <is>
          <t>Circle Mall</t>
        </is>
      </c>
      <c r="R477" t="inlineStr">
        <is>
          <t>Hessa St / E44</t>
        </is>
      </c>
      <c r="S477" t="inlineStr">
        <is>
          <t>20</t>
        </is>
      </c>
      <c r="T477" t="inlineStr">
        <is>
          <t>15</t>
        </is>
      </c>
      <c r="U477" t="inlineStr">
        <is>
          <t>25</t>
        </is>
      </c>
      <c r="V477" t="inlineStr">
        <is>
          <t>30</t>
        </is>
      </c>
      <c r="W477" t="n">
        <v>2</v>
      </c>
      <c r="X477" s="12" t="n">
        <v>900000</v>
      </c>
      <c r="Y477" s="12" t="n">
        <v>900000</v>
      </c>
      <c r="Z477" s="9" t="n">
        <v>7.5</v>
      </c>
      <c r="AA477" s="9" t="n">
        <v>8</v>
      </c>
      <c r="AB477" s="9" t="n">
        <v>6</v>
      </c>
      <c r="AC477" s="9" t="n">
        <v>8</v>
      </c>
      <c r="AD477" s="9" t="n">
        <v>13.5</v>
      </c>
      <c r="AE477" s="9" t="n">
        <v>16</v>
      </c>
      <c r="AF477" t="n">
        <v>2023</v>
      </c>
      <c r="AH477" t="inlineStr">
        <is>
          <t>Apartment</t>
        </is>
      </c>
      <c r="AI477" t="inlineStr">
        <is>
          <t>SupplySensitiveApartment</t>
        </is>
      </c>
      <c r="AJ477" t="inlineStr">
        <is>
          <t>Established</t>
        </is>
      </c>
      <c r="AK477" t="inlineStr">
        <is>
          <t>Supply-sensitive / selective</t>
        </is>
      </c>
      <c r="AL477" t="inlineStr">
        <is>
          <t>Higher delivery risk in more price-sensitive apartment clusters; building selection and exit liquidity matter.</t>
        </is>
      </c>
      <c r="AM477" s="9" t="n">
        <v>7</v>
      </c>
      <c r="AN477" s="9" t="n">
        <v>7.75</v>
      </c>
      <c r="AO477" s="10" t="n">
        <v>0.55</v>
      </c>
      <c r="AP477" s="13" t="n">
        <v>0</v>
      </c>
      <c r="AQ477" s="13" t="n">
        <v>0</v>
      </c>
      <c r="AR477" s="13" t="n">
        <v>-0.01</v>
      </c>
      <c r="AS477" s="13" t="n">
        <v>-0.01</v>
      </c>
      <c r="AT477" s="13" t="n">
        <v>0</v>
      </c>
      <c r="AU477" s="13" t="n">
        <v>0.0025</v>
      </c>
      <c r="AV477" s="13" t="n">
        <v>-0.005</v>
      </c>
      <c r="AW477" s="13" t="n">
        <v>0.0285</v>
      </c>
      <c r="AX477" s="13" t="n">
        <v>-0.0125</v>
      </c>
      <c r="AY477" s="12" t="n">
        <v>897880</v>
      </c>
      <c r="AZ477" s="12" t="n">
        <v>925650</v>
      </c>
      <c r="BA477" s="12" t="n">
        <v>953420</v>
      </c>
      <c r="BB477" s="12" t="n">
        <v>886310</v>
      </c>
      <c r="BC477" s="12" t="n">
        <v>914079</v>
      </c>
      <c r="BD477" s="12" t="n">
        <v>941849</v>
      </c>
      <c r="BE477" s="12" t="n">
        <v>902653</v>
      </c>
      <c r="BF477" t="inlineStr">
        <is>
          <t>Frozen values from same rules-based model as formula sheet.</t>
        </is>
      </c>
      <c r="BG477" t="inlineStr">
        <is>
          <t>2026-03-17</t>
        </is>
      </c>
      <c r="BH477" t="inlineStr">
        <is>
          <t>DLD / Digital Dubai / CBUAE / Savills / Knight Frank-Moody’s / Reuters</t>
        </is>
      </c>
    </row>
    <row r="478">
      <c r="A478" t="n">
        <v>477</v>
      </c>
      <c r="B478" t="inlineStr">
        <is>
          <t>Cove</t>
        </is>
      </c>
      <c r="C478" t="inlineStr">
        <is>
          <t>Imtiaz Developments</t>
        </is>
      </c>
      <c r="D478" t="inlineStr">
        <is>
          <t>Dubailand</t>
        </is>
      </c>
      <c r="E478" t="inlineStr">
        <is>
          <t>Apartments</t>
        </is>
      </c>
      <c r="F478" t="inlineStr">
        <is>
          <t>Hillside</t>
        </is>
      </c>
      <c r="G478" t="inlineStr">
        <is>
          <t>1.2M</t>
        </is>
      </c>
      <c r="H478" t="inlineStr">
        <is>
          <t>1100</t>
        </is>
      </c>
      <c r="I478" t="inlineStr">
        <is>
          <t>15</t>
        </is>
      </c>
      <c r="J478" t="inlineStr">
        <is>
          <t>60/40</t>
        </is>
      </c>
      <c r="K478" t="inlineStr">
        <is>
          <t>2024</t>
        </is>
      </c>
      <c r="L478" t="inlineStr">
        <is>
          <t>7.0-7.5</t>
        </is>
      </c>
      <c r="M478" t="inlineStr">
        <is>
          <t>8-10</t>
        </is>
      </c>
      <c r="N478" t="inlineStr">
        <is>
          <t>15.0-17.5</t>
        </is>
      </c>
      <c r="O478" t="inlineStr">
        <is>
          <t>GEMS Winchester</t>
        </is>
      </c>
      <c r="P478" t="inlineStr">
        <is>
          <t>Fakeeh University Hosp</t>
        </is>
      </c>
      <c r="Q478" t="inlineStr">
        <is>
          <t>Dubai Outlet Mall</t>
        </is>
      </c>
      <c r="R478" t="inlineStr">
        <is>
          <t>E611 / Al Ain Rd</t>
        </is>
      </c>
      <c r="S478" t="inlineStr">
        <is>
          <t>20</t>
        </is>
      </c>
      <c r="T478" t="inlineStr">
        <is>
          <t>25</t>
        </is>
      </c>
      <c r="U478" t="inlineStr">
        <is>
          <t>25</t>
        </is>
      </c>
      <c r="V478" t="inlineStr">
        <is>
          <t>30</t>
        </is>
      </c>
      <c r="W478" t="n">
        <v>2</v>
      </c>
      <c r="X478" s="12" t="n">
        <v>1200000</v>
      </c>
      <c r="Y478" s="12" t="n">
        <v>1200000</v>
      </c>
      <c r="Z478" s="9" t="n">
        <v>7</v>
      </c>
      <c r="AA478" s="9" t="n">
        <v>7.5</v>
      </c>
      <c r="AB478" s="9" t="n">
        <v>8</v>
      </c>
      <c r="AC478" s="9" t="n">
        <v>10</v>
      </c>
      <c r="AD478" s="9" t="n">
        <v>15</v>
      </c>
      <c r="AE478" s="9" t="n">
        <v>17.5</v>
      </c>
      <c r="AF478" t="n">
        <v>2024</v>
      </c>
      <c r="AH478" t="inlineStr">
        <is>
          <t>Apartment</t>
        </is>
      </c>
      <c r="AI478" t="inlineStr">
        <is>
          <t>SupplySensitiveApartment</t>
        </is>
      </c>
      <c r="AJ478" t="inlineStr">
        <is>
          <t>Established</t>
        </is>
      </c>
      <c r="AK478" t="inlineStr">
        <is>
          <t>Supply-sensitive / selective</t>
        </is>
      </c>
      <c r="AL478" t="inlineStr">
        <is>
          <t>Higher delivery risk in more price-sensitive apartment clusters; building selection and exit liquidity matter.</t>
        </is>
      </c>
      <c r="AM478" s="9" t="n">
        <v>9</v>
      </c>
      <c r="AN478" s="9" t="n">
        <v>7.25</v>
      </c>
      <c r="AO478" s="10" t="n">
        <v>0.55</v>
      </c>
      <c r="AP478" s="13" t="n">
        <v>0</v>
      </c>
      <c r="AQ478" s="13" t="n">
        <v>0</v>
      </c>
      <c r="AR478" s="13" t="n">
        <v>-0.01</v>
      </c>
      <c r="AS478" s="13" t="n">
        <v>-0.01</v>
      </c>
      <c r="AT478" s="13" t="n">
        <v>0</v>
      </c>
      <c r="AU478" s="13" t="n">
        <v>0.0025</v>
      </c>
      <c r="AV478" s="13" t="n">
        <v>-0.005</v>
      </c>
      <c r="AW478" s="13" t="n">
        <v>0.0395</v>
      </c>
      <c r="AX478" s="13" t="n">
        <v>-0.0125</v>
      </c>
      <c r="AY478" s="12" t="n">
        <v>1209978</v>
      </c>
      <c r="AZ478" s="12" t="n">
        <v>1247400</v>
      </c>
      <c r="BA478" s="12" t="n">
        <v>1284822</v>
      </c>
      <c r="BB478" s="12" t="n">
        <v>1194386</v>
      </c>
      <c r="BC478" s="12" t="n">
        <v>1231808</v>
      </c>
      <c r="BD478" s="12" t="n">
        <v>1269230</v>
      </c>
      <c r="BE478" s="12" t="n">
        <v>1216410</v>
      </c>
      <c r="BF478" t="inlineStr">
        <is>
          <t>Frozen values from same rules-based model as formula sheet.</t>
        </is>
      </c>
      <c r="BG478" t="inlineStr">
        <is>
          <t>2026-03-17</t>
        </is>
      </c>
      <c r="BH478" t="inlineStr">
        <is>
          <t>DLD / Digital Dubai / CBUAE / Savills / Knight Frank-Moody’s / Reuters</t>
        </is>
      </c>
    </row>
    <row r="479">
      <c r="A479" t="n">
        <v>478</v>
      </c>
      <c r="B479" t="inlineStr">
        <is>
          <t>Cove Edition 2</t>
        </is>
      </c>
      <c r="C479" t="inlineStr">
        <is>
          <t>Imtiaz Developments</t>
        </is>
      </c>
      <c r="D479" t="inlineStr">
        <is>
          <t>Dubailand</t>
        </is>
      </c>
      <c r="E479" t="inlineStr">
        <is>
          <t>Apartments</t>
        </is>
      </c>
      <c r="F479" t="inlineStr">
        <is>
          <t>Hillside</t>
        </is>
      </c>
      <c r="G479" t="inlineStr">
        <is>
          <t>1.25M</t>
        </is>
      </c>
      <c r="H479" t="inlineStr">
        <is>
          <t>1100</t>
        </is>
      </c>
      <c r="I479" t="inlineStr">
        <is>
          <t>15</t>
        </is>
      </c>
      <c r="J479" t="inlineStr">
        <is>
          <t>60/40</t>
        </is>
      </c>
      <c r="K479" t="inlineStr">
        <is>
          <t>2024</t>
        </is>
      </c>
      <c r="L479" t="inlineStr">
        <is>
          <t>7.0-7.5</t>
        </is>
      </c>
      <c r="M479" t="inlineStr">
        <is>
          <t>8-10</t>
        </is>
      </c>
      <c r="N479" t="inlineStr">
        <is>
          <t>15.0-17.5</t>
        </is>
      </c>
      <c r="O479" t="inlineStr">
        <is>
          <t>GEMS Winchester</t>
        </is>
      </c>
      <c r="P479" t="inlineStr">
        <is>
          <t>Fakeeh University Hosp</t>
        </is>
      </c>
      <c r="Q479" t="inlineStr">
        <is>
          <t>Dubai Outlet Mall</t>
        </is>
      </c>
      <c r="R479" t="inlineStr">
        <is>
          <t>E611 / Al Ain Rd</t>
        </is>
      </c>
      <c r="S479" t="inlineStr">
        <is>
          <t>20</t>
        </is>
      </c>
      <c r="T479" t="inlineStr">
        <is>
          <t>25</t>
        </is>
      </c>
      <c r="U479" t="inlineStr">
        <is>
          <t>25</t>
        </is>
      </c>
      <c r="V479" t="inlineStr">
        <is>
          <t>30</t>
        </is>
      </c>
      <c r="W479" t="n">
        <v>2</v>
      </c>
      <c r="X479" s="12" t="n">
        <v>1250000</v>
      </c>
      <c r="Y479" s="12" t="n">
        <v>1250000</v>
      </c>
      <c r="Z479" s="9" t="n">
        <v>7</v>
      </c>
      <c r="AA479" s="9" t="n">
        <v>7.5</v>
      </c>
      <c r="AB479" s="9" t="n">
        <v>8</v>
      </c>
      <c r="AC479" s="9" t="n">
        <v>10</v>
      </c>
      <c r="AD479" s="9" t="n">
        <v>15</v>
      </c>
      <c r="AE479" s="9" t="n">
        <v>17.5</v>
      </c>
      <c r="AF479" t="n">
        <v>2024</v>
      </c>
      <c r="AH479" t="inlineStr">
        <is>
          <t>Apartment</t>
        </is>
      </c>
      <c r="AI479" t="inlineStr">
        <is>
          <t>SupplySensitiveApartment</t>
        </is>
      </c>
      <c r="AJ479" t="inlineStr">
        <is>
          <t>Established</t>
        </is>
      </c>
      <c r="AK479" t="inlineStr">
        <is>
          <t>Supply-sensitive / selective</t>
        </is>
      </c>
      <c r="AL479" t="inlineStr">
        <is>
          <t>Higher delivery risk in more price-sensitive apartment clusters; building selection and exit liquidity matter.</t>
        </is>
      </c>
      <c r="AM479" s="9" t="n">
        <v>9</v>
      </c>
      <c r="AN479" s="9" t="n">
        <v>7.25</v>
      </c>
      <c r="AO479" s="10" t="n">
        <v>0.55</v>
      </c>
      <c r="AP479" s="13" t="n">
        <v>0</v>
      </c>
      <c r="AQ479" s="13" t="n">
        <v>0</v>
      </c>
      <c r="AR479" s="13" t="n">
        <v>-0.01</v>
      </c>
      <c r="AS479" s="13" t="n">
        <v>-0.01</v>
      </c>
      <c r="AT479" s="13" t="n">
        <v>0</v>
      </c>
      <c r="AU479" s="13" t="n">
        <v>0.0025</v>
      </c>
      <c r="AV479" s="13" t="n">
        <v>-0.005</v>
      </c>
      <c r="AW479" s="13" t="n">
        <v>0.0395</v>
      </c>
      <c r="AX479" s="13" t="n">
        <v>-0.0125</v>
      </c>
      <c r="AY479" s="12" t="n">
        <v>1260394</v>
      </c>
      <c r="AZ479" s="12" t="n">
        <v>1299375</v>
      </c>
      <c r="BA479" s="12" t="n">
        <v>1338356</v>
      </c>
      <c r="BB479" s="12" t="n">
        <v>1244152</v>
      </c>
      <c r="BC479" s="12" t="n">
        <v>1283133</v>
      </c>
      <c r="BD479" s="12" t="n">
        <v>1322114</v>
      </c>
      <c r="BE479" s="12" t="n">
        <v>1267094</v>
      </c>
      <c r="BF479" t="inlineStr">
        <is>
          <t>Frozen values from same rules-based model as formula sheet.</t>
        </is>
      </c>
      <c r="BG479" t="inlineStr">
        <is>
          <t>2026-03-17</t>
        </is>
      </c>
      <c r="BH479" t="inlineStr">
        <is>
          <t>DLD / Digital Dubai / CBUAE / Savills / Knight Frank-Moody’s / Reuters</t>
        </is>
      </c>
    </row>
    <row r="480">
      <c r="A480" t="n">
        <v>479</v>
      </c>
      <c r="B480" t="inlineStr">
        <is>
          <t>Westwood</t>
        </is>
      </c>
      <c r="C480" t="inlineStr">
        <is>
          <t>Imtiaz Developments</t>
        </is>
      </c>
      <c r="D480" t="inlineStr">
        <is>
          <t>Al Furjan</t>
        </is>
      </c>
      <c r="E480" t="inlineStr">
        <is>
          <t>Apartments</t>
        </is>
      </c>
      <c r="F480" t="inlineStr">
        <is>
          <t>Metro / Family</t>
        </is>
      </c>
      <c r="G480" t="inlineStr">
        <is>
          <t>800k</t>
        </is>
      </c>
      <c r="H480" t="inlineStr">
        <is>
          <t>1100</t>
        </is>
      </c>
      <c r="I480" t="inlineStr">
        <is>
          <t>14</t>
        </is>
      </c>
      <c r="J480" t="inlineStr">
        <is>
          <t>Completed</t>
        </is>
      </c>
      <c r="K480" t="inlineStr">
        <is>
          <t>2022</t>
        </is>
      </c>
      <c r="L480" t="inlineStr">
        <is>
          <t>7.0-7.5</t>
        </is>
      </c>
      <c r="M480" t="inlineStr">
        <is>
          <t>5-7</t>
        </is>
      </c>
      <c r="N480" t="inlineStr">
        <is>
          <t>12.0-14.5</t>
        </is>
      </c>
      <c r="O480" t="inlineStr">
        <is>
          <t>The Arbor School</t>
        </is>
      </c>
      <c r="P480" t="inlineStr">
        <is>
          <t>NMC Royal DIP</t>
        </is>
      </c>
      <c r="Q480" t="inlineStr">
        <is>
          <t>Ibn Battuta Mall</t>
        </is>
      </c>
      <c r="R480" t="inlineStr">
        <is>
          <t>Yalayis / E311</t>
        </is>
      </c>
      <c r="S480" t="inlineStr">
        <is>
          <t>25</t>
        </is>
      </c>
      <c r="T480" t="inlineStr">
        <is>
          <t>15</t>
        </is>
      </c>
      <c r="U480" t="inlineStr">
        <is>
          <t>30</t>
        </is>
      </c>
      <c r="V480" t="inlineStr">
        <is>
          <t>20</t>
        </is>
      </c>
      <c r="W480" t="n">
        <v>2</v>
      </c>
      <c r="X480" s="12" t="n">
        <v>800000</v>
      </c>
      <c r="Y480" s="12" t="n">
        <v>800000</v>
      </c>
      <c r="Z480" s="9" t="n">
        <v>7</v>
      </c>
      <c r="AA480" s="9" t="n">
        <v>7.5</v>
      </c>
      <c r="AB480" s="9" t="n">
        <v>5</v>
      </c>
      <c r="AC480" s="9" t="n">
        <v>7</v>
      </c>
      <c r="AD480" s="9" t="n">
        <v>12</v>
      </c>
      <c r="AE480" s="9" t="n">
        <v>14.5</v>
      </c>
      <c r="AF480" t="n">
        <v>2022</v>
      </c>
      <c r="AH480" t="inlineStr">
        <is>
          <t>Apartment</t>
        </is>
      </c>
      <c r="AI480" t="inlineStr">
        <is>
          <t>SupplySensitiveApartment</t>
        </is>
      </c>
      <c r="AJ480" t="inlineStr">
        <is>
          <t>Established</t>
        </is>
      </c>
      <c r="AK480" t="inlineStr">
        <is>
          <t>Supply-sensitive / selective</t>
        </is>
      </c>
      <c r="AL480" t="inlineStr">
        <is>
          <t>Higher delivery risk in more price-sensitive apartment clusters; building selection and exit liquidity matter.</t>
        </is>
      </c>
      <c r="AM480" s="9" t="n">
        <v>6</v>
      </c>
      <c r="AN480" s="9" t="n">
        <v>7.25</v>
      </c>
      <c r="AO480" s="10" t="n">
        <v>0.55</v>
      </c>
      <c r="AP480" s="13" t="n">
        <v>0</v>
      </c>
      <c r="AQ480" s="13" t="n">
        <v>0</v>
      </c>
      <c r="AR480" s="13" t="n">
        <v>-0.01</v>
      </c>
      <c r="AS480" s="13" t="n">
        <v>-0.01</v>
      </c>
      <c r="AT480" s="13" t="n">
        <v>0</v>
      </c>
      <c r="AU480" s="13" t="n">
        <v>0.0025</v>
      </c>
      <c r="AV480" s="13" t="n">
        <v>-0.005</v>
      </c>
      <c r="AW480" s="13" t="n">
        <v>0.023</v>
      </c>
      <c r="AX480" s="13" t="n">
        <v>-0.0125</v>
      </c>
      <c r="AY480" s="12" t="n">
        <v>793848</v>
      </c>
      <c r="AZ480" s="12" t="n">
        <v>818400</v>
      </c>
      <c r="BA480" s="12" t="n">
        <v>842952</v>
      </c>
      <c r="BB480" s="12" t="n">
        <v>783618</v>
      </c>
      <c r="BC480" s="12" t="n">
        <v>808170</v>
      </c>
      <c r="BD480" s="12" t="n">
        <v>832722</v>
      </c>
      <c r="BE480" s="12" t="n">
        <v>798068</v>
      </c>
      <c r="BF480" t="inlineStr">
        <is>
          <t>Frozen values from same rules-based model as formula sheet.</t>
        </is>
      </c>
      <c r="BG480" t="inlineStr">
        <is>
          <t>2026-03-17</t>
        </is>
      </c>
      <c r="BH480" t="inlineStr">
        <is>
          <t>DLD / Digital Dubai / CBUAE / Savills / Knight Frank-Moody’s / Reuters</t>
        </is>
      </c>
    </row>
    <row r="481">
      <c r="A481" t="n">
        <v>480</v>
      </c>
      <c r="B481" t="inlineStr">
        <is>
          <t>Westwood Grande</t>
        </is>
      </c>
      <c r="C481" t="inlineStr">
        <is>
          <t>Imtiaz Developments</t>
        </is>
      </c>
      <c r="D481" t="inlineStr">
        <is>
          <t>Al Furjan</t>
        </is>
      </c>
      <c r="E481" t="inlineStr">
        <is>
          <t>Apartments</t>
        </is>
      </c>
      <c r="F481" t="inlineStr">
        <is>
          <t>Metro / Family</t>
        </is>
      </c>
      <c r="G481" t="inlineStr">
        <is>
          <t>850k</t>
        </is>
      </c>
      <c r="H481" t="inlineStr">
        <is>
          <t>1100</t>
        </is>
      </c>
      <c r="I481" t="inlineStr">
        <is>
          <t>14</t>
        </is>
      </c>
      <c r="J481" t="inlineStr">
        <is>
          <t>60/40</t>
        </is>
      </c>
      <c r="K481" t="inlineStr">
        <is>
          <t>2023</t>
        </is>
      </c>
      <c r="L481" t="inlineStr">
        <is>
          <t>7.0-7.5</t>
        </is>
      </c>
      <c r="M481" t="inlineStr">
        <is>
          <t>6-8</t>
        </is>
      </c>
      <c r="N481" t="inlineStr">
        <is>
          <t>13.0-15.5</t>
        </is>
      </c>
      <c r="O481" t="inlineStr">
        <is>
          <t>The Arbor School</t>
        </is>
      </c>
      <c r="P481" t="inlineStr">
        <is>
          <t>NMC Royal DIP</t>
        </is>
      </c>
      <c r="Q481" t="inlineStr">
        <is>
          <t>Ibn Battuta Mall</t>
        </is>
      </c>
      <c r="R481" t="inlineStr">
        <is>
          <t>Yalayis / E311</t>
        </is>
      </c>
      <c r="S481" t="inlineStr">
        <is>
          <t>25</t>
        </is>
      </c>
      <c r="T481" t="inlineStr">
        <is>
          <t>15</t>
        </is>
      </c>
      <c r="U481" t="inlineStr">
        <is>
          <t>30</t>
        </is>
      </c>
      <c r="V481" t="inlineStr">
        <is>
          <t>20</t>
        </is>
      </c>
      <c r="W481" t="n">
        <v>2</v>
      </c>
      <c r="X481" s="12" t="n">
        <v>850000</v>
      </c>
      <c r="Y481" s="12" t="n">
        <v>850000</v>
      </c>
      <c r="Z481" s="9" t="n">
        <v>7</v>
      </c>
      <c r="AA481" s="9" t="n">
        <v>7.5</v>
      </c>
      <c r="AB481" s="9" t="n">
        <v>6</v>
      </c>
      <c r="AC481" s="9" t="n">
        <v>8</v>
      </c>
      <c r="AD481" s="9" t="n">
        <v>13</v>
      </c>
      <c r="AE481" s="9" t="n">
        <v>15.5</v>
      </c>
      <c r="AF481" t="n">
        <v>2023</v>
      </c>
      <c r="AH481" t="inlineStr">
        <is>
          <t>Apartment</t>
        </is>
      </c>
      <c r="AI481" t="inlineStr">
        <is>
          <t>SupplySensitiveApartment</t>
        </is>
      </c>
      <c r="AJ481" t="inlineStr">
        <is>
          <t>Established</t>
        </is>
      </c>
      <c r="AK481" t="inlineStr">
        <is>
          <t>Supply-sensitive / selective</t>
        </is>
      </c>
      <c r="AL481" t="inlineStr">
        <is>
          <t>Higher delivery risk in more price-sensitive apartment clusters; building selection and exit liquidity matter.</t>
        </is>
      </c>
      <c r="AM481" s="9" t="n">
        <v>7</v>
      </c>
      <c r="AN481" s="9" t="n">
        <v>7.25</v>
      </c>
      <c r="AO481" s="10" t="n">
        <v>0.55</v>
      </c>
      <c r="AP481" s="13" t="n">
        <v>0</v>
      </c>
      <c r="AQ481" s="13" t="n">
        <v>0</v>
      </c>
      <c r="AR481" s="13" t="n">
        <v>-0.01</v>
      </c>
      <c r="AS481" s="13" t="n">
        <v>-0.01</v>
      </c>
      <c r="AT481" s="13" t="n">
        <v>0</v>
      </c>
      <c r="AU481" s="13" t="n">
        <v>0.0025</v>
      </c>
      <c r="AV481" s="13" t="n">
        <v>-0.005</v>
      </c>
      <c r="AW481" s="13" t="n">
        <v>0.0285</v>
      </c>
      <c r="AX481" s="13" t="n">
        <v>-0.0125</v>
      </c>
      <c r="AY481" s="12" t="n">
        <v>847998</v>
      </c>
      <c r="AZ481" s="12" t="n">
        <v>874225</v>
      </c>
      <c r="BA481" s="12" t="n">
        <v>900452</v>
      </c>
      <c r="BB481" s="12" t="n">
        <v>837070</v>
      </c>
      <c r="BC481" s="12" t="n">
        <v>863297</v>
      </c>
      <c r="BD481" s="12" t="n">
        <v>889524</v>
      </c>
      <c r="BE481" s="12" t="n">
        <v>852506</v>
      </c>
      <c r="BF481" t="inlineStr">
        <is>
          <t>Frozen values from same rules-based model as formula sheet.</t>
        </is>
      </c>
      <c r="BG481" t="inlineStr">
        <is>
          <t>2026-03-17</t>
        </is>
      </c>
      <c r="BH481" t="inlineStr">
        <is>
          <t>DLD / Digital Dubai / CBUAE / Savills / Knight Frank-Moody’s / Reuters</t>
        </is>
      </c>
    </row>
    <row r="482">
      <c r="A482" t="n">
        <v>481</v>
      </c>
      <c r="B482" t="inlineStr">
        <is>
          <t>Yorkville</t>
        </is>
      </c>
      <c r="C482" t="inlineStr">
        <is>
          <t>Imtiaz Developments</t>
        </is>
      </c>
      <c r="D482" t="inlineStr">
        <is>
          <t>Al Furjan</t>
        </is>
      </c>
      <c r="E482" t="inlineStr">
        <is>
          <t>Apartments</t>
        </is>
      </c>
      <c r="F482" t="inlineStr">
        <is>
          <t>Modern</t>
        </is>
      </c>
      <c r="G482" t="inlineStr">
        <is>
          <t>900k</t>
        </is>
      </c>
      <c r="H482" t="inlineStr">
        <is>
          <t>1150</t>
        </is>
      </c>
      <c r="I482" t="inlineStr">
        <is>
          <t>14</t>
        </is>
      </c>
      <c r="J482" t="inlineStr">
        <is>
          <t>60/40</t>
        </is>
      </c>
      <c r="K482" t="inlineStr">
        <is>
          <t>2024</t>
        </is>
      </c>
      <c r="L482" t="inlineStr">
        <is>
          <t>7.0-7.5</t>
        </is>
      </c>
      <c r="M482" t="inlineStr">
        <is>
          <t>6-8</t>
        </is>
      </c>
      <c r="N482" t="inlineStr">
        <is>
          <t>13.0-15.5</t>
        </is>
      </c>
      <c r="O482" t="inlineStr">
        <is>
          <t>The Arbor School</t>
        </is>
      </c>
      <c r="P482" t="inlineStr">
        <is>
          <t>NMC Royal DIP</t>
        </is>
      </c>
      <c r="Q482" t="inlineStr">
        <is>
          <t>Ibn Battuta Mall</t>
        </is>
      </c>
      <c r="R482" t="inlineStr">
        <is>
          <t>Yalayis / E311</t>
        </is>
      </c>
      <c r="S482" t="inlineStr">
        <is>
          <t>25</t>
        </is>
      </c>
      <c r="T482" t="inlineStr">
        <is>
          <t>15</t>
        </is>
      </c>
      <c r="U482" t="inlineStr">
        <is>
          <t>30</t>
        </is>
      </c>
      <c r="V482" t="inlineStr">
        <is>
          <t>20</t>
        </is>
      </c>
      <c r="W482" t="n">
        <v>2</v>
      </c>
      <c r="X482" s="12" t="n">
        <v>900000</v>
      </c>
      <c r="Y482" s="12" t="n">
        <v>900000</v>
      </c>
      <c r="Z482" s="9" t="n">
        <v>7</v>
      </c>
      <c r="AA482" s="9" t="n">
        <v>7.5</v>
      </c>
      <c r="AB482" s="9" t="n">
        <v>6</v>
      </c>
      <c r="AC482" s="9" t="n">
        <v>8</v>
      </c>
      <c r="AD482" s="9" t="n">
        <v>13</v>
      </c>
      <c r="AE482" s="9" t="n">
        <v>15.5</v>
      </c>
      <c r="AF482" t="n">
        <v>2024</v>
      </c>
      <c r="AH482" t="inlineStr">
        <is>
          <t>Apartment</t>
        </is>
      </c>
      <c r="AI482" t="inlineStr">
        <is>
          <t>SupplySensitiveApartment</t>
        </is>
      </c>
      <c r="AJ482" t="inlineStr">
        <is>
          <t>Established</t>
        </is>
      </c>
      <c r="AK482" t="inlineStr">
        <is>
          <t>Supply-sensitive / selective</t>
        </is>
      </c>
      <c r="AL482" t="inlineStr">
        <is>
          <t>Higher delivery risk in more price-sensitive apartment clusters; building selection and exit liquidity matter.</t>
        </is>
      </c>
      <c r="AM482" s="9" t="n">
        <v>7</v>
      </c>
      <c r="AN482" s="9" t="n">
        <v>7.25</v>
      </c>
      <c r="AO482" s="10" t="n">
        <v>0.55</v>
      </c>
      <c r="AP482" s="13" t="n">
        <v>0</v>
      </c>
      <c r="AQ482" s="13" t="n">
        <v>0</v>
      </c>
      <c r="AR482" s="13" t="n">
        <v>-0.01</v>
      </c>
      <c r="AS482" s="13" t="n">
        <v>-0.01</v>
      </c>
      <c r="AT482" s="13" t="n">
        <v>0</v>
      </c>
      <c r="AU482" s="13" t="n">
        <v>0.0025</v>
      </c>
      <c r="AV482" s="13" t="n">
        <v>-0.005</v>
      </c>
      <c r="AW482" s="13" t="n">
        <v>0.0285</v>
      </c>
      <c r="AX482" s="13" t="n">
        <v>-0.0125</v>
      </c>
      <c r="AY482" s="12" t="n">
        <v>897880</v>
      </c>
      <c r="AZ482" s="12" t="n">
        <v>925650</v>
      </c>
      <c r="BA482" s="12" t="n">
        <v>953420</v>
      </c>
      <c r="BB482" s="12" t="n">
        <v>886310</v>
      </c>
      <c r="BC482" s="12" t="n">
        <v>914079</v>
      </c>
      <c r="BD482" s="12" t="n">
        <v>941849</v>
      </c>
      <c r="BE482" s="12" t="n">
        <v>902653</v>
      </c>
      <c r="BF482" t="inlineStr">
        <is>
          <t>Frozen values from same rules-based model as formula sheet.</t>
        </is>
      </c>
      <c r="BG482" t="inlineStr">
        <is>
          <t>2026-03-17</t>
        </is>
      </c>
      <c r="BH482" t="inlineStr">
        <is>
          <t>DLD / Digital Dubai / CBUAE / Savills / Knight Frank-Moody’s / Reuters</t>
        </is>
      </c>
    </row>
    <row r="483">
      <c r="A483" t="n">
        <v>482</v>
      </c>
      <c r="B483" t="inlineStr">
        <is>
          <t>Le Blanc</t>
        </is>
      </c>
      <c r="C483" t="inlineStr">
        <is>
          <t>Imtiaz Developments</t>
        </is>
      </c>
      <c r="D483" t="inlineStr">
        <is>
          <t>JVC</t>
        </is>
      </c>
      <c r="E483" t="inlineStr">
        <is>
          <t>Apartments</t>
        </is>
      </c>
      <c r="F483" t="inlineStr">
        <is>
          <t>Boutique</t>
        </is>
      </c>
      <c r="G483" t="inlineStr">
        <is>
          <t>Resale</t>
        </is>
      </c>
      <c r="H483" t="inlineStr">
        <is>
          <t>1200</t>
        </is>
      </c>
      <c r="I483" t="inlineStr">
        <is>
          <t>15</t>
        </is>
      </c>
      <c r="J483" t="inlineStr">
        <is>
          <t>Completed</t>
        </is>
      </c>
      <c r="K483" t="inlineStr">
        <is>
          <t>2021</t>
        </is>
      </c>
      <c r="L483" t="inlineStr">
        <is>
          <t>7.5-8.0</t>
        </is>
      </c>
      <c r="M483" t="inlineStr">
        <is>
          <t>5-7</t>
        </is>
      </c>
      <c r="N483" t="inlineStr">
        <is>
          <t>12.5-15.0</t>
        </is>
      </c>
      <c r="O483" t="inlineStr">
        <is>
          <t>JSS International</t>
        </is>
      </c>
      <c r="P483" t="inlineStr">
        <is>
          <t>Saudi German Hospital</t>
        </is>
      </c>
      <c r="Q483" t="inlineStr">
        <is>
          <t>Circle Mall</t>
        </is>
      </c>
      <c r="R483" t="inlineStr">
        <is>
          <t>Hessa St / E44</t>
        </is>
      </c>
      <c r="S483" t="inlineStr">
        <is>
          <t>20</t>
        </is>
      </c>
      <c r="T483" t="inlineStr">
        <is>
          <t>15</t>
        </is>
      </c>
      <c r="U483" t="inlineStr">
        <is>
          <t>25</t>
        </is>
      </c>
      <c r="V483" t="inlineStr">
        <is>
          <t>30</t>
        </is>
      </c>
      <c r="W483" t="n">
        <v>2</v>
      </c>
      <c r="X483" s="12" t="n"/>
      <c r="Y483" s="12" t="n"/>
      <c r="Z483" s="9" t="n">
        <v>7.5</v>
      </c>
      <c r="AA483" s="9" t="n">
        <v>8</v>
      </c>
      <c r="AB483" s="9" t="n">
        <v>5</v>
      </c>
      <c r="AC483" s="9" t="n">
        <v>7</v>
      </c>
      <c r="AD483" s="9" t="n">
        <v>12.5</v>
      </c>
      <c r="AE483" s="9" t="n">
        <v>15</v>
      </c>
      <c r="AF483" t="n">
        <v>2021</v>
      </c>
      <c r="AH483" t="inlineStr">
        <is>
          <t>Apartment</t>
        </is>
      </c>
      <c r="AI483" t="inlineStr">
        <is>
          <t>SupplySensitiveApartment</t>
        </is>
      </c>
      <c r="AJ483" t="inlineStr">
        <is>
          <t>Established</t>
        </is>
      </c>
      <c r="AK483" t="inlineStr">
        <is>
          <t>Supply-sensitive / selective</t>
        </is>
      </c>
      <c r="AL483" t="inlineStr">
        <is>
          <t>Higher delivery risk in more price-sensitive apartment clusters; building selection and exit liquidity matter.</t>
        </is>
      </c>
      <c r="AM483" s="9" t="n">
        <v>6</v>
      </c>
      <c r="AN483" s="9" t="n">
        <v>7.75</v>
      </c>
      <c r="AO483" s="10" t="n">
        <v>0.55</v>
      </c>
      <c r="AP483" s="13" t="n">
        <v>0</v>
      </c>
      <c r="AQ483" s="13" t="n">
        <v>0</v>
      </c>
      <c r="AR483" s="13" t="n">
        <v>-0.01</v>
      </c>
      <c r="AS483" s="13" t="n">
        <v>-0.01</v>
      </c>
      <c r="AT483" s="13" t="n">
        <v>0</v>
      </c>
      <c r="AU483" s="13" t="n">
        <v>0.0025</v>
      </c>
      <c r="AV483" s="13" t="n">
        <v>-0.005</v>
      </c>
      <c r="AW483" s="13" t="n">
        <v>0.023</v>
      </c>
      <c r="AX483" s="13" t="n">
        <v>-0.0125</v>
      </c>
      <c r="AY483" s="12" t="n"/>
      <c r="AZ483" s="12" t="n"/>
      <c r="BA483" s="12" t="n"/>
      <c r="BB483" s="12" t="n"/>
      <c r="BC483" s="12" t="n"/>
      <c r="BD483" s="12" t="n"/>
      <c r="BE483" s="12" t="n"/>
      <c r="BF483" t="inlineStr">
        <is>
          <t>Frozen values from same rules-based model as formula sheet.</t>
        </is>
      </c>
      <c r="BG483" t="inlineStr">
        <is>
          <t>2026-03-17</t>
        </is>
      </c>
      <c r="BH483" t="inlineStr">
        <is>
          <t>DLD / Digital Dubai / CBUAE / Savills / Knight Frank-Moody’s / Reuters</t>
        </is>
      </c>
    </row>
    <row r="484">
      <c r="A484" t="n">
        <v>483</v>
      </c>
      <c r="B484" t="inlineStr">
        <is>
          <t>Peace Lagoons Phase 1</t>
        </is>
      </c>
      <c r="C484" t="inlineStr">
        <is>
          <t>Peace Homes</t>
        </is>
      </c>
      <c r="D484" t="inlineStr">
        <is>
          <t>Dubailand</t>
        </is>
      </c>
      <c r="E484" t="inlineStr">
        <is>
          <t>Apartments</t>
        </is>
      </c>
      <c r="F484" t="inlineStr">
        <is>
          <t>Lagoon View</t>
        </is>
      </c>
      <c r="G484" t="inlineStr">
        <is>
          <t>800k</t>
        </is>
      </c>
      <c r="H484" t="inlineStr">
        <is>
          <t>1000</t>
        </is>
      </c>
      <c r="I484" t="inlineStr">
        <is>
          <t>15</t>
        </is>
      </c>
      <c r="J484" t="inlineStr">
        <is>
          <t>60/40</t>
        </is>
      </c>
      <c r="K484" t="inlineStr">
        <is>
          <t>2024</t>
        </is>
      </c>
      <c r="L484" t="inlineStr">
        <is>
          <t>7.0-7.5</t>
        </is>
      </c>
      <c r="M484" t="inlineStr">
        <is>
          <t>8-10</t>
        </is>
      </c>
      <c r="N484" t="inlineStr">
        <is>
          <t>15.0-17.5</t>
        </is>
      </c>
      <c r="O484" t="inlineStr">
        <is>
          <t>GEMS Winchester</t>
        </is>
      </c>
      <c r="P484" t="inlineStr">
        <is>
          <t>Fakeeh University Hosp</t>
        </is>
      </c>
      <c r="Q484" t="inlineStr">
        <is>
          <t>Dubai Outlet Mall</t>
        </is>
      </c>
      <c r="R484" t="inlineStr">
        <is>
          <t>E611 / Al Ain Rd</t>
        </is>
      </c>
      <c r="S484" t="inlineStr">
        <is>
          <t>20</t>
        </is>
      </c>
      <c r="T484" t="inlineStr">
        <is>
          <t>25</t>
        </is>
      </c>
      <c r="U484" t="inlineStr">
        <is>
          <t>25</t>
        </is>
      </c>
      <c r="V484" t="inlineStr">
        <is>
          <t>30</t>
        </is>
      </c>
      <c r="W484" t="n">
        <v>2</v>
      </c>
      <c r="X484" s="12" t="n">
        <v>800000</v>
      </c>
      <c r="Y484" s="12" t="n">
        <v>800000</v>
      </c>
      <c r="Z484" s="9" t="n">
        <v>7</v>
      </c>
      <c r="AA484" s="9" t="n">
        <v>7.5</v>
      </c>
      <c r="AB484" s="9" t="n">
        <v>8</v>
      </c>
      <c r="AC484" s="9" t="n">
        <v>10</v>
      </c>
      <c r="AD484" s="9" t="n">
        <v>15</v>
      </c>
      <c r="AE484" s="9" t="n">
        <v>17.5</v>
      </c>
      <c r="AF484" t="n">
        <v>2024</v>
      </c>
      <c r="AH484" t="inlineStr">
        <is>
          <t>Apartment</t>
        </is>
      </c>
      <c r="AI484" t="inlineStr">
        <is>
          <t>SupplySensitiveApartment</t>
        </is>
      </c>
      <c r="AJ484" t="inlineStr">
        <is>
          <t>Established</t>
        </is>
      </c>
      <c r="AK484" t="inlineStr">
        <is>
          <t>Supply-sensitive / selective</t>
        </is>
      </c>
      <c r="AL484" t="inlineStr">
        <is>
          <t>Higher delivery risk in more price-sensitive apartment clusters; building selection and exit liquidity matter.</t>
        </is>
      </c>
      <c r="AM484" s="9" t="n">
        <v>9</v>
      </c>
      <c r="AN484" s="9" t="n">
        <v>7.25</v>
      </c>
      <c r="AO484" s="10" t="n">
        <v>0.55</v>
      </c>
      <c r="AP484" s="13" t="n">
        <v>0</v>
      </c>
      <c r="AQ484" s="13" t="n">
        <v>0</v>
      </c>
      <c r="AR484" s="13" t="n">
        <v>-0.01</v>
      </c>
      <c r="AS484" s="13" t="n">
        <v>-0.01</v>
      </c>
      <c r="AT484" s="13" t="n">
        <v>0</v>
      </c>
      <c r="AU484" s="13" t="n">
        <v>0.0025</v>
      </c>
      <c r="AV484" s="13" t="n">
        <v>-0.005</v>
      </c>
      <c r="AW484" s="13" t="n">
        <v>0.0395</v>
      </c>
      <c r="AX484" s="13" t="n">
        <v>-0.0125</v>
      </c>
      <c r="AY484" s="12" t="n">
        <v>806652</v>
      </c>
      <c r="AZ484" s="12" t="n">
        <v>831600</v>
      </c>
      <c r="BA484" s="12" t="n">
        <v>856548</v>
      </c>
      <c r="BB484" s="12" t="n">
        <v>796257</v>
      </c>
      <c r="BC484" s="12" t="n">
        <v>821205</v>
      </c>
      <c r="BD484" s="12" t="n">
        <v>846153</v>
      </c>
      <c r="BE484" s="12" t="n">
        <v>810940</v>
      </c>
      <c r="BF484" t="inlineStr">
        <is>
          <t>Frozen values from same rules-based model as formula sheet.</t>
        </is>
      </c>
      <c r="BG484" t="inlineStr">
        <is>
          <t>2026-03-17</t>
        </is>
      </c>
      <c r="BH484" t="inlineStr">
        <is>
          <t>DLD / Digital Dubai / CBUAE / Savills / Knight Frank-Moody’s / Reuters</t>
        </is>
      </c>
    </row>
    <row r="485">
      <c r="A485" t="n">
        <v>484</v>
      </c>
      <c r="B485" t="inlineStr">
        <is>
          <t>Peace Lagoons Phase 2</t>
        </is>
      </c>
      <c r="C485" t="inlineStr">
        <is>
          <t>Peace Homes</t>
        </is>
      </c>
      <c r="D485" t="inlineStr">
        <is>
          <t>Dubailand</t>
        </is>
      </c>
      <c r="E485" t="inlineStr">
        <is>
          <t>Apartments</t>
        </is>
      </c>
      <c r="F485" t="inlineStr">
        <is>
          <t>Lagoon View</t>
        </is>
      </c>
      <c r="G485" t="inlineStr">
        <is>
          <t>850k</t>
        </is>
      </c>
      <c r="H485" t="inlineStr">
        <is>
          <t>1050</t>
        </is>
      </c>
      <c r="I485" t="inlineStr">
        <is>
          <t>15</t>
        </is>
      </c>
      <c r="J485" t="inlineStr">
        <is>
          <t>60/40</t>
        </is>
      </c>
      <c r="K485" t="inlineStr">
        <is>
          <t>2024</t>
        </is>
      </c>
      <c r="L485" t="inlineStr">
        <is>
          <t>7.0-7.5</t>
        </is>
      </c>
      <c r="M485" t="inlineStr">
        <is>
          <t>8-10</t>
        </is>
      </c>
      <c r="N485" t="inlineStr">
        <is>
          <t>15.0-17.5</t>
        </is>
      </c>
      <c r="O485" t="inlineStr">
        <is>
          <t>GEMS Winchester</t>
        </is>
      </c>
      <c r="P485" t="inlineStr">
        <is>
          <t>Fakeeh University Hosp</t>
        </is>
      </c>
      <c r="Q485" t="inlineStr">
        <is>
          <t>Dubai Outlet Mall</t>
        </is>
      </c>
      <c r="R485" t="inlineStr">
        <is>
          <t>E611 / Al Ain Rd</t>
        </is>
      </c>
      <c r="S485" t="inlineStr">
        <is>
          <t>20</t>
        </is>
      </c>
      <c r="T485" t="inlineStr">
        <is>
          <t>25</t>
        </is>
      </c>
      <c r="U485" t="inlineStr">
        <is>
          <t>25</t>
        </is>
      </c>
      <c r="V485" t="inlineStr">
        <is>
          <t>30</t>
        </is>
      </c>
      <c r="W485" t="n">
        <v>2</v>
      </c>
      <c r="X485" s="12" t="n">
        <v>850000</v>
      </c>
      <c r="Y485" s="12" t="n">
        <v>850000</v>
      </c>
      <c r="Z485" s="9" t="n">
        <v>7</v>
      </c>
      <c r="AA485" s="9" t="n">
        <v>7.5</v>
      </c>
      <c r="AB485" s="9" t="n">
        <v>8</v>
      </c>
      <c r="AC485" s="9" t="n">
        <v>10</v>
      </c>
      <c r="AD485" s="9" t="n">
        <v>15</v>
      </c>
      <c r="AE485" s="9" t="n">
        <v>17.5</v>
      </c>
      <c r="AF485" t="n">
        <v>2024</v>
      </c>
      <c r="AH485" t="inlineStr">
        <is>
          <t>Apartment</t>
        </is>
      </c>
      <c r="AI485" t="inlineStr">
        <is>
          <t>SupplySensitiveApartment</t>
        </is>
      </c>
      <c r="AJ485" t="inlineStr">
        <is>
          <t>Established</t>
        </is>
      </c>
      <c r="AK485" t="inlineStr">
        <is>
          <t>Supply-sensitive / selective</t>
        </is>
      </c>
      <c r="AL485" t="inlineStr">
        <is>
          <t>Higher delivery risk in more price-sensitive apartment clusters; building selection and exit liquidity matter.</t>
        </is>
      </c>
      <c r="AM485" s="9" t="n">
        <v>9</v>
      </c>
      <c r="AN485" s="9" t="n">
        <v>7.25</v>
      </c>
      <c r="AO485" s="10" t="n">
        <v>0.55</v>
      </c>
      <c r="AP485" s="13" t="n">
        <v>0</v>
      </c>
      <c r="AQ485" s="13" t="n">
        <v>0</v>
      </c>
      <c r="AR485" s="13" t="n">
        <v>-0.01</v>
      </c>
      <c r="AS485" s="13" t="n">
        <v>-0.01</v>
      </c>
      <c r="AT485" s="13" t="n">
        <v>0</v>
      </c>
      <c r="AU485" s="13" t="n">
        <v>0.0025</v>
      </c>
      <c r="AV485" s="13" t="n">
        <v>-0.005</v>
      </c>
      <c r="AW485" s="13" t="n">
        <v>0.0395</v>
      </c>
      <c r="AX485" s="13" t="n">
        <v>-0.0125</v>
      </c>
      <c r="AY485" s="12" t="n">
        <v>857068</v>
      </c>
      <c r="AZ485" s="12" t="n">
        <v>883575</v>
      </c>
      <c r="BA485" s="12" t="n">
        <v>910082</v>
      </c>
      <c r="BB485" s="12" t="n">
        <v>846023</v>
      </c>
      <c r="BC485" s="12" t="n">
        <v>872530</v>
      </c>
      <c r="BD485" s="12" t="n">
        <v>899038</v>
      </c>
      <c r="BE485" s="12" t="n">
        <v>861624</v>
      </c>
      <c r="BF485" t="inlineStr">
        <is>
          <t>Frozen values from same rules-based model as formula sheet.</t>
        </is>
      </c>
      <c r="BG485" t="inlineStr">
        <is>
          <t>2026-03-17</t>
        </is>
      </c>
      <c r="BH485" t="inlineStr">
        <is>
          <t>DLD / Digital Dubai / CBUAE / Savills / Knight Frank-Moody’s / Reuters</t>
        </is>
      </c>
    </row>
    <row r="486">
      <c r="A486" t="n">
        <v>485</v>
      </c>
      <c r="B486" t="inlineStr">
        <is>
          <t>Sky Living</t>
        </is>
      </c>
      <c r="C486" t="inlineStr">
        <is>
          <t>Peace Homes</t>
        </is>
      </c>
      <c r="D486" t="inlineStr">
        <is>
          <t>JVC</t>
        </is>
      </c>
      <c r="E486" t="inlineStr">
        <is>
          <t>Apartments</t>
        </is>
      </c>
      <c r="F486" t="inlineStr">
        <is>
          <t>High-Rise</t>
        </is>
      </c>
      <c r="G486" t="inlineStr">
        <is>
          <t>900k</t>
        </is>
      </c>
      <c r="H486" t="inlineStr">
        <is>
          <t>1200</t>
        </is>
      </c>
      <c r="I486" t="inlineStr">
        <is>
          <t>15</t>
        </is>
      </c>
      <c r="J486" t="inlineStr">
        <is>
          <t>60/40</t>
        </is>
      </c>
      <c r="K486" t="inlineStr">
        <is>
          <t>2023</t>
        </is>
      </c>
      <c r="L486" t="inlineStr">
        <is>
          <t>7.5-8.0</t>
        </is>
      </c>
      <c r="M486" t="inlineStr">
        <is>
          <t>6-8</t>
        </is>
      </c>
      <c r="N486" t="inlineStr">
        <is>
          <t>13.5-16.0</t>
        </is>
      </c>
      <c r="O486" t="inlineStr">
        <is>
          <t>JSS International</t>
        </is>
      </c>
      <c r="P486" t="inlineStr">
        <is>
          <t>Saudi German Hospital</t>
        </is>
      </c>
      <c r="Q486" t="inlineStr">
        <is>
          <t>Circle Mall</t>
        </is>
      </c>
      <c r="R486" t="inlineStr">
        <is>
          <t>Hessa St / E44</t>
        </is>
      </c>
      <c r="S486" t="inlineStr">
        <is>
          <t>20</t>
        </is>
      </c>
      <c r="T486" t="inlineStr">
        <is>
          <t>15</t>
        </is>
      </c>
      <c r="U486" t="inlineStr">
        <is>
          <t>25</t>
        </is>
      </c>
      <c r="V486" t="inlineStr">
        <is>
          <t>30</t>
        </is>
      </c>
      <c r="W486" t="n">
        <v>2</v>
      </c>
      <c r="X486" s="12" t="n">
        <v>900000</v>
      </c>
      <c r="Y486" s="12" t="n">
        <v>900000</v>
      </c>
      <c r="Z486" s="9" t="n">
        <v>7.5</v>
      </c>
      <c r="AA486" s="9" t="n">
        <v>8</v>
      </c>
      <c r="AB486" s="9" t="n">
        <v>6</v>
      </c>
      <c r="AC486" s="9" t="n">
        <v>8</v>
      </c>
      <c r="AD486" s="9" t="n">
        <v>13.5</v>
      </c>
      <c r="AE486" s="9" t="n">
        <v>16</v>
      </c>
      <c r="AF486" t="n">
        <v>2023</v>
      </c>
      <c r="AH486" t="inlineStr">
        <is>
          <t>Apartment</t>
        </is>
      </c>
      <c r="AI486" t="inlineStr">
        <is>
          <t>SupplySensitiveApartment</t>
        </is>
      </c>
      <c r="AJ486" t="inlineStr">
        <is>
          <t>Established</t>
        </is>
      </c>
      <c r="AK486" t="inlineStr">
        <is>
          <t>Supply-sensitive / selective</t>
        </is>
      </c>
      <c r="AL486" t="inlineStr">
        <is>
          <t>Higher delivery risk in more price-sensitive apartment clusters; building selection and exit liquidity matter.</t>
        </is>
      </c>
      <c r="AM486" s="9" t="n">
        <v>7</v>
      </c>
      <c r="AN486" s="9" t="n">
        <v>7.75</v>
      </c>
      <c r="AO486" s="10" t="n">
        <v>0.55</v>
      </c>
      <c r="AP486" s="13" t="n">
        <v>0</v>
      </c>
      <c r="AQ486" s="13" t="n">
        <v>0</v>
      </c>
      <c r="AR486" s="13" t="n">
        <v>-0.01</v>
      </c>
      <c r="AS486" s="13" t="n">
        <v>-0.01</v>
      </c>
      <c r="AT486" s="13" t="n">
        <v>0</v>
      </c>
      <c r="AU486" s="13" t="n">
        <v>0.0025</v>
      </c>
      <c r="AV486" s="13" t="n">
        <v>-0.005</v>
      </c>
      <c r="AW486" s="13" t="n">
        <v>0.0285</v>
      </c>
      <c r="AX486" s="13" t="n">
        <v>-0.0125</v>
      </c>
      <c r="AY486" s="12" t="n">
        <v>897880</v>
      </c>
      <c r="AZ486" s="12" t="n">
        <v>925650</v>
      </c>
      <c r="BA486" s="12" t="n">
        <v>953420</v>
      </c>
      <c r="BB486" s="12" t="n">
        <v>886310</v>
      </c>
      <c r="BC486" s="12" t="n">
        <v>914079</v>
      </c>
      <c r="BD486" s="12" t="n">
        <v>941849</v>
      </c>
      <c r="BE486" s="12" t="n">
        <v>902653</v>
      </c>
      <c r="BF486" t="inlineStr">
        <is>
          <t>Frozen values from same rules-based model as formula sheet.</t>
        </is>
      </c>
      <c r="BG486" t="inlineStr">
        <is>
          <t>2026-03-17</t>
        </is>
      </c>
      <c r="BH486" t="inlineStr">
        <is>
          <t>DLD / Digital Dubai / CBUAE / Savills / Knight Frank-Moody’s / Reuters</t>
        </is>
      </c>
    </row>
    <row r="487">
      <c r="A487" t="n">
        <v>486</v>
      </c>
      <c r="B487" t="inlineStr">
        <is>
          <t>Sky Suites</t>
        </is>
      </c>
      <c r="C487" t="inlineStr">
        <is>
          <t>Peace Homes</t>
        </is>
      </c>
      <c r="D487" t="inlineStr">
        <is>
          <t>JVC</t>
        </is>
      </c>
      <c r="E487" t="inlineStr">
        <is>
          <t>Apartments</t>
        </is>
      </c>
      <c r="F487" t="inlineStr">
        <is>
          <t>High-Rise</t>
        </is>
      </c>
      <c r="G487" t="inlineStr">
        <is>
          <t>900k</t>
        </is>
      </c>
      <c r="H487" t="inlineStr">
        <is>
          <t>1200</t>
        </is>
      </c>
      <c r="I487" t="inlineStr">
        <is>
          <t>15</t>
        </is>
      </c>
      <c r="J487" t="inlineStr">
        <is>
          <t>60/40</t>
        </is>
      </c>
      <c r="K487" t="inlineStr">
        <is>
          <t>2023</t>
        </is>
      </c>
      <c r="L487" t="inlineStr">
        <is>
          <t>7.5-8.0</t>
        </is>
      </c>
      <c r="M487" t="inlineStr">
        <is>
          <t>6-8</t>
        </is>
      </c>
      <c r="N487" t="inlineStr">
        <is>
          <t>13.5-16.0</t>
        </is>
      </c>
      <c r="O487" t="inlineStr">
        <is>
          <t>JSS International</t>
        </is>
      </c>
      <c r="P487" t="inlineStr">
        <is>
          <t>Saudi German Hospital</t>
        </is>
      </c>
      <c r="Q487" t="inlineStr">
        <is>
          <t>Circle Mall</t>
        </is>
      </c>
      <c r="R487" t="inlineStr">
        <is>
          <t>Hessa St / E44</t>
        </is>
      </c>
      <c r="S487" t="inlineStr">
        <is>
          <t>20</t>
        </is>
      </c>
      <c r="T487" t="inlineStr">
        <is>
          <t>15</t>
        </is>
      </c>
      <c r="U487" t="inlineStr">
        <is>
          <t>25</t>
        </is>
      </c>
      <c r="V487" t="inlineStr">
        <is>
          <t>30</t>
        </is>
      </c>
      <c r="W487" t="n">
        <v>2</v>
      </c>
      <c r="X487" s="12" t="n">
        <v>900000</v>
      </c>
      <c r="Y487" s="12" t="n">
        <v>900000</v>
      </c>
      <c r="Z487" s="9" t="n">
        <v>7.5</v>
      </c>
      <c r="AA487" s="9" t="n">
        <v>8</v>
      </c>
      <c r="AB487" s="9" t="n">
        <v>6</v>
      </c>
      <c r="AC487" s="9" t="n">
        <v>8</v>
      </c>
      <c r="AD487" s="9" t="n">
        <v>13.5</v>
      </c>
      <c r="AE487" s="9" t="n">
        <v>16</v>
      </c>
      <c r="AF487" t="n">
        <v>2023</v>
      </c>
      <c r="AH487" t="inlineStr">
        <is>
          <t>Apartment</t>
        </is>
      </c>
      <c r="AI487" t="inlineStr">
        <is>
          <t>SupplySensitiveApartment</t>
        </is>
      </c>
      <c r="AJ487" t="inlineStr">
        <is>
          <t>Established</t>
        </is>
      </c>
      <c r="AK487" t="inlineStr">
        <is>
          <t>Supply-sensitive / selective</t>
        </is>
      </c>
      <c r="AL487" t="inlineStr">
        <is>
          <t>Higher delivery risk in more price-sensitive apartment clusters; building selection and exit liquidity matter.</t>
        </is>
      </c>
      <c r="AM487" s="9" t="n">
        <v>7</v>
      </c>
      <c r="AN487" s="9" t="n">
        <v>7.75</v>
      </c>
      <c r="AO487" s="10" t="n">
        <v>0.55</v>
      </c>
      <c r="AP487" s="13" t="n">
        <v>0</v>
      </c>
      <c r="AQ487" s="13" t="n">
        <v>0</v>
      </c>
      <c r="AR487" s="13" t="n">
        <v>-0.01</v>
      </c>
      <c r="AS487" s="13" t="n">
        <v>-0.01</v>
      </c>
      <c r="AT487" s="13" t="n">
        <v>0</v>
      </c>
      <c r="AU487" s="13" t="n">
        <v>0.0025</v>
      </c>
      <c r="AV487" s="13" t="n">
        <v>-0.005</v>
      </c>
      <c r="AW487" s="13" t="n">
        <v>0.0285</v>
      </c>
      <c r="AX487" s="13" t="n">
        <v>-0.0125</v>
      </c>
      <c r="AY487" s="12" t="n">
        <v>897880</v>
      </c>
      <c r="AZ487" s="12" t="n">
        <v>925650</v>
      </c>
      <c r="BA487" s="12" t="n">
        <v>953420</v>
      </c>
      <c r="BB487" s="12" t="n">
        <v>886310</v>
      </c>
      <c r="BC487" s="12" t="n">
        <v>914079</v>
      </c>
      <c r="BD487" s="12" t="n">
        <v>941849</v>
      </c>
      <c r="BE487" s="12" t="n">
        <v>902653</v>
      </c>
      <c r="BF487" t="inlineStr">
        <is>
          <t>Frozen values from same rules-based model as formula sheet.</t>
        </is>
      </c>
      <c r="BG487" t="inlineStr">
        <is>
          <t>2026-03-17</t>
        </is>
      </c>
      <c r="BH487" t="inlineStr">
        <is>
          <t>DLD / Digital Dubai / CBUAE / Savills / Knight Frank-Moody’s / Reuters</t>
        </is>
      </c>
    </row>
    <row r="488">
      <c r="A488" t="n">
        <v>487</v>
      </c>
      <c r="B488" t="inlineStr">
        <is>
          <t>Sky Vista</t>
        </is>
      </c>
      <c r="C488" t="inlineStr">
        <is>
          <t>Peace Homes</t>
        </is>
      </c>
      <c r="D488" t="inlineStr">
        <is>
          <t>JVC</t>
        </is>
      </c>
      <c r="E488" t="inlineStr">
        <is>
          <t>Apartments</t>
        </is>
      </c>
      <c r="F488" t="inlineStr">
        <is>
          <t>High-Rise</t>
        </is>
      </c>
      <c r="G488" t="inlineStr">
        <is>
          <t>900k</t>
        </is>
      </c>
      <c r="H488" t="inlineStr">
        <is>
          <t>1200</t>
        </is>
      </c>
      <c r="I488" t="inlineStr">
        <is>
          <t>15</t>
        </is>
      </c>
      <c r="J488" t="inlineStr">
        <is>
          <t>60/40</t>
        </is>
      </c>
      <c r="K488" t="inlineStr">
        <is>
          <t>2023</t>
        </is>
      </c>
      <c r="L488" t="inlineStr">
        <is>
          <t>7.5-8.0</t>
        </is>
      </c>
      <c r="M488" t="inlineStr">
        <is>
          <t>6-8</t>
        </is>
      </c>
      <c r="N488" t="inlineStr">
        <is>
          <t>13.5-16.0</t>
        </is>
      </c>
      <c r="O488" t="inlineStr">
        <is>
          <t>JSS International</t>
        </is>
      </c>
      <c r="P488" t="inlineStr">
        <is>
          <t>Saudi German Hospital</t>
        </is>
      </c>
      <c r="Q488" t="inlineStr">
        <is>
          <t>Circle Mall</t>
        </is>
      </c>
      <c r="R488" t="inlineStr">
        <is>
          <t>Hessa St / E44</t>
        </is>
      </c>
      <c r="S488" t="inlineStr">
        <is>
          <t>20</t>
        </is>
      </c>
      <c r="T488" t="inlineStr">
        <is>
          <t>15</t>
        </is>
      </c>
      <c r="U488" t="inlineStr">
        <is>
          <t>25</t>
        </is>
      </c>
      <c r="V488" t="inlineStr">
        <is>
          <t>30</t>
        </is>
      </c>
      <c r="W488" t="n">
        <v>2</v>
      </c>
      <c r="X488" s="12" t="n">
        <v>900000</v>
      </c>
      <c r="Y488" s="12" t="n">
        <v>900000</v>
      </c>
      <c r="Z488" s="9" t="n">
        <v>7.5</v>
      </c>
      <c r="AA488" s="9" t="n">
        <v>8</v>
      </c>
      <c r="AB488" s="9" t="n">
        <v>6</v>
      </c>
      <c r="AC488" s="9" t="n">
        <v>8</v>
      </c>
      <c r="AD488" s="9" t="n">
        <v>13.5</v>
      </c>
      <c r="AE488" s="9" t="n">
        <v>16</v>
      </c>
      <c r="AF488" t="n">
        <v>2023</v>
      </c>
      <c r="AH488" t="inlineStr">
        <is>
          <t>Apartment</t>
        </is>
      </c>
      <c r="AI488" t="inlineStr">
        <is>
          <t>SupplySensitiveApartment</t>
        </is>
      </c>
      <c r="AJ488" t="inlineStr">
        <is>
          <t>Established</t>
        </is>
      </c>
      <c r="AK488" t="inlineStr">
        <is>
          <t>Supply-sensitive / selective</t>
        </is>
      </c>
      <c r="AL488" t="inlineStr">
        <is>
          <t>Higher delivery risk in more price-sensitive apartment clusters; building selection and exit liquidity matter.</t>
        </is>
      </c>
      <c r="AM488" s="9" t="n">
        <v>7</v>
      </c>
      <c r="AN488" s="9" t="n">
        <v>7.75</v>
      </c>
      <c r="AO488" s="10" t="n">
        <v>0.55</v>
      </c>
      <c r="AP488" s="13" t="n">
        <v>0</v>
      </c>
      <c r="AQ488" s="13" t="n">
        <v>0</v>
      </c>
      <c r="AR488" s="13" t="n">
        <v>-0.01</v>
      </c>
      <c r="AS488" s="13" t="n">
        <v>-0.01</v>
      </c>
      <c r="AT488" s="13" t="n">
        <v>0</v>
      </c>
      <c r="AU488" s="13" t="n">
        <v>0.0025</v>
      </c>
      <c r="AV488" s="13" t="n">
        <v>-0.005</v>
      </c>
      <c r="AW488" s="13" t="n">
        <v>0.0285</v>
      </c>
      <c r="AX488" s="13" t="n">
        <v>-0.0125</v>
      </c>
      <c r="AY488" s="12" t="n">
        <v>897880</v>
      </c>
      <c r="AZ488" s="12" t="n">
        <v>925650</v>
      </c>
      <c r="BA488" s="12" t="n">
        <v>953420</v>
      </c>
      <c r="BB488" s="12" t="n">
        <v>886310</v>
      </c>
      <c r="BC488" s="12" t="n">
        <v>914079</v>
      </c>
      <c r="BD488" s="12" t="n">
        <v>941849</v>
      </c>
      <c r="BE488" s="12" t="n">
        <v>902653</v>
      </c>
      <c r="BF488" t="inlineStr">
        <is>
          <t>Frozen values from same rules-based model as formula sheet.</t>
        </is>
      </c>
      <c r="BG488" t="inlineStr">
        <is>
          <t>2026-03-17</t>
        </is>
      </c>
      <c r="BH488" t="inlineStr">
        <is>
          <t>DLD / Digital Dubai / CBUAE / Savills / Knight Frank-Moody’s / Reuters</t>
        </is>
      </c>
    </row>
    <row r="489">
      <c r="A489" t="n">
        <v>488</v>
      </c>
      <c r="B489" t="inlineStr">
        <is>
          <t>Empire Suites</t>
        </is>
      </c>
      <c r="C489" t="inlineStr">
        <is>
          <t>Peace Homes</t>
        </is>
      </c>
      <c r="D489" t="inlineStr">
        <is>
          <t>JVC</t>
        </is>
      </c>
      <c r="E489" t="inlineStr">
        <is>
          <t>Hotel Apts</t>
        </is>
      </c>
      <c r="F489" t="inlineStr">
        <is>
          <t>Luxury / Service</t>
        </is>
      </c>
      <c r="G489" t="inlineStr">
        <is>
          <t>1.1M</t>
        </is>
      </c>
      <c r="H489" t="inlineStr">
        <is>
          <t>1300</t>
        </is>
      </c>
      <c r="I489" t="inlineStr">
        <is>
          <t>18</t>
        </is>
      </c>
      <c r="J489" t="inlineStr">
        <is>
          <t>60/40</t>
        </is>
      </c>
      <c r="K489" t="inlineStr">
        <is>
          <t>2023</t>
        </is>
      </c>
      <c r="L489" t="inlineStr">
        <is>
          <t>8.0-9.0</t>
        </is>
      </c>
      <c r="M489" t="inlineStr">
        <is>
          <t>6-8</t>
        </is>
      </c>
      <c r="N489" t="inlineStr">
        <is>
          <t>14.0-17.0</t>
        </is>
      </c>
      <c r="O489" t="inlineStr">
        <is>
          <t>JSS International</t>
        </is>
      </c>
      <c r="P489" t="inlineStr">
        <is>
          <t>Saudi German Hospital</t>
        </is>
      </c>
      <c r="Q489" t="inlineStr">
        <is>
          <t>Circle Mall</t>
        </is>
      </c>
      <c r="R489" t="inlineStr">
        <is>
          <t>Hessa St / E44</t>
        </is>
      </c>
      <c r="S489" t="inlineStr">
        <is>
          <t>20</t>
        </is>
      </c>
      <c r="T489" t="inlineStr">
        <is>
          <t>15</t>
        </is>
      </c>
      <c r="U489" t="inlineStr">
        <is>
          <t>25</t>
        </is>
      </c>
      <c r="V489" t="inlineStr">
        <is>
          <t>30</t>
        </is>
      </c>
      <c r="W489" t="n">
        <v>2</v>
      </c>
      <c r="X489" s="12" t="n">
        <v>1100000</v>
      </c>
      <c r="Y489" s="12" t="n">
        <v>1100000</v>
      </c>
      <c r="Z489" s="9" t="n">
        <v>8</v>
      </c>
      <c r="AA489" s="9" t="n">
        <v>9</v>
      </c>
      <c r="AB489" s="9" t="n">
        <v>6</v>
      </c>
      <c r="AC489" s="9" t="n">
        <v>8</v>
      </c>
      <c r="AD489" s="9" t="n">
        <v>14</v>
      </c>
      <c r="AE489" s="9" t="n">
        <v>17</v>
      </c>
      <c r="AF489" t="n">
        <v>2023</v>
      </c>
      <c r="AH489" t="inlineStr">
        <is>
          <t>Apartment</t>
        </is>
      </c>
      <c r="AI489" t="inlineStr">
        <is>
          <t>SupplySensitiveApartment</t>
        </is>
      </c>
      <c r="AJ489" t="inlineStr">
        <is>
          <t>Established</t>
        </is>
      </c>
      <c r="AK489" t="inlineStr">
        <is>
          <t>Supply-sensitive / selective</t>
        </is>
      </c>
      <c r="AL489" t="inlineStr">
        <is>
          <t>Higher delivery risk in more price-sensitive apartment clusters; building selection and exit liquidity matter.</t>
        </is>
      </c>
      <c r="AM489" s="9" t="n">
        <v>7</v>
      </c>
      <c r="AN489" s="9" t="n">
        <v>8.5</v>
      </c>
      <c r="AO489" s="10" t="n">
        <v>0.55</v>
      </c>
      <c r="AP489" s="13" t="n">
        <v>0</v>
      </c>
      <c r="AQ489" s="13" t="n">
        <v>0</v>
      </c>
      <c r="AR489" s="13" t="n">
        <v>-0.01</v>
      </c>
      <c r="AS489" s="13" t="n">
        <v>-0.01</v>
      </c>
      <c r="AT489" s="13" t="n">
        <v>0</v>
      </c>
      <c r="AU489" s="13" t="n">
        <v>0.0025</v>
      </c>
      <c r="AV489" s="13" t="n">
        <v>-0.005</v>
      </c>
      <c r="AW489" s="13" t="n">
        <v>0.0285</v>
      </c>
      <c r="AX489" s="13" t="n">
        <v>-0.0125</v>
      </c>
      <c r="AY489" s="12" t="n">
        <v>1097410</v>
      </c>
      <c r="AZ489" s="12" t="n">
        <v>1131350</v>
      </c>
      <c r="BA489" s="12" t="n">
        <v>1165290</v>
      </c>
      <c r="BB489" s="12" t="n">
        <v>1083268</v>
      </c>
      <c r="BC489" s="12" t="n">
        <v>1117208</v>
      </c>
      <c r="BD489" s="12" t="n">
        <v>1151149</v>
      </c>
      <c r="BE489" s="12" t="n">
        <v>1103243</v>
      </c>
      <c r="BF489" t="inlineStr">
        <is>
          <t>Frozen values from same rules-based model as formula sheet.</t>
        </is>
      </c>
      <c r="BG489" t="inlineStr">
        <is>
          <t>2026-03-17</t>
        </is>
      </c>
      <c r="BH489" t="inlineStr">
        <is>
          <t>DLD / Digital Dubai / CBUAE / Savills / Knight Frank-Moody’s / Reuters</t>
        </is>
      </c>
    </row>
    <row r="490">
      <c r="A490" t="n">
        <v>489</v>
      </c>
      <c r="B490" t="inlineStr">
        <is>
          <t>Empire Livings</t>
        </is>
      </c>
      <c r="C490" t="inlineStr">
        <is>
          <t>Peace Homes</t>
        </is>
      </c>
      <c r="D490" t="inlineStr">
        <is>
          <t>Dubai Science Park</t>
        </is>
      </c>
      <c r="E490" t="inlineStr">
        <is>
          <t>Apartments</t>
        </is>
      </c>
      <c r="F490" t="inlineStr">
        <is>
          <t>Tech / Modern</t>
        </is>
      </c>
      <c r="G490" t="inlineStr">
        <is>
          <t>800k</t>
        </is>
      </c>
      <c r="H490" t="inlineStr">
        <is>
          <t>1100</t>
        </is>
      </c>
      <c r="I490" t="inlineStr">
        <is>
          <t>15</t>
        </is>
      </c>
      <c r="J490" t="inlineStr">
        <is>
          <t>60/40</t>
        </is>
      </c>
      <c r="K490" t="inlineStr">
        <is>
          <t>2024</t>
        </is>
      </c>
      <c r="L490" t="inlineStr">
        <is>
          <t>7.0-7.5</t>
        </is>
      </c>
      <c r="M490" t="inlineStr">
        <is>
          <t>7-9</t>
        </is>
      </c>
      <c r="N490" t="inlineStr">
        <is>
          <t>14.0-16.5</t>
        </is>
      </c>
      <c r="O490" t="inlineStr">
        <is>
          <t>GEMS Founders</t>
        </is>
      </c>
      <c r="P490" t="inlineStr">
        <is>
          <t>Mediclinic Parkview</t>
        </is>
      </c>
      <c r="Q490" t="inlineStr">
        <is>
          <t>Dubai Hills Mall</t>
        </is>
      </c>
      <c r="R490" t="inlineStr">
        <is>
          <t>Umm Suqeim / E44</t>
        </is>
      </c>
      <c r="S490" t="inlineStr">
        <is>
          <t>20</t>
        </is>
      </c>
      <c r="T490" t="inlineStr">
        <is>
          <t>20</t>
        </is>
      </c>
      <c r="U490" t="inlineStr">
        <is>
          <t>25</t>
        </is>
      </c>
      <c r="V490" t="inlineStr">
        <is>
          <t>30</t>
        </is>
      </c>
      <c r="W490" t="n">
        <v>2</v>
      </c>
      <c r="X490" s="12" t="n">
        <v>800000</v>
      </c>
      <c r="Y490" s="12" t="n">
        <v>800000</v>
      </c>
      <c r="Z490" s="9" t="n">
        <v>7</v>
      </c>
      <c r="AA490" s="9" t="n">
        <v>7.5</v>
      </c>
      <c r="AB490" s="9" t="n">
        <v>7</v>
      </c>
      <c r="AC490" s="9" t="n">
        <v>9</v>
      </c>
      <c r="AD490" s="9" t="n">
        <v>14</v>
      </c>
      <c r="AE490" s="9" t="n">
        <v>16.5</v>
      </c>
      <c r="AF490" t="n">
        <v>2024</v>
      </c>
      <c r="AH490" t="inlineStr">
        <is>
          <t>Apartment</t>
        </is>
      </c>
      <c r="AI490" t="inlineStr">
        <is>
          <t>MainstreamSelective</t>
        </is>
      </c>
      <c r="AJ490" t="inlineStr">
        <is>
          <t>Established</t>
        </is>
      </c>
      <c r="AK490" t="inlineStr">
        <is>
          <t>Balanced / selective</t>
        </is>
      </c>
      <c r="AL490" t="inlineStr">
        <is>
          <t>Market remains active but increasingly differentiated by developer, micro-location, livability, and pricing discipline.</t>
        </is>
      </c>
      <c r="AM490" s="9" t="n">
        <v>8</v>
      </c>
      <c r="AN490" s="9" t="n">
        <v>7.25</v>
      </c>
      <c r="AO490" s="10" t="n">
        <v>0.55</v>
      </c>
      <c r="AP490" s="13" t="n">
        <v>0</v>
      </c>
      <c r="AQ490" s="13" t="n">
        <v>0</v>
      </c>
      <c r="AR490" s="13" t="n">
        <v>0</v>
      </c>
      <c r="AS490" s="13" t="n">
        <v>0.01</v>
      </c>
      <c r="AT490" s="13" t="n">
        <v>0</v>
      </c>
      <c r="AU490" s="13" t="n">
        <v>0.0025</v>
      </c>
      <c r="AV490" s="13" t="n">
        <v>-0.005</v>
      </c>
      <c r="AW490" s="13" t="n">
        <v>0.044</v>
      </c>
      <c r="AX490" s="13" t="n">
        <v>0.007500000000000001</v>
      </c>
      <c r="AY490" s="12" t="n">
        <v>810144</v>
      </c>
      <c r="AZ490" s="12" t="n">
        <v>835200</v>
      </c>
      <c r="BA490" s="12" t="n">
        <v>860256</v>
      </c>
      <c r="BB490" s="12" t="n">
        <v>816408</v>
      </c>
      <c r="BC490" s="12" t="n">
        <v>841464</v>
      </c>
      <c r="BD490" s="12" t="n">
        <v>866520</v>
      </c>
      <c r="BE490" s="12" t="n">
        <v>847775</v>
      </c>
      <c r="BF490" t="inlineStr">
        <is>
          <t>Frozen values from same rules-based model as formula sheet.</t>
        </is>
      </c>
      <c r="BG490" t="inlineStr">
        <is>
          <t>2026-03-17</t>
        </is>
      </c>
      <c r="BH490" t="inlineStr">
        <is>
          <t>DLD / Digital Dubai / CBUAE / Savills / Knight Frank-Moody’s / Reuters</t>
        </is>
      </c>
    </row>
    <row r="491">
      <c r="A491" t="n">
        <v>490</v>
      </c>
      <c r="B491" t="inlineStr">
        <is>
          <t>Empire Estates</t>
        </is>
      </c>
      <c r="C491" t="inlineStr">
        <is>
          <t>Peace Homes</t>
        </is>
      </c>
      <c r="D491" t="inlineStr">
        <is>
          <t>Arjan</t>
        </is>
      </c>
      <c r="E491" t="inlineStr">
        <is>
          <t>Apartments</t>
        </is>
      </c>
      <c r="F491" t="inlineStr">
        <is>
          <t>Family</t>
        </is>
      </c>
      <c r="G491" t="inlineStr">
        <is>
          <t>850k</t>
        </is>
      </c>
      <c r="H491" t="inlineStr">
        <is>
          <t>1100</t>
        </is>
      </c>
      <c r="I491" t="inlineStr">
        <is>
          <t>15</t>
        </is>
      </c>
      <c r="J491" t="inlineStr">
        <is>
          <t>60/40</t>
        </is>
      </c>
      <c r="K491" t="inlineStr">
        <is>
          <t>2023</t>
        </is>
      </c>
      <c r="L491" t="inlineStr">
        <is>
          <t>7.5-8.0</t>
        </is>
      </c>
      <c r="M491" t="inlineStr">
        <is>
          <t>6-8</t>
        </is>
      </c>
      <c r="N491" t="inlineStr">
        <is>
          <t>13.5-16.0</t>
        </is>
      </c>
      <c r="O491" t="inlineStr">
        <is>
          <t>Nord Anglia</t>
        </is>
      </c>
      <c r="P491" t="inlineStr">
        <is>
          <t>Mediclinic Parkview</t>
        </is>
      </c>
      <c r="Q491" t="inlineStr">
        <is>
          <t>Dubai Hills Mall</t>
        </is>
      </c>
      <c r="R491" t="inlineStr">
        <is>
          <t>Umm Suqeim / E311</t>
        </is>
      </c>
      <c r="S491" t="inlineStr">
        <is>
          <t>20</t>
        </is>
      </c>
      <c r="T491" t="inlineStr">
        <is>
          <t>20</t>
        </is>
      </c>
      <c r="U491" t="inlineStr">
        <is>
          <t>30</t>
        </is>
      </c>
      <c r="V491" t="inlineStr">
        <is>
          <t>25</t>
        </is>
      </c>
      <c r="W491" t="n">
        <v>2</v>
      </c>
      <c r="X491" s="12" t="n">
        <v>850000</v>
      </c>
      <c r="Y491" s="12" t="n">
        <v>850000</v>
      </c>
      <c r="Z491" s="9" t="n">
        <v>7.5</v>
      </c>
      <c r="AA491" s="9" t="n">
        <v>8</v>
      </c>
      <c r="AB491" s="9" t="n">
        <v>6</v>
      </c>
      <c r="AC491" s="9" t="n">
        <v>8</v>
      </c>
      <c r="AD491" s="9" t="n">
        <v>13.5</v>
      </c>
      <c r="AE491" s="9" t="n">
        <v>16</v>
      </c>
      <c r="AF491" t="n">
        <v>2023</v>
      </c>
      <c r="AH491" t="inlineStr">
        <is>
          <t>Apartment</t>
        </is>
      </c>
      <c r="AI491" t="inlineStr">
        <is>
          <t>SupplySensitiveApartment</t>
        </is>
      </c>
      <c r="AJ491" t="inlineStr">
        <is>
          <t>Established</t>
        </is>
      </c>
      <c r="AK491" t="inlineStr">
        <is>
          <t>Supply-sensitive / selective</t>
        </is>
      </c>
      <c r="AL491" t="inlineStr">
        <is>
          <t>Higher delivery risk in more price-sensitive apartment clusters; building selection and exit liquidity matter.</t>
        </is>
      </c>
      <c r="AM491" s="9" t="n">
        <v>7</v>
      </c>
      <c r="AN491" s="9" t="n">
        <v>7.75</v>
      </c>
      <c r="AO491" s="10" t="n">
        <v>0.55</v>
      </c>
      <c r="AP491" s="13" t="n">
        <v>0</v>
      </c>
      <c r="AQ491" s="13" t="n">
        <v>0</v>
      </c>
      <c r="AR491" s="13" t="n">
        <v>-0.01</v>
      </c>
      <c r="AS491" s="13" t="n">
        <v>-0.01</v>
      </c>
      <c r="AT491" s="13" t="n">
        <v>0</v>
      </c>
      <c r="AU491" s="13" t="n">
        <v>0.0025</v>
      </c>
      <c r="AV491" s="13" t="n">
        <v>-0.005</v>
      </c>
      <c r="AW491" s="13" t="n">
        <v>0.0285</v>
      </c>
      <c r="AX491" s="13" t="n">
        <v>-0.0125</v>
      </c>
      <c r="AY491" s="12" t="n">
        <v>847998</v>
      </c>
      <c r="AZ491" s="12" t="n">
        <v>874225</v>
      </c>
      <c r="BA491" s="12" t="n">
        <v>900452</v>
      </c>
      <c r="BB491" s="12" t="n">
        <v>837070</v>
      </c>
      <c r="BC491" s="12" t="n">
        <v>863297</v>
      </c>
      <c r="BD491" s="12" t="n">
        <v>889524</v>
      </c>
      <c r="BE491" s="12" t="n">
        <v>852506</v>
      </c>
      <c r="BF491" t="inlineStr">
        <is>
          <t>Frozen values from same rules-based model as formula sheet.</t>
        </is>
      </c>
      <c r="BG491" t="inlineStr">
        <is>
          <t>2026-03-17</t>
        </is>
      </c>
      <c r="BH491" t="inlineStr">
        <is>
          <t>DLD / Digital Dubai / CBUAE / Savills / Knight Frank-Moody’s / Reuters</t>
        </is>
      </c>
    </row>
    <row r="492">
      <c r="A492" t="n">
        <v>491</v>
      </c>
      <c r="B492" t="inlineStr">
        <is>
          <t>RA1N</t>
        </is>
      </c>
      <c r="C492" t="inlineStr">
        <is>
          <t>Object 1</t>
        </is>
      </c>
      <c r="D492" t="inlineStr">
        <is>
          <t>JVC</t>
        </is>
      </c>
      <c r="E492" t="inlineStr">
        <is>
          <t>Apartments</t>
        </is>
      </c>
      <c r="F492" t="inlineStr">
        <is>
          <t>Modern / Design</t>
        </is>
      </c>
      <c r="G492" t="inlineStr">
        <is>
          <t>900k</t>
        </is>
      </c>
      <c r="H492" t="inlineStr">
        <is>
          <t>1300</t>
        </is>
      </c>
      <c r="I492" t="inlineStr">
        <is>
          <t>15</t>
        </is>
      </c>
      <c r="J492" t="inlineStr">
        <is>
          <t>60/40</t>
        </is>
      </c>
      <c r="K492" t="inlineStr">
        <is>
          <t>2023</t>
        </is>
      </c>
      <c r="L492" t="inlineStr">
        <is>
          <t>7.5-8.0</t>
        </is>
      </c>
      <c r="M492" t="inlineStr">
        <is>
          <t>6-8</t>
        </is>
      </c>
      <c r="N492" t="inlineStr">
        <is>
          <t>13.5-16.0</t>
        </is>
      </c>
      <c r="O492" t="inlineStr">
        <is>
          <t>JSS International</t>
        </is>
      </c>
      <c r="P492" t="inlineStr">
        <is>
          <t>Saudi German Hospital</t>
        </is>
      </c>
      <c r="Q492" t="inlineStr">
        <is>
          <t>Circle Mall</t>
        </is>
      </c>
      <c r="R492" t="inlineStr">
        <is>
          <t>Hessa St / E44</t>
        </is>
      </c>
      <c r="S492" t="inlineStr">
        <is>
          <t>20</t>
        </is>
      </c>
      <c r="T492" t="inlineStr">
        <is>
          <t>15</t>
        </is>
      </c>
      <c r="U492" t="inlineStr">
        <is>
          <t>25</t>
        </is>
      </c>
      <c r="V492" t="inlineStr">
        <is>
          <t>30</t>
        </is>
      </c>
      <c r="W492" t="n">
        <v>2</v>
      </c>
      <c r="X492" s="12" t="n">
        <v>900000</v>
      </c>
      <c r="Y492" s="12" t="n">
        <v>900000</v>
      </c>
      <c r="Z492" s="9" t="n">
        <v>7.5</v>
      </c>
      <c r="AA492" s="9" t="n">
        <v>8</v>
      </c>
      <c r="AB492" s="9" t="n">
        <v>6</v>
      </c>
      <c r="AC492" s="9" t="n">
        <v>8</v>
      </c>
      <c r="AD492" s="9" t="n">
        <v>13.5</v>
      </c>
      <c r="AE492" s="9" t="n">
        <v>16</v>
      </c>
      <c r="AF492" t="n">
        <v>2023</v>
      </c>
      <c r="AH492" t="inlineStr">
        <is>
          <t>Apartment</t>
        </is>
      </c>
      <c r="AI492" t="inlineStr">
        <is>
          <t>SupplySensitiveApartment</t>
        </is>
      </c>
      <c r="AJ492" t="inlineStr">
        <is>
          <t>MidTier</t>
        </is>
      </c>
      <c r="AK492" t="inlineStr">
        <is>
          <t>Supply-sensitive / selective</t>
        </is>
      </c>
      <c r="AL492" t="inlineStr">
        <is>
          <t>Higher delivery risk in more price-sensitive apartment clusters; building selection and exit liquidity matter.</t>
        </is>
      </c>
      <c r="AM492" s="9" t="n">
        <v>7</v>
      </c>
      <c r="AN492" s="9" t="n">
        <v>7.75</v>
      </c>
      <c r="AO492" s="10" t="n">
        <v>0.55</v>
      </c>
      <c r="AP492" s="13" t="n">
        <v>0</v>
      </c>
      <c r="AQ492" s="13" t="n">
        <v>0</v>
      </c>
      <c r="AR492" s="13" t="n">
        <v>-0.01</v>
      </c>
      <c r="AS492" s="13" t="n">
        <v>-0.01</v>
      </c>
      <c r="AT492" s="13" t="n">
        <v>-0.005</v>
      </c>
      <c r="AU492" s="13" t="n">
        <v>0.0025</v>
      </c>
      <c r="AV492" s="13" t="n">
        <v>-0.005</v>
      </c>
      <c r="AW492" s="13" t="n">
        <v>0.0285</v>
      </c>
      <c r="AX492" s="13" t="n">
        <v>-0.0175</v>
      </c>
      <c r="AY492" s="12" t="n">
        <v>897880</v>
      </c>
      <c r="AZ492" s="12" t="n">
        <v>925650</v>
      </c>
      <c r="BA492" s="12" t="n">
        <v>953420</v>
      </c>
      <c r="BB492" s="12" t="n">
        <v>881682</v>
      </c>
      <c r="BC492" s="12" t="n">
        <v>909451</v>
      </c>
      <c r="BD492" s="12" t="n">
        <v>937221</v>
      </c>
      <c r="BE492" s="12" t="n">
        <v>893536</v>
      </c>
      <c r="BF492" t="inlineStr">
        <is>
          <t>Frozen values from same rules-based model as formula sheet.</t>
        </is>
      </c>
      <c r="BG492" t="inlineStr">
        <is>
          <t>2026-03-17</t>
        </is>
      </c>
      <c r="BH492" t="inlineStr">
        <is>
          <t>DLD / Digital Dubai / CBUAE / Savills / Knight Frank-Moody’s / Reuters</t>
        </is>
      </c>
    </row>
    <row r="493">
      <c r="A493" t="n">
        <v>492</v>
      </c>
      <c r="B493" t="inlineStr">
        <is>
          <t>F1FTY ONE</t>
        </is>
      </c>
      <c r="C493" t="inlineStr">
        <is>
          <t>Object 1</t>
        </is>
      </c>
      <c r="D493" t="inlineStr">
        <is>
          <t>Business Bay</t>
        </is>
      </c>
      <c r="E493" t="inlineStr">
        <is>
          <t>Apartments</t>
        </is>
      </c>
      <c r="F493" t="inlineStr">
        <is>
          <t>City / Canal</t>
        </is>
      </c>
      <c r="G493" t="inlineStr">
        <is>
          <t>1.8M</t>
        </is>
      </c>
      <c r="H493" t="inlineStr">
        <is>
          <t>2000</t>
        </is>
      </c>
      <c r="I493" t="inlineStr">
        <is>
          <t>18</t>
        </is>
      </c>
      <c r="J493" t="inlineStr">
        <is>
          <t>60/40</t>
        </is>
      </c>
      <c r="K493" t="inlineStr">
        <is>
          <t>2024</t>
        </is>
      </c>
      <c r="L493" t="inlineStr">
        <is>
          <t>6.5-7.0</t>
        </is>
      </c>
      <c r="M493" t="inlineStr">
        <is>
          <t>8-10</t>
        </is>
      </c>
      <c r="N493" t="inlineStr">
        <is>
          <t>14.5-17.0</t>
        </is>
      </c>
      <c r="O493" t="inlineStr">
        <is>
          <t>Hartland Intl</t>
        </is>
      </c>
      <c r="P493" t="inlineStr">
        <is>
          <t>Emirates Hospital BB</t>
        </is>
      </c>
      <c r="Q493" t="inlineStr">
        <is>
          <t>Dubai Mall</t>
        </is>
      </c>
      <c r="R493" t="inlineStr">
        <is>
          <t>Al Khail E44</t>
        </is>
      </c>
      <c r="S493" t="inlineStr">
        <is>
          <t>5</t>
        </is>
      </c>
      <c r="T493" t="inlineStr">
        <is>
          <t>20</t>
        </is>
      </c>
      <c r="U493" t="inlineStr">
        <is>
          <t>15</t>
        </is>
      </c>
      <c r="V493" t="inlineStr">
        <is>
          <t>35</t>
        </is>
      </c>
      <c r="W493" t="n">
        <v>2</v>
      </c>
      <c r="X493" s="12" t="n">
        <v>1800000</v>
      </c>
      <c r="Y493" s="12" t="n">
        <v>1800000</v>
      </c>
      <c r="Z493" s="9" t="n">
        <v>6.5</v>
      </c>
      <c r="AA493" s="9" t="n">
        <v>7</v>
      </c>
      <c r="AB493" s="9" t="n">
        <v>8</v>
      </c>
      <c r="AC493" s="9" t="n">
        <v>10</v>
      </c>
      <c r="AD493" s="9" t="n">
        <v>14.5</v>
      </c>
      <c r="AE493" s="9" t="n">
        <v>17</v>
      </c>
      <c r="AF493" t="n">
        <v>2024</v>
      </c>
      <c r="AH493" t="inlineStr">
        <is>
          <t>Apartment</t>
        </is>
      </c>
      <c r="AI493" t="inlineStr">
        <is>
          <t>Prime</t>
        </is>
      </c>
      <c r="AJ493" t="inlineStr">
        <is>
          <t>MidTier</t>
        </is>
      </c>
      <c r="AK493" t="inlineStr">
        <is>
          <t>Prime resilient / selective</t>
        </is>
      </c>
      <c r="AL493" t="inlineStr">
        <is>
          <t>Better support from quality, branding, and scarcer prime stock; still entry-price sensitive.</t>
        </is>
      </c>
      <c r="AM493" s="9" t="n">
        <v>9</v>
      </c>
      <c r="AN493" s="9" t="n">
        <v>6.75</v>
      </c>
      <c r="AO493" s="10" t="n">
        <v>0.55</v>
      </c>
      <c r="AP493" s="13" t="n">
        <v>0.02</v>
      </c>
      <c r="AQ493" s="13" t="n">
        <v>0</v>
      </c>
      <c r="AR493" s="13" t="n">
        <v>0</v>
      </c>
      <c r="AS493" s="13" t="n">
        <v>0.03</v>
      </c>
      <c r="AT493" s="13" t="n">
        <v>-0.005</v>
      </c>
      <c r="AU493" s="13" t="n">
        <v>0.0025</v>
      </c>
      <c r="AV493" s="13" t="n">
        <v>-0.005</v>
      </c>
      <c r="AW493" s="13" t="n">
        <v>0.06950000000000001</v>
      </c>
      <c r="AX493" s="13" t="n">
        <v>0.0225</v>
      </c>
      <c r="AY493" s="12" t="n">
        <v>1867347</v>
      </c>
      <c r="AZ493" s="12" t="n">
        <v>1925100</v>
      </c>
      <c r="BA493" s="12" t="n">
        <v>1982853</v>
      </c>
      <c r="BB493" s="12" t="n">
        <v>1910662</v>
      </c>
      <c r="BC493" s="12" t="n">
        <v>1968415</v>
      </c>
      <c r="BD493" s="12" t="n">
        <v>2026168</v>
      </c>
      <c r="BE493" s="12" t="n">
        <v>2012704</v>
      </c>
      <c r="BF493" t="inlineStr">
        <is>
          <t>Frozen values from same rules-based model as formula sheet.</t>
        </is>
      </c>
      <c r="BG493" t="inlineStr">
        <is>
          <t>2026-03-17</t>
        </is>
      </c>
      <c r="BH493" t="inlineStr">
        <is>
          <t>DLD / Digital Dubai / CBUAE / Savills / Knight Frank-Moody’s / Reuters</t>
        </is>
      </c>
    </row>
    <row r="494">
      <c r="A494" t="n">
        <v>493</v>
      </c>
      <c r="B494" t="inlineStr">
        <is>
          <t>W1NNER</t>
        </is>
      </c>
      <c r="C494" t="inlineStr">
        <is>
          <t>Object 1</t>
        </is>
      </c>
      <c r="D494" t="inlineStr">
        <is>
          <t>JVT</t>
        </is>
      </c>
      <c r="E494" t="inlineStr">
        <is>
          <t>Apartments</t>
        </is>
      </c>
      <c r="F494" t="inlineStr">
        <is>
          <t>Sports / Family</t>
        </is>
      </c>
      <c r="G494" t="inlineStr">
        <is>
          <t>800k</t>
        </is>
      </c>
      <c r="H494" t="inlineStr">
        <is>
          <t>1100</t>
        </is>
      </c>
      <c r="I494" t="inlineStr">
        <is>
          <t>15</t>
        </is>
      </c>
      <c r="J494" t="inlineStr">
        <is>
          <t>60/40</t>
        </is>
      </c>
      <c r="K494" t="inlineStr">
        <is>
          <t>2023</t>
        </is>
      </c>
      <c r="L494" t="inlineStr">
        <is>
          <t>7.0-7.5</t>
        </is>
      </c>
      <c r="M494" t="inlineStr">
        <is>
          <t>6-8</t>
        </is>
      </c>
      <c r="N494" t="inlineStr">
        <is>
          <t>13.0-15.5</t>
        </is>
      </c>
      <c r="O494" t="inlineStr">
        <is>
          <t>Sunmarke School</t>
        </is>
      </c>
      <c r="P494" t="inlineStr">
        <is>
          <t>NMC Royal DIP</t>
        </is>
      </c>
      <c r="Q494" t="inlineStr">
        <is>
          <t>Circle Mall</t>
        </is>
      </c>
      <c r="R494" t="inlineStr">
        <is>
          <t>E311 / Yalayis</t>
        </is>
      </c>
      <c r="S494" t="inlineStr">
        <is>
          <t>20</t>
        </is>
      </c>
      <c r="T494" t="inlineStr">
        <is>
          <t>15</t>
        </is>
      </c>
      <c r="U494" t="inlineStr">
        <is>
          <t>30</t>
        </is>
      </c>
      <c r="V494" t="inlineStr">
        <is>
          <t>20</t>
        </is>
      </c>
      <c r="W494" t="n">
        <v>2</v>
      </c>
      <c r="X494" s="12" t="n">
        <v>800000</v>
      </c>
      <c r="Y494" s="12" t="n">
        <v>800000</v>
      </c>
      <c r="Z494" s="9" t="n">
        <v>7</v>
      </c>
      <c r="AA494" s="9" t="n">
        <v>7.5</v>
      </c>
      <c r="AB494" s="9" t="n">
        <v>6</v>
      </c>
      <c r="AC494" s="9" t="n">
        <v>8</v>
      </c>
      <c r="AD494" s="9" t="n">
        <v>13</v>
      </c>
      <c r="AE494" s="9" t="n">
        <v>15.5</v>
      </c>
      <c r="AF494" t="n">
        <v>2023</v>
      </c>
      <c r="AH494" t="inlineStr">
        <is>
          <t>Apartment</t>
        </is>
      </c>
      <c r="AI494" t="inlineStr">
        <is>
          <t>SupplySensitiveApartment</t>
        </is>
      </c>
      <c r="AJ494" t="inlineStr">
        <is>
          <t>MidTier</t>
        </is>
      </c>
      <c r="AK494" t="inlineStr">
        <is>
          <t>Supply-sensitive / selective</t>
        </is>
      </c>
      <c r="AL494" t="inlineStr">
        <is>
          <t>Higher delivery risk in more price-sensitive apartment clusters; building selection and exit liquidity matter.</t>
        </is>
      </c>
      <c r="AM494" s="9" t="n">
        <v>7</v>
      </c>
      <c r="AN494" s="9" t="n">
        <v>7.25</v>
      </c>
      <c r="AO494" s="10" t="n">
        <v>0.55</v>
      </c>
      <c r="AP494" s="13" t="n">
        <v>0</v>
      </c>
      <c r="AQ494" s="13" t="n">
        <v>0</v>
      </c>
      <c r="AR494" s="13" t="n">
        <v>-0.01</v>
      </c>
      <c r="AS494" s="13" t="n">
        <v>-0.01</v>
      </c>
      <c r="AT494" s="13" t="n">
        <v>-0.005</v>
      </c>
      <c r="AU494" s="13" t="n">
        <v>0.0025</v>
      </c>
      <c r="AV494" s="13" t="n">
        <v>-0.005</v>
      </c>
      <c r="AW494" s="13" t="n">
        <v>0.0285</v>
      </c>
      <c r="AX494" s="13" t="n">
        <v>-0.0175</v>
      </c>
      <c r="AY494" s="12" t="n">
        <v>798116</v>
      </c>
      <c r="AZ494" s="12" t="n">
        <v>822800</v>
      </c>
      <c r="BA494" s="12" t="n">
        <v>847484</v>
      </c>
      <c r="BB494" s="12" t="n">
        <v>783717</v>
      </c>
      <c r="BC494" s="12" t="n">
        <v>808401</v>
      </c>
      <c r="BD494" s="12" t="n">
        <v>833085</v>
      </c>
      <c r="BE494" s="12" t="n">
        <v>794254</v>
      </c>
      <c r="BF494" t="inlineStr">
        <is>
          <t>Frozen values from same rules-based model as formula sheet.</t>
        </is>
      </c>
      <c r="BG494" t="inlineStr">
        <is>
          <t>2026-03-17</t>
        </is>
      </c>
      <c r="BH494" t="inlineStr">
        <is>
          <t>DLD / Digital Dubai / CBUAE / Savills / Knight Frank-Moody’s / Reuters</t>
        </is>
      </c>
    </row>
    <row r="495">
      <c r="A495" t="n">
        <v>494</v>
      </c>
      <c r="B495" t="inlineStr">
        <is>
          <t>LUM1NAR</t>
        </is>
      </c>
      <c r="C495" t="inlineStr">
        <is>
          <t>Object 1</t>
        </is>
      </c>
      <c r="D495" t="inlineStr">
        <is>
          <t>JVT</t>
        </is>
      </c>
      <c r="E495" t="inlineStr">
        <is>
          <t>Apartments</t>
        </is>
      </c>
      <c r="F495" t="inlineStr">
        <is>
          <t>Modern</t>
        </is>
      </c>
      <c r="G495" t="inlineStr">
        <is>
          <t>850k</t>
        </is>
      </c>
      <c r="H495" t="inlineStr">
        <is>
          <t>1150</t>
        </is>
      </c>
      <c r="I495" t="inlineStr">
        <is>
          <t>15</t>
        </is>
      </c>
      <c r="J495" t="inlineStr">
        <is>
          <t>60/40</t>
        </is>
      </c>
      <c r="K495" t="inlineStr">
        <is>
          <t>2024</t>
        </is>
      </c>
      <c r="L495" t="inlineStr">
        <is>
          <t>7.0-7.5</t>
        </is>
      </c>
      <c r="M495" t="inlineStr">
        <is>
          <t>6-8</t>
        </is>
      </c>
      <c r="N495" t="inlineStr">
        <is>
          <t>13.0-15.5</t>
        </is>
      </c>
      <c r="O495" t="inlineStr">
        <is>
          <t>Sunmarke School</t>
        </is>
      </c>
      <c r="P495" t="inlineStr">
        <is>
          <t>NMC Royal DIP</t>
        </is>
      </c>
      <c r="Q495" t="inlineStr">
        <is>
          <t>Circle Mall</t>
        </is>
      </c>
      <c r="R495" t="inlineStr">
        <is>
          <t>E311 / Yalayis</t>
        </is>
      </c>
      <c r="S495" t="inlineStr">
        <is>
          <t>20</t>
        </is>
      </c>
      <c r="T495" t="inlineStr">
        <is>
          <t>15</t>
        </is>
      </c>
      <c r="U495" t="inlineStr">
        <is>
          <t>30</t>
        </is>
      </c>
      <c r="V495" t="inlineStr">
        <is>
          <t>20</t>
        </is>
      </c>
      <c r="W495" t="n">
        <v>2</v>
      </c>
      <c r="X495" s="12" t="n">
        <v>850000</v>
      </c>
      <c r="Y495" s="12" t="n">
        <v>850000</v>
      </c>
      <c r="Z495" s="9" t="n">
        <v>7</v>
      </c>
      <c r="AA495" s="9" t="n">
        <v>7.5</v>
      </c>
      <c r="AB495" s="9" t="n">
        <v>6</v>
      </c>
      <c r="AC495" s="9" t="n">
        <v>8</v>
      </c>
      <c r="AD495" s="9" t="n">
        <v>13</v>
      </c>
      <c r="AE495" s="9" t="n">
        <v>15.5</v>
      </c>
      <c r="AF495" t="n">
        <v>2024</v>
      </c>
      <c r="AH495" t="inlineStr">
        <is>
          <t>Apartment</t>
        </is>
      </c>
      <c r="AI495" t="inlineStr">
        <is>
          <t>SupplySensitiveApartment</t>
        </is>
      </c>
      <c r="AJ495" t="inlineStr">
        <is>
          <t>MidTier</t>
        </is>
      </c>
      <c r="AK495" t="inlineStr">
        <is>
          <t>Supply-sensitive / selective</t>
        </is>
      </c>
      <c r="AL495" t="inlineStr">
        <is>
          <t>Higher delivery risk in more price-sensitive apartment clusters; building selection and exit liquidity matter.</t>
        </is>
      </c>
      <c r="AM495" s="9" t="n">
        <v>7</v>
      </c>
      <c r="AN495" s="9" t="n">
        <v>7.25</v>
      </c>
      <c r="AO495" s="10" t="n">
        <v>0.55</v>
      </c>
      <c r="AP495" s="13" t="n">
        <v>0</v>
      </c>
      <c r="AQ495" s="13" t="n">
        <v>0</v>
      </c>
      <c r="AR495" s="13" t="n">
        <v>-0.01</v>
      </c>
      <c r="AS495" s="13" t="n">
        <v>-0.01</v>
      </c>
      <c r="AT495" s="13" t="n">
        <v>-0.005</v>
      </c>
      <c r="AU495" s="13" t="n">
        <v>0.0025</v>
      </c>
      <c r="AV495" s="13" t="n">
        <v>-0.005</v>
      </c>
      <c r="AW495" s="13" t="n">
        <v>0.0285</v>
      </c>
      <c r="AX495" s="13" t="n">
        <v>-0.0175</v>
      </c>
      <c r="AY495" s="12" t="n">
        <v>847998</v>
      </c>
      <c r="AZ495" s="12" t="n">
        <v>874225</v>
      </c>
      <c r="BA495" s="12" t="n">
        <v>900452</v>
      </c>
      <c r="BB495" s="12" t="n">
        <v>832699</v>
      </c>
      <c r="BC495" s="12" t="n">
        <v>858926</v>
      </c>
      <c r="BD495" s="12" t="n">
        <v>885153</v>
      </c>
      <c r="BE495" s="12" t="n">
        <v>843895</v>
      </c>
      <c r="BF495" t="inlineStr">
        <is>
          <t>Frozen values from same rules-based model as formula sheet.</t>
        </is>
      </c>
      <c r="BG495" t="inlineStr">
        <is>
          <t>2026-03-17</t>
        </is>
      </c>
      <c r="BH495" t="inlineStr">
        <is>
          <t>DLD / Digital Dubai / CBUAE / Savills / Knight Frank-Moody’s / Reuters</t>
        </is>
      </c>
    </row>
    <row r="496">
      <c r="A496" t="n">
        <v>495</v>
      </c>
      <c r="B496" t="inlineStr">
        <is>
          <t>1WOOD</t>
        </is>
      </c>
      <c r="C496" t="inlineStr">
        <is>
          <t>Object 1</t>
        </is>
      </c>
      <c r="D496" t="inlineStr">
        <is>
          <t>JVC</t>
        </is>
      </c>
      <c r="E496" t="inlineStr">
        <is>
          <t>Apartments</t>
        </is>
      </c>
      <c r="F496" t="inlineStr">
        <is>
          <t>Wood Design</t>
        </is>
      </c>
      <c r="G496" t="inlineStr">
        <is>
          <t>950k</t>
        </is>
      </c>
      <c r="H496" t="inlineStr">
        <is>
          <t>1350</t>
        </is>
      </c>
      <c r="I496" t="inlineStr">
        <is>
          <t>15</t>
        </is>
      </c>
      <c r="J496" t="inlineStr">
        <is>
          <t>60/40</t>
        </is>
      </c>
      <c r="K496" t="inlineStr">
        <is>
          <t>2023</t>
        </is>
      </c>
      <c r="L496" t="inlineStr">
        <is>
          <t>7.5-8.0</t>
        </is>
      </c>
      <c r="M496" t="inlineStr">
        <is>
          <t>6-8</t>
        </is>
      </c>
      <c r="N496" t="inlineStr">
        <is>
          <t>13.5-16.0</t>
        </is>
      </c>
      <c r="O496" t="inlineStr">
        <is>
          <t>JSS International</t>
        </is>
      </c>
      <c r="P496" t="inlineStr">
        <is>
          <t>Saudi German Hospital</t>
        </is>
      </c>
      <c r="Q496" t="inlineStr">
        <is>
          <t>Circle Mall</t>
        </is>
      </c>
      <c r="R496" t="inlineStr">
        <is>
          <t>Hessa St / E44</t>
        </is>
      </c>
      <c r="S496" t="inlineStr">
        <is>
          <t>20</t>
        </is>
      </c>
      <c r="T496" t="inlineStr">
        <is>
          <t>15</t>
        </is>
      </c>
      <c r="U496" t="inlineStr">
        <is>
          <t>25</t>
        </is>
      </c>
      <c r="V496" t="inlineStr">
        <is>
          <t>30</t>
        </is>
      </c>
      <c r="W496" t="n">
        <v>2</v>
      </c>
      <c r="X496" s="12" t="n">
        <v>950000</v>
      </c>
      <c r="Y496" s="12" t="n">
        <v>950000</v>
      </c>
      <c r="Z496" s="9" t="n">
        <v>7.5</v>
      </c>
      <c r="AA496" s="9" t="n">
        <v>8</v>
      </c>
      <c r="AB496" s="9" t="n">
        <v>6</v>
      </c>
      <c r="AC496" s="9" t="n">
        <v>8</v>
      </c>
      <c r="AD496" s="9" t="n">
        <v>13.5</v>
      </c>
      <c r="AE496" s="9" t="n">
        <v>16</v>
      </c>
      <c r="AF496" t="n">
        <v>2023</v>
      </c>
      <c r="AH496" t="inlineStr">
        <is>
          <t>Apartment</t>
        </is>
      </c>
      <c r="AI496" t="inlineStr">
        <is>
          <t>SupplySensitiveApartment</t>
        </is>
      </c>
      <c r="AJ496" t="inlineStr">
        <is>
          <t>MidTier</t>
        </is>
      </c>
      <c r="AK496" t="inlineStr">
        <is>
          <t>Supply-sensitive / selective</t>
        </is>
      </c>
      <c r="AL496" t="inlineStr">
        <is>
          <t>Higher delivery risk in more price-sensitive apartment clusters; building selection and exit liquidity matter.</t>
        </is>
      </c>
      <c r="AM496" s="9" t="n">
        <v>7</v>
      </c>
      <c r="AN496" s="9" t="n">
        <v>7.75</v>
      </c>
      <c r="AO496" s="10" t="n">
        <v>0.55</v>
      </c>
      <c r="AP496" s="13" t="n">
        <v>0</v>
      </c>
      <c r="AQ496" s="13" t="n">
        <v>0</v>
      </c>
      <c r="AR496" s="13" t="n">
        <v>-0.01</v>
      </c>
      <c r="AS496" s="13" t="n">
        <v>-0.01</v>
      </c>
      <c r="AT496" s="13" t="n">
        <v>-0.005</v>
      </c>
      <c r="AU496" s="13" t="n">
        <v>0.0025</v>
      </c>
      <c r="AV496" s="13" t="n">
        <v>-0.005</v>
      </c>
      <c r="AW496" s="13" t="n">
        <v>0.0285</v>
      </c>
      <c r="AX496" s="13" t="n">
        <v>-0.0175</v>
      </c>
      <c r="AY496" s="12" t="n">
        <v>947763</v>
      </c>
      <c r="AZ496" s="12" t="n">
        <v>977075</v>
      </c>
      <c r="BA496" s="12" t="n">
        <v>1006387</v>
      </c>
      <c r="BB496" s="12" t="n">
        <v>930664</v>
      </c>
      <c r="BC496" s="12" t="n">
        <v>959976</v>
      </c>
      <c r="BD496" s="12" t="n">
        <v>989288</v>
      </c>
      <c r="BE496" s="12" t="n">
        <v>943177</v>
      </c>
      <c r="BF496" t="inlineStr">
        <is>
          <t>Frozen values from same rules-based model as formula sheet.</t>
        </is>
      </c>
      <c r="BG496" t="inlineStr">
        <is>
          <t>2026-03-17</t>
        </is>
      </c>
      <c r="BH496" t="inlineStr">
        <is>
          <t>DLD / Digital Dubai / CBUAE / Savills / Knight Frank-Moody’s / Reuters</t>
        </is>
      </c>
    </row>
    <row r="497">
      <c r="A497" t="n">
        <v>496</v>
      </c>
      <c r="B497" t="inlineStr">
        <is>
          <t>V1TER</t>
        </is>
      </c>
      <c r="C497" t="inlineStr">
        <is>
          <t>Object 1</t>
        </is>
      </c>
      <c r="D497" t="inlineStr">
        <is>
          <t>JVC</t>
        </is>
      </c>
      <c r="E497" t="inlineStr">
        <is>
          <t>Apartments</t>
        </is>
      </c>
      <c r="F497" t="inlineStr">
        <is>
          <t>Glass Design</t>
        </is>
      </c>
      <c r="G497" t="inlineStr">
        <is>
          <t>900k</t>
        </is>
      </c>
      <c r="H497" t="inlineStr">
        <is>
          <t>1300</t>
        </is>
      </c>
      <c r="I497" t="inlineStr">
        <is>
          <t>15</t>
        </is>
      </c>
      <c r="J497" t="inlineStr">
        <is>
          <t>60/40</t>
        </is>
      </c>
      <c r="K497" t="inlineStr">
        <is>
          <t>2024</t>
        </is>
      </c>
      <c r="L497" t="inlineStr">
        <is>
          <t>7.5-8.0</t>
        </is>
      </c>
      <c r="M497" t="inlineStr">
        <is>
          <t>6-8</t>
        </is>
      </c>
      <c r="N497" t="inlineStr">
        <is>
          <t>13.5-16.0</t>
        </is>
      </c>
      <c r="O497" t="inlineStr">
        <is>
          <t>JSS International</t>
        </is>
      </c>
      <c r="P497" t="inlineStr">
        <is>
          <t>Saudi German Hospital</t>
        </is>
      </c>
      <c r="Q497" t="inlineStr">
        <is>
          <t>Circle Mall</t>
        </is>
      </c>
      <c r="R497" t="inlineStr">
        <is>
          <t>Hessa St / E44</t>
        </is>
      </c>
      <c r="S497" t="inlineStr">
        <is>
          <t>20</t>
        </is>
      </c>
      <c r="T497" t="inlineStr">
        <is>
          <t>15</t>
        </is>
      </c>
      <c r="U497" t="inlineStr">
        <is>
          <t>25</t>
        </is>
      </c>
      <c r="V497" t="inlineStr">
        <is>
          <t>30</t>
        </is>
      </c>
      <c r="W497" t="n">
        <v>2</v>
      </c>
      <c r="X497" s="12" t="n">
        <v>900000</v>
      </c>
      <c r="Y497" s="12" t="n">
        <v>900000</v>
      </c>
      <c r="Z497" s="9" t="n">
        <v>7.5</v>
      </c>
      <c r="AA497" s="9" t="n">
        <v>8</v>
      </c>
      <c r="AB497" s="9" t="n">
        <v>6</v>
      </c>
      <c r="AC497" s="9" t="n">
        <v>8</v>
      </c>
      <c r="AD497" s="9" t="n">
        <v>13.5</v>
      </c>
      <c r="AE497" s="9" t="n">
        <v>16</v>
      </c>
      <c r="AF497" t="n">
        <v>2024</v>
      </c>
      <c r="AH497" t="inlineStr">
        <is>
          <t>Apartment</t>
        </is>
      </c>
      <c r="AI497" t="inlineStr">
        <is>
          <t>SupplySensitiveApartment</t>
        </is>
      </c>
      <c r="AJ497" t="inlineStr">
        <is>
          <t>MidTier</t>
        </is>
      </c>
      <c r="AK497" t="inlineStr">
        <is>
          <t>Supply-sensitive / selective</t>
        </is>
      </c>
      <c r="AL497" t="inlineStr">
        <is>
          <t>Higher delivery risk in more price-sensitive apartment clusters; building selection and exit liquidity matter.</t>
        </is>
      </c>
      <c r="AM497" s="9" t="n">
        <v>7</v>
      </c>
      <c r="AN497" s="9" t="n">
        <v>7.75</v>
      </c>
      <c r="AO497" s="10" t="n">
        <v>0.55</v>
      </c>
      <c r="AP497" s="13" t="n">
        <v>0</v>
      </c>
      <c r="AQ497" s="13" t="n">
        <v>0</v>
      </c>
      <c r="AR497" s="13" t="n">
        <v>-0.01</v>
      </c>
      <c r="AS497" s="13" t="n">
        <v>-0.01</v>
      </c>
      <c r="AT497" s="13" t="n">
        <v>-0.005</v>
      </c>
      <c r="AU497" s="13" t="n">
        <v>0.0025</v>
      </c>
      <c r="AV497" s="13" t="n">
        <v>-0.005</v>
      </c>
      <c r="AW497" s="13" t="n">
        <v>0.0285</v>
      </c>
      <c r="AX497" s="13" t="n">
        <v>-0.0175</v>
      </c>
      <c r="AY497" s="12" t="n">
        <v>897880</v>
      </c>
      <c r="AZ497" s="12" t="n">
        <v>925650</v>
      </c>
      <c r="BA497" s="12" t="n">
        <v>953420</v>
      </c>
      <c r="BB497" s="12" t="n">
        <v>881682</v>
      </c>
      <c r="BC497" s="12" t="n">
        <v>909451</v>
      </c>
      <c r="BD497" s="12" t="n">
        <v>937221</v>
      </c>
      <c r="BE497" s="12" t="n">
        <v>893536</v>
      </c>
      <c r="BF497" t="inlineStr">
        <is>
          <t>Frozen values from same rules-based model as formula sheet.</t>
        </is>
      </c>
      <c r="BG497" t="inlineStr">
        <is>
          <t>2026-03-17</t>
        </is>
      </c>
      <c r="BH497" t="inlineStr">
        <is>
          <t>DLD / Digital Dubai / CBUAE / Savills / Knight Frank-Moody’s / Reuters</t>
        </is>
      </c>
    </row>
    <row r="498">
      <c r="A498" t="n">
        <v>497</v>
      </c>
      <c r="B498" t="inlineStr">
        <is>
          <t>TETR1S</t>
        </is>
      </c>
      <c r="C498" t="inlineStr">
        <is>
          <t>Object 1</t>
        </is>
      </c>
      <c r="D498" t="inlineStr">
        <is>
          <t>JVC</t>
        </is>
      </c>
      <c r="E498" t="inlineStr">
        <is>
          <t>Apartments</t>
        </is>
      </c>
      <c r="F498" t="inlineStr">
        <is>
          <t>Geometric</t>
        </is>
      </c>
      <c r="G498" t="inlineStr">
        <is>
          <t>900k</t>
        </is>
      </c>
      <c r="H498" t="inlineStr">
        <is>
          <t>1300</t>
        </is>
      </c>
      <c r="I498" t="inlineStr">
        <is>
          <t>15</t>
        </is>
      </c>
      <c r="J498" t="inlineStr">
        <is>
          <t>60/40</t>
        </is>
      </c>
      <c r="K498" t="inlineStr">
        <is>
          <t>2024</t>
        </is>
      </c>
      <c r="L498" t="inlineStr">
        <is>
          <t>7.5-8.0</t>
        </is>
      </c>
      <c r="M498" t="inlineStr">
        <is>
          <t>6-8</t>
        </is>
      </c>
      <c r="N498" t="inlineStr">
        <is>
          <t>13.5-16.0</t>
        </is>
      </c>
      <c r="O498" t="inlineStr">
        <is>
          <t>JSS International</t>
        </is>
      </c>
      <c r="P498" t="inlineStr">
        <is>
          <t>Saudi German Hospital</t>
        </is>
      </c>
      <c r="Q498" t="inlineStr">
        <is>
          <t>Circle Mall</t>
        </is>
      </c>
      <c r="R498" t="inlineStr">
        <is>
          <t>Hessa St / E44</t>
        </is>
      </c>
      <c r="S498" t="inlineStr">
        <is>
          <t>20</t>
        </is>
      </c>
      <c r="T498" t="inlineStr">
        <is>
          <t>15</t>
        </is>
      </c>
      <c r="U498" t="inlineStr">
        <is>
          <t>25</t>
        </is>
      </c>
      <c r="V498" t="inlineStr">
        <is>
          <t>30</t>
        </is>
      </c>
      <c r="W498" t="n">
        <v>2</v>
      </c>
      <c r="X498" s="12" t="n">
        <v>900000</v>
      </c>
      <c r="Y498" s="12" t="n">
        <v>900000</v>
      </c>
      <c r="Z498" s="9" t="n">
        <v>7.5</v>
      </c>
      <c r="AA498" s="9" t="n">
        <v>8</v>
      </c>
      <c r="AB498" s="9" t="n">
        <v>6</v>
      </c>
      <c r="AC498" s="9" t="n">
        <v>8</v>
      </c>
      <c r="AD498" s="9" t="n">
        <v>13.5</v>
      </c>
      <c r="AE498" s="9" t="n">
        <v>16</v>
      </c>
      <c r="AF498" t="n">
        <v>2024</v>
      </c>
      <c r="AH498" t="inlineStr">
        <is>
          <t>Apartment</t>
        </is>
      </c>
      <c r="AI498" t="inlineStr">
        <is>
          <t>SupplySensitiveApartment</t>
        </is>
      </c>
      <c r="AJ498" t="inlineStr">
        <is>
          <t>MidTier</t>
        </is>
      </c>
      <c r="AK498" t="inlineStr">
        <is>
          <t>Supply-sensitive / selective</t>
        </is>
      </c>
      <c r="AL498" t="inlineStr">
        <is>
          <t>Higher delivery risk in more price-sensitive apartment clusters; building selection and exit liquidity matter.</t>
        </is>
      </c>
      <c r="AM498" s="9" t="n">
        <v>7</v>
      </c>
      <c r="AN498" s="9" t="n">
        <v>7.75</v>
      </c>
      <c r="AO498" s="10" t="n">
        <v>0.55</v>
      </c>
      <c r="AP498" s="13" t="n">
        <v>0</v>
      </c>
      <c r="AQ498" s="13" t="n">
        <v>0</v>
      </c>
      <c r="AR498" s="13" t="n">
        <v>-0.01</v>
      </c>
      <c r="AS498" s="13" t="n">
        <v>-0.01</v>
      </c>
      <c r="AT498" s="13" t="n">
        <v>-0.005</v>
      </c>
      <c r="AU498" s="13" t="n">
        <v>0.0025</v>
      </c>
      <c r="AV498" s="13" t="n">
        <v>-0.005</v>
      </c>
      <c r="AW498" s="13" t="n">
        <v>0.0285</v>
      </c>
      <c r="AX498" s="13" t="n">
        <v>-0.0175</v>
      </c>
      <c r="AY498" s="12" t="n">
        <v>897880</v>
      </c>
      <c r="AZ498" s="12" t="n">
        <v>925650</v>
      </c>
      <c r="BA498" s="12" t="n">
        <v>953420</v>
      </c>
      <c r="BB498" s="12" t="n">
        <v>881682</v>
      </c>
      <c r="BC498" s="12" t="n">
        <v>909451</v>
      </c>
      <c r="BD498" s="12" t="n">
        <v>937221</v>
      </c>
      <c r="BE498" s="12" t="n">
        <v>893536</v>
      </c>
      <c r="BF498" t="inlineStr">
        <is>
          <t>Frozen values from same rules-based model as formula sheet.</t>
        </is>
      </c>
      <c r="BG498" t="inlineStr">
        <is>
          <t>2026-03-17</t>
        </is>
      </c>
      <c r="BH498" t="inlineStr">
        <is>
          <t>DLD / Digital Dubai / CBUAE / Savills / Knight Frank-Moody’s / Reuters</t>
        </is>
      </c>
    </row>
    <row r="499">
      <c r="A499" t="n">
        <v>498</v>
      </c>
      <c r="B499" t="inlineStr">
        <is>
          <t>VERDAN1A</t>
        </is>
      </c>
      <c r="C499" t="inlineStr">
        <is>
          <t>Object 1</t>
        </is>
      </c>
      <c r="D499" t="inlineStr">
        <is>
          <t>Dubailand</t>
        </is>
      </c>
      <c r="E499" t="inlineStr">
        <is>
          <t>Apartments</t>
        </is>
      </c>
      <c r="F499" t="inlineStr">
        <is>
          <t>Green</t>
        </is>
      </c>
      <c r="G499" t="inlineStr">
        <is>
          <t>800k</t>
        </is>
      </c>
      <c r="H499" t="inlineStr">
        <is>
          <t>1000</t>
        </is>
      </c>
      <c r="I499" t="inlineStr">
        <is>
          <t>15</t>
        </is>
      </c>
      <c r="J499" t="inlineStr">
        <is>
          <t>60/40</t>
        </is>
      </c>
      <c r="K499" t="inlineStr">
        <is>
          <t>2024</t>
        </is>
      </c>
      <c r="L499" t="inlineStr">
        <is>
          <t>7.0-7.5</t>
        </is>
      </c>
      <c r="M499" t="inlineStr">
        <is>
          <t>8-10</t>
        </is>
      </c>
      <c r="N499" t="inlineStr">
        <is>
          <t>15.0-17.5</t>
        </is>
      </c>
      <c r="O499" t="inlineStr">
        <is>
          <t>GEMS Winchester</t>
        </is>
      </c>
      <c r="P499" t="inlineStr">
        <is>
          <t>Fakeeh University Hosp</t>
        </is>
      </c>
      <c r="Q499" t="inlineStr">
        <is>
          <t>Dubai Outlet Mall</t>
        </is>
      </c>
      <c r="R499" t="inlineStr">
        <is>
          <t>E611 / Al Ain Rd</t>
        </is>
      </c>
      <c r="S499" t="inlineStr">
        <is>
          <t>20</t>
        </is>
      </c>
      <c r="T499" t="inlineStr">
        <is>
          <t>25</t>
        </is>
      </c>
      <c r="U499" t="inlineStr">
        <is>
          <t>25</t>
        </is>
      </c>
      <c r="V499" t="inlineStr">
        <is>
          <t>30</t>
        </is>
      </c>
      <c r="W499" t="n">
        <v>2</v>
      </c>
      <c r="X499" s="12" t="n">
        <v>800000</v>
      </c>
      <c r="Y499" s="12" t="n">
        <v>800000</v>
      </c>
      <c r="Z499" s="9" t="n">
        <v>7</v>
      </c>
      <c r="AA499" s="9" t="n">
        <v>7.5</v>
      </c>
      <c r="AB499" s="9" t="n">
        <v>8</v>
      </c>
      <c r="AC499" s="9" t="n">
        <v>10</v>
      </c>
      <c r="AD499" s="9" t="n">
        <v>15</v>
      </c>
      <c r="AE499" s="9" t="n">
        <v>17.5</v>
      </c>
      <c r="AF499" t="n">
        <v>2024</v>
      </c>
      <c r="AH499" t="inlineStr">
        <is>
          <t>Apartment</t>
        </is>
      </c>
      <c r="AI499" t="inlineStr">
        <is>
          <t>SupplySensitiveApartment</t>
        </is>
      </c>
      <c r="AJ499" t="inlineStr">
        <is>
          <t>MidTier</t>
        </is>
      </c>
      <c r="AK499" t="inlineStr">
        <is>
          <t>Supply-sensitive / selective</t>
        </is>
      </c>
      <c r="AL499" t="inlineStr">
        <is>
          <t>Higher delivery risk in more price-sensitive apartment clusters; building selection and exit liquidity matter.</t>
        </is>
      </c>
      <c r="AM499" s="9" t="n">
        <v>9</v>
      </c>
      <c r="AN499" s="9" t="n">
        <v>7.25</v>
      </c>
      <c r="AO499" s="10" t="n">
        <v>0.55</v>
      </c>
      <c r="AP499" s="13" t="n">
        <v>0</v>
      </c>
      <c r="AQ499" s="13" t="n">
        <v>0</v>
      </c>
      <c r="AR499" s="13" t="n">
        <v>-0.01</v>
      </c>
      <c r="AS499" s="13" t="n">
        <v>-0.01</v>
      </c>
      <c r="AT499" s="13" t="n">
        <v>-0.005</v>
      </c>
      <c r="AU499" s="13" t="n">
        <v>0.0025</v>
      </c>
      <c r="AV499" s="13" t="n">
        <v>-0.005</v>
      </c>
      <c r="AW499" s="13" t="n">
        <v>0.0395</v>
      </c>
      <c r="AX499" s="13" t="n">
        <v>-0.0175</v>
      </c>
      <c r="AY499" s="12" t="n">
        <v>806652</v>
      </c>
      <c r="AZ499" s="12" t="n">
        <v>831600</v>
      </c>
      <c r="BA499" s="12" t="n">
        <v>856548</v>
      </c>
      <c r="BB499" s="12" t="n">
        <v>792099</v>
      </c>
      <c r="BC499" s="12" t="n">
        <v>817047</v>
      </c>
      <c r="BD499" s="12" t="n">
        <v>841995</v>
      </c>
      <c r="BE499" s="12" t="n">
        <v>802749</v>
      </c>
      <c r="BF499" t="inlineStr">
        <is>
          <t>Frozen values from same rules-based model as formula sheet.</t>
        </is>
      </c>
      <c r="BG499" t="inlineStr">
        <is>
          <t>2026-03-17</t>
        </is>
      </c>
      <c r="BH499" t="inlineStr">
        <is>
          <t>DLD / Digital Dubai / CBUAE / Savills / Knight Frank-Moody’s / Reuters</t>
        </is>
      </c>
    </row>
    <row r="500">
      <c r="A500" t="n">
        <v>499</v>
      </c>
      <c r="B500" t="inlineStr">
        <is>
          <t>Torino</t>
        </is>
      </c>
      <c r="C500" t="inlineStr">
        <is>
          <t>ORO24</t>
        </is>
      </c>
      <c r="D500" t="inlineStr">
        <is>
          <t>Arjan</t>
        </is>
      </c>
      <c r="E500" t="inlineStr">
        <is>
          <t>Apartments</t>
        </is>
      </c>
      <c r="F500" t="inlineStr">
        <is>
          <t>Gated / Garden</t>
        </is>
      </c>
      <c r="G500" t="inlineStr">
        <is>
          <t>700k</t>
        </is>
      </c>
      <c r="H500" t="inlineStr">
        <is>
          <t>1000</t>
        </is>
      </c>
      <c r="I500" t="inlineStr">
        <is>
          <t>14</t>
        </is>
      </c>
      <c r="J500" t="inlineStr">
        <is>
          <t>1% Monthly</t>
        </is>
      </c>
      <c r="K500" t="inlineStr">
        <is>
          <t>2022</t>
        </is>
      </c>
      <c r="L500" t="inlineStr">
        <is>
          <t>7.5-8.0</t>
        </is>
      </c>
      <c r="M500" t="inlineStr">
        <is>
          <t>6-8</t>
        </is>
      </c>
      <c r="N500" t="inlineStr">
        <is>
          <t>13.5-16.0</t>
        </is>
      </c>
      <c r="O500" t="inlineStr">
        <is>
          <t>Nord Anglia</t>
        </is>
      </c>
      <c r="P500" t="inlineStr">
        <is>
          <t>Mediclinic Parkview</t>
        </is>
      </c>
      <c r="Q500" t="inlineStr">
        <is>
          <t>Dubai Hills Mall</t>
        </is>
      </c>
      <c r="R500" t="inlineStr">
        <is>
          <t>Umm Suqeim / E311</t>
        </is>
      </c>
      <c r="S500" t="inlineStr">
        <is>
          <t>20</t>
        </is>
      </c>
      <c r="T500" t="inlineStr">
        <is>
          <t>20</t>
        </is>
      </c>
      <c r="U500" t="inlineStr">
        <is>
          <t>30</t>
        </is>
      </c>
      <c r="V500" t="inlineStr">
        <is>
          <t>25</t>
        </is>
      </c>
      <c r="W500" t="n">
        <v>2</v>
      </c>
      <c r="X500" s="12" t="n">
        <v>700000</v>
      </c>
      <c r="Y500" s="12" t="n">
        <v>700000</v>
      </c>
      <c r="Z500" s="9" t="n">
        <v>7.5</v>
      </c>
      <c r="AA500" s="9" t="n">
        <v>8</v>
      </c>
      <c r="AB500" s="9" t="n">
        <v>6</v>
      </c>
      <c r="AC500" s="9" t="n">
        <v>8</v>
      </c>
      <c r="AD500" s="9" t="n">
        <v>13.5</v>
      </c>
      <c r="AE500" s="9" t="n">
        <v>16</v>
      </c>
      <c r="AF500" t="n">
        <v>2022</v>
      </c>
      <c r="AH500" t="inlineStr">
        <is>
          <t>Apartment</t>
        </is>
      </c>
      <c r="AI500" t="inlineStr">
        <is>
          <t>SupplySensitiveApartment</t>
        </is>
      </c>
      <c r="AJ500" t="inlineStr">
        <is>
          <t>Established</t>
        </is>
      </c>
      <c r="AK500" t="inlineStr">
        <is>
          <t>Supply-sensitive / selective</t>
        </is>
      </c>
      <c r="AL500" t="inlineStr">
        <is>
          <t>Higher delivery risk in more price-sensitive apartment clusters; building selection and exit liquidity matter.</t>
        </is>
      </c>
      <c r="AM500" s="9" t="n">
        <v>7</v>
      </c>
      <c r="AN500" s="9" t="n">
        <v>7.75</v>
      </c>
      <c r="AO500" s="10" t="n">
        <v>0.55</v>
      </c>
      <c r="AP500" s="13" t="n">
        <v>0</v>
      </c>
      <c r="AQ500" s="13" t="n">
        <v>0</v>
      </c>
      <c r="AR500" s="13" t="n">
        <v>-0.01</v>
      </c>
      <c r="AS500" s="13" t="n">
        <v>-0.01</v>
      </c>
      <c r="AT500" s="13" t="n">
        <v>0</v>
      </c>
      <c r="AU500" s="13" t="n">
        <v>0.0025</v>
      </c>
      <c r="AV500" s="13" t="n">
        <v>-0.005</v>
      </c>
      <c r="AW500" s="13" t="n">
        <v>0.0285</v>
      </c>
      <c r="AX500" s="13" t="n">
        <v>-0.0125</v>
      </c>
      <c r="AY500" s="12" t="n">
        <v>698352</v>
      </c>
      <c r="AZ500" s="12" t="n">
        <v>719950</v>
      </c>
      <c r="BA500" s="12" t="n">
        <v>741548</v>
      </c>
      <c r="BB500" s="12" t="n">
        <v>689352</v>
      </c>
      <c r="BC500" s="12" t="n">
        <v>710951</v>
      </c>
      <c r="BD500" s="12" t="n">
        <v>732549</v>
      </c>
      <c r="BE500" s="12" t="n">
        <v>702064</v>
      </c>
      <c r="BF500" t="inlineStr">
        <is>
          <t>Frozen values from same rules-based model as formula sheet.</t>
        </is>
      </c>
      <c r="BG500" t="inlineStr">
        <is>
          <t>2026-03-17</t>
        </is>
      </c>
      <c r="BH500" t="inlineStr">
        <is>
          <t>DLD / Digital Dubai / CBUAE / Savills / Knight Frank-Moody’s / Reuters</t>
        </is>
      </c>
    </row>
    <row r="501">
      <c r="A501" t="n">
        <v>500</v>
      </c>
      <c r="B501" t="inlineStr">
        <is>
          <t>Levanto</t>
        </is>
      </c>
      <c r="C501" t="inlineStr">
        <is>
          <t>ORO24</t>
        </is>
      </c>
      <c r="D501" t="inlineStr">
        <is>
          <t>JVC</t>
        </is>
      </c>
      <c r="E501" t="inlineStr">
        <is>
          <t>Apartments</t>
        </is>
      </c>
      <c r="F501" t="inlineStr">
        <is>
          <t>High-Rise</t>
        </is>
      </c>
      <c r="G501" t="inlineStr">
        <is>
          <t>800k</t>
        </is>
      </c>
      <c r="H501" t="inlineStr">
        <is>
          <t>1200</t>
        </is>
      </c>
      <c r="I501" t="inlineStr">
        <is>
          <t>15</t>
        </is>
      </c>
      <c r="J501" t="inlineStr">
        <is>
          <t>1% Monthly</t>
        </is>
      </c>
      <c r="K501" t="inlineStr">
        <is>
          <t>2022</t>
        </is>
      </c>
      <c r="L501" t="inlineStr">
        <is>
          <t>7.5-8.0</t>
        </is>
      </c>
      <c r="M501" t="inlineStr">
        <is>
          <t>6-8</t>
        </is>
      </c>
      <c r="N501" t="inlineStr">
        <is>
          <t>13.5-16.0</t>
        </is>
      </c>
      <c r="O501" t="inlineStr">
        <is>
          <t>JSS International</t>
        </is>
      </c>
      <c r="P501" t="inlineStr">
        <is>
          <t>Saudi German Hospital</t>
        </is>
      </c>
      <c r="Q501" t="inlineStr">
        <is>
          <t>Circle Mall</t>
        </is>
      </c>
      <c r="R501" t="inlineStr">
        <is>
          <t>Hessa St / E44</t>
        </is>
      </c>
      <c r="S501" t="inlineStr">
        <is>
          <t>20</t>
        </is>
      </c>
      <c r="T501" t="inlineStr">
        <is>
          <t>15</t>
        </is>
      </c>
      <c r="U501" t="inlineStr">
        <is>
          <t>25</t>
        </is>
      </c>
      <c r="V501" t="inlineStr">
        <is>
          <t>30</t>
        </is>
      </c>
      <c r="W501" t="n">
        <v>2</v>
      </c>
      <c r="X501" s="12" t="n">
        <v>800000</v>
      </c>
      <c r="Y501" s="12" t="n">
        <v>800000</v>
      </c>
      <c r="Z501" s="9" t="n">
        <v>7.5</v>
      </c>
      <c r="AA501" s="9" t="n">
        <v>8</v>
      </c>
      <c r="AB501" s="9" t="n">
        <v>6</v>
      </c>
      <c r="AC501" s="9" t="n">
        <v>8</v>
      </c>
      <c r="AD501" s="9" t="n">
        <v>13.5</v>
      </c>
      <c r="AE501" s="9" t="n">
        <v>16</v>
      </c>
      <c r="AF501" t="n">
        <v>2022</v>
      </c>
      <c r="AH501" t="inlineStr">
        <is>
          <t>Apartment</t>
        </is>
      </c>
      <c r="AI501" t="inlineStr">
        <is>
          <t>SupplySensitiveApartment</t>
        </is>
      </c>
      <c r="AJ501" t="inlineStr">
        <is>
          <t>Established</t>
        </is>
      </c>
      <c r="AK501" t="inlineStr">
        <is>
          <t>Supply-sensitive / selective</t>
        </is>
      </c>
      <c r="AL501" t="inlineStr">
        <is>
          <t>Higher delivery risk in more price-sensitive apartment clusters; building selection and exit liquidity matter.</t>
        </is>
      </c>
      <c r="AM501" s="9" t="n">
        <v>7</v>
      </c>
      <c r="AN501" s="9" t="n">
        <v>7.75</v>
      </c>
      <c r="AO501" s="10" t="n">
        <v>0.55</v>
      </c>
      <c r="AP501" s="13" t="n">
        <v>0</v>
      </c>
      <c r="AQ501" s="13" t="n">
        <v>0</v>
      </c>
      <c r="AR501" s="13" t="n">
        <v>-0.01</v>
      </c>
      <c r="AS501" s="13" t="n">
        <v>-0.01</v>
      </c>
      <c r="AT501" s="13" t="n">
        <v>0</v>
      </c>
      <c r="AU501" s="13" t="n">
        <v>0.0025</v>
      </c>
      <c r="AV501" s="13" t="n">
        <v>-0.005</v>
      </c>
      <c r="AW501" s="13" t="n">
        <v>0.0285</v>
      </c>
      <c r="AX501" s="13" t="n">
        <v>-0.0125</v>
      </c>
      <c r="AY501" s="12" t="n">
        <v>798116</v>
      </c>
      <c r="AZ501" s="12" t="n">
        <v>822800</v>
      </c>
      <c r="BA501" s="12" t="n">
        <v>847484</v>
      </c>
      <c r="BB501" s="12" t="n">
        <v>787831</v>
      </c>
      <c r="BC501" s="12" t="n">
        <v>812515</v>
      </c>
      <c r="BD501" s="12" t="n">
        <v>837199</v>
      </c>
      <c r="BE501" s="12" t="n">
        <v>802359</v>
      </c>
      <c r="BF501" t="inlineStr">
        <is>
          <t>Frozen values from same rules-based model as formula sheet.</t>
        </is>
      </c>
      <c r="BG501" t="inlineStr">
        <is>
          <t>2026-03-17</t>
        </is>
      </c>
      <c r="BH501" t="inlineStr">
        <is>
          <t>DLD / Digital Dubai / CBUAE / Savills / Knight Frank-Moody’s / Reuters</t>
        </is>
      </c>
    </row>
    <row r="502">
      <c r="A502" t="n">
        <v>501</v>
      </c>
      <c r="B502" t="inlineStr">
        <is>
          <t>Elano</t>
        </is>
      </c>
      <c r="C502" t="inlineStr">
        <is>
          <t>ORO24</t>
        </is>
      </c>
      <c r="D502" t="inlineStr">
        <is>
          <t>Arjan</t>
        </is>
      </c>
      <c r="E502" t="inlineStr">
        <is>
          <t>Apartments</t>
        </is>
      </c>
      <c r="F502" t="inlineStr">
        <is>
          <t>Modern</t>
        </is>
      </c>
      <c r="G502" t="inlineStr">
        <is>
          <t>800k</t>
        </is>
      </c>
      <c r="H502" t="inlineStr">
        <is>
          <t>1100</t>
        </is>
      </c>
      <c r="I502" t="inlineStr">
        <is>
          <t>14</t>
        </is>
      </c>
      <c r="J502" t="inlineStr">
        <is>
          <t>1% Monthly</t>
        </is>
      </c>
      <c r="K502" t="inlineStr">
        <is>
          <t>2023</t>
        </is>
      </c>
      <c r="L502" t="inlineStr">
        <is>
          <t>7.5-8.0</t>
        </is>
      </c>
      <c r="M502" t="inlineStr">
        <is>
          <t>6-8</t>
        </is>
      </c>
      <c r="N502" t="inlineStr">
        <is>
          <t>13.5-16.0</t>
        </is>
      </c>
      <c r="O502" t="inlineStr">
        <is>
          <t>Nord Anglia</t>
        </is>
      </c>
      <c r="P502" t="inlineStr">
        <is>
          <t>Mediclinic Parkview</t>
        </is>
      </c>
      <c r="Q502" t="inlineStr">
        <is>
          <t>Dubai Hills Mall</t>
        </is>
      </c>
      <c r="R502" t="inlineStr">
        <is>
          <t>Umm Suqeim / E311</t>
        </is>
      </c>
      <c r="S502" t="inlineStr">
        <is>
          <t>20</t>
        </is>
      </c>
      <c r="T502" t="inlineStr">
        <is>
          <t>20</t>
        </is>
      </c>
      <c r="U502" t="inlineStr">
        <is>
          <t>30</t>
        </is>
      </c>
      <c r="V502" t="inlineStr">
        <is>
          <t>25</t>
        </is>
      </c>
      <c r="W502" t="n">
        <v>2</v>
      </c>
      <c r="X502" s="12" t="n">
        <v>800000</v>
      </c>
      <c r="Y502" s="12" t="n">
        <v>800000</v>
      </c>
      <c r="Z502" s="9" t="n">
        <v>7.5</v>
      </c>
      <c r="AA502" s="9" t="n">
        <v>8</v>
      </c>
      <c r="AB502" s="9" t="n">
        <v>6</v>
      </c>
      <c r="AC502" s="9" t="n">
        <v>8</v>
      </c>
      <c r="AD502" s="9" t="n">
        <v>13.5</v>
      </c>
      <c r="AE502" s="9" t="n">
        <v>16</v>
      </c>
      <c r="AF502" t="n">
        <v>2023</v>
      </c>
      <c r="AH502" t="inlineStr">
        <is>
          <t>Apartment</t>
        </is>
      </c>
      <c r="AI502" t="inlineStr">
        <is>
          <t>SupplySensitiveApartment</t>
        </is>
      </c>
      <c r="AJ502" t="inlineStr">
        <is>
          <t>Established</t>
        </is>
      </c>
      <c r="AK502" t="inlineStr">
        <is>
          <t>Supply-sensitive / selective</t>
        </is>
      </c>
      <c r="AL502" t="inlineStr">
        <is>
          <t>Higher delivery risk in more price-sensitive apartment clusters; building selection and exit liquidity matter.</t>
        </is>
      </c>
      <c r="AM502" s="9" t="n">
        <v>7</v>
      </c>
      <c r="AN502" s="9" t="n">
        <v>7.75</v>
      </c>
      <c r="AO502" s="10" t="n">
        <v>0.55</v>
      </c>
      <c r="AP502" s="13" t="n">
        <v>0</v>
      </c>
      <c r="AQ502" s="13" t="n">
        <v>0</v>
      </c>
      <c r="AR502" s="13" t="n">
        <v>-0.01</v>
      </c>
      <c r="AS502" s="13" t="n">
        <v>-0.01</v>
      </c>
      <c r="AT502" s="13" t="n">
        <v>0</v>
      </c>
      <c r="AU502" s="13" t="n">
        <v>0.0025</v>
      </c>
      <c r="AV502" s="13" t="n">
        <v>-0.005</v>
      </c>
      <c r="AW502" s="13" t="n">
        <v>0.0285</v>
      </c>
      <c r="AX502" s="13" t="n">
        <v>-0.0125</v>
      </c>
      <c r="AY502" s="12" t="n">
        <v>798116</v>
      </c>
      <c r="AZ502" s="12" t="n">
        <v>822800</v>
      </c>
      <c r="BA502" s="12" t="n">
        <v>847484</v>
      </c>
      <c r="BB502" s="12" t="n">
        <v>787831</v>
      </c>
      <c r="BC502" s="12" t="n">
        <v>812515</v>
      </c>
      <c r="BD502" s="12" t="n">
        <v>837199</v>
      </c>
      <c r="BE502" s="12" t="n">
        <v>802359</v>
      </c>
      <c r="BF502" t="inlineStr">
        <is>
          <t>Frozen values from same rules-based model as formula sheet.</t>
        </is>
      </c>
      <c r="BG502" t="inlineStr">
        <is>
          <t>2026-03-17</t>
        </is>
      </c>
      <c r="BH502" t="inlineStr">
        <is>
          <t>DLD / Digital Dubai / CBUAE / Savills / Knight Frank-Moody’s / Reuters</t>
        </is>
      </c>
    </row>
    <row r="503">
      <c r="A503" t="n">
        <v>502</v>
      </c>
      <c r="B503" t="inlineStr">
        <is>
          <t>Kyoto</t>
        </is>
      </c>
      <c r="C503" t="inlineStr">
        <is>
          <t>ORO24</t>
        </is>
      </c>
      <c r="D503" t="inlineStr">
        <is>
          <t>Arjan</t>
        </is>
      </c>
      <c r="E503" t="inlineStr">
        <is>
          <t>Apartments</t>
        </is>
      </c>
      <c r="F503" t="inlineStr">
        <is>
          <t>Zen / Japanese</t>
        </is>
      </c>
      <c r="G503" t="inlineStr">
        <is>
          <t>850k</t>
        </is>
      </c>
      <c r="H503" t="inlineStr">
        <is>
          <t>1150</t>
        </is>
      </c>
      <c r="I503" t="inlineStr">
        <is>
          <t>14</t>
        </is>
      </c>
      <c r="J503" t="inlineStr">
        <is>
          <t>1% Monthly</t>
        </is>
      </c>
      <c r="K503" t="inlineStr">
        <is>
          <t>2023</t>
        </is>
      </c>
      <c r="L503" t="inlineStr">
        <is>
          <t>7.5-8.0</t>
        </is>
      </c>
      <c r="M503" t="inlineStr">
        <is>
          <t>6-8</t>
        </is>
      </c>
      <c r="N503" t="inlineStr">
        <is>
          <t>13.5-16.0</t>
        </is>
      </c>
      <c r="O503" t="inlineStr">
        <is>
          <t>Nord Anglia</t>
        </is>
      </c>
      <c r="P503" t="inlineStr">
        <is>
          <t>Mediclinic Parkview</t>
        </is>
      </c>
      <c r="Q503" t="inlineStr">
        <is>
          <t>Dubai Hills Mall</t>
        </is>
      </c>
      <c r="R503" t="inlineStr">
        <is>
          <t>Umm Suqeim / E311</t>
        </is>
      </c>
      <c r="S503" t="inlineStr">
        <is>
          <t>20</t>
        </is>
      </c>
      <c r="T503" t="inlineStr">
        <is>
          <t>20</t>
        </is>
      </c>
      <c r="U503" t="inlineStr">
        <is>
          <t>30</t>
        </is>
      </c>
      <c r="V503" t="inlineStr">
        <is>
          <t>25</t>
        </is>
      </c>
      <c r="W503" t="n">
        <v>2</v>
      </c>
      <c r="X503" s="12" t="n">
        <v>850000</v>
      </c>
      <c r="Y503" s="12" t="n">
        <v>850000</v>
      </c>
      <c r="Z503" s="9" t="n">
        <v>7.5</v>
      </c>
      <c r="AA503" s="9" t="n">
        <v>8</v>
      </c>
      <c r="AB503" s="9" t="n">
        <v>6</v>
      </c>
      <c r="AC503" s="9" t="n">
        <v>8</v>
      </c>
      <c r="AD503" s="9" t="n">
        <v>13.5</v>
      </c>
      <c r="AE503" s="9" t="n">
        <v>16</v>
      </c>
      <c r="AF503" t="n">
        <v>2023</v>
      </c>
      <c r="AH503" t="inlineStr">
        <is>
          <t>Apartment</t>
        </is>
      </c>
      <c r="AI503" t="inlineStr">
        <is>
          <t>SupplySensitiveApartment</t>
        </is>
      </c>
      <c r="AJ503" t="inlineStr">
        <is>
          <t>Established</t>
        </is>
      </c>
      <c r="AK503" t="inlineStr">
        <is>
          <t>Supply-sensitive / selective</t>
        </is>
      </c>
      <c r="AL503" t="inlineStr">
        <is>
          <t>Higher delivery risk in more price-sensitive apartment clusters; building selection and exit liquidity matter.</t>
        </is>
      </c>
      <c r="AM503" s="9" t="n">
        <v>7</v>
      </c>
      <c r="AN503" s="9" t="n">
        <v>7.75</v>
      </c>
      <c r="AO503" s="10" t="n">
        <v>0.55</v>
      </c>
      <c r="AP503" s="13" t="n">
        <v>0</v>
      </c>
      <c r="AQ503" s="13" t="n">
        <v>0</v>
      </c>
      <c r="AR503" s="13" t="n">
        <v>-0.01</v>
      </c>
      <c r="AS503" s="13" t="n">
        <v>-0.01</v>
      </c>
      <c r="AT503" s="13" t="n">
        <v>0</v>
      </c>
      <c r="AU503" s="13" t="n">
        <v>0.0025</v>
      </c>
      <c r="AV503" s="13" t="n">
        <v>-0.005</v>
      </c>
      <c r="AW503" s="13" t="n">
        <v>0.0285</v>
      </c>
      <c r="AX503" s="13" t="n">
        <v>-0.0125</v>
      </c>
      <c r="AY503" s="12" t="n">
        <v>847998</v>
      </c>
      <c r="AZ503" s="12" t="n">
        <v>874225</v>
      </c>
      <c r="BA503" s="12" t="n">
        <v>900452</v>
      </c>
      <c r="BB503" s="12" t="n">
        <v>837070</v>
      </c>
      <c r="BC503" s="12" t="n">
        <v>863297</v>
      </c>
      <c r="BD503" s="12" t="n">
        <v>889524</v>
      </c>
      <c r="BE503" s="12" t="n">
        <v>852506</v>
      </c>
      <c r="BF503" t="inlineStr">
        <is>
          <t>Frozen values from same rules-based model as formula sheet.</t>
        </is>
      </c>
      <c r="BG503" t="inlineStr">
        <is>
          <t>2026-03-17</t>
        </is>
      </c>
      <c r="BH503" t="inlineStr">
        <is>
          <t>DLD / Digital Dubai / CBUAE / Savills / Knight Frank-Moody’s / Reuters</t>
        </is>
      </c>
    </row>
    <row r="504">
      <c r="A504" t="n">
        <v>503</v>
      </c>
      <c r="B504" t="inlineStr">
        <is>
          <t>Albert</t>
        </is>
      </c>
      <c r="C504" t="inlineStr">
        <is>
          <t>ORO24</t>
        </is>
      </c>
      <c r="D504" t="inlineStr">
        <is>
          <t>JVC (Planned)</t>
        </is>
      </c>
      <c r="E504" t="inlineStr">
        <is>
          <t>Apartments</t>
        </is>
      </c>
      <c r="F504" t="inlineStr">
        <is>
          <t>Modern</t>
        </is>
      </c>
      <c r="G504" t="inlineStr">
        <is>
          <t>TBA</t>
        </is>
      </c>
      <c r="H504" t="inlineStr">
        <is>
          <t>TBA</t>
        </is>
      </c>
      <c r="I504" t="inlineStr">
        <is>
          <t>15</t>
        </is>
      </c>
      <c r="J504" t="inlineStr">
        <is>
          <t>1% Monthly</t>
        </is>
      </c>
      <c r="K504" t="inlineStr">
        <is>
          <t>Planned</t>
        </is>
      </c>
      <c r="L504" t="inlineStr">
        <is>
          <t>7.5-8.0</t>
        </is>
      </c>
      <c r="M504" t="inlineStr">
        <is>
          <t>6-8</t>
        </is>
      </c>
      <c r="N504" t="inlineStr">
        <is>
          <t>13.5-16.0</t>
        </is>
      </c>
      <c r="O504" t="inlineStr">
        <is>
          <t>JSS International</t>
        </is>
      </c>
      <c r="P504" t="inlineStr">
        <is>
          <t>Saudi German Hospital</t>
        </is>
      </c>
      <c r="Q504" t="inlineStr">
        <is>
          <t>Circle Mall</t>
        </is>
      </c>
      <c r="R504" t="inlineStr">
        <is>
          <t>Hessa St / E44</t>
        </is>
      </c>
      <c r="S504" t="inlineStr">
        <is>
          <t>20</t>
        </is>
      </c>
      <c r="T504" t="inlineStr">
        <is>
          <t>15</t>
        </is>
      </c>
      <c r="U504" t="inlineStr">
        <is>
          <t>25</t>
        </is>
      </c>
      <c r="V504" t="inlineStr">
        <is>
          <t>30</t>
        </is>
      </c>
      <c r="W504" t="n">
        <v>2</v>
      </c>
      <c r="X504" s="12" t="n"/>
      <c r="Y504" s="12" t="n"/>
      <c r="Z504" s="9" t="n">
        <v>7.5</v>
      </c>
      <c r="AA504" s="9" t="n">
        <v>8</v>
      </c>
      <c r="AB504" s="9" t="n">
        <v>6</v>
      </c>
      <c r="AC504" s="9" t="n">
        <v>8</v>
      </c>
      <c r="AD504" s="9" t="n">
        <v>13.5</v>
      </c>
      <c r="AE504" s="9" t="n">
        <v>16</v>
      </c>
      <c r="AH504" t="inlineStr">
        <is>
          <t>Apartment</t>
        </is>
      </c>
      <c r="AI504" t="inlineStr">
        <is>
          <t>MainstreamSelective</t>
        </is>
      </c>
      <c r="AJ504" t="inlineStr">
        <is>
          <t>Established</t>
        </is>
      </c>
      <c r="AK504" t="inlineStr">
        <is>
          <t>Balanced / selective</t>
        </is>
      </c>
      <c r="AL504" t="inlineStr">
        <is>
          <t>Market remains active but increasingly differentiated by developer, micro-location, livability, and pricing discipline.</t>
        </is>
      </c>
      <c r="AM504" s="9" t="n">
        <v>7</v>
      </c>
      <c r="AN504" s="9" t="n">
        <v>7.75</v>
      </c>
      <c r="AO504" s="10" t="n">
        <v>0.25</v>
      </c>
      <c r="AP504" s="13" t="n">
        <v>0</v>
      </c>
      <c r="AQ504" s="13" t="n">
        <v>0</v>
      </c>
      <c r="AR504" s="13" t="n">
        <v>0</v>
      </c>
      <c r="AS504" s="13" t="n">
        <v>0.01</v>
      </c>
      <c r="AT504" s="13" t="n">
        <v>0</v>
      </c>
      <c r="AU504" s="13" t="n">
        <v>0.0025</v>
      </c>
      <c r="AV504" s="13" t="n">
        <v>-0.005</v>
      </c>
      <c r="AW504" s="13" t="n">
        <v>0.0175</v>
      </c>
      <c r="AX504" s="13" t="n">
        <v>0.007500000000000001</v>
      </c>
      <c r="AY504" s="12" t="n"/>
      <c r="AZ504" s="12" t="n"/>
      <c r="BA504" s="12" t="n"/>
      <c r="BB504" s="12" t="n"/>
      <c r="BC504" s="12" t="n"/>
      <c r="BD504" s="12" t="n"/>
      <c r="BE504" s="12" t="n"/>
      <c r="BF504" t="inlineStr">
        <is>
          <t>Frozen values from same rules-based model as formula sheet.</t>
        </is>
      </c>
      <c r="BG504" t="inlineStr">
        <is>
          <t>2026-03-17</t>
        </is>
      </c>
      <c r="BH504" t="inlineStr">
        <is>
          <t>DLD / Digital Dubai / CBUAE / Savills / Knight Frank-Moody’s / Reuters</t>
        </is>
      </c>
    </row>
    <row r="505">
      <c r="A505" t="n">
        <v>504</v>
      </c>
      <c r="B505" t="inlineStr">
        <is>
          <t>Wadi</t>
        </is>
      </c>
      <c r="C505" t="inlineStr">
        <is>
          <t>ORO24</t>
        </is>
      </c>
      <c r="D505" t="inlineStr">
        <is>
          <t>Meydan</t>
        </is>
      </c>
      <c r="E505" t="inlineStr">
        <is>
          <t>Apartments</t>
        </is>
      </c>
      <c r="F505" t="inlineStr">
        <is>
          <t>Valley View</t>
        </is>
      </c>
      <c r="G505" t="inlineStr">
        <is>
          <t>1.0M</t>
        </is>
      </c>
      <c r="H505" t="inlineStr">
        <is>
          <t>1300</t>
        </is>
      </c>
      <c r="I505" t="inlineStr">
        <is>
          <t>16</t>
        </is>
      </c>
      <c r="J505" t="inlineStr">
        <is>
          <t>1% Monthly</t>
        </is>
      </c>
      <c r="K505" t="inlineStr">
        <is>
          <t>2024</t>
        </is>
      </c>
      <c r="L505" t="inlineStr">
        <is>
          <t>7.0-7.5</t>
        </is>
      </c>
      <c r="M505" t="inlineStr">
        <is>
          <t>8-10</t>
        </is>
      </c>
      <c r="N505" t="inlineStr">
        <is>
          <t>15.0-17.5</t>
        </is>
      </c>
      <c r="O505" t="inlineStr">
        <is>
          <t>Hartland Intl</t>
        </is>
      </c>
      <c r="P505" t="inlineStr">
        <is>
          <t>American Hospital</t>
        </is>
      </c>
      <c r="Q505" t="inlineStr">
        <is>
          <t>Dubai Mall</t>
        </is>
      </c>
      <c r="R505" t="inlineStr">
        <is>
          <t>Ras Al Khor / E44</t>
        </is>
      </c>
      <c r="S505" t="inlineStr">
        <is>
          <t>12</t>
        </is>
      </c>
      <c r="T505" t="inlineStr">
        <is>
          <t>25</t>
        </is>
      </c>
      <c r="U505" t="inlineStr">
        <is>
          <t>15</t>
        </is>
      </c>
      <c r="V505" t="inlineStr">
        <is>
          <t>40</t>
        </is>
      </c>
      <c r="W505" t="n">
        <v>2</v>
      </c>
      <c r="X505" s="12" t="n">
        <v>1000000</v>
      </c>
      <c r="Y505" s="12" t="n">
        <v>1000000</v>
      </c>
      <c r="Z505" s="9" t="n">
        <v>7</v>
      </c>
      <c r="AA505" s="9" t="n">
        <v>7.5</v>
      </c>
      <c r="AB505" s="9" t="n">
        <v>8</v>
      </c>
      <c r="AC505" s="9" t="n">
        <v>10</v>
      </c>
      <c r="AD505" s="9" t="n">
        <v>15</v>
      </c>
      <c r="AE505" s="9" t="n">
        <v>17.5</v>
      </c>
      <c r="AF505" t="n">
        <v>2024</v>
      </c>
      <c r="AH505" t="inlineStr">
        <is>
          <t>Apartment</t>
        </is>
      </c>
      <c r="AI505" t="inlineStr">
        <is>
          <t>MainstreamSelective</t>
        </is>
      </c>
      <c r="AJ505" t="inlineStr">
        <is>
          <t>Established</t>
        </is>
      </c>
      <c r="AK505" t="inlineStr">
        <is>
          <t>Balanced / selective</t>
        </is>
      </c>
      <c r="AL505" t="inlineStr">
        <is>
          <t>Market remains active but increasingly differentiated by developer, micro-location, livability, and pricing discipline.</t>
        </is>
      </c>
      <c r="AM505" s="9" t="n">
        <v>9</v>
      </c>
      <c r="AN505" s="9" t="n">
        <v>7.25</v>
      </c>
      <c r="AO505" s="10" t="n">
        <v>0.55</v>
      </c>
      <c r="AP505" s="13" t="n">
        <v>0</v>
      </c>
      <c r="AQ505" s="13" t="n">
        <v>0</v>
      </c>
      <c r="AR505" s="13" t="n">
        <v>0</v>
      </c>
      <c r="AS505" s="13" t="n">
        <v>0.01</v>
      </c>
      <c r="AT505" s="13" t="n">
        <v>0</v>
      </c>
      <c r="AU505" s="13" t="n">
        <v>0.0025</v>
      </c>
      <c r="AV505" s="13" t="n">
        <v>-0.005</v>
      </c>
      <c r="AW505" s="13" t="n">
        <v>0.0495</v>
      </c>
      <c r="AX505" s="13" t="n">
        <v>0.007500000000000001</v>
      </c>
      <c r="AY505" s="12" t="n">
        <v>1018015</v>
      </c>
      <c r="AZ505" s="12" t="n">
        <v>1049500</v>
      </c>
      <c r="BA505" s="12" t="n">
        <v>1080985</v>
      </c>
      <c r="BB505" s="12" t="n">
        <v>1025886</v>
      </c>
      <c r="BC505" s="12" t="n">
        <v>1057371</v>
      </c>
      <c r="BD505" s="12" t="n">
        <v>1088856</v>
      </c>
      <c r="BE505" s="12" t="n">
        <v>1065302</v>
      </c>
      <c r="BF505" t="inlineStr">
        <is>
          <t>Frozen values from same rules-based model as formula sheet.</t>
        </is>
      </c>
      <c r="BG505" t="inlineStr">
        <is>
          <t>2026-03-17</t>
        </is>
      </c>
      <c r="BH505" t="inlineStr">
        <is>
          <t>DLD / Digital Dubai / CBUAE / Savills / Knight Frank-Moody’s / Reuters</t>
        </is>
      </c>
    </row>
    <row r="506">
      <c r="A506" t="n">
        <v>505</v>
      </c>
      <c r="B506" t="inlineStr">
        <is>
          <t>Mimeo</t>
        </is>
      </c>
      <c r="C506" t="inlineStr">
        <is>
          <t>ORO24</t>
        </is>
      </c>
      <c r="D506" t="inlineStr">
        <is>
          <t>JVC</t>
        </is>
      </c>
      <c r="E506" t="inlineStr">
        <is>
          <t>Apartments</t>
        </is>
      </c>
      <c r="F506" t="inlineStr">
        <is>
          <t>Modern</t>
        </is>
      </c>
      <c r="G506" t="inlineStr">
        <is>
          <t>850k</t>
        </is>
      </c>
      <c r="H506" t="inlineStr">
        <is>
          <t>1200</t>
        </is>
      </c>
      <c r="I506" t="inlineStr">
        <is>
          <t>15</t>
        </is>
      </c>
      <c r="J506" t="inlineStr">
        <is>
          <t>1% Monthly</t>
        </is>
      </c>
      <c r="K506" t="inlineStr">
        <is>
          <t>2023</t>
        </is>
      </c>
      <c r="L506" t="inlineStr">
        <is>
          <t>7.5-8.0</t>
        </is>
      </c>
      <c r="M506" t="inlineStr">
        <is>
          <t>6-8</t>
        </is>
      </c>
      <c r="N506" t="inlineStr">
        <is>
          <t>13.5-16.0</t>
        </is>
      </c>
      <c r="O506" t="inlineStr">
        <is>
          <t>JSS International</t>
        </is>
      </c>
      <c r="P506" t="inlineStr">
        <is>
          <t>Saudi German Hospital</t>
        </is>
      </c>
      <c r="Q506" t="inlineStr">
        <is>
          <t>Circle Mall</t>
        </is>
      </c>
      <c r="R506" t="inlineStr">
        <is>
          <t>Hessa St / E44</t>
        </is>
      </c>
      <c r="S506" t="inlineStr">
        <is>
          <t>20</t>
        </is>
      </c>
      <c r="T506" t="inlineStr">
        <is>
          <t>15</t>
        </is>
      </c>
      <c r="U506" t="inlineStr">
        <is>
          <t>25</t>
        </is>
      </c>
      <c r="V506" t="inlineStr">
        <is>
          <t>30</t>
        </is>
      </c>
      <c r="W506" t="n">
        <v>2</v>
      </c>
      <c r="X506" s="12" t="n">
        <v>850000</v>
      </c>
      <c r="Y506" s="12" t="n">
        <v>850000</v>
      </c>
      <c r="Z506" s="9" t="n">
        <v>7.5</v>
      </c>
      <c r="AA506" s="9" t="n">
        <v>8</v>
      </c>
      <c r="AB506" s="9" t="n">
        <v>6</v>
      </c>
      <c r="AC506" s="9" t="n">
        <v>8</v>
      </c>
      <c r="AD506" s="9" t="n">
        <v>13.5</v>
      </c>
      <c r="AE506" s="9" t="n">
        <v>16</v>
      </c>
      <c r="AF506" t="n">
        <v>2023</v>
      </c>
      <c r="AH506" t="inlineStr">
        <is>
          <t>Apartment</t>
        </is>
      </c>
      <c r="AI506" t="inlineStr">
        <is>
          <t>SupplySensitiveApartment</t>
        </is>
      </c>
      <c r="AJ506" t="inlineStr">
        <is>
          <t>Established</t>
        </is>
      </c>
      <c r="AK506" t="inlineStr">
        <is>
          <t>Supply-sensitive / selective</t>
        </is>
      </c>
      <c r="AL506" t="inlineStr">
        <is>
          <t>Higher delivery risk in more price-sensitive apartment clusters; building selection and exit liquidity matter.</t>
        </is>
      </c>
      <c r="AM506" s="9" t="n">
        <v>7</v>
      </c>
      <c r="AN506" s="9" t="n">
        <v>7.75</v>
      </c>
      <c r="AO506" s="10" t="n">
        <v>0.55</v>
      </c>
      <c r="AP506" s="13" t="n">
        <v>0</v>
      </c>
      <c r="AQ506" s="13" t="n">
        <v>0</v>
      </c>
      <c r="AR506" s="13" t="n">
        <v>-0.01</v>
      </c>
      <c r="AS506" s="13" t="n">
        <v>-0.01</v>
      </c>
      <c r="AT506" s="13" t="n">
        <v>0</v>
      </c>
      <c r="AU506" s="13" t="n">
        <v>0.0025</v>
      </c>
      <c r="AV506" s="13" t="n">
        <v>-0.005</v>
      </c>
      <c r="AW506" s="13" t="n">
        <v>0.0285</v>
      </c>
      <c r="AX506" s="13" t="n">
        <v>-0.0125</v>
      </c>
      <c r="AY506" s="12" t="n">
        <v>847998</v>
      </c>
      <c r="AZ506" s="12" t="n">
        <v>874225</v>
      </c>
      <c r="BA506" s="12" t="n">
        <v>900452</v>
      </c>
      <c r="BB506" s="12" t="n">
        <v>837070</v>
      </c>
      <c r="BC506" s="12" t="n">
        <v>863297</v>
      </c>
      <c r="BD506" s="12" t="n">
        <v>889524</v>
      </c>
      <c r="BE506" s="12" t="n">
        <v>852506</v>
      </c>
      <c r="BF506" t="inlineStr">
        <is>
          <t>Frozen values from same rules-based model as formula sheet.</t>
        </is>
      </c>
      <c r="BG506" t="inlineStr">
        <is>
          <t>2026-03-17</t>
        </is>
      </c>
      <c r="BH506" t="inlineStr">
        <is>
          <t>DLD / Digital Dubai / CBUAE / Savills / Knight Frank-Moody’s / Reuters</t>
        </is>
      </c>
    </row>
    <row r="507">
      <c r="A507" t="n">
        <v>506</v>
      </c>
      <c r="B507" t="inlineStr">
        <is>
          <t>Nagoya</t>
        </is>
      </c>
      <c r="C507" t="inlineStr">
        <is>
          <t>ORO24</t>
        </is>
      </c>
      <c r="D507" t="inlineStr">
        <is>
          <t>Al Furjan</t>
        </is>
      </c>
      <c r="E507" t="inlineStr">
        <is>
          <t>Apartments</t>
        </is>
      </c>
      <c r="F507" t="inlineStr">
        <is>
          <t>Japanese Style</t>
        </is>
      </c>
      <c r="G507" t="inlineStr">
        <is>
          <t>900k</t>
        </is>
      </c>
      <c r="H507" t="inlineStr">
        <is>
          <t>1100</t>
        </is>
      </c>
      <c r="I507" t="inlineStr">
        <is>
          <t>14</t>
        </is>
      </c>
      <c r="J507" t="inlineStr">
        <is>
          <t>1% Monthly</t>
        </is>
      </c>
      <c r="K507" t="inlineStr">
        <is>
          <t>2024</t>
        </is>
      </c>
      <c r="L507" t="inlineStr">
        <is>
          <t>7.0-7.5</t>
        </is>
      </c>
      <c r="M507" t="inlineStr">
        <is>
          <t>6-8</t>
        </is>
      </c>
      <c r="N507" t="inlineStr">
        <is>
          <t>13.0-15.5</t>
        </is>
      </c>
      <c r="O507" t="inlineStr">
        <is>
          <t>The Arbor School</t>
        </is>
      </c>
      <c r="P507" t="inlineStr">
        <is>
          <t>NMC Royal DIP</t>
        </is>
      </c>
      <c r="Q507" t="inlineStr">
        <is>
          <t>Ibn Battuta Mall</t>
        </is>
      </c>
      <c r="R507" t="inlineStr">
        <is>
          <t>Yalayis / E311</t>
        </is>
      </c>
      <c r="S507" t="inlineStr">
        <is>
          <t>25</t>
        </is>
      </c>
      <c r="T507" t="inlineStr">
        <is>
          <t>15</t>
        </is>
      </c>
      <c r="U507" t="inlineStr">
        <is>
          <t>30</t>
        </is>
      </c>
      <c r="V507" t="inlineStr">
        <is>
          <t>20</t>
        </is>
      </c>
      <c r="W507" t="n">
        <v>2</v>
      </c>
      <c r="X507" s="12" t="n">
        <v>900000</v>
      </c>
      <c r="Y507" s="12" t="n">
        <v>900000</v>
      </c>
      <c r="Z507" s="9" t="n">
        <v>7</v>
      </c>
      <c r="AA507" s="9" t="n">
        <v>7.5</v>
      </c>
      <c r="AB507" s="9" t="n">
        <v>6</v>
      </c>
      <c r="AC507" s="9" t="n">
        <v>8</v>
      </c>
      <c r="AD507" s="9" t="n">
        <v>13</v>
      </c>
      <c r="AE507" s="9" t="n">
        <v>15.5</v>
      </c>
      <c r="AF507" t="n">
        <v>2024</v>
      </c>
      <c r="AH507" t="inlineStr">
        <is>
          <t>Apartment</t>
        </is>
      </c>
      <c r="AI507" t="inlineStr">
        <is>
          <t>SupplySensitiveApartment</t>
        </is>
      </c>
      <c r="AJ507" t="inlineStr">
        <is>
          <t>Established</t>
        </is>
      </c>
      <c r="AK507" t="inlineStr">
        <is>
          <t>Supply-sensitive / selective</t>
        </is>
      </c>
      <c r="AL507" t="inlineStr">
        <is>
          <t>Higher delivery risk in more price-sensitive apartment clusters; building selection and exit liquidity matter.</t>
        </is>
      </c>
      <c r="AM507" s="9" t="n">
        <v>7</v>
      </c>
      <c r="AN507" s="9" t="n">
        <v>7.25</v>
      </c>
      <c r="AO507" s="10" t="n">
        <v>0.55</v>
      </c>
      <c r="AP507" s="13" t="n">
        <v>0</v>
      </c>
      <c r="AQ507" s="13" t="n">
        <v>0</v>
      </c>
      <c r="AR507" s="13" t="n">
        <v>-0.01</v>
      </c>
      <c r="AS507" s="13" t="n">
        <v>-0.01</v>
      </c>
      <c r="AT507" s="13" t="n">
        <v>0</v>
      </c>
      <c r="AU507" s="13" t="n">
        <v>0.0025</v>
      </c>
      <c r="AV507" s="13" t="n">
        <v>-0.005</v>
      </c>
      <c r="AW507" s="13" t="n">
        <v>0.0285</v>
      </c>
      <c r="AX507" s="13" t="n">
        <v>-0.0125</v>
      </c>
      <c r="AY507" s="12" t="n">
        <v>897880</v>
      </c>
      <c r="AZ507" s="12" t="n">
        <v>925650</v>
      </c>
      <c r="BA507" s="12" t="n">
        <v>953420</v>
      </c>
      <c r="BB507" s="12" t="n">
        <v>886310</v>
      </c>
      <c r="BC507" s="12" t="n">
        <v>914079</v>
      </c>
      <c r="BD507" s="12" t="n">
        <v>941849</v>
      </c>
      <c r="BE507" s="12" t="n">
        <v>902653</v>
      </c>
      <c r="BF507" t="inlineStr">
        <is>
          <t>Frozen values from same rules-based model as formula sheet.</t>
        </is>
      </c>
      <c r="BG507" t="inlineStr">
        <is>
          <t>2026-03-17</t>
        </is>
      </c>
      <c r="BH507" t="inlineStr">
        <is>
          <t>DLD / Digital Dubai / CBUAE / Savills / Knight Frank-Moody’s / Reuters</t>
        </is>
      </c>
    </row>
    <row r="508">
      <c r="A508" t="n">
        <v>507</v>
      </c>
      <c r="B508" t="inlineStr">
        <is>
          <t>Fortunato</t>
        </is>
      </c>
      <c r="C508" t="inlineStr">
        <is>
          <t>ORO24</t>
        </is>
      </c>
      <c r="D508" t="inlineStr">
        <is>
          <t>JVC</t>
        </is>
      </c>
      <c r="E508" t="inlineStr">
        <is>
          <t>Townhouses</t>
        </is>
      </c>
      <c r="F508" t="inlineStr">
        <is>
          <t>Family</t>
        </is>
      </c>
      <c r="G508" t="inlineStr">
        <is>
          <t>Resale (2M+)</t>
        </is>
      </c>
      <c r="H508" t="inlineStr">
        <is>
          <t>900</t>
        </is>
      </c>
      <c r="I508" t="inlineStr">
        <is>
          <t>10</t>
        </is>
      </c>
      <c r="J508" t="inlineStr">
        <is>
          <t>Completed</t>
        </is>
      </c>
      <c r="K508" t="inlineStr">
        <is>
          <t>2016</t>
        </is>
      </c>
      <c r="L508" t="inlineStr">
        <is>
          <t>6.5-7.0</t>
        </is>
      </c>
      <c r="M508" t="inlineStr">
        <is>
          <t>5-7</t>
        </is>
      </c>
      <c r="N508" t="inlineStr">
        <is>
          <t>11.5-14.0</t>
        </is>
      </c>
      <c r="O508" t="inlineStr">
        <is>
          <t>JSS International</t>
        </is>
      </c>
      <c r="P508" t="inlineStr">
        <is>
          <t>Saudi German Hospital</t>
        </is>
      </c>
      <c r="Q508" t="inlineStr">
        <is>
          <t>Circle Mall</t>
        </is>
      </c>
      <c r="R508" t="inlineStr">
        <is>
          <t>Hessa St / E44</t>
        </is>
      </c>
      <c r="S508" t="inlineStr">
        <is>
          <t>20</t>
        </is>
      </c>
      <c r="T508" t="inlineStr">
        <is>
          <t>15</t>
        </is>
      </c>
      <c r="U508" t="inlineStr">
        <is>
          <t>25</t>
        </is>
      </c>
      <c r="V508" t="inlineStr">
        <is>
          <t>30</t>
        </is>
      </c>
      <c r="W508" t="n">
        <v>2</v>
      </c>
      <c r="X508" s="12" t="n">
        <v>2000000</v>
      </c>
      <c r="Y508" s="12" t="n">
        <v>2000000</v>
      </c>
      <c r="Z508" s="9" t="n">
        <v>6.5</v>
      </c>
      <c r="AA508" s="9" t="n">
        <v>7</v>
      </c>
      <c r="AB508" s="9" t="n">
        <v>5</v>
      </c>
      <c r="AC508" s="9" t="n">
        <v>7</v>
      </c>
      <c r="AD508" s="9" t="n">
        <v>11.5</v>
      </c>
      <c r="AE508" s="9" t="n">
        <v>14</v>
      </c>
      <c r="AF508" t="n">
        <v>2016</v>
      </c>
      <c r="AH508" t="inlineStr">
        <is>
          <t>Townhouse</t>
        </is>
      </c>
      <c r="AI508" t="inlineStr">
        <is>
          <t>MainstreamSelective</t>
        </is>
      </c>
      <c r="AJ508" t="inlineStr">
        <is>
          <t>Established</t>
        </is>
      </c>
      <c r="AK508" t="inlineStr">
        <is>
          <t>Family-villa resilient</t>
        </is>
      </c>
      <c r="AL508" t="inlineStr">
        <is>
          <t>Villa/townhouse demand remains relatively firmer, though growth should be slower than the post-2020 surge.</t>
        </is>
      </c>
      <c r="AM508" s="9" t="n">
        <v>6</v>
      </c>
      <c r="AN508" s="9" t="n">
        <v>6.75</v>
      </c>
      <c r="AO508" s="10" t="n">
        <v>0.55</v>
      </c>
      <c r="AP508" s="13" t="n">
        <v>0</v>
      </c>
      <c r="AQ508" s="13" t="n">
        <v>0.015</v>
      </c>
      <c r="AR508" s="13" t="n">
        <v>0</v>
      </c>
      <c r="AS508" s="13" t="n">
        <v>0.025</v>
      </c>
      <c r="AT508" s="13" t="n">
        <v>0</v>
      </c>
      <c r="AU508" s="13" t="n">
        <v>0.0025</v>
      </c>
      <c r="AV508" s="13" t="n">
        <v>-0.005</v>
      </c>
      <c r="AW508" s="13" t="n">
        <v>0.048</v>
      </c>
      <c r="AX508" s="13" t="n">
        <v>0.0225</v>
      </c>
      <c r="AY508" s="12" t="n">
        <v>2033120</v>
      </c>
      <c r="AZ508" s="12" t="n">
        <v>2096000</v>
      </c>
      <c r="BA508" s="12" t="n">
        <v>2158880</v>
      </c>
      <c r="BB508" s="12" t="n">
        <v>2080280</v>
      </c>
      <c r="BC508" s="12" t="n">
        <v>2143160</v>
      </c>
      <c r="BD508" s="12" t="n">
        <v>2206040</v>
      </c>
      <c r="BE508" s="12" t="n">
        <v>2191381</v>
      </c>
      <c r="BF508" t="inlineStr">
        <is>
          <t>Frozen values from same rules-based model as formula sheet.</t>
        </is>
      </c>
      <c r="BG508" t="inlineStr">
        <is>
          <t>2026-03-17</t>
        </is>
      </c>
      <c r="BH508" t="inlineStr">
        <is>
          <t>DLD / Digital Dubai / CBUAE / Savills / Knight Frank-Moody’s / Reuters</t>
        </is>
      </c>
    </row>
    <row r="509">
      <c r="A509" t="n">
        <v>508</v>
      </c>
      <c r="B509" t="inlineStr">
        <is>
          <t>Franck Muller Aeternitas</t>
        </is>
      </c>
      <c r="C509" t="inlineStr">
        <is>
          <t>London Gate</t>
        </is>
      </c>
      <c r="D509" t="inlineStr">
        <is>
          <t>Dubai Marina</t>
        </is>
      </c>
      <c r="E509" t="inlineStr">
        <is>
          <t>Branded Apts</t>
        </is>
      </c>
      <c r="F509" t="inlineStr">
        <is>
          <t>World's Tallest Clocktower</t>
        </is>
      </c>
      <c r="G509" t="inlineStr">
        <is>
          <t>2.5M</t>
        </is>
      </c>
      <c r="H509" t="inlineStr">
        <is>
          <t>3500</t>
        </is>
      </c>
      <c r="I509" t="inlineStr">
        <is>
          <t>30+</t>
        </is>
      </c>
      <c r="J509" t="inlineStr">
        <is>
          <t>60/40</t>
        </is>
      </c>
      <c r="K509" t="inlineStr">
        <is>
          <t>2024</t>
        </is>
      </c>
      <c r="L509" t="inlineStr">
        <is>
          <t>5.0-5.5</t>
        </is>
      </c>
      <c r="M509" t="inlineStr">
        <is>
          <t>10-12</t>
        </is>
      </c>
      <c r="N509" t="inlineStr">
        <is>
          <t>15.0-17.5</t>
        </is>
      </c>
      <c r="O509" t="inlineStr">
        <is>
          <t>American Univ. Dubai</t>
        </is>
      </c>
      <c r="P509" t="inlineStr">
        <is>
          <t>Saudi German Hospital</t>
        </is>
      </c>
      <c r="Q509" t="inlineStr">
        <is>
          <t>Dubai Marina Mall</t>
        </is>
      </c>
      <c r="R509" t="inlineStr">
        <is>
          <t>Sheikh Zayed E11</t>
        </is>
      </c>
      <c r="S509" t="inlineStr">
        <is>
          <t>20</t>
        </is>
      </c>
      <c r="T509" t="inlineStr">
        <is>
          <t>5</t>
        </is>
      </c>
      <c r="U509" t="inlineStr">
        <is>
          <t>25</t>
        </is>
      </c>
      <c r="V509" t="inlineStr">
        <is>
          <t>30</t>
        </is>
      </c>
      <c r="W509" t="n">
        <v>2</v>
      </c>
      <c r="X509" s="12" t="n">
        <v>2500000</v>
      </c>
      <c r="Y509" s="12" t="n">
        <v>2500000</v>
      </c>
      <c r="Z509" s="9" t="n">
        <v>5</v>
      </c>
      <c r="AA509" s="9" t="n">
        <v>5.5</v>
      </c>
      <c r="AB509" s="9" t="n">
        <v>10</v>
      </c>
      <c r="AC509" s="9" t="n">
        <v>12</v>
      </c>
      <c r="AD509" s="9" t="n">
        <v>15</v>
      </c>
      <c r="AE509" s="9" t="n">
        <v>17.5</v>
      </c>
      <c r="AF509" t="n">
        <v>2024</v>
      </c>
      <c r="AH509" t="inlineStr">
        <is>
          <t>Apartment</t>
        </is>
      </c>
      <c r="AI509" t="inlineStr">
        <is>
          <t>Prime</t>
        </is>
      </c>
      <c r="AJ509" t="inlineStr">
        <is>
          <t>Established</t>
        </is>
      </c>
      <c r="AK509" t="inlineStr">
        <is>
          <t>Prime resilient / selective</t>
        </is>
      </c>
      <c r="AL509" t="inlineStr">
        <is>
          <t>Better support from quality, branding, and scarcer prime stock; still entry-price sensitive.</t>
        </is>
      </c>
      <c r="AM509" s="9" t="n">
        <v>11</v>
      </c>
      <c r="AN509" s="9" t="n">
        <v>5.25</v>
      </c>
      <c r="AO509" s="10" t="n">
        <v>0.55</v>
      </c>
      <c r="AP509" s="13" t="n">
        <v>0.02</v>
      </c>
      <c r="AQ509" s="13" t="n">
        <v>0</v>
      </c>
      <c r="AR509" s="13" t="n">
        <v>0</v>
      </c>
      <c r="AS509" s="13" t="n">
        <v>0.03</v>
      </c>
      <c r="AT509" s="13" t="n">
        <v>0</v>
      </c>
      <c r="AU509" s="13" t="n">
        <v>0</v>
      </c>
      <c r="AV509" s="13" t="n">
        <v>-0.005</v>
      </c>
      <c r="AW509" s="13" t="n">
        <v>0.0805</v>
      </c>
      <c r="AX509" s="13" t="n">
        <v>0.025</v>
      </c>
      <c r="AY509" s="12" t="n">
        <v>2620212</v>
      </c>
      <c r="AZ509" s="12" t="n">
        <v>2701250</v>
      </c>
      <c r="BA509" s="12" t="n">
        <v>2782288</v>
      </c>
      <c r="BB509" s="12" t="n">
        <v>2687744</v>
      </c>
      <c r="BC509" s="12" t="n">
        <v>2768781</v>
      </c>
      <c r="BD509" s="12" t="n">
        <v>2849819</v>
      </c>
      <c r="BE509" s="12" t="n">
        <v>2838001</v>
      </c>
      <c r="BF509" t="inlineStr">
        <is>
          <t>Frozen values from same rules-based model as formula sheet.</t>
        </is>
      </c>
      <c r="BG509" t="inlineStr">
        <is>
          <t>2026-03-17</t>
        </is>
      </c>
      <c r="BH509" t="inlineStr">
        <is>
          <t>DLD / Digital Dubai / CBUAE / Savills / Knight Frank-Moody’s / Reuters</t>
        </is>
      </c>
    </row>
    <row r="510">
      <c r="A510" t="n">
        <v>509</v>
      </c>
      <c r="B510" t="inlineStr">
        <is>
          <t>Franck Muller Vanguard</t>
        </is>
      </c>
      <c r="C510" t="inlineStr">
        <is>
          <t>London Gate</t>
        </is>
      </c>
      <c r="D510" t="inlineStr">
        <is>
          <t>Dubai Marina</t>
        </is>
      </c>
      <c r="E510" t="inlineStr">
        <is>
          <t>Branded Apts</t>
        </is>
      </c>
      <c r="F510" t="inlineStr">
        <is>
          <t>Luxury</t>
        </is>
      </c>
      <c r="G510" t="inlineStr">
        <is>
          <t>2.8M</t>
        </is>
      </c>
      <c r="H510" t="inlineStr">
        <is>
          <t>3600</t>
        </is>
      </c>
      <c r="I510" t="inlineStr">
        <is>
          <t>30+</t>
        </is>
      </c>
      <c r="J510" t="inlineStr">
        <is>
          <t>60/40</t>
        </is>
      </c>
      <c r="K510" t="inlineStr">
        <is>
          <t>2024</t>
        </is>
      </c>
      <c r="L510" t="inlineStr">
        <is>
          <t>5.0-5.5</t>
        </is>
      </c>
      <c r="M510" t="inlineStr">
        <is>
          <t>10-12</t>
        </is>
      </c>
      <c r="N510" t="inlineStr">
        <is>
          <t>15.0-17.5</t>
        </is>
      </c>
      <c r="O510" t="inlineStr">
        <is>
          <t>American Univ. Dubai</t>
        </is>
      </c>
      <c r="P510" t="inlineStr">
        <is>
          <t>Saudi German Hospital</t>
        </is>
      </c>
      <c r="Q510" t="inlineStr">
        <is>
          <t>Dubai Marina Mall</t>
        </is>
      </c>
      <c r="R510" t="inlineStr">
        <is>
          <t>Sheikh Zayed E11</t>
        </is>
      </c>
      <c r="S510" t="inlineStr">
        <is>
          <t>20</t>
        </is>
      </c>
      <c r="T510" t="inlineStr">
        <is>
          <t>5</t>
        </is>
      </c>
      <c r="U510" t="inlineStr">
        <is>
          <t>25</t>
        </is>
      </c>
      <c r="V510" t="inlineStr">
        <is>
          <t>30</t>
        </is>
      </c>
      <c r="W510" t="n">
        <v>2</v>
      </c>
      <c r="X510" s="12" t="n">
        <v>2800000</v>
      </c>
      <c r="Y510" s="12" t="n">
        <v>2800000</v>
      </c>
      <c r="Z510" s="9" t="n">
        <v>5</v>
      </c>
      <c r="AA510" s="9" t="n">
        <v>5.5</v>
      </c>
      <c r="AB510" s="9" t="n">
        <v>10</v>
      </c>
      <c r="AC510" s="9" t="n">
        <v>12</v>
      </c>
      <c r="AD510" s="9" t="n">
        <v>15</v>
      </c>
      <c r="AE510" s="9" t="n">
        <v>17.5</v>
      </c>
      <c r="AF510" t="n">
        <v>2024</v>
      </c>
      <c r="AH510" t="inlineStr">
        <is>
          <t>Apartment</t>
        </is>
      </c>
      <c r="AI510" t="inlineStr">
        <is>
          <t>Prime</t>
        </is>
      </c>
      <c r="AJ510" t="inlineStr">
        <is>
          <t>Established</t>
        </is>
      </c>
      <c r="AK510" t="inlineStr">
        <is>
          <t>Prime resilient / selective</t>
        </is>
      </c>
      <c r="AL510" t="inlineStr">
        <is>
          <t>Better support from quality, branding, and scarcer prime stock; still entry-price sensitive.</t>
        </is>
      </c>
      <c r="AM510" s="9" t="n">
        <v>11</v>
      </c>
      <c r="AN510" s="9" t="n">
        <v>5.25</v>
      </c>
      <c r="AO510" s="10" t="n">
        <v>0.55</v>
      </c>
      <c r="AP510" s="13" t="n">
        <v>0.02</v>
      </c>
      <c r="AQ510" s="13" t="n">
        <v>0</v>
      </c>
      <c r="AR510" s="13" t="n">
        <v>0</v>
      </c>
      <c r="AS510" s="13" t="n">
        <v>0.03</v>
      </c>
      <c r="AT510" s="13" t="n">
        <v>0</v>
      </c>
      <c r="AU510" s="13" t="n">
        <v>0</v>
      </c>
      <c r="AV510" s="13" t="n">
        <v>-0.005</v>
      </c>
      <c r="AW510" s="13" t="n">
        <v>0.0805</v>
      </c>
      <c r="AX510" s="13" t="n">
        <v>0.025</v>
      </c>
      <c r="AY510" s="12" t="n">
        <v>2934638</v>
      </c>
      <c r="AZ510" s="12" t="n">
        <v>3025400</v>
      </c>
      <c r="BA510" s="12" t="n">
        <v>3116162</v>
      </c>
      <c r="BB510" s="12" t="n">
        <v>3010273</v>
      </c>
      <c r="BC510" s="12" t="n">
        <v>3101035</v>
      </c>
      <c r="BD510" s="12" t="n">
        <v>3191797</v>
      </c>
      <c r="BE510" s="12" t="n">
        <v>3178561</v>
      </c>
      <c r="BF510" t="inlineStr">
        <is>
          <t>Frozen values from same rules-based model as formula sheet.</t>
        </is>
      </c>
      <c r="BG510" t="inlineStr">
        <is>
          <t>2026-03-17</t>
        </is>
      </c>
      <c r="BH510" t="inlineStr">
        <is>
          <t>DLD / Digital Dubai / CBUAE / Savills / Knight Frank-Moody’s / Reuters</t>
        </is>
      </c>
    </row>
    <row r="511">
      <c r="A511" t="n">
        <v>510</v>
      </c>
      <c r="B511" t="inlineStr">
        <is>
          <t>Maya V</t>
        </is>
      </c>
      <c r="C511" t="inlineStr">
        <is>
          <t>London Gate</t>
        </is>
      </c>
      <c r="D511" t="inlineStr">
        <is>
          <t>JVT</t>
        </is>
      </c>
      <c r="E511" t="inlineStr">
        <is>
          <t>Apartments</t>
        </is>
      </c>
      <c r="F511" t="inlineStr">
        <is>
          <t>Family</t>
        </is>
      </c>
      <c r="G511" t="inlineStr">
        <is>
          <t>900k</t>
        </is>
      </c>
      <c r="H511" t="inlineStr">
        <is>
          <t>1100</t>
        </is>
      </c>
      <c r="I511" t="inlineStr">
        <is>
          <t>15</t>
        </is>
      </c>
      <c r="J511" t="inlineStr">
        <is>
          <t>60/40</t>
        </is>
      </c>
      <c r="K511" t="inlineStr">
        <is>
          <t>2023</t>
        </is>
      </c>
      <c r="L511" t="inlineStr">
        <is>
          <t>7.0-7.5</t>
        </is>
      </c>
      <c r="M511" t="inlineStr">
        <is>
          <t>6-8</t>
        </is>
      </c>
      <c r="N511" t="inlineStr">
        <is>
          <t>13.0-15.5</t>
        </is>
      </c>
      <c r="O511" t="inlineStr">
        <is>
          <t>Sunmarke School</t>
        </is>
      </c>
      <c r="P511" t="inlineStr">
        <is>
          <t>NMC Royal DIP</t>
        </is>
      </c>
      <c r="Q511" t="inlineStr">
        <is>
          <t>Circle Mall</t>
        </is>
      </c>
      <c r="R511" t="inlineStr">
        <is>
          <t>E311 / Yalayis</t>
        </is>
      </c>
      <c r="S511" t="inlineStr">
        <is>
          <t>20</t>
        </is>
      </c>
      <c r="T511" t="inlineStr">
        <is>
          <t>15</t>
        </is>
      </c>
      <c r="U511" t="inlineStr">
        <is>
          <t>30</t>
        </is>
      </c>
      <c r="V511" t="inlineStr">
        <is>
          <t>20</t>
        </is>
      </c>
      <c r="W511" t="n">
        <v>2</v>
      </c>
      <c r="X511" s="12" t="n">
        <v>900000</v>
      </c>
      <c r="Y511" s="12" t="n">
        <v>900000</v>
      </c>
      <c r="Z511" s="9" t="n">
        <v>7</v>
      </c>
      <c r="AA511" s="9" t="n">
        <v>7.5</v>
      </c>
      <c r="AB511" s="9" t="n">
        <v>6</v>
      </c>
      <c r="AC511" s="9" t="n">
        <v>8</v>
      </c>
      <c r="AD511" s="9" t="n">
        <v>13</v>
      </c>
      <c r="AE511" s="9" t="n">
        <v>15.5</v>
      </c>
      <c r="AF511" t="n">
        <v>2023</v>
      </c>
      <c r="AH511" t="inlineStr">
        <is>
          <t>Apartment</t>
        </is>
      </c>
      <c r="AI511" t="inlineStr">
        <is>
          <t>SupplySensitiveApartment</t>
        </is>
      </c>
      <c r="AJ511" t="inlineStr">
        <is>
          <t>Established</t>
        </is>
      </c>
      <c r="AK511" t="inlineStr">
        <is>
          <t>Supply-sensitive / selective</t>
        </is>
      </c>
      <c r="AL511" t="inlineStr">
        <is>
          <t>Higher delivery risk in more price-sensitive apartment clusters; building selection and exit liquidity matter.</t>
        </is>
      </c>
      <c r="AM511" s="9" t="n">
        <v>7</v>
      </c>
      <c r="AN511" s="9" t="n">
        <v>7.25</v>
      </c>
      <c r="AO511" s="10" t="n">
        <v>0.55</v>
      </c>
      <c r="AP511" s="13" t="n">
        <v>0</v>
      </c>
      <c r="AQ511" s="13" t="n">
        <v>0</v>
      </c>
      <c r="AR511" s="13" t="n">
        <v>-0.01</v>
      </c>
      <c r="AS511" s="13" t="n">
        <v>-0.01</v>
      </c>
      <c r="AT511" s="13" t="n">
        <v>0</v>
      </c>
      <c r="AU511" s="13" t="n">
        <v>0.0025</v>
      </c>
      <c r="AV511" s="13" t="n">
        <v>-0.005</v>
      </c>
      <c r="AW511" s="13" t="n">
        <v>0.0285</v>
      </c>
      <c r="AX511" s="13" t="n">
        <v>-0.0125</v>
      </c>
      <c r="AY511" s="12" t="n">
        <v>897880</v>
      </c>
      <c r="AZ511" s="12" t="n">
        <v>925650</v>
      </c>
      <c r="BA511" s="12" t="n">
        <v>953420</v>
      </c>
      <c r="BB511" s="12" t="n">
        <v>886310</v>
      </c>
      <c r="BC511" s="12" t="n">
        <v>914079</v>
      </c>
      <c r="BD511" s="12" t="n">
        <v>941849</v>
      </c>
      <c r="BE511" s="12" t="n">
        <v>902653</v>
      </c>
      <c r="BF511" t="inlineStr">
        <is>
          <t>Frozen values from same rules-based model as formula sheet.</t>
        </is>
      </c>
      <c r="BG511" t="inlineStr">
        <is>
          <t>2026-03-17</t>
        </is>
      </c>
      <c r="BH511" t="inlineStr">
        <is>
          <t>DLD / Digital Dubai / CBUAE / Savills / Knight Frank-Moody’s / Reuters</t>
        </is>
      </c>
    </row>
    <row r="512">
      <c r="A512" t="n">
        <v>511</v>
      </c>
      <c r="B512" t="inlineStr">
        <is>
          <t>Nadine 1</t>
        </is>
      </c>
      <c r="C512" t="inlineStr">
        <is>
          <t>London Gate</t>
        </is>
      </c>
      <c r="D512" t="inlineStr">
        <is>
          <t>Al Furjan</t>
        </is>
      </c>
      <c r="E512" t="inlineStr">
        <is>
          <t>Apartments</t>
        </is>
      </c>
      <c r="F512" t="inlineStr">
        <is>
          <t>Architecture</t>
        </is>
      </c>
      <c r="G512" t="inlineStr">
        <is>
          <t>1.0M</t>
        </is>
      </c>
      <c r="H512" t="inlineStr">
        <is>
          <t>1200</t>
        </is>
      </c>
      <c r="I512" t="inlineStr">
        <is>
          <t>14</t>
        </is>
      </c>
      <c r="J512" t="inlineStr">
        <is>
          <t>60/40</t>
        </is>
      </c>
      <c r="K512" t="inlineStr">
        <is>
          <t>2023</t>
        </is>
      </c>
      <c r="L512" t="inlineStr">
        <is>
          <t>7.0-7.5</t>
        </is>
      </c>
      <c r="M512" t="inlineStr">
        <is>
          <t>6-8</t>
        </is>
      </c>
      <c r="N512" t="inlineStr">
        <is>
          <t>13.0-15.5</t>
        </is>
      </c>
      <c r="O512" t="inlineStr">
        <is>
          <t>The Arbor School</t>
        </is>
      </c>
      <c r="P512" t="inlineStr">
        <is>
          <t>NMC Royal DIP</t>
        </is>
      </c>
      <c r="Q512" t="inlineStr">
        <is>
          <t>Ibn Battuta Mall</t>
        </is>
      </c>
      <c r="R512" t="inlineStr">
        <is>
          <t>Yalayis / E311</t>
        </is>
      </c>
      <c r="S512" t="inlineStr">
        <is>
          <t>25</t>
        </is>
      </c>
      <c r="T512" t="inlineStr">
        <is>
          <t>15</t>
        </is>
      </c>
      <c r="U512" t="inlineStr">
        <is>
          <t>30</t>
        </is>
      </c>
      <c r="V512" t="inlineStr">
        <is>
          <t>20</t>
        </is>
      </c>
      <c r="W512" t="n">
        <v>2</v>
      </c>
      <c r="X512" s="12" t="n">
        <v>1000000</v>
      </c>
      <c r="Y512" s="12" t="n">
        <v>1000000</v>
      </c>
      <c r="Z512" s="9" t="n">
        <v>7</v>
      </c>
      <c r="AA512" s="9" t="n">
        <v>7.5</v>
      </c>
      <c r="AB512" s="9" t="n">
        <v>6</v>
      </c>
      <c r="AC512" s="9" t="n">
        <v>8</v>
      </c>
      <c r="AD512" s="9" t="n">
        <v>13</v>
      </c>
      <c r="AE512" s="9" t="n">
        <v>15.5</v>
      </c>
      <c r="AF512" t="n">
        <v>2023</v>
      </c>
      <c r="AH512" t="inlineStr">
        <is>
          <t>Apartment</t>
        </is>
      </c>
      <c r="AI512" t="inlineStr">
        <is>
          <t>SupplySensitiveApartment</t>
        </is>
      </c>
      <c r="AJ512" t="inlineStr">
        <is>
          <t>Established</t>
        </is>
      </c>
      <c r="AK512" t="inlineStr">
        <is>
          <t>Supply-sensitive / selective</t>
        </is>
      </c>
      <c r="AL512" t="inlineStr">
        <is>
          <t>Higher delivery risk in more price-sensitive apartment clusters; building selection and exit liquidity matter.</t>
        </is>
      </c>
      <c r="AM512" s="9" t="n">
        <v>7</v>
      </c>
      <c r="AN512" s="9" t="n">
        <v>7.25</v>
      </c>
      <c r="AO512" s="10" t="n">
        <v>0.55</v>
      </c>
      <c r="AP512" s="13" t="n">
        <v>0</v>
      </c>
      <c r="AQ512" s="13" t="n">
        <v>0</v>
      </c>
      <c r="AR512" s="13" t="n">
        <v>-0.01</v>
      </c>
      <c r="AS512" s="13" t="n">
        <v>-0.01</v>
      </c>
      <c r="AT512" s="13" t="n">
        <v>0</v>
      </c>
      <c r="AU512" s="13" t="n">
        <v>0.0025</v>
      </c>
      <c r="AV512" s="13" t="n">
        <v>-0.005</v>
      </c>
      <c r="AW512" s="13" t="n">
        <v>0.0285</v>
      </c>
      <c r="AX512" s="13" t="n">
        <v>-0.0125</v>
      </c>
      <c r="AY512" s="12" t="n">
        <v>997645</v>
      </c>
      <c r="AZ512" s="12" t="n">
        <v>1028500</v>
      </c>
      <c r="BA512" s="12" t="n">
        <v>1059355</v>
      </c>
      <c r="BB512" s="12" t="n">
        <v>984789</v>
      </c>
      <c r="BC512" s="12" t="n">
        <v>1015644</v>
      </c>
      <c r="BD512" s="12" t="n">
        <v>1046499</v>
      </c>
      <c r="BE512" s="12" t="n">
        <v>1002948</v>
      </c>
      <c r="BF512" t="inlineStr">
        <is>
          <t>Frozen values from same rules-based model as formula sheet.</t>
        </is>
      </c>
      <c r="BG512" t="inlineStr">
        <is>
          <t>2026-03-17</t>
        </is>
      </c>
      <c r="BH512" t="inlineStr">
        <is>
          <t>DLD / Digital Dubai / CBUAE / Savills / Knight Frank-Moody’s / Reuters</t>
        </is>
      </c>
    </row>
    <row r="513">
      <c r="A513" t="n">
        <v>512</v>
      </c>
      <c r="B513" t="inlineStr">
        <is>
          <t>Nadine 2</t>
        </is>
      </c>
      <c r="C513" t="inlineStr">
        <is>
          <t>London Gate</t>
        </is>
      </c>
      <c r="D513" t="inlineStr">
        <is>
          <t>Al Furjan</t>
        </is>
      </c>
      <c r="E513" t="inlineStr">
        <is>
          <t>Apartments</t>
        </is>
      </c>
      <c r="F513" t="inlineStr">
        <is>
          <t>Architecture</t>
        </is>
      </c>
      <c r="G513" t="inlineStr">
        <is>
          <t>1.0M</t>
        </is>
      </c>
      <c r="H513" t="inlineStr">
        <is>
          <t>1200</t>
        </is>
      </c>
      <c r="I513" t="inlineStr">
        <is>
          <t>14</t>
        </is>
      </c>
      <c r="J513" t="inlineStr">
        <is>
          <t>60/40</t>
        </is>
      </c>
      <c r="K513" t="inlineStr">
        <is>
          <t>2023</t>
        </is>
      </c>
      <c r="L513" t="inlineStr">
        <is>
          <t>7.0-7.5</t>
        </is>
      </c>
      <c r="M513" t="inlineStr">
        <is>
          <t>6-8</t>
        </is>
      </c>
      <c r="N513" t="inlineStr">
        <is>
          <t>13.0-15.5</t>
        </is>
      </c>
      <c r="O513" t="inlineStr">
        <is>
          <t>The Arbor School</t>
        </is>
      </c>
      <c r="P513" t="inlineStr">
        <is>
          <t>NMC Royal DIP</t>
        </is>
      </c>
      <c r="Q513" t="inlineStr">
        <is>
          <t>Ibn Battuta Mall</t>
        </is>
      </c>
      <c r="R513" t="inlineStr">
        <is>
          <t>Yalayis / E311</t>
        </is>
      </c>
      <c r="S513" t="inlineStr">
        <is>
          <t>25</t>
        </is>
      </c>
      <c r="T513" t="inlineStr">
        <is>
          <t>15</t>
        </is>
      </c>
      <c r="U513" t="inlineStr">
        <is>
          <t>30</t>
        </is>
      </c>
      <c r="V513" t="inlineStr">
        <is>
          <t>20</t>
        </is>
      </c>
      <c r="W513" t="n">
        <v>2</v>
      </c>
      <c r="X513" s="12" t="n">
        <v>1000000</v>
      </c>
      <c r="Y513" s="12" t="n">
        <v>1000000</v>
      </c>
      <c r="Z513" s="9" t="n">
        <v>7</v>
      </c>
      <c r="AA513" s="9" t="n">
        <v>7.5</v>
      </c>
      <c r="AB513" s="9" t="n">
        <v>6</v>
      </c>
      <c r="AC513" s="9" t="n">
        <v>8</v>
      </c>
      <c r="AD513" s="9" t="n">
        <v>13</v>
      </c>
      <c r="AE513" s="9" t="n">
        <v>15.5</v>
      </c>
      <c r="AF513" t="n">
        <v>2023</v>
      </c>
      <c r="AH513" t="inlineStr">
        <is>
          <t>Apartment</t>
        </is>
      </c>
      <c r="AI513" t="inlineStr">
        <is>
          <t>SupplySensitiveApartment</t>
        </is>
      </c>
      <c r="AJ513" t="inlineStr">
        <is>
          <t>Established</t>
        </is>
      </c>
      <c r="AK513" t="inlineStr">
        <is>
          <t>Supply-sensitive / selective</t>
        </is>
      </c>
      <c r="AL513" t="inlineStr">
        <is>
          <t>Higher delivery risk in more price-sensitive apartment clusters; building selection and exit liquidity matter.</t>
        </is>
      </c>
      <c r="AM513" s="9" t="n">
        <v>7</v>
      </c>
      <c r="AN513" s="9" t="n">
        <v>7.25</v>
      </c>
      <c r="AO513" s="10" t="n">
        <v>0.55</v>
      </c>
      <c r="AP513" s="13" t="n">
        <v>0</v>
      </c>
      <c r="AQ513" s="13" t="n">
        <v>0</v>
      </c>
      <c r="AR513" s="13" t="n">
        <v>-0.01</v>
      </c>
      <c r="AS513" s="13" t="n">
        <v>-0.01</v>
      </c>
      <c r="AT513" s="13" t="n">
        <v>0</v>
      </c>
      <c r="AU513" s="13" t="n">
        <v>0.0025</v>
      </c>
      <c r="AV513" s="13" t="n">
        <v>-0.005</v>
      </c>
      <c r="AW513" s="13" t="n">
        <v>0.0285</v>
      </c>
      <c r="AX513" s="13" t="n">
        <v>-0.0125</v>
      </c>
      <c r="AY513" s="12" t="n">
        <v>997645</v>
      </c>
      <c r="AZ513" s="12" t="n">
        <v>1028500</v>
      </c>
      <c r="BA513" s="12" t="n">
        <v>1059355</v>
      </c>
      <c r="BB513" s="12" t="n">
        <v>984789</v>
      </c>
      <c r="BC513" s="12" t="n">
        <v>1015644</v>
      </c>
      <c r="BD513" s="12" t="n">
        <v>1046499</v>
      </c>
      <c r="BE513" s="12" t="n">
        <v>1002948</v>
      </c>
      <c r="BF513" t="inlineStr">
        <is>
          <t>Frozen values from same rules-based model as formula sheet.</t>
        </is>
      </c>
      <c r="BG513" t="inlineStr">
        <is>
          <t>2026-03-17</t>
        </is>
      </c>
      <c r="BH513" t="inlineStr">
        <is>
          <t>DLD / Digital Dubai / CBUAE / Savills / Knight Frank-Moody’s / Reuters</t>
        </is>
      </c>
    </row>
    <row r="514">
      <c r="A514" t="n">
        <v>513</v>
      </c>
      <c r="B514" t="inlineStr">
        <is>
          <t>Lilian</t>
        </is>
      </c>
      <c r="C514" t="inlineStr">
        <is>
          <t>London Gate</t>
        </is>
      </c>
      <c r="D514" t="inlineStr">
        <is>
          <t>Al Furjan</t>
        </is>
      </c>
      <c r="E514" t="inlineStr">
        <is>
          <t>Apartments</t>
        </is>
      </c>
      <c r="F514" t="inlineStr">
        <is>
          <t>Modern</t>
        </is>
      </c>
      <c r="G514" t="inlineStr">
        <is>
          <t>1.0M</t>
        </is>
      </c>
      <c r="H514" t="inlineStr">
        <is>
          <t>1200</t>
        </is>
      </c>
      <c r="I514" t="inlineStr">
        <is>
          <t>14</t>
        </is>
      </c>
      <c r="J514" t="inlineStr">
        <is>
          <t>60/40</t>
        </is>
      </c>
      <c r="K514" t="inlineStr">
        <is>
          <t>2024</t>
        </is>
      </c>
      <c r="L514" t="inlineStr">
        <is>
          <t>7.0-7.5</t>
        </is>
      </c>
      <c r="M514" t="inlineStr">
        <is>
          <t>6-8</t>
        </is>
      </c>
      <c r="N514" t="inlineStr">
        <is>
          <t>13.0-15.5</t>
        </is>
      </c>
      <c r="O514" t="inlineStr">
        <is>
          <t>The Arbor School</t>
        </is>
      </c>
      <c r="P514" t="inlineStr">
        <is>
          <t>NMC Royal DIP</t>
        </is>
      </c>
      <c r="Q514" t="inlineStr">
        <is>
          <t>Ibn Battuta Mall</t>
        </is>
      </c>
      <c r="R514" t="inlineStr">
        <is>
          <t>Yalayis / E311</t>
        </is>
      </c>
      <c r="S514" t="inlineStr">
        <is>
          <t>25</t>
        </is>
      </c>
      <c r="T514" t="inlineStr">
        <is>
          <t>15</t>
        </is>
      </c>
      <c r="U514" t="inlineStr">
        <is>
          <t>30</t>
        </is>
      </c>
      <c r="V514" t="inlineStr">
        <is>
          <t>20</t>
        </is>
      </c>
      <c r="W514" t="n">
        <v>2</v>
      </c>
      <c r="X514" s="12" t="n">
        <v>1000000</v>
      </c>
      <c r="Y514" s="12" t="n">
        <v>1000000</v>
      </c>
      <c r="Z514" s="9" t="n">
        <v>7</v>
      </c>
      <c r="AA514" s="9" t="n">
        <v>7.5</v>
      </c>
      <c r="AB514" s="9" t="n">
        <v>6</v>
      </c>
      <c r="AC514" s="9" t="n">
        <v>8</v>
      </c>
      <c r="AD514" s="9" t="n">
        <v>13</v>
      </c>
      <c r="AE514" s="9" t="n">
        <v>15.5</v>
      </c>
      <c r="AF514" t="n">
        <v>2024</v>
      </c>
      <c r="AH514" t="inlineStr">
        <is>
          <t>Apartment</t>
        </is>
      </c>
      <c r="AI514" t="inlineStr">
        <is>
          <t>SupplySensitiveApartment</t>
        </is>
      </c>
      <c r="AJ514" t="inlineStr">
        <is>
          <t>Established</t>
        </is>
      </c>
      <c r="AK514" t="inlineStr">
        <is>
          <t>Supply-sensitive / selective</t>
        </is>
      </c>
      <c r="AL514" t="inlineStr">
        <is>
          <t>Higher delivery risk in more price-sensitive apartment clusters; building selection and exit liquidity matter.</t>
        </is>
      </c>
      <c r="AM514" s="9" t="n">
        <v>7</v>
      </c>
      <c r="AN514" s="9" t="n">
        <v>7.25</v>
      </c>
      <c r="AO514" s="10" t="n">
        <v>0.55</v>
      </c>
      <c r="AP514" s="13" t="n">
        <v>0</v>
      </c>
      <c r="AQ514" s="13" t="n">
        <v>0</v>
      </c>
      <c r="AR514" s="13" t="n">
        <v>-0.01</v>
      </c>
      <c r="AS514" s="13" t="n">
        <v>-0.01</v>
      </c>
      <c r="AT514" s="13" t="n">
        <v>0</v>
      </c>
      <c r="AU514" s="13" t="n">
        <v>0.0025</v>
      </c>
      <c r="AV514" s="13" t="n">
        <v>-0.005</v>
      </c>
      <c r="AW514" s="13" t="n">
        <v>0.0285</v>
      </c>
      <c r="AX514" s="13" t="n">
        <v>-0.0125</v>
      </c>
      <c r="AY514" s="12" t="n">
        <v>997645</v>
      </c>
      <c r="AZ514" s="12" t="n">
        <v>1028500</v>
      </c>
      <c r="BA514" s="12" t="n">
        <v>1059355</v>
      </c>
      <c r="BB514" s="12" t="n">
        <v>984789</v>
      </c>
      <c r="BC514" s="12" t="n">
        <v>1015644</v>
      </c>
      <c r="BD514" s="12" t="n">
        <v>1046499</v>
      </c>
      <c r="BE514" s="12" t="n">
        <v>1002948</v>
      </c>
      <c r="BF514" t="inlineStr">
        <is>
          <t>Frozen values from same rules-based model as formula sheet.</t>
        </is>
      </c>
      <c r="BG514" t="inlineStr">
        <is>
          <t>2026-03-17</t>
        </is>
      </c>
      <c r="BH514" t="inlineStr">
        <is>
          <t>DLD / Digital Dubai / CBUAE / Savills / Knight Frank-Moody’s / Reuters</t>
        </is>
      </c>
    </row>
    <row r="515">
      <c r="A515" t="n">
        <v>514</v>
      </c>
      <c r="B515" t="inlineStr">
        <is>
          <t>The Muse</t>
        </is>
      </c>
      <c r="C515" t="inlineStr">
        <is>
          <t>London Gate</t>
        </is>
      </c>
      <c r="D515" t="inlineStr">
        <is>
          <t>JVC</t>
        </is>
      </c>
      <c r="E515" t="inlineStr">
        <is>
          <t>Apartments</t>
        </is>
      </c>
      <c r="F515" t="inlineStr">
        <is>
          <t>Boutique</t>
        </is>
      </c>
      <c r="G515" t="inlineStr">
        <is>
          <t>900k</t>
        </is>
      </c>
      <c r="H515" t="inlineStr">
        <is>
          <t>1300</t>
        </is>
      </c>
      <c r="I515" t="inlineStr">
        <is>
          <t>15</t>
        </is>
      </c>
      <c r="J515" t="inlineStr">
        <is>
          <t>60/40</t>
        </is>
      </c>
      <c r="K515" t="inlineStr">
        <is>
          <t>2024</t>
        </is>
      </c>
      <c r="L515" t="inlineStr">
        <is>
          <t>7.5-8.0</t>
        </is>
      </c>
      <c r="M515" t="inlineStr">
        <is>
          <t>6-8</t>
        </is>
      </c>
      <c r="N515" t="inlineStr">
        <is>
          <t>13.5-16.0</t>
        </is>
      </c>
      <c r="O515" t="inlineStr">
        <is>
          <t>JSS International</t>
        </is>
      </c>
      <c r="P515" t="inlineStr">
        <is>
          <t>Saudi German Hospital</t>
        </is>
      </c>
      <c r="Q515" t="inlineStr">
        <is>
          <t>Circle Mall</t>
        </is>
      </c>
      <c r="R515" t="inlineStr">
        <is>
          <t>Hessa St / E44</t>
        </is>
      </c>
      <c r="S515" t="inlineStr">
        <is>
          <t>20</t>
        </is>
      </c>
      <c r="T515" t="inlineStr">
        <is>
          <t>15</t>
        </is>
      </c>
      <c r="U515" t="inlineStr">
        <is>
          <t>25</t>
        </is>
      </c>
      <c r="V515" t="inlineStr">
        <is>
          <t>30</t>
        </is>
      </c>
      <c r="W515" t="n">
        <v>2</v>
      </c>
      <c r="X515" s="12" t="n">
        <v>900000</v>
      </c>
      <c r="Y515" s="12" t="n">
        <v>900000</v>
      </c>
      <c r="Z515" s="9" t="n">
        <v>7.5</v>
      </c>
      <c r="AA515" s="9" t="n">
        <v>8</v>
      </c>
      <c r="AB515" s="9" t="n">
        <v>6</v>
      </c>
      <c r="AC515" s="9" t="n">
        <v>8</v>
      </c>
      <c r="AD515" s="9" t="n">
        <v>13.5</v>
      </c>
      <c r="AE515" s="9" t="n">
        <v>16</v>
      </c>
      <c r="AF515" t="n">
        <v>2024</v>
      </c>
      <c r="AH515" t="inlineStr">
        <is>
          <t>Apartment</t>
        </is>
      </c>
      <c r="AI515" t="inlineStr">
        <is>
          <t>SupplySensitiveApartment</t>
        </is>
      </c>
      <c r="AJ515" t="inlineStr">
        <is>
          <t>Established</t>
        </is>
      </c>
      <c r="AK515" t="inlineStr">
        <is>
          <t>Supply-sensitive / selective</t>
        </is>
      </c>
      <c r="AL515" t="inlineStr">
        <is>
          <t>Higher delivery risk in more price-sensitive apartment clusters; building selection and exit liquidity matter.</t>
        </is>
      </c>
      <c r="AM515" s="9" t="n">
        <v>7</v>
      </c>
      <c r="AN515" s="9" t="n">
        <v>7.75</v>
      </c>
      <c r="AO515" s="10" t="n">
        <v>0.55</v>
      </c>
      <c r="AP515" s="13" t="n">
        <v>0</v>
      </c>
      <c r="AQ515" s="13" t="n">
        <v>0</v>
      </c>
      <c r="AR515" s="13" t="n">
        <v>-0.01</v>
      </c>
      <c r="AS515" s="13" t="n">
        <v>-0.01</v>
      </c>
      <c r="AT515" s="13" t="n">
        <v>0</v>
      </c>
      <c r="AU515" s="13" t="n">
        <v>0.0025</v>
      </c>
      <c r="AV515" s="13" t="n">
        <v>-0.005</v>
      </c>
      <c r="AW515" s="13" t="n">
        <v>0.0285</v>
      </c>
      <c r="AX515" s="13" t="n">
        <v>-0.0125</v>
      </c>
      <c r="AY515" s="12" t="n">
        <v>897880</v>
      </c>
      <c r="AZ515" s="12" t="n">
        <v>925650</v>
      </c>
      <c r="BA515" s="12" t="n">
        <v>953420</v>
      </c>
      <c r="BB515" s="12" t="n">
        <v>886310</v>
      </c>
      <c r="BC515" s="12" t="n">
        <v>914079</v>
      </c>
      <c r="BD515" s="12" t="n">
        <v>941849</v>
      </c>
      <c r="BE515" s="12" t="n">
        <v>902653</v>
      </c>
      <c r="BF515" t="inlineStr">
        <is>
          <t>Frozen values from same rules-based model as formula sheet.</t>
        </is>
      </c>
      <c r="BG515" t="inlineStr">
        <is>
          <t>2026-03-17</t>
        </is>
      </c>
      <c r="BH515" t="inlineStr">
        <is>
          <t>DLD / Digital Dubai / CBUAE / Savills / Knight Frank-Moody’s / Reuters</t>
        </is>
      </c>
    </row>
    <row r="516">
      <c r="A516" t="n">
        <v>515</v>
      </c>
      <c r="B516" t="inlineStr">
        <is>
          <t>One Sankari</t>
        </is>
      </c>
      <c r="C516" t="inlineStr">
        <is>
          <t>Sankari Properties</t>
        </is>
      </c>
      <c r="D516" t="inlineStr">
        <is>
          <t>Business Bay (Marasi)</t>
        </is>
      </c>
      <c r="E516" t="inlineStr">
        <is>
          <t>Ultra-Luxury Apts</t>
        </is>
      </c>
      <c r="F516" t="inlineStr">
        <is>
          <t>Iconic / Canal</t>
        </is>
      </c>
      <c r="G516" t="inlineStr">
        <is>
          <t>40M+</t>
        </is>
      </c>
      <c r="H516" t="inlineStr">
        <is>
          <t>6000+</t>
        </is>
      </c>
      <c r="I516" t="inlineStr">
        <is>
          <t>50+</t>
        </is>
      </c>
      <c r="J516" t="inlineStr">
        <is>
          <t>50/50</t>
        </is>
      </c>
      <c r="K516" t="inlineStr">
        <is>
          <t>2024</t>
        </is>
      </c>
      <c r="L516" t="inlineStr">
        <is>
          <t>3.5-4.0</t>
        </is>
      </c>
      <c r="M516" t="inlineStr">
        <is>
          <t>10-15</t>
        </is>
      </c>
      <c r="N516" t="inlineStr">
        <is>
          <t>13.5-19.0</t>
        </is>
      </c>
      <c r="O516" t="inlineStr">
        <is>
          <t>Hartland Intl</t>
        </is>
      </c>
      <c r="P516" t="inlineStr">
        <is>
          <t>Emirates Hospital BB</t>
        </is>
      </c>
      <c r="Q516" t="inlineStr">
        <is>
          <t>Dubai Mall</t>
        </is>
      </c>
      <c r="R516" t="inlineStr">
        <is>
          <t>Al Khail E44</t>
        </is>
      </c>
      <c r="S516" t="inlineStr">
        <is>
          <t>5</t>
        </is>
      </c>
      <c r="T516" t="inlineStr">
        <is>
          <t>20</t>
        </is>
      </c>
      <c r="U516" t="inlineStr">
        <is>
          <t>15</t>
        </is>
      </c>
      <c r="V516" t="inlineStr">
        <is>
          <t>35</t>
        </is>
      </c>
      <c r="W516" t="n">
        <v>2</v>
      </c>
      <c r="X516" s="12" t="n">
        <v>40000000</v>
      </c>
      <c r="Y516" s="12" t="n">
        <v>40000000</v>
      </c>
      <c r="Z516" s="9" t="n">
        <v>3.5</v>
      </c>
      <c r="AA516" s="9" t="n">
        <v>4</v>
      </c>
      <c r="AB516" s="9" t="n">
        <v>10</v>
      </c>
      <c r="AC516" s="9" t="n">
        <v>15</v>
      </c>
      <c r="AD516" s="9" t="n">
        <v>13.5</v>
      </c>
      <c r="AE516" s="9" t="n">
        <v>19</v>
      </c>
      <c r="AF516" t="n">
        <v>2024</v>
      </c>
      <c r="AH516" t="inlineStr">
        <is>
          <t>Apartment</t>
        </is>
      </c>
      <c r="AI516" t="inlineStr">
        <is>
          <t>MainstreamSelective</t>
        </is>
      </c>
      <c r="AJ516" t="inlineStr">
        <is>
          <t>Established</t>
        </is>
      </c>
      <c r="AK516" t="inlineStr">
        <is>
          <t>Balanced / selective</t>
        </is>
      </c>
      <c r="AL516" t="inlineStr">
        <is>
          <t>Market remains active but increasingly differentiated by developer, micro-location, livability, and pricing discipline.</t>
        </is>
      </c>
      <c r="AM516" s="9" t="n">
        <v>12.5</v>
      </c>
      <c r="AN516" s="9" t="n">
        <v>3.75</v>
      </c>
      <c r="AO516" s="10" t="n">
        <v>0.55</v>
      </c>
      <c r="AP516" s="13" t="n">
        <v>0</v>
      </c>
      <c r="AQ516" s="13" t="n">
        <v>0</v>
      </c>
      <c r="AR516" s="13" t="n">
        <v>0</v>
      </c>
      <c r="AS516" s="13" t="n">
        <v>0.01</v>
      </c>
      <c r="AT516" s="13" t="n">
        <v>0</v>
      </c>
      <c r="AU516" s="13" t="n">
        <v>0</v>
      </c>
      <c r="AV516" s="13" t="n">
        <v>-0.005</v>
      </c>
      <c r="AW516" s="13" t="n">
        <v>0.06875000000000001</v>
      </c>
      <c r="AX516" s="13" t="n">
        <v>0.005</v>
      </c>
      <c r="AY516" s="12" t="n">
        <v>41467500</v>
      </c>
      <c r="AZ516" s="12" t="n">
        <v>42750000</v>
      </c>
      <c r="BA516" s="12" t="n">
        <v>44032500</v>
      </c>
      <c r="BB516" s="12" t="n">
        <v>41681250</v>
      </c>
      <c r="BC516" s="12" t="n">
        <v>42963750</v>
      </c>
      <c r="BD516" s="12" t="n">
        <v>44246250</v>
      </c>
      <c r="BE516" s="12" t="n">
        <v>43178569</v>
      </c>
      <c r="BF516" t="inlineStr">
        <is>
          <t>Frozen values from same rules-based model as formula sheet.</t>
        </is>
      </c>
      <c r="BG516" t="inlineStr">
        <is>
          <t>2026-03-17</t>
        </is>
      </c>
      <c r="BH516" t="inlineStr">
        <is>
          <t>DLD / Digital Dubai / CBUAE / Savills / Knight Frank-Moody’s / Reuters</t>
        </is>
      </c>
    </row>
    <row r="517">
      <c r="A517" t="n">
        <v>516</v>
      </c>
      <c r="B517" t="inlineStr">
        <is>
          <t>Regent Residences Dubai</t>
        </is>
      </c>
      <c r="C517" t="inlineStr">
        <is>
          <t>Sankari Properties</t>
        </is>
      </c>
      <c r="D517" t="inlineStr">
        <is>
          <t>Business Bay (Marasi)</t>
        </is>
      </c>
      <c r="E517" t="inlineStr">
        <is>
          <t>Branded Apts</t>
        </is>
      </c>
      <c r="F517" t="inlineStr">
        <is>
          <t>Hotel / Luxury</t>
        </is>
      </c>
      <c r="G517" t="inlineStr">
        <is>
          <t>35M+</t>
        </is>
      </c>
      <c r="H517" t="inlineStr">
        <is>
          <t>5500+</t>
        </is>
      </c>
      <c r="I517" t="inlineStr">
        <is>
          <t>50+</t>
        </is>
      </c>
      <c r="J517" t="inlineStr">
        <is>
          <t>50/50</t>
        </is>
      </c>
      <c r="K517" t="inlineStr">
        <is>
          <t>2024</t>
        </is>
      </c>
      <c r="L517" t="inlineStr">
        <is>
          <t>3.5-4.0</t>
        </is>
      </c>
      <c r="M517" t="inlineStr">
        <is>
          <t>10-15</t>
        </is>
      </c>
      <c r="N517" t="inlineStr">
        <is>
          <t>13.5-19.0</t>
        </is>
      </c>
      <c r="O517" t="inlineStr">
        <is>
          <t>Hartland Intl</t>
        </is>
      </c>
      <c r="P517" t="inlineStr">
        <is>
          <t>Emirates Hospital BB</t>
        </is>
      </c>
      <c r="Q517" t="inlineStr">
        <is>
          <t>Dubai Mall</t>
        </is>
      </c>
      <c r="R517" t="inlineStr">
        <is>
          <t>Al Khail E44</t>
        </is>
      </c>
      <c r="S517" t="inlineStr">
        <is>
          <t>5</t>
        </is>
      </c>
      <c r="T517" t="inlineStr">
        <is>
          <t>20</t>
        </is>
      </c>
      <c r="U517" t="inlineStr">
        <is>
          <t>15</t>
        </is>
      </c>
      <c r="V517" t="inlineStr">
        <is>
          <t>35</t>
        </is>
      </c>
      <c r="W517" t="n">
        <v>2</v>
      </c>
      <c r="X517" s="12" t="n">
        <v>35000000</v>
      </c>
      <c r="Y517" s="12" t="n">
        <v>35000000</v>
      </c>
      <c r="Z517" s="9" t="n">
        <v>3.5</v>
      </c>
      <c r="AA517" s="9" t="n">
        <v>4</v>
      </c>
      <c r="AB517" s="9" t="n">
        <v>10</v>
      </c>
      <c r="AC517" s="9" t="n">
        <v>15</v>
      </c>
      <c r="AD517" s="9" t="n">
        <v>13.5</v>
      </c>
      <c r="AE517" s="9" t="n">
        <v>19</v>
      </c>
      <c r="AF517" t="n">
        <v>2024</v>
      </c>
      <c r="AH517" t="inlineStr">
        <is>
          <t>Apartment</t>
        </is>
      </c>
      <c r="AI517" t="inlineStr">
        <is>
          <t>MainstreamSelective</t>
        </is>
      </c>
      <c r="AJ517" t="inlineStr">
        <is>
          <t>Established</t>
        </is>
      </c>
      <c r="AK517" t="inlineStr">
        <is>
          <t>Balanced / selective</t>
        </is>
      </c>
      <c r="AL517" t="inlineStr">
        <is>
          <t>Market remains active but increasingly differentiated by developer, micro-location, livability, and pricing discipline.</t>
        </is>
      </c>
      <c r="AM517" s="9" t="n">
        <v>12.5</v>
      </c>
      <c r="AN517" s="9" t="n">
        <v>3.75</v>
      </c>
      <c r="AO517" s="10" t="n">
        <v>0.55</v>
      </c>
      <c r="AP517" s="13" t="n">
        <v>0</v>
      </c>
      <c r="AQ517" s="13" t="n">
        <v>0</v>
      </c>
      <c r="AR517" s="13" t="n">
        <v>0</v>
      </c>
      <c r="AS517" s="13" t="n">
        <v>0.01</v>
      </c>
      <c r="AT517" s="13" t="n">
        <v>0</v>
      </c>
      <c r="AU517" s="13" t="n">
        <v>0</v>
      </c>
      <c r="AV517" s="13" t="n">
        <v>-0.005</v>
      </c>
      <c r="AW517" s="13" t="n">
        <v>0.06875000000000001</v>
      </c>
      <c r="AX517" s="13" t="n">
        <v>0.005</v>
      </c>
      <c r="AY517" s="12" t="n">
        <v>36284062</v>
      </c>
      <c r="AZ517" s="12" t="n">
        <v>37406250</v>
      </c>
      <c r="BA517" s="12" t="n">
        <v>38528438</v>
      </c>
      <c r="BB517" s="12" t="n">
        <v>36471094</v>
      </c>
      <c r="BC517" s="12" t="n">
        <v>37593281</v>
      </c>
      <c r="BD517" s="12" t="n">
        <v>38715469</v>
      </c>
      <c r="BE517" s="12" t="n">
        <v>37781248</v>
      </c>
      <c r="BF517" t="inlineStr">
        <is>
          <t>Frozen values from same rules-based model as formula sheet.</t>
        </is>
      </c>
      <c r="BG517" t="inlineStr">
        <is>
          <t>2026-03-17</t>
        </is>
      </c>
      <c r="BH517" t="inlineStr">
        <is>
          <t>DLD / Digital Dubai / CBUAE / Savills / Knight Frank-Moody’s / Reuters</t>
        </is>
      </c>
    </row>
    <row r="518">
      <c r="A518" t="n">
        <v>517</v>
      </c>
      <c r="B518" t="inlineStr">
        <is>
          <t>Palm Signature Villas</t>
        </is>
      </c>
      <c r="C518" t="inlineStr">
        <is>
          <t>Sankari Properties</t>
        </is>
      </c>
      <c r="D518" t="inlineStr">
        <is>
          <t>Palm Jumeirah</t>
        </is>
      </c>
      <c r="E518" t="inlineStr">
        <is>
          <t>Villas</t>
        </is>
      </c>
      <c r="F518" t="inlineStr">
        <is>
          <t>Custom / Ultra</t>
        </is>
      </c>
      <c r="G518" t="inlineStr">
        <is>
          <t>100M+</t>
        </is>
      </c>
      <c r="H518" t="inlineStr">
        <is>
          <t>8000+</t>
        </is>
      </c>
      <c r="I518" t="inlineStr">
        <is>
          <t>50+</t>
        </is>
      </c>
      <c r="J518" t="inlineStr">
        <is>
          <t>Completed</t>
        </is>
      </c>
      <c r="K518" t="inlineStr">
        <is>
          <t>Varies</t>
        </is>
      </c>
      <c r="L518" t="inlineStr">
        <is>
          <t>3.0-3.5</t>
        </is>
      </c>
      <c r="M518" t="inlineStr">
        <is>
          <t>5-8</t>
        </is>
      </c>
      <c r="N518" t="inlineStr">
        <is>
          <t>8.0-11.5</t>
        </is>
      </c>
      <c r="O518" t="inlineStr">
        <is>
          <t>Chevalier College</t>
        </is>
      </c>
      <c r="P518" t="inlineStr">
        <is>
          <t>Emirates Hospital</t>
        </is>
      </c>
      <c r="Q518" t="inlineStr">
        <is>
          <t>Nakheel Mall</t>
        </is>
      </c>
      <c r="R518" t="inlineStr">
        <is>
          <t>Sheikh Zayed E11</t>
        </is>
      </c>
      <c r="S518" t="inlineStr">
        <is>
          <t>20</t>
        </is>
      </c>
      <c r="T518" t="inlineStr">
        <is>
          <t>10</t>
        </is>
      </c>
      <c r="U518" t="inlineStr">
        <is>
          <t>25</t>
        </is>
      </c>
      <c r="V518" t="inlineStr">
        <is>
          <t>35</t>
        </is>
      </c>
      <c r="W518" t="n">
        <v>2</v>
      </c>
      <c r="X518" s="12" t="n">
        <v>100000000</v>
      </c>
      <c r="Y518" s="12" t="n">
        <v>100000000</v>
      </c>
      <c r="Z518" s="9" t="n">
        <v>3</v>
      </c>
      <c r="AA518" s="9" t="n">
        <v>3.5</v>
      </c>
      <c r="AB518" s="9" t="n">
        <v>5</v>
      </c>
      <c r="AC518" s="9" t="n">
        <v>8</v>
      </c>
      <c r="AD518" s="9" t="n">
        <v>8</v>
      </c>
      <c r="AE518" s="9" t="n">
        <v>11.5</v>
      </c>
      <c r="AH518" t="inlineStr">
        <is>
          <t>Villa</t>
        </is>
      </c>
      <c r="AI518" t="inlineStr">
        <is>
          <t>Prime</t>
        </is>
      </c>
      <c r="AJ518" t="inlineStr">
        <is>
          <t>Established</t>
        </is>
      </c>
      <c r="AK518" t="inlineStr">
        <is>
          <t>Prime resilient / selective</t>
        </is>
      </c>
      <c r="AL518" t="inlineStr">
        <is>
          <t>Better support from quality, branding, and scarcer prime stock; still entry-price sensitive.</t>
        </is>
      </c>
      <c r="AM518" s="9" t="n">
        <v>6.5</v>
      </c>
      <c r="AN518" s="9" t="n">
        <v>3.25</v>
      </c>
      <c r="AO518" s="10" t="n">
        <v>0.25</v>
      </c>
      <c r="AP518" s="13" t="n">
        <v>0.02</v>
      </c>
      <c r="AQ518" s="13" t="n">
        <v>0.015</v>
      </c>
      <c r="AR518" s="13" t="n">
        <v>0</v>
      </c>
      <c r="AS518" s="13" t="n">
        <v>0.03</v>
      </c>
      <c r="AT518" s="13" t="n">
        <v>0</v>
      </c>
      <c r="AU518" s="13" t="n">
        <v>0</v>
      </c>
      <c r="AV518" s="13" t="n">
        <v>-0.005</v>
      </c>
      <c r="AW518" s="13" t="n">
        <v>0.05125</v>
      </c>
      <c r="AX518" s="13" t="n">
        <v>0.025</v>
      </c>
      <c r="AY518" s="12" t="n">
        <v>101971250</v>
      </c>
      <c r="AZ518" s="12" t="n">
        <v>105125000</v>
      </c>
      <c r="BA518" s="12" t="n">
        <v>108278750</v>
      </c>
      <c r="BB518" s="12" t="n">
        <v>104599375</v>
      </c>
      <c r="BC518" s="12" t="n">
        <v>107753125</v>
      </c>
      <c r="BD518" s="12" t="n">
        <v>110906875</v>
      </c>
      <c r="BE518" s="12" t="n">
        <v>110446953</v>
      </c>
      <c r="BF518" t="inlineStr">
        <is>
          <t>Frozen values from same rules-based model as formula sheet.</t>
        </is>
      </c>
      <c r="BG518" t="inlineStr">
        <is>
          <t>2026-03-17</t>
        </is>
      </c>
      <c r="BH518" t="inlineStr">
        <is>
          <t>DLD / Digital Dubai / CBUAE / Savills / Knight Frank-Moody’s / Reuters</t>
        </is>
      </c>
    </row>
    <row r="519">
      <c r="A519" t="n">
        <v>518</v>
      </c>
      <c r="B519" t="inlineStr">
        <is>
          <t>Seven Palm</t>
        </is>
      </c>
      <c r="C519" t="inlineStr">
        <is>
          <t>Seven Tides</t>
        </is>
      </c>
      <c r="D519" t="inlineStr">
        <is>
          <t>Palm Jumeirah</t>
        </is>
      </c>
      <c r="E519" t="inlineStr">
        <is>
          <t>Hotel/Residences</t>
        </is>
      </c>
      <c r="F519" t="inlineStr">
        <is>
          <t>Beach / Pool</t>
        </is>
      </c>
      <c r="G519" t="inlineStr">
        <is>
          <t>Resale (1.5M+)</t>
        </is>
      </c>
      <c r="H519" t="inlineStr">
        <is>
          <t>2500</t>
        </is>
      </c>
      <c r="I519" t="inlineStr">
        <is>
          <t>30</t>
        </is>
      </c>
      <c r="J519" t="inlineStr">
        <is>
          <t>Completed</t>
        </is>
      </c>
      <c r="K519" t="inlineStr">
        <is>
          <t>2021</t>
        </is>
      </c>
      <c r="L519" t="inlineStr">
        <is>
          <t>5.5-6.5</t>
        </is>
      </c>
      <c r="M519" t="inlineStr">
        <is>
          <t>5-7</t>
        </is>
      </c>
      <c r="N519" t="inlineStr">
        <is>
          <t>10.5-13.5</t>
        </is>
      </c>
      <c r="O519" t="inlineStr">
        <is>
          <t>Chevalier College</t>
        </is>
      </c>
      <c r="P519" t="inlineStr">
        <is>
          <t>Emirates Hospital</t>
        </is>
      </c>
      <c r="Q519" t="inlineStr">
        <is>
          <t>Nakheel Mall</t>
        </is>
      </c>
      <c r="R519" t="inlineStr">
        <is>
          <t>Sheikh Zayed E11</t>
        </is>
      </c>
      <c r="S519" t="inlineStr">
        <is>
          <t>20</t>
        </is>
      </c>
      <c r="T519" t="inlineStr">
        <is>
          <t>10</t>
        </is>
      </c>
      <c r="U519" t="inlineStr">
        <is>
          <t>25</t>
        </is>
      </c>
      <c r="V519" t="inlineStr">
        <is>
          <t>35</t>
        </is>
      </c>
      <c r="W519" t="n">
        <v>2</v>
      </c>
      <c r="X519" s="12" t="n">
        <v>1500000</v>
      </c>
      <c r="Y519" s="12" t="n">
        <v>1500000</v>
      </c>
      <c r="Z519" s="9" t="n">
        <v>5.5</v>
      </c>
      <c r="AA519" s="9" t="n">
        <v>6.5</v>
      </c>
      <c r="AB519" s="9" t="n">
        <v>5</v>
      </c>
      <c r="AC519" s="9" t="n">
        <v>7</v>
      </c>
      <c r="AD519" s="9" t="n">
        <v>10.5</v>
      </c>
      <c r="AE519" s="9" t="n">
        <v>13.5</v>
      </c>
      <c r="AF519" t="n">
        <v>2021</v>
      </c>
      <c r="AH519" t="inlineStr">
        <is>
          <t>Apartment</t>
        </is>
      </c>
      <c r="AI519" t="inlineStr">
        <is>
          <t>Prime</t>
        </is>
      </c>
      <c r="AJ519" t="inlineStr">
        <is>
          <t>Established</t>
        </is>
      </c>
      <c r="AK519" t="inlineStr">
        <is>
          <t>Prime resilient / selective</t>
        </is>
      </c>
      <c r="AL519" t="inlineStr">
        <is>
          <t>Better support from quality, branding, and scarcer prime stock; still entry-price sensitive.</t>
        </is>
      </c>
      <c r="AM519" s="9" t="n">
        <v>6</v>
      </c>
      <c r="AN519" s="9" t="n">
        <v>6</v>
      </c>
      <c r="AO519" s="10" t="n">
        <v>0.55</v>
      </c>
      <c r="AP519" s="13" t="n">
        <v>0.02</v>
      </c>
      <c r="AQ519" s="13" t="n">
        <v>0</v>
      </c>
      <c r="AR519" s="13" t="n">
        <v>0</v>
      </c>
      <c r="AS519" s="13" t="n">
        <v>0.03</v>
      </c>
      <c r="AT519" s="13" t="n">
        <v>0</v>
      </c>
      <c r="AU519" s="13" t="n">
        <v>0</v>
      </c>
      <c r="AV519" s="13" t="n">
        <v>-0.005</v>
      </c>
      <c r="AW519" s="13" t="n">
        <v>0.05300000000000001</v>
      </c>
      <c r="AX519" s="13" t="n">
        <v>0.025</v>
      </c>
      <c r="AY519" s="12" t="n">
        <v>1532115</v>
      </c>
      <c r="AZ519" s="12" t="n">
        <v>1579500</v>
      </c>
      <c r="BA519" s="12" t="n">
        <v>1626885</v>
      </c>
      <c r="BB519" s="12" t="n">
        <v>1571602</v>
      </c>
      <c r="BC519" s="12" t="n">
        <v>1618987</v>
      </c>
      <c r="BD519" s="12" t="n">
        <v>1666372</v>
      </c>
      <c r="BE519" s="12" t="n">
        <v>1659462</v>
      </c>
      <c r="BF519" t="inlineStr">
        <is>
          <t>Frozen values from same rules-based model as formula sheet.</t>
        </is>
      </c>
      <c r="BG519" t="inlineStr">
        <is>
          <t>2026-03-17</t>
        </is>
      </c>
      <c r="BH519" t="inlineStr">
        <is>
          <t>DLD / Digital Dubai / CBUAE / Savills / Knight Frank-Moody’s / Reuters</t>
        </is>
      </c>
    </row>
    <row r="520">
      <c r="A520" t="n">
        <v>519</v>
      </c>
      <c r="B520" t="inlineStr">
        <is>
          <t>Anantara The Palm Residences</t>
        </is>
      </c>
      <c r="C520" t="inlineStr">
        <is>
          <t>Seven Tides</t>
        </is>
      </c>
      <c r="D520" t="inlineStr">
        <is>
          <t>Palm Jumeirah</t>
        </is>
      </c>
      <c r="E520" t="inlineStr">
        <is>
          <t>Hotel/Residences</t>
        </is>
      </c>
      <c r="F520" t="inlineStr">
        <is>
          <t>Thai Resort / Beach</t>
        </is>
      </c>
      <c r="G520" t="inlineStr">
        <is>
          <t>Resale (2.5M+)</t>
        </is>
      </c>
      <c r="H520" t="inlineStr">
        <is>
          <t>2800</t>
        </is>
      </c>
      <c r="I520" t="inlineStr">
        <is>
          <t>35</t>
        </is>
      </c>
      <c r="J520" t="inlineStr">
        <is>
          <t>Completed</t>
        </is>
      </c>
      <c r="K520" t="inlineStr">
        <is>
          <t>2014</t>
        </is>
      </c>
      <c r="L520" t="inlineStr">
        <is>
          <t>5.0-5.5</t>
        </is>
      </c>
      <c r="M520" t="inlineStr">
        <is>
          <t>5-7</t>
        </is>
      </c>
      <c r="N520" t="inlineStr">
        <is>
          <t>10.0-12.5</t>
        </is>
      </c>
      <c r="O520" t="inlineStr">
        <is>
          <t>Chevalier College</t>
        </is>
      </c>
      <c r="P520" t="inlineStr">
        <is>
          <t>Emirates Hospital</t>
        </is>
      </c>
      <c r="Q520" t="inlineStr">
        <is>
          <t>Nakheel Mall</t>
        </is>
      </c>
      <c r="R520" t="inlineStr">
        <is>
          <t>Sheikh Zayed E11</t>
        </is>
      </c>
      <c r="S520" t="inlineStr">
        <is>
          <t>20</t>
        </is>
      </c>
      <c r="T520" t="inlineStr">
        <is>
          <t>10</t>
        </is>
      </c>
      <c r="U520" t="inlineStr">
        <is>
          <t>25</t>
        </is>
      </c>
      <c r="V520" t="inlineStr">
        <is>
          <t>35</t>
        </is>
      </c>
      <c r="W520" t="n">
        <v>2</v>
      </c>
      <c r="X520" s="12" t="n">
        <v>2500000</v>
      </c>
      <c r="Y520" s="12" t="n">
        <v>2500000</v>
      </c>
      <c r="Z520" s="9" t="n">
        <v>5</v>
      </c>
      <c r="AA520" s="9" t="n">
        <v>5.5</v>
      </c>
      <c r="AB520" s="9" t="n">
        <v>5</v>
      </c>
      <c r="AC520" s="9" t="n">
        <v>7</v>
      </c>
      <c r="AD520" s="9" t="n">
        <v>10</v>
      </c>
      <c r="AE520" s="9" t="n">
        <v>12.5</v>
      </c>
      <c r="AF520" t="n">
        <v>2014</v>
      </c>
      <c r="AH520" t="inlineStr">
        <is>
          <t>Apartment</t>
        </is>
      </c>
      <c r="AI520" t="inlineStr">
        <is>
          <t>Prime</t>
        </is>
      </c>
      <c r="AJ520" t="inlineStr">
        <is>
          <t>Established</t>
        </is>
      </c>
      <c r="AK520" t="inlineStr">
        <is>
          <t>Prime resilient / selective</t>
        </is>
      </c>
      <c r="AL520" t="inlineStr">
        <is>
          <t>Better support from quality, branding, and scarcer prime stock; still entry-price sensitive.</t>
        </is>
      </c>
      <c r="AM520" s="9" t="n">
        <v>6</v>
      </c>
      <c r="AN520" s="9" t="n">
        <v>5.25</v>
      </c>
      <c r="AO520" s="10" t="n">
        <v>0.55</v>
      </c>
      <c r="AP520" s="13" t="n">
        <v>0.02</v>
      </c>
      <c r="AQ520" s="13" t="n">
        <v>0</v>
      </c>
      <c r="AR520" s="13" t="n">
        <v>0</v>
      </c>
      <c r="AS520" s="13" t="n">
        <v>0.03</v>
      </c>
      <c r="AT520" s="13" t="n">
        <v>0</v>
      </c>
      <c r="AU520" s="13" t="n">
        <v>0</v>
      </c>
      <c r="AV520" s="13" t="n">
        <v>-0.005</v>
      </c>
      <c r="AW520" s="13" t="n">
        <v>0.05300000000000001</v>
      </c>
      <c r="AX520" s="13" t="n">
        <v>0.025</v>
      </c>
      <c r="AY520" s="12" t="n">
        <v>2553525</v>
      </c>
      <c r="AZ520" s="12" t="n">
        <v>2632500</v>
      </c>
      <c r="BA520" s="12" t="n">
        <v>2711475</v>
      </c>
      <c r="BB520" s="12" t="n">
        <v>2619337</v>
      </c>
      <c r="BC520" s="12" t="n">
        <v>2698312</v>
      </c>
      <c r="BD520" s="12" t="n">
        <v>2777288</v>
      </c>
      <c r="BE520" s="12" t="n">
        <v>2765770</v>
      </c>
      <c r="BF520" t="inlineStr">
        <is>
          <t>Frozen values from same rules-based model as formula sheet.</t>
        </is>
      </c>
      <c r="BG520" t="inlineStr">
        <is>
          <t>2026-03-17</t>
        </is>
      </c>
      <c r="BH520" t="inlineStr">
        <is>
          <t>DLD / Digital Dubai / CBUAE / Savills / Knight Frank-Moody’s / Reuters</t>
        </is>
      </c>
    </row>
    <row r="521">
      <c r="A521" t="n">
        <v>520</v>
      </c>
      <c r="B521" t="inlineStr">
        <is>
          <t>Dukes The Palm</t>
        </is>
      </c>
      <c r="C521" t="inlineStr">
        <is>
          <t>Seven Tides</t>
        </is>
      </c>
      <c r="D521" t="inlineStr">
        <is>
          <t>Palm Jumeirah</t>
        </is>
      </c>
      <c r="E521" t="inlineStr">
        <is>
          <t>Hotel/Residences</t>
        </is>
      </c>
      <c r="F521" t="inlineStr">
        <is>
          <t>British / Beach</t>
        </is>
      </c>
      <c r="G521" t="inlineStr">
        <is>
          <t>Resale (1.2M+)</t>
        </is>
      </c>
      <c r="H521" t="inlineStr">
        <is>
          <t>2500</t>
        </is>
      </c>
      <c r="I521" t="inlineStr">
        <is>
          <t>30</t>
        </is>
      </c>
      <c r="J521" t="inlineStr">
        <is>
          <t>Completed</t>
        </is>
      </c>
      <c r="K521" t="inlineStr">
        <is>
          <t>2017</t>
        </is>
      </c>
      <c r="L521" t="inlineStr">
        <is>
          <t>5.5-6.5</t>
        </is>
      </c>
      <c r="M521" t="inlineStr">
        <is>
          <t>5-7</t>
        </is>
      </c>
      <c r="N521" t="inlineStr">
        <is>
          <t>10.5-13.5</t>
        </is>
      </c>
      <c r="O521" t="inlineStr">
        <is>
          <t>Chevalier College</t>
        </is>
      </c>
      <c r="P521" t="inlineStr">
        <is>
          <t>Emirates Hospital</t>
        </is>
      </c>
      <c r="Q521" t="inlineStr">
        <is>
          <t>Nakheel Mall</t>
        </is>
      </c>
      <c r="R521" t="inlineStr">
        <is>
          <t>Sheikh Zayed E11</t>
        </is>
      </c>
      <c r="S521" t="inlineStr">
        <is>
          <t>20</t>
        </is>
      </c>
      <c r="T521" t="inlineStr">
        <is>
          <t>10</t>
        </is>
      </c>
      <c r="U521" t="inlineStr">
        <is>
          <t>25</t>
        </is>
      </c>
      <c r="V521" t="inlineStr">
        <is>
          <t>35</t>
        </is>
      </c>
      <c r="W521" t="n">
        <v>2</v>
      </c>
      <c r="X521" s="12" t="n">
        <v>1200000</v>
      </c>
      <c r="Y521" s="12" t="n">
        <v>1200000</v>
      </c>
      <c r="Z521" s="9" t="n">
        <v>5.5</v>
      </c>
      <c r="AA521" s="9" t="n">
        <v>6.5</v>
      </c>
      <c r="AB521" s="9" t="n">
        <v>5</v>
      </c>
      <c r="AC521" s="9" t="n">
        <v>7</v>
      </c>
      <c r="AD521" s="9" t="n">
        <v>10.5</v>
      </c>
      <c r="AE521" s="9" t="n">
        <v>13.5</v>
      </c>
      <c r="AF521" t="n">
        <v>2017</v>
      </c>
      <c r="AH521" t="inlineStr">
        <is>
          <t>Apartment</t>
        </is>
      </c>
      <c r="AI521" t="inlineStr">
        <is>
          <t>Prime</t>
        </is>
      </c>
      <c r="AJ521" t="inlineStr">
        <is>
          <t>Established</t>
        </is>
      </c>
      <c r="AK521" t="inlineStr">
        <is>
          <t>Prime resilient / selective</t>
        </is>
      </c>
      <c r="AL521" t="inlineStr">
        <is>
          <t>Better support from quality, branding, and scarcer prime stock; still entry-price sensitive.</t>
        </is>
      </c>
      <c r="AM521" s="9" t="n">
        <v>6</v>
      </c>
      <c r="AN521" s="9" t="n">
        <v>6</v>
      </c>
      <c r="AO521" s="10" t="n">
        <v>0.55</v>
      </c>
      <c r="AP521" s="13" t="n">
        <v>0.02</v>
      </c>
      <c r="AQ521" s="13" t="n">
        <v>0</v>
      </c>
      <c r="AR521" s="13" t="n">
        <v>0</v>
      </c>
      <c r="AS521" s="13" t="n">
        <v>0.03</v>
      </c>
      <c r="AT521" s="13" t="n">
        <v>0</v>
      </c>
      <c r="AU521" s="13" t="n">
        <v>0</v>
      </c>
      <c r="AV521" s="13" t="n">
        <v>-0.005</v>
      </c>
      <c r="AW521" s="13" t="n">
        <v>0.05300000000000001</v>
      </c>
      <c r="AX521" s="13" t="n">
        <v>0.025</v>
      </c>
      <c r="AY521" s="12" t="n">
        <v>1225692</v>
      </c>
      <c r="AZ521" s="12" t="n">
        <v>1263600</v>
      </c>
      <c r="BA521" s="12" t="n">
        <v>1301508</v>
      </c>
      <c r="BB521" s="12" t="n">
        <v>1257282</v>
      </c>
      <c r="BC521" s="12" t="n">
        <v>1295190</v>
      </c>
      <c r="BD521" s="12" t="n">
        <v>1333098</v>
      </c>
      <c r="BE521" s="12" t="n">
        <v>1327570</v>
      </c>
      <c r="BF521" t="inlineStr">
        <is>
          <t>Frozen values from same rules-based model as formula sheet.</t>
        </is>
      </c>
      <c r="BG521" t="inlineStr">
        <is>
          <t>2026-03-17</t>
        </is>
      </c>
      <c r="BH521" t="inlineStr">
        <is>
          <t>DLD / Digital Dubai / CBUAE / Savills / Knight Frank-Moody’s / Reuters</t>
        </is>
      </c>
    </row>
    <row r="522">
      <c r="A522" t="n">
        <v>521</v>
      </c>
      <c r="B522" t="inlineStr">
        <is>
          <t>Oceana</t>
        </is>
      </c>
      <c r="C522" t="inlineStr">
        <is>
          <t>Seven Tides</t>
        </is>
      </c>
      <c r="D522" t="inlineStr">
        <is>
          <t>Palm Jumeirah</t>
        </is>
      </c>
      <c r="E522" t="inlineStr">
        <is>
          <t>Apartments</t>
        </is>
      </c>
      <c r="F522" t="inlineStr">
        <is>
          <t>Beach / Club</t>
        </is>
      </c>
      <c r="G522" t="inlineStr">
        <is>
          <t>Resale (3M+)</t>
        </is>
      </c>
      <c r="H522" t="inlineStr">
        <is>
          <t>2200</t>
        </is>
      </c>
      <c r="I522" t="inlineStr">
        <is>
          <t>28</t>
        </is>
      </c>
      <c r="J522" t="inlineStr">
        <is>
          <t>Completed</t>
        </is>
      </c>
      <c r="K522" t="inlineStr">
        <is>
          <t>2009</t>
        </is>
      </c>
      <c r="L522" t="inlineStr">
        <is>
          <t>5.0-5.5</t>
        </is>
      </c>
      <c r="M522" t="inlineStr">
        <is>
          <t>5-7</t>
        </is>
      </c>
      <c r="N522" t="inlineStr">
        <is>
          <t>10.0-12.5</t>
        </is>
      </c>
      <c r="O522" t="inlineStr">
        <is>
          <t>Chevalier College</t>
        </is>
      </c>
      <c r="P522" t="inlineStr">
        <is>
          <t>Emirates Hospital</t>
        </is>
      </c>
      <c r="Q522" t="inlineStr">
        <is>
          <t>Nakheel Mall</t>
        </is>
      </c>
      <c r="R522" t="inlineStr">
        <is>
          <t>Sheikh Zayed E11</t>
        </is>
      </c>
      <c r="S522" t="inlineStr">
        <is>
          <t>20</t>
        </is>
      </c>
      <c r="T522" t="inlineStr">
        <is>
          <t>10</t>
        </is>
      </c>
      <c r="U522" t="inlineStr">
        <is>
          <t>25</t>
        </is>
      </c>
      <c r="V522" t="inlineStr">
        <is>
          <t>35</t>
        </is>
      </c>
      <c r="W522" t="n">
        <v>2</v>
      </c>
      <c r="X522" s="12" t="n">
        <v>3000000</v>
      </c>
      <c r="Y522" s="12" t="n">
        <v>3000000</v>
      </c>
      <c r="Z522" s="9" t="n">
        <v>5</v>
      </c>
      <c r="AA522" s="9" t="n">
        <v>5.5</v>
      </c>
      <c r="AB522" s="9" t="n">
        <v>5</v>
      </c>
      <c r="AC522" s="9" t="n">
        <v>7</v>
      </c>
      <c r="AD522" s="9" t="n">
        <v>10</v>
      </c>
      <c r="AE522" s="9" t="n">
        <v>12.5</v>
      </c>
      <c r="AF522" t="n">
        <v>2009</v>
      </c>
      <c r="AH522" t="inlineStr">
        <is>
          <t>Apartment</t>
        </is>
      </c>
      <c r="AI522" t="inlineStr">
        <is>
          <t>Prime</t>
        </is>
      </c>
      <c r="AJ522" t="inlineStr">
        <is>
          <t>Established</t>
        </is>
      </c>
      <c r="AK522" t="inlineStr">
        <is>
          <t>Prime resilient / selective</t>
        </is>
      </c>
      <c r="AL522" t="inlineStr">
        <is>
          <t>Better support from quality, branding, and scarcer prime stock; still entry-price sensitive.</t>
        </is>
      </c>
      <c r="AM522" s="9" t="n">
        <v>6</v>
      </c>
      <c r="AN522" s="9" t="n">
        <v>5.25</v>
      </c>
      <c r="AO522" s="10" t="n">
        <v>0.55</v>
      </c>
      <c r="AP522" s="13" t="n">
        <v>0.02</v>
      </c>
      <c r="AQ522" s="13" t="n">
        <v>0</v>
      </c>
      <c r="AR522" s="13" t="n">
        <v>0</v>
      </c>
      <c r="AS522" s="13" t="n">
        <v>0.03</v>
      </c>
      <c r="AT522" s="13" t="n">
        <v>0</v>
      </c>
      <c r="AU522" s="13" t="n">
        <v>0</v>
      </c>
      <c r="AV522" s="13" t="n">
        <v>-0.005</v>
      </c>
      <c r="AW522" s="13" t="n">
        <v>0.05300000000000001</v>
      </c>
      <c r="AX522" s="13" t="n">
        <v>0.025</v>
      </c>
      <c r="AY522" s="12" t="n">
        <v>3064230</v>
      </c>
      <c r="AZ522" s="12" t="n">
        <v>3159000</v>
      </c>
      <c r="BA522" s="12" t="n">
        <v>3253770</v>
      </c>
      <c r="BB522" s="12" t="n">
        <v>3143205</v>
      </c>
      <c r="BC522" s="12" t="n">
        <v>3237975</v>
      </c>
      <c r="BD522" s="12" t="n">
        <v>3332745</v>
      </c>
      <c r="BE522" s="12" t="n">
        <v>3318924</v>
      </c>
      <c r="BF522" t="inlineStr">
        <is>
          <t>Frozen values from same rules-based model as formula sheet.</t>
        </is>
      </c>
      <c r="BG522" t="inlineStr">
        <is>
          <t>2026-03-17</t>
        </is>
      </c>
      <c r="BH522" t="inlineStr">
        <is>
          <t>DLD / Digital Dubai / CBUAE / Savills / Knight Frank-Moody’s / Reuters</t>
        </is>
      </c>
    </row>
    <row r="523">
      <c r="A523" t="n">
        <v>522</v>
      </c>
      <c r="B523" t="inlineStr">
        <is>
          <t>Seven City (Golf Views)</t>
        </is>
      </c>
      <c r="C523" t="inlineStr">
        <is>
          <t>Seven Tides</t>
        </is>
      </c>
      <c r="D523" t="inlineStr">
        <is>
          <t>JLT</t>
        </is>
      </c>
      <c r="E523" t="inlineStr">
        <is>
          <t>Apartments</t>
        </is>
      </c>
      <c r="F523" t="inlineStr">
        <is>
          <t>Golf / High-Rise</t>
        </is>
      </c>
      <c r="G523" t="inlineStr">
        <is>
          <t>600k</t>
        </is>
      </c>
      <c r="H523" t="inlineStr">
        <is>
          <t>1400</t>
        </is>
      </c>
      <c r="I523" t="inlineStr">
        <is>
          <t>18</t>
        </is>
      </c>
      <c r="J523" t="inlineStr">
        <is>
          <t>50/50</t>
        </is>
      </c>
      <c r="K523" t="inlineStr">
        <is>
          <t>2018</t>
        </is>
      </c>
      <c r="L523" t="inlineStr">
        <is>
          <t>6.5-7.0</t>
        </is>
      </c>
      <c r="M523" t="inlineStr">
        <is>
          <t>5-7</t>
        </is>
      </c>
      <c r="N523" t="inlineStr">
        <is>
          <t>11.5-14.0</t>
        </is>
      </c>
      <c r="O523" t="inlineStr">
        <is>
          <t>Emirates Intl School</t>
        </is>
      </c>
      <c r="P523" t="inlineStr">
        <is>
          <t>Saudi German Hospital</t>
        </is>
      </c>
      <c r="Q523" t="inlineStr">
        <is>
          <t>Dubai Marina Mall</t>
        </is>
      </c>
      <c r="R523" t="inlineStr">
        <is>
          <t>Sheikh Zayed E11</t>
        </is>
      </c>
      <c r="S523" t="inlineStr">
        <is>
          <t>20</t>
        </is>
      </c>
      <c r="T523" t="inlineStr">
        <is>
          <t>5</t>
        </is>
      </c>
      <c r="U523" t="inlineStr">
        <is>
          <t>25</t>
        </is>
      </c>
      <c r="V523" t="inlineStr">
        <is>
          <t>30</t>
        </is>
      </c>
      <c r="W523" t="n">
        <v>2</v>
      </c>
      <c r="X523" s="12" t="n">
        <v>600000</v>
      </c>
      <c r="Y523" s="12" t="n">
        <v>600000</v>
      </c>
      <c r="Z523" s="9" t="n">
        <v>6.5</v>
      </c>
      <c r="AA523" s="9" t="n">
        <v>7</v>
      </c>
      <c r="AB523" s="9" t="n">
        <v>5</v>
      </c>
      <c r="AC523" s="9" t="n">
        <v>7</v>
      </c>
      <c r="AD523" s="9" t="n">
        <v>11.5</v>
      </c>
      <c r="AE523" s="9" t="n">
        <v>14</v>
      </c>
      <c r="AF523" t="n">
        <v>2018</v>
      </c>
      <c r="AH523" t="inlineStr">
        <is>
          <t>Apartment</t>
        </is>
      </c>
      <c r="AI523" t="inlineStr">
        <is>
          <t>MainstreamSelective</t>
        </is>
      </c>
      <c r="AJ523" t="inlineStr">
        <is>
          <t>Established</t>
        </is>
      </c>
      <c r="AK523" t="inlineStr">
        <is>
          <t>Balanced / selective</t>
        </is>
      </c>
      <c r="AL523" t="inlineStr">
        <is>
          <t>Market remains active but increasingly differentiated by developer, micro-location, livability, and pricing discipline.</t>
        </is>
      </c>
      <c r="AM523" s="9" t="n">
        <v>6</v>
      </c>
      <c r="AN523" s="9" t="n">
        <v>6.75</v>
      </c>
      <c r="AO523" s="10" t="n">
        <v>0.55</v>
      </c>
      <c r="AP523" s="13" t="n">
        <v>0</v>
      </c>
      <c r="AQ523" s="13" t="n">
        <v>0</v>
      </c>
      <c r="AR523" s="13" t="n">
        <v>0</v>
      </c>
      <c r="AS523" s="13" t="n">
        <v>0.01</v>
      </c>
      <c r="AT523" s="13" t="n">
        <v>0</v>
      </c>
      <c r="AU523" s="13" t="n">
        <v>0.0025</v>
      </c>
      <c r="AV523" s="13" t="n">
        <v>-0.005</v>
      </c>
      <c r="AW523" s="13" t="n">
        <v>0.033</v>
      </c>
      <c r="AX523" s="13" t="n">
        <v>0.007500000000000001</v>
      </c>
      <c r="AY523" s="12" t="n">
        <v>601206</v>
      </c>
      <c r="AZ523" s="12" t="n">
        <v>619800</v>
      </c>
      <c r="BA523" s="12" t="n">
        <v>638394</v>
      </c>
      <c r="BB523" s="12" t="n">
        <v>605854</v>
      </c>
      <c r="BC523" s="12" t="n">
        <v>624448</v>
      </c>
      <c r="BD523" s="12" t="n">
        <v>643042</v>
      </c>
      <c r="BE523" s="12" t="n">
        <v>629132</v>
      </c>
      <c r="BF523" t="inlineStr">
        <is>
          <t>Frozen values from same rules-based model as formula sheet.</t>
        </is>
      </c>
      <c r="BG523" t="inlineStr">
        <is>
          <t>2026-03-17</t>
        </is>
      </c>
      <c r="BH523" t="inlineStr">
        <is>
          <t>DLD / Digital Dubai / CBUAE / Savills / Knight Frank-Moody’s / Reuters</t>
        </is>
      </c>
    </row>
    <row r="524">
      <c r="A524" t="n">
        <v>523</v>
      </c>
      <c r="B524" t="inlineStr">
        <is>
          <t>Banyan Tree Residences</t>
        </is>
      </c>
      <c r="C524" t="inlineStr">
        <is>
          <t>Sweid &amp; Sweid</t>
        </is>
      </c>
      <c r="D524" t="inlineStr">
        <is>
          <t>JLT (Hillside)</t>
        </is>
      </c>
      <c r="E524" t="inlineStr">
        <is>
          <t>Branded Apts</t>
        </is>
      </c>
      <c r="F524" t="inlineStr">
        <is>
          <t>Resort / Hill</t>
        </is>
      </c>
      <c r="G524" t="inlineStr">
        <is>
          <t>Resale (2.5M+)</t>
        </is>
      </c>
      <c r="H524" t="inlineStr">
        <is>
          <t>1800</t>
        </is>
      </c>
      <c r="I524" t="inlineStr">
        <is>
          <t>22</t>
        </is>
      </c>
      <c r="J524" t="inlineStr">
        <is>
          <t>Completed</t>
        </is>
      </c>
      <c r="K524" t="inlineStr">
        <is>
          <t>2019</t>
        </is>
      </c>
      <c r="L524" t="inlineStr">
        <is>
          <t>6.0-6.5</t>
        </is>
      </c>
      <c r="M524" t="inlineStr">
        <is>
          <t>5-7</t>
        </is>
      </c>
      <c r="N524" t="inlineStr">
        <is>
          <t>11.0-13.5</t>
        </is>
      </c>
      <c r="O524" t="inlineStr">
        <is>
          <t>Emirates Intl School</t>
        </is>
      </c>
      <c r="P524" t="inlineStr">
        <is>
          <t>Saudi German Hospital</t>
        </is>
      </c>
      <c r="Q524" t="inlineStr">
        <is>
          <t>Dubai Marina Mall</t>
        </is>
      </c>
      <c r="R524" t="inlineStr">
        <is>
          <t>Sheikh Zayed E11</t>
        </is>
      </c>
      <c r="S524" t="inlineStr">
        <is>
          <t>20</t>
        </is>
      </c>
      <c r="T524" t="inlineStr">
        <is>
          <t>5</t>
        </is>
      </c>
      <c r="U524" t="inlineStr">
        <is>
          <t>25</t>
        </is>
      </c>
      <c r="V524" t="inlineStr">
        <is>
          <t>30</t>
        </is>
      </c>
      <c r="W524" t="n">
        <v>2</v>
      </c>
      <c r="X524" s="12" t="n">
        <v>2500000</v>
      </c>
      <c r="Y524" s="12" t="n">
        <v>2500000</v>
      </c>
      <c r="Z524" s="9" t="n">
        <v>6</v>
      </c>
      <c r="AA524" s="9" t="n">
        <v>6.5</v>
      </c>
      <c r="AB524" s="9" t="n">
        <v>5</v>
      </c>
      <c r="AC524" s="9" t="n">
        <v>7</v>
      </c>
      <c r="AD524" s="9" t="n">
        <v>11</v>
      </c>
      <c r="AE524" s="9" t="n">
        <v>13.5</v>
      </c>
      <c r="AF524" t="n">
        <v>2019</v>
      </c>
      <c r="AH524" t="inlineStr">
        <is>
          <t>Apartment</t>
        </is>
      </c>
      <c r="AI524" t="inlineStr">
        <is>
          <t>MainstreamSelective</t>
        </is>
      </c>
      <c r="AJ524" t="inlineStr">
        <is>
          <t>Established</t>
        </is>
      </c>
      <c r="AK524" t="inlineStr">
        <is>
          <t>Balanced / selective</t>
        </is>
      </c>
      <c r="AL524" t="inlineStr">
        <is>
          <t>Market remains active but increasingly differentiated by developer, micro-location, livability, and pricing discipline.</t>
        </is>
      </c>
      <c r="AM524" s="9" t="n">
        <v>6</v>
      </c>
      <c r="AN524" s="9" t="n">
        <v>6.25</v>
      </c>
      <c r="AO524" s="10" t="n">
        <v>0.55</v>
      </c>
      <c r="AP524" s="13" t="n">
        <v>0</v>
      </c>
      <c r="AQ524" s="13" t="n">
        <v>0</v>
      </c>
      <c r="AR524" s="13" t="n">
        <v>0</v>
      </c>
      <c r="AS524" s="13" t="n">
        <v>0.01</v>
      </c>
      <c r="AT524" s="13" t="n">
        <v>0</v>
      </c>
      <c r="AU524" s="13" t="n">
        <v>0.0025</v>
      </c>
      <c r="AV524" s="13" t="n">
        <v>-0.005</v>
      </c>
      <c r="AW524" s="13" t="n">
        <v>0.033</v>
      </c>
      <c r="AX524" s="13" t="n">
        <v>0.007500000000000001</v>
      </c>
      <c r="AY524" s="12" t="n">
        <v>2505025</v>
      </c>
      <c r="AZ524" s="12" t="n">
        <v>2582500</v>
      </c>
      <c r="BA524" s="12" t="n">
        <v>2659975</v>
      </c>
      <c r="BB524" s="12" t="n">
        <v>2524394</v>
      </c>
      <c r="BC524" s="12" t="n">
        <v>2601869</v>
      </c>
      <c r="BD524" s="12" t="n">
        <v>2679344</v>
      </c>
      <c r="BE524" s="12" t="n">
        <v>2621383</v>
      </c>
      <c r="BF524" t="inlineStr">
        <is>
          <t>Frozen values from same rules-based model as formula sheet.</t>
        </is>
      </c>
      <c r="BG524" t="inlineStr">
        <is>
          <t>2026-03-17</t>
        </is>
      </c>
      <c r="BH524" t="inlineStr">
        <is>
          <t>DLD / Digital Dubai / CBUAE / Savills / Knight Frank-Moody’s / Reuters</t>
        </is>
      </c>
    </row>
    <row r="525">
      <c r="A525" t="n">
        <v>524</v>
      </c>
      <c r="B525" t="inlineStr">
        <is>
          <t>The Edge</t>
        </is>
      </c>
      <c r="C525" t="inlineStr">
        <is>
          <t>Sweid &amp; Sweid</t>
        </is>
      </c>
      <c r="D525" t="inlineStr">
        <is>
          <t>Dubai Internet City</t>
        </is>
      </c>
      <c r="E525" t="inlineStr">
        <is>
          <t>Office/Commercial</t>
        </is>
      </c>
      <c r="F525" t="inlineStr">
        <is>
          <t>Class A Office</t>
        </is>
      </c>
      <c r="G525" t="inlineStr">
        <is>
          <t>Lease Only</t>
        </is>
      </c>
      <c r="I525" t="inlineStr">
        <is>
          <t>25</t>
        </is>
      </c>
      <c r="J525" t="inlineStr">
        <is>
          <t>Completed</t>
        </is>
      </c>
      <c r="K525" t="inlineStr">
        <is>
          <t>2016</t>
        </is>
      </c>
      <c r="L525" t="inlineStr">
        <is>
          <t>8.0-9.0</t>
        </is>
      </c>
      <c r="O525" t="inlineStr">
        <is>
          <t>American Univ. Dubai</t>
        </is>
      </c>
      <c r="P525" t="inlineStr">
        <is>
          <t>Saudi German Hospital</t>
        </is>
      </c>
      <c r="Q525" t="inlineStr">
        <is>
          <t>Dubai Marina Mall</t>
        </is>
      </c>
      <c r="R525" t="inlineStr">
        <is>
          <t>Sheikh Zayed E11</t>
        </is>
      </c>
      <c r="S525" t="inlineStr">
        <is>
          <t>20</t>
        </is>
      </c>
      <c r="T525" t="inlineStr">
        <is>
          <t>2</t>
        </is>
      </c>
      <c r="U525" t="inlineStr">
        <is>
          <t>25</t>
        </is>
      </c>
      <c r="V525" t="inlineStr">
        <is>
          <t>30</t>
        </is>
      </c>
      <c r="W525" t="n">
        <v>2</v>
      </c>
      <c r="X525" s="12" t="n"/>
      <c r="Y525" s="12" t="n"/>
      <c r="Z525" s="9" t="n">
        <v>8</v>
      </c>
      <c r="AA525" s="9" t="n">
        <v>9</v>
      </c>
      <c r="AB525" s="9" t="n"/>
      <c r="AC525" s="9" t="n"/>
      <c r="AD525" s="9" t="n"/>
      <c r="AE525" s="9" t="n"/>
      <c r="AF525" t="n">
        <v>2016</v>
      </c>
      <c r="AH525" t="inlineStr">
        <is>
          <t>Mixed/Other</t>
        </is>
      </c>
      <c r="AI525" t="inlineStr">
        <is>
          <t>MainstreamSelective</t>
        </is>
      </c>
      <c r="AJ525" t="inlineStr">
        <is>
          <t>Established</t>
        </is>
      </c>
      <c r="AK525" t="inlineStr">
        <is>
          <t>Balanced / selective</t>
        </is>
      </c>
      <c r="AL525" t="inlineStr">
        <is>
          <t>Market remains active but increasingly differentiated by developer, micro-location, livability, and pricing discipline.</t>
        </is>
      </c>
      <c r="AM525" s="9" t="n">
        <v>0</v>
      </c>
      <c r="AN525" s="9" t="n">
        <v>8.5</v>
      </c>
      <c r="AO525" s="10" t="n">
        <v>0.55</v>
      </c>
      <c r="AP525" s="13" t="n">
        <v>0</v>
      </c>
      <c r="AQ525" s="13" t="n">
        <v>0</v>
      </c>
      <c r="AR525" s="13" t="n">
        <v>0</v>
      </c>
      <c r="AS525" s="13" t="n">
        <v>0.01</v>
      </c>
      <c r="AT525" s="13" t="n">
        <v>0</v>
      </c>
      <c r="AU525" s="13" t="n">
        <v>0.0025</v>
      </c>
      <c r="AV525" s="13" t="n">
        <v>-0.005</v>
      </c>
      <c r="AW525" s="13" t="n">
        <v>0</v>
      </c>
      <c r="AX525" s="13" t="n">
        <v>0.007500000000000001</v>
      </c>
      <c r="AY525" s="12" t="n"/>
      <c r="AZ525" s="12" t="n"/>
      <c r="BA525" s="12" t="n"/>
      <c r="BB525" s="12" t="n"/>
      <c r="BC525" s="12" t="n"/>
      <c r="BD525" s="12" t="n"/>
      <c r="BE525" s="12" t="n"/>
      <c r="BF525" t="inlineStr">
        <is>
          <t>Frozen values from same rules-based model as formula sheet.</t>
        </is>
      </c>
      <c r="BG525" t="inlineStr">
        <is>
          <t>2026-03-17</t>
        </is>
      </c>
      <c r="BH525" t="inlineStr">
        <is>
          <t>DLD / Digital Dubai / CBUAE / Savills / Knight Frank-Moody’s / Reuters</t>
        </is>
      </c>
    </row>
    <row r="526">
      <c r="A526" t="n">
        <v>525</v>
      </c>
      <c r="B526" t="inlineStr">
        <is>
          <t>The 47th</t>
        </is>
      </c>
      <c r="C526" t="inlineStr">
        <is>
          <t>Sweid &amp; Sweid</t>
        </is>
      </c>
      <c r="D526" t="inlineStr">
        <is>
          <t>Sheikh Zayed Road</t>
        </is>
      </c>
      <c r="E526" t="inlineStr">
        <is>
          <t>Office/Commercial</t>
        </is>
      </c>
      <c r="F526" t="inlineStr">
        <is>
          <t>Class A Office</t>
        </is>
      </c>
      <c r="G526" t="inlineStr">
        <is>
          <t>Lease Only</t>
        </is>
      </c>
      <c r="I526" t="inlineStr">
        <is>
          <t>25</t>
        </is>
      </c>
      <c r="J526" t="inlineStr">
        <is>
          <t>Under Const</t>
        </is>
      </c>
      <c r="K526" t="inlineStr">
        <is>
          <t>2023</t>
        </is>
      </c>
      <c r="L526" t="inlineStr">
        <is>
          <t>8.0-9.0</t>
        </is>
      </c>
      <c r="O526" t="inlineStr">
        <is>
          <t>Hartland Intl</t>
        </is>
      </c>
      <c r="P526" t="inlineStr">
        <is>
          <t>Mediclinic Dubai Mall</t>
        </is>
      </c>
      <c r="Q526" t="inlineStr">
        <is>
          <t>Dubai Mall</t>
        </is>
      </c>
      <c r="R526" t="inlineStr">
        <is>
          <t>Sheikh Zayed E11</t>
        </is>
      </c>
      <c r="S526" t="inlineStr">
        <is>
          <t>5</t>
        </is>
      </c>
      <c r="T526" t="inlineStr">
        <is>
          <t>15</t>
        </is>
      </c>
      <c r="U526" t="inlineStr">
        <is>
          <t>15</t>
        </is>
      </c>
      <c r="V526" t="inlineStr">
        <is>
          <t>35</t>
        </is>
      </c>
      <c r="W526" t="n">
        <v>2</v>
      </c>
      <c r="X526" s="12" t="n"/>
      <c r="Y526" s="12" t="n"/>
      <c r="Z526" s="9" t="n">
        <v>8</v>
      </c>
      <c r="AA526" s="9" t="n">
        <v>9</v>
      </c>
      <c r="AB526" s="9" t="n"/>
      <c r="AC526" s="9" t="n"/>
      <c r="AD526" s="9" t="n"/>
      <c r="AE526" s="9" t="n"/>
      <c r="AF526" t="n">
        <v>2023</v>
      </c>
      <c r="AH526" t="inlineStr">
        <is>
          <t>Mixed/Other</t>
        </is>
      </c>
      <c r="AI526" t="inlineStr">
        <is>
          <t>MainstreamSelective</t>
        </is>
      </c>
      <c r="AJ526" t="inlineStr">
        <is>
          <t>Established</t>
        </is>
      </c>
      <c r="AK526" t="inlineStr">
        <is>
          <t>Balanced / selective</t>
        </is>
      </c>
      <c r="AL526" t="inlineStr">
        <is>
          <t>Market remains active but increasingly differentiated by developer, micro-location, livability, and pricing discipline.</t>
        </is>
      </c>
      <c r="AM526" s="9" t="n">
        <v>0</v>
      </c>
      <c r="AN526" s="9" t="n">
        <v>8.5</v>
      </c>
      <c r="AO526" s="10" t="n">
        <v>0.55</v>
      </c>
      <c r="AP526" s="13" t="n">
        <v>0</v>
      </c>
      <c r="AQ526" s="13" t="n">
        <v>0</v>
      </c>
      <c r="AR526" s="13" t="n">
        <v>0</v>
      </c>
      <c r="AS526" s="13" t="n">
        <v>0.01</v>
      </c>
      <c r="AT526" s="13" t="n">
        <v>0</v>
      </c>
      <c r="AU526" s="13" t="n">
        <v>0.0025</v>
      </c>
      <c r="AV526" s="13" t="n">
        <v>-0.005</v>
      </c>
      <c r="AW526" s="13" t="n">
        <v>0</v>
      </c>
      <c r="AX526" s="13" t="n">
        <v>0.007500000000000001</v>
      </c>
      <c r="AY526" s="12" t="n"/>
      <c r="AZ526" s="12" t="n"/>
      <c r="BA526" s="12" t="n"/>
      <c r="BB526" s="12" t="n"/>
      <c r="BC526" s="12" t="n"/>
      <c r="BD526" s="12" t="n"/>
      <c r="BE526" s="12" t="n"/>
      <c r="BF526" t="inlineStr">
        <is>
          <t>Frozen values from same rules-based model as formula sheet.</t>
        </is>
      </c>
      <c r="BG526" t="inlineStr">
        <is>
          <t>2026-03-17</t>
        </is>
      </c>
      <c r="BH526" t="inlineStr">
        <is>
          <t>DLD / Digital Dubai / CBUAE / Savills / Knight Frank-Moody’s / Reuters</t>
        </is>
      </c>
    </row>
    <row r="527">
      <c r="A527" t="n">
        <v>526</v>
      </c>
      <c r="B527" t="inlineStr">
        <is>
          <t>6 Falak</t>
        </is>
      </c>
      <c r="C527" t="inlineStr">
        <is>
          <t>Sweid &amp; Sweid</t>
        </is>
      </c>
      <c r="D527" t="inlineStr">
        <is>
          <t>Dubai Internet City</t>
        </is>
      </c>
      <c r="E527" t="inlineStr">
        <is>
          <t>Office/Commercial</t>
        </is>
      </c>
      <c r="F527" t="inlineStr">
        <is>
          <t>Class A Office</t>
        </is>
      </c>
      <c r="G527" t="inlineStr">
        <is>
          <t>Lease Only</t>
        </is>
      </c>
      <c r="I527" t="inlineStr">
        <is>
          <t>25</t>
        </is>
      </c>
      <c r="J527" t="inlineStr">
        <is>
          <t>Completed</t>
        </is>
      </c>
      <c r="K527" t="inlineStr">
        <is>
          <t>2023</t>
        </is>
      </c>
      <c r="L527" t="inlineStr">
        <is>
          <t>8.0-9.0</t>
        </is>
      </c>
      <c r="O527" t="inlineStr">
        <is>
          <t>American Univ. Dubai</t>
        </is>
      </c>
      <c r="P527" t="inlineStr">
        <is>
          <t>Saudi German Hospital</t>
        </is>
      </c>
      <c r="Q527" t="inlineStr">
        <is>
          <t>Dubai Marina Mall</t>
        </is>
      </c>
      <c r="R527" t="inlineStr">
        <is>
          <t>Sheikh Zayed E11</t>
        </is>
      </c>
      <c r="S527" t="inlineStr">
        <is>
          <t>20</t>
        </is>
      </c>
      <c r="T527" t="inlineStr">
        <is>
          <t>2</t>
        </is>
      </c>
      <c r="U527" t="inlineStr">
        <is>
          <t>25</t>
        </is>
      </c>
      <c r="V527" t="inlineStr">
        <is>
          <t>30</t>
        </is>
      </c>
      <c r="W527" t="n">
        <v>2</v>
      </c>
      <c r="X527" s="12" t="n"/>
      <c r="Y527" s="12" t="n"/>
      <c r="Z527" s="9" t="n">
        <v>8</v>
      </c>
      <c r="AA527" s="9" t="n">
        <v>9</v>
      </c>
      <c r="AB527" s="9" t="n"/>
      <c r="AC527" s="9" t="n"/>
      <c r="AD527" s="9" t="n"/>
      <c r="AE527" s="9" t="n"/>
      <c r="AF527" t="n">
        <v>2023</v>
      </c>
      <c r="AH527" t="inlineStr">
        <is>
          <t>Mixed/Other</t>
        </is>
      </c>
      <c r="AI527" t="inlineStr">
        <is>
          <t>MainstreamSelective</t>
        </is>
      </c>
      <c r="AJ527" t="inlineStr">
        <is>
          <t>Established</t>
        </is>
      </c>
      <c r="AK527" t="inlineStr">
        <is>
          <t>Balanced / selective</t>
        </is>
      </c>
      <c r="AL527" t="inlineStr">
        <is>
          <t>Market remains active but increasingly differentiated by developer, micro-location, livability, and pricing discipline.</t>
        </is>
      </c>
      <c r="AM527" s="9" t="n">
        <v>0</v>
      </c>
      <c r="AN527" s="9" t="n">
        <v>8.5</v>
      </c>
      <c r="AO527" s="10" t="n">
        <v>0.55</v>
      </c>
      <c r="AP527" s="13" t="n">
        <v>0</v>
      </c>
      <c r="AQ527" s="13" t="n">
        <v>0</v>
      </c>
      <c r="AR527" s="13" t="n">
        <v>0</v>
      </c>
      <c r="AS527" s="13" t="n">
        <v>0.01</v>
      </c>
      <c r="AT527" s="13" t="n">
        <v>0</v>
      </c>
      <c r="AU527" s="13" t="n">
        <v>0.0025</v>
      </c>
      <c r="AV527" s="13" t="n">
        <v>-0.005</v>
      </c>
      <c r="AW527" s="13" t="n">
        <v>0</v>
      </c>
      <c r="AX527" s="13" t="n">
        <v>0.007500000000000001</v>
      </c>
      <c r="AY527" s="12" t="n"/>
      <c r="AZ527" s="12" t="n"/>
      <c r="BA527" s="12" t="n"/>
      <c r="BB527" s="12" t="n"/>
      <c r="BC527" s="12" t="n"/>
      <c r="BD527" s="12" t="n"/>
      <c r="BE527" s="12" t="n"/>
      <c r="BF527" t="inlineStr">
        <is>
          <t>Frozen values from same rules-based model as formula sheet.</t>
        </is>
      </c>
      <c r="BG527" t="inlineStr">
        <is>
          <t>2026-03-17</t>
        </is>
      </c>
      <c r="BH527" t="inlineStr">
        <is>
          <t>DLD / Digital Dubai / CBUAE / Savills / Knight Frank-Moody’s / Reuters</t>
        </is>
      </c>
    </row>
    <row r="528">
      <c r="A528" t="n">
        <v>527</v>
      </c>
      <c r="B528" t="inlineStr">
        <is>
          <t>The Ritz-Carlton Residences</t>
        </is>
      </c>
      <c r="C528" t="inlineStr">
        <is>
          <t>Khamas Group</t>
        </is>
      </c>
      <c r="D528" t="inlineStr">
        <is>
          <t>Business Bay</t>
        </is>
      </c>
      <c r="E528" t="inlineStr">
        <is>
          <t>Branded Apts</t>
        </is>
      </c>
      <c r="F528" t="inlineStr">
        <is>
          <t>Service / Luxury</t>
        </is>
      </c>
      <c r="G528" t="inlineStr">
        <is>
          <t>5.5M</t>
        </is>
      </c>
      <c r="H528" t="inlineStr">
        <is>
          <t>3500</t>
        </is>
      </c>
      <c r="I528" t="inlineStr">
        <is>
          <t>40+</t>
        </is>
      </c>
      <c r="J528" t="inlineStr">
        <is>
          <t>60/40</t>
        </is>
      </c>
      <c r="K528" t="inlineStr">
        <is>
          <t>2022</t>
        </is>
      </c>
      <c r="L528" t="inlineStr">
        <is>
          <t>4.0-4.5</t>
        </is>
      </c>
      <c r="M528" t="inlineStr">
        <is>
          <t>8-10</t>
        </is>
      </c>
      <c r="N528" t="inlineStr">
        <is>
          <t>12.0-14.5</t>
        </is>
      </c>
      <c r="O528" t="inlineStr">
        <is>
          <t>Hartland Intl</t>
        </is>
      </c>
      <c r="P528" t="inlineStr">
        <is>
          <t>Emirates Hospital BB</t>
        </is>
      </c>
      <c r="Q528" t="inlineStr">
        <is>
          <t>Dubai Mall</t>
        </is>
      </c>
      <c r="R528" t="inlineStr">
        <is>
          <t>Al Khail E44</t>
        </is>
      </c>
      <c r="S528" t="inlineStr">
        <is>
          <t>5</t>
        </is>
      </c>
      <c r="T528" t="inlineStr">
        <is>
          <t>20</t>
        </is>
      </c>
      <c r="U528" t="inlineStr">
        <is>
          <t>15</t>
        </is>
      </c>
      <c r="V528" t="inlineStr">
        <is>
          <t>35</t>
        </is>
      </c>
      <c r="W528" t="n">
        <v>2</v>
      </c>
      <c r="X528" s="12" t="n">
        <v>5500000</v>
      </c>
      <c r="Y528" s="12" t="n">
        <v>5500000</v>
      </c>
      <c r="Z528" s="9" t="n">
        <v>4</v>
      </c>
      <c r="AA528" s="9" t="n">
        <v>4.5</v>
      </c>
      <c r="AB528" s="9" t="n">
        <v>8</v>
      </c>
      <c r="AC528" s="9" t="n">
        <v>10</v>
      </c>
      <c r="AD528" s="9" t="n">
        <v>12</v>
      </c>
      <c r="AE528" s="9" t="n">
        <v>14.5</v>
      </c>
      <c r="AF528" t="n">
        <v>2022</v>
      </c>
      <c r="AH528" t="inlineStr">
        <is>
          <t>Apartment</t>
        </is>
      </c>
      <c r="AI528" t="inlineStr">
        <is>
          <t>Prime</t>
        </is>
      </c>
      <c r="AJ528" t="inlineStr">
        <is>
          <t>Established</t>
        </is>
      </c>
      <c r="AK528" t="inlineStr">
        <is>
          <t>Prime resilient / selective</t>
        </is>
      </c>
      <c r="AL528" t="inlineStr">
        <is>
          <t>Better support from quality, branding, and scarcer prime stock; still entry-price sensitive.</t>
        </is>
      </c>
      <c r="AM528" s="9" t="n">
        <v>9</v>
      </c>
      <c r="AN528" s="9" t="n">
        <v>4.25</v>
      </c>
      <c r="AO528" s="10" t="n">
        <v>0.55</v>
      </c>
      <c r="AP528" s="13" t="n">
        <v>0.02</v>
      </c>
      <c r="AQ528" s="13" t="n">
        <v>0</v>
      </c>
      <c r="AR528" s="13" t="n">
        <v>0</v>
      </c>
      <c r="AS528" s="13" t="n">
        <v>0.03</v>
      </c>
      <c r="AT528" s="13" t="n">
        <v>0</v>
      </c>
      <c r="AU528" s="13" t="n">
        <v>0</v>
      </c>
      <c r="AV528" s="13" t="n">
        <v>-0.005</v>
      </c>
      <c r="AW528" s="13" t="n">
        <v>0.06950000000000001</v>
      </c>
      <c r="AX528" s="13" t="n">
        <v>0.025</v>
      </c>
      <c r="AY528" s="12" t="n">
        <v>5705782</v>
      </c>
      <c r="AZ528" s="12" t="n">
        <v>5882250</v>
      </c>
      <c r="BA528" s="12" t="n">
        <v>6058718</v>
      </c>
      <c r="BB528" s="12" t="n">
        <v>5852839</v>
      </c>
      <c r="BC528" s="12" t="n">
        <v>6029306</v>
      </c>
      <c r="BD528" s="12" t="n">
        <v>6205774</v>
      </c>
      <c r="BE528" s="12" t="n">
        <v>6180039</v>
      </c>
      <c r="BF528" t="inlineStr">
        <is>
          <t>Frozen values from same rules-based model as formula sheet.</t>
        </is>
      </c>
      <c r="BG528" t="inlineStr">
        <is>
          <t>2026-03-17</t>
        </is>
      </c>
      <c r="BH528" t="inlineStr">
        <is>
          <t>DLD / Digital Dubai / CBUAE / Savills / Knight Frank-Moody’s / Reuters</t>
        </is>
      </c>
    </row>
    <row r="529">
      <c r="A529" t="n">
        <v>528</v>
      </c>
      <c r="B529" t="inlineStr">
        <is>
          <t>Mama Residences</t>
        </is>
      </c>
      <c r="C529" t="inlineStr">
        <is>
          <t>Khamas Group</t>
        </is>
      </c>
      <c r="D529" t="inlineStr">
        <is>
          <t>Business Bay</t>
        </is>
      </c>
      <c r="E529" t="inlineStr">
        <is>
          <t>Branded Apts</t>
        </is>
      </c>
      <c r="F529" t="inlineStr">
        <is>
          <t>Trendy / Ennismore</t>
        </is>
      </c>
      <c r="G529" t="inlineStr">
        <is>
          <t>2.2M</t>
        </is>
      </c>
      <c r="H529" t="inlineStr">
        <is>
          <t>2500</t>
        </is>
      </c>
      <c r="I529" t="inlineStr">
        <is>
          <t>25</t>
        </is>
      </c>
      <c r="J529" t="inlineStr">
        <is>
          <t>60/40</t>
        </is>
      </c>
      <c r="K529" t="inlineStr">
        <is>
          <t>2022</t>
        </is>
      </c>
      <c r="L529" t="inlineStr">
        <is>
          <t>6.0-6.5</t>
        </is>
      </c>
      <c r="M529" t="inlineStr">
        <is>
          <t>7-9</t>
        </is>
      </c>
      <c r="N529" t="inlineStr">
        <is>
          <t>13.0-15.5</t>
        </is>
      </c>
      <c r="O529" t="inlineStr">
        <is>
          <t>Hartland Intl</t>
        </is>
      </c>
      <c r="P529" t="inlineStr">
        <is>
          <t>Emirates Hospital BB</t>
        </is>
      </c>
      <c r="Q529" t="inlineStr">
        <is>
          <t>Dubai Mall</t>
        </is>
      </c>
      <c r="R529" t="inlineStr">
        <is>
          <t>Al Khail E44</t>
        </is>
      </c>
      <c r="S529" t="inlineStr">
        <is>
          <t>5</t>
        </is>
      </c>
      <c r="T529" t="inlineStr">
        <is>
          <t>20</t>
        </is>
      </c>
      <c r="U529" t="inlineStr">
        <is>
          <t>15</t>
        </is>
      </c>
      <c r="V529" t="inlineStr">
        <is>
          <t>35</t>
        </is>
      </c>
      <c r="W529" t="n">
        <v>2</v>
      </c>
      <c r="X529" s="12" t="n">
        <v>2200000</v>
      </c>
      <c r="Y529" s="12" t="n">
        <v>2200000</v>
      </c>
      <c r="Z529" s="9" t="n">
        <v>6</v>
      </c>
      <c r="AA529" s="9" t="n">
        <v>6.5</v>
      </c>
      <c r="AB529" s="9" t="n">
        <v>7</v>
      </c>
      <c r="AC529" s="9" t="n">
        <v>9</v>
      </c>
      <c r="AD529" s="9" t="n">
        <v>13</v>
      </c>
      <c r="AE529" s="9" t="n">
        <v>15.5</v>
      </c>
      <c r="AF529" t="n">
        <v>2022</v>
      </c>
      <c r="AH529" t="inlineStr">
        <is>
          <t>Apartment</t>
        </is>
      </c>
      <c r="AI529" t="inlineStr">
        <is>
          <t>Prime</t>
        </is>
      </c>
      <c r="AJ529" t="inlineStr">
        <is>
          <t>Established</t>
        </is>
      </c>
      <c r="AK529" t="inlineStr">
        <is>
          <t>Prime resilient / selective</t>
        </is>
      </c>
      <c r="AL529" t="inlineStr">
        <is>
          <t>Better support from quality, branding, and scarcer prime stock; still entry-price sensitive.</t>
        </is>
      </c>
      <c r="AM529" s="9" t="n">
        <v>8</v>
      </c>
      <c r="AN529" s="9" t="n">
        <v>6.25</v>
      </c>
      <c r="AO529" s="10" t="n">
        <v>0.55</v>
      </c>
      <c r="AP529" s="13" t="n">
        <v>0.02</v>
      </c>
      <c r="AQ529" s="13" t="n">
        <v>0</v>
      </c>
      <c r="AR529" s="13" t="n">
        <v>0</v>
      </c>
      <c r="AS529" s="13" t="n">
        <v>0.03</v>
      </c>
      <c r="AT529" s="13" t="n">
        <v>0</v>
      </c>
      <c r="AU529" s="13" t="n">
        <v>0.0025</v>
      </c>
      <c r="AV529" s="13" t="n">
        <v>-0.005</v>
      </c>
      <c r="AW529" s="13" t="n">
        <v>0.064</v>
      </c>
      <c r="AX529" s="13" t="n">
        <v>0.0275</v>
      </c>
      <c r="AY529" s="12" t="n">
        <v>2270576</v>
      </c>
      <c r="AZ529" s="12" t="n">
        <v>2340800</v>
      </c>
      <c r="BA529" s="12" t="n">
        <v>2411024</v>
      </c>
      <c r="BB529" s="12" t="n">
        <v>2334948</v>
      </c>
      <c r="BC529" s="12" t="n">
        <v>2405172</v>
      </c>
      <c r="BD529" s="12" t="n">
        <v>2475396</v>
      </c>
      <c r="BE529" s="12" t="n">
        <v>2471314</v>
      </c>
      <c r="BF529" t="inlineStr">
        <is>
          <t>Frozen values from same rules-based model as formula sheet.</t>
        </is>
      </c>
      <c r="BG529" t="inlineStr">
        <is>
          <t>2026-03-17</t>
        </is>
      </c>
      <c r="BH529" t="inlineStr">
        <is>
          <t>DLD / Digital Dubai / CBUAE / Savills / Knight Frank-Moody’s / Reuters</t>
        </is>
      </c>
    </row>
    <row r="530">
      <c r="A530" t="n">
        <v>529</v>
      </c>
      <c r="B530" t="inlineStr">
        <is>
          <t>Marriott Residences JVC</t>
        </is>
      </c>
      <c r="C530" t="inlineStr">
        <is>
          <t>Khamas Group</t>
        </is>
      </c>
      <c r="D530" t="inlineStr">
        <is>
          <t>JVC</t>
        </is>
      </c>
      <c r="E530" t="inlineStr">
        <is>
          <t>Branded Apts</t>
        </is>
      </c>
      <c r="F530" t="inlineStr">
        <is>
          <t>Hotel Service</t>
        </is>
      </c>
      <c r="G530" t="inlineStr">
        <is>
          <t>1.5M</t>
        </is>
      </c>
      <c r="H530" t="inlineStr">
        <is>
          <t>1600</t>
        </is>
      </c>
      <c r="I530" t="inlineStr">
        <is>
          <t>20</t>
        </is>
      </c>
      <c r="J530" t="inlineStr">
        <is>
          <t>60/40</t>
        </is>
      </c>
      <c r="K530" t="inlineStr">
        <is>
          <t>2023</t>
        </is>
      </c>
      <c r="L530" t="inlineStr">
        <is>
          <t>7.0-7.5</t>
        </is>
      </c>
      <c r="M530" t="inlineStr">
        <is>
          <t>6-8</t>
        </is>
      </c>
      <c r="N530" t="inlineStr">
        <is>
          <t>13.0-15.5</t>
        </is>
      </c>
      <c r="O530" t="inlineStr">
        <is>
          <t>JSS International</t>
        </is>
      </c>
      <c r="P530" t="inlineStr">
        <is>
          <t>Saudi German Hospital</t>
        </is>
      </c>
      <c r="Q530" t="inlineStr">
        <is>
          <t>Circle Mall</t>
        </is>
      </c>
      <c r="R530" t="inlineStr">
        <is>
          <t>Hessa St / E44</t>
        </is>
      </c>
      <c r="S530" t="inlineStr">
        <is>
          <t>20</t>
        </is>
      </c>
      <c r="T530" t="inlineStr">
        <is>
          <t>15</t>
        </is>
      </c>
      <c r="U530" t="inlineStr">
        <is>
          <t>25</t>
        </is>
      </c>
      <c r="V530" t="inlineStr">
        <is>
          <t>30</t>
        </is>
      </c>
      <c r="W530" t="n">
        <v>2</v>
      </c>
      <c r="X530" s="12" t="n">
        <v>1500000</v>
      </c>
      <c r="Y530" s="12" t="n">
        <v>1500000</v>
      </c>
      <c r="Z530" s="9" t="n">
        <v>7</v>
      </c>
      <c r="AA530" s="9" t="n">
        <v>7.5</v>
      </c>
      <c r="AB530" s="9" t="n">
        <v>6</v>
      </c>
      <c r="AC530" s="9" t="n">
        <v>8</v>
      </c>
      <c r="AD530" s="9" t="n">
        <v>13</v>
      </c>
      <c r="AE530" s="9" t="n">
        <v>15.5</v>
      </c>
      <c r="AF530" t="n">
        <v>2023</v>
      </c>
      <c r="AH530" t="inlineStr">
        <is>
          <t>Apartment</t>
        </is>
      </c>
      <c r="AI530" t="inlineStr">
        <is>
          <t>SupplySensitiveApartment</t>
        </is>
      </c>
      <c r="AJ530" t="inlineStr">
        <is>
          <t>Established</t>
        </is>
      </c>
      <c r="AK530" t="inlineStr">
        <is>
          <t>Supply-sensitive / selective</t>
        </is>
      </c>
      <c r="AL530" t="inlineStr">
        <is>
          <t>Higher delivery risk in more price-sensitive apartment clusters; building selection and exit liquidity matter.</t>
        </is>
      </c>
      <c r="AM530" s="9" t="n">
        <v>7</v>
      </c>
      <c r="AN530" s="9" t="n">
        <v>7.25</v>
      </c>
      <c r="AO530" s="10" t="n">
        <v>0.55</v>
      </c>
      <c r="AP530" s="13" t="n">
        <v>0</v>
      </c>
      <c r="AQ530" s="13" t="n">
        <v>0</v>
      </c>
      <c r="AR530" s="13" t="n">
        <v>-0.01</v>
      </c>
      <c r="AS530" s="13" t="n">
        <v>-0.01</v>
      </c>
      <c r="AT530" s="13" t="n">
        <v>0</v>
      </c>
      <c r="AU530" s="13" t="n">
        <v>0.0025</v>
      </c>
      <c r="AV530" s="13" t="n">
        <v>-0.005</v>
      </c>
      <c r="AW530" s="13" t="n">
        <v>0.0285</v>
      </c>
      <c r="AX530" s="13" t="n">
        <v>-0.0125</v>
      </c>
      <c r="AY530" s="12" t="n">
        <v>1496468</v>
      </c>
      <c r="AZ530" s="12" t="n">
        <v>1542750</v>
      </c>
      <c r="BA530" s="12" t="n">
        <v>1589032</v>
      </c>
      <c r="BB530" s="12" t="n">
        <v>1477183</v>
      </c>
      <c r="BC530" s="12" t="n">
        <v>1523466</v>
      </c>
      <c r="BD530" s="12" t="n">
        <v>1569748</v>
      </c>
      <c r="BE530" s="12" t="n">
        <v>1504422</v>
      </c>
      <c r="BF530" t="inlineStr">
        <is>
          <t>Frozen values from same rules-based model as formula sheet.</t>
        </is>
      </c>
      <c r="BG530" t="inlineStr">
        <is>
          <t>2026-03-17</t>
        </is>
      </c>
      <c r="BH530" t="inlineStr">
        <is>
          <t>DLD / Digital Dubai / CBUAE / Savills / Knight Frank-Moody’s / Reuters</t>
        </is>
      </c>
    </row>
    <row r="531">
      <c r="A531" t="n">
        <v>530</v>
      </c>
      <c r="B531" t="inlineStr">
        <is>
          <t>The Autograph S Series</t>
        </is>
      </c>
      <c r="C531" t="inlineStr">
        <is>
          <t>Green Group</t>
        </is>
      </c>
      <c r="D531" t="inlineStr">
        <is>
          <t>JVC (District 15)</t>
        </is>
      </c>
      <c r="E531" t="inlineStr">
        <is>
          <t>Apartments</t>
        </is>
      </c>
      <c r="F531" t="inlineStr">
        <is>
          <t>Boutique / Design</t>
        </is>
      </c>
      <c r="G531" t="inlineStr">
        <is>
          <t>1.2M</t>
        </is>
      </c>
      <c r="H531" t="inlineStr">
        <is>
          <t>1450</t>
        </is>
      </c>
      <c r="I531" t="inlineStr">
        <is>
          <t>16</t>
        </is>
      </c>
      <c r="J531" t="inlineStr">
        <is>
          <t>50/50</t>
        </is>
      </c>
      <c r="K531" t="inlineStr">
        <is>
          <t>2024</t>
        </is>
      </c>
      <c r="L531" t="inlineStr">
        <is>
          <t>7.5-8.0</t>
        </is>
      </c>
      <c r="M531" t="inlineStr">
        <is>
          <t>8-10</t>
        </is>
      </c>
      <c r="N531" t="inlineStr">
        <is>
          <t>15.5-18.0</t>
        </is>
      </c>
      <c r="O531" t="inlineStr">
        <is>
          <t>JSS International</t>
        </is>
      </c>
      <c r="P531" t="inlineStr">
        <is>
          <t>Saudi German Hospital</t>
        </is>
      </c>
      <c r="Q531" t="inlineStr">
        <is>
          <t>Circle Mall</t>
        </is>
      </c>
      <c r="R531" t="inlineStr">
        <is>
          <t>Hessa St / E44</t>
        </is>
      </c>
      <c r="S531" t="inlineStr">
        <is>
          <t>20</t>
        </is>
      </c>
      <c r="T531" t="inlineStr">
        <is>
          <t>15</t>
        </is>
      </c>
      <c r="U531" t="inlineStr">
        <is>
          <t>25</t>
        </is>
      </c>
      <c r="V531" t="inlineStr">
        <is>
          <t>30</t>
        </is>
      </c>
      <c r="W531" t="n">
        <v>2</v>
      </c>
      <c r="X531" s="12" t="n">
        <v>1200000</v>
      </c>
      <c r="Y531" s="12" t="n">
        <v>1200000</v>
      </c>
      <c r="Z531" s="9" t="n">
        <v>7.5</v>
      </c>
      <c r="AA531" s="9" t="n">
        <v>8</v>
      </c>
      <c r="AB531" s="9" t="n">
        <v>8</v>
      </c>
      <c r="AC531" s="9" t="n">
        <v>10</v>
      </c>
      <c r="AD531" s="9" t="n">
        <v>15.5</v>
      </c>
      <c r="AE531" s="9" t="n">
        <v>18</v>
      </c>
      <c r="AF531" t="n">
        <v>2024</v>
      </c>
      <c r="AH531" t="inlineStr">
        <is>
          <t>Apartment</t>
        </is>
      </c>
      <c r="AI531" t="inlineStr">
        <is>
          <t>MainstreamSelective</t>
        </is>
      </c>
      <c r="AJ531" t="inlineStr">
        <is>
          <t>Established</t>
        </is>
      </c>
      <c r="AK531" t="inlineStr">
        <is>
          <t>Balanced / selective</t>
        </is>
      </c>
      <c r="AL531" t="inlineStr">
        <is>
          <t>Market remains active but increasingly differentiated by developer, micro-location, livability, and pricing discipline.</t>
        </is>
      </c>
      <c r="AM531" s="9" t="n">
        <v>9</v>
      </c>
      <c r="AN531" s="9" t="n">
        <v>7.75</v>
      </c>
      <c r="AO531" s="10" t="n">
        <v>0.55</v>
      </c>
      <c r="AP531" s="13" t="n">
        <v>0</v>
      </c>
      <c r="AQ531" s="13" t="n">
        <v>0</v>
      </c>
      <c r="AR531" s="13" t="n">
        <v>0</v>
      </c>
      <c r="AS531" s="13" t="n">
        <v>0.01</v>
      </c>
      <c r="AT531" s="13" t="n">
        <v>0</v>
      </c>
      <c r="AU531" s="13" t="n">
        <v>0.0025</v>
      </c>
      <c r="AV531" s="13" t="n">
        <v>-0.005</v>
      </c>
      <c r="AW531" s="13" t="n">
        <v>0.0495</v>
      </c>
      <c r="AX531" s="13" t="n">
        <v>0.007500000000000001</v>
      </c>
      <c r="AY531" s="12" t="n">
        <v>1221618</v>
      </c>
      <c r="AZ531" s="12" t="n">
        <v>1259400</v>
      </c>
      <c r="BA531" s="12" t="n">
        <v>1297182</v>
      </c>
      <c r="BB531" s="12" t="n">
        <v>1231064</v>
      </c>
      <c r="BC531" s="12" t="n">
        <v>1268846</v>
      </c>
      <c r="BD531" s="12" t="n">
        <v>1306628</v>
      </c>
      <c r="BE531" s="12" t="n">
        <v>1278362</v>
      </c>
      <c r="BF531" t="inlineStr">
        <is>
          <t>Frozen values from same rules-based model as formula sheet.</t>
        </is>
      </c>
      <c r="BG531" t="inlineStr">
        <is>
          <t>2026-03-17</t>
        </is>
      </c>
      <c r="BH531" t="inlineStr">
        <is>
          <t>DLD / Digital Dubai / CBUAE / Savills / Knight Frank-Moody’s / Reuters</t>
        </is>
      </c>
    </row>
    <row r="532">
      <c r="A532" t="n">
        <v>531</v>
      </c>
      <c r="B532" t="inlineStr">
        <is>
          <t>The Autograph X Series</t>
        </is>
      </c>
      <c r="C532" t="inlineStr">
        <is>
          <t>Green Group</t>
        </is>
      </c>
      <c r="D532" t="inlineStr">
        <is>
          <t>JVC (District 13)</t>
        </is>
      </c>
      <c r="E532" t="inlineStr">
        <is>
          <t>Townhouses</t>
        </is>
      </c>
      <c r="F532" t="inlineStr">
        <is>
          <t>Boutique / Luxury</t>
        </is>
      </c>
      <c r="G532" t="inlineStr">
        <is>
          <t>3.6M</t>
        </is>
      </c>
      <c r="H532" t="inlineStr">
        <is>
          <t>1100</t>
        </is>
      </c>
      <c r="I532" t="inlineStr">
        <is>
          <t>12</t>
        </is>
      </c>
      <c r="J532" t="inlineStr">
        <is>
          <t>50/50</t>
        </is>
      </c>
      <c r="K532" t="inlineStr">
        <is>
          <t>2023</t>
        </is>
      </c>
      <c r="L532" t="inlineStr">
        <is>
          <t>7.0-7.5</t>
        </is>
      </c>
      <c r="M532" t="inlineStr">
        <is>
          <t>8-10</t>
        </is>
      </c>
      <c r="N532" t="inlineStr">
        <is>
          <t>15.0-17.5</t>
        </is>
      </c>
      <c r="O532" t="inlineStr">
        <is>
          <t>JSS International</t>
        </is>
      </c>
      <c r="P532" t="inlineStr">
        <is>
          <t>Saudi German Hospital</t>
        </is>
      </c>
      <c r="Q532" t="inlineStr">
        <is>
          <t>Circle Mall</t>
        </is>
      </c>
      <c r="R532" t="inlineStr">
        <is>
          <t>Hessa St / E44</t>
        </is>
      </c>
      <c r="S532" t="inlineStr">
        <is>
          <t>20</t>
        </is>
      </c>
      <c r="T532" t="inlineStr">
        <is>
          <t>15</t>
        </is>
      </c>
      <c r="U532" t="inlineStr">
        <is>
          <t>25</t>
        </is>
      </c>
      <c r="V532" t="inlineStr">
        <is>
          <t>30</t>
        </is>
      </c>
      <c r="W532" t="n">
        <v>2</v>
      </c>
      <c r="X532" s="12" t="n">
        <v>3600000</v>
      </c>
      <c r="Y532" s="12" t="n">
        <v>3600000</v>
      </c>
      <c r="Z532" s="9" t="n">
        <v>7</v>
      </c>
      <c r="AA532" s="9" t="n">
        <v>7.5</v>
      </c>
      <c r="AB532" s="9" t="n">
        <v>8</v>
      </c>
      <c r="AC532" s="9" t="n">
        <v>10</v>
      </c>
      <c r="AD532" s="9" t="n">
        <v>15</v>
      </c>
      <c r="AE532" s="9" t="n">
        <v>17.5</v>
      </c>
      <c r="AF532" t="n">
        <v>2023</v>
      </c>
      <c r="AH532" t="inlineStr">
        <is>
          <t>Townhouse</t>
        </is>
      </c>
      <c r="AI532" t="inlineStr">
        <is>
          <t>MainstreamSelective</t>
        </is>
      </c>
      <c r="AJ532" t="inlineStr">
        <is>
          <t>Established</t>
        </is>
      </c>
      <c r="AK532" t="inlineStr">
        <is>
          <t>Family-villa resilient</t>
        </is>
      </c>
      <c r="AL532" t="inlineStr">
        <is>
          <t>Villa/townhouse demand remains relatively firmer, though growth should be slower than the post-2020 surge.</t>
        </is>
      </c>
      <c r="AM532" s="9" t="n">
        <v>9</v>
      </c>
      <c r="AN532" s="9" t="n">
        <v>7.25</v>
      </c>
      <c r="AO532" s="10" t="n">
        <v>0.55</v>
      </c>
      <c r="AP532" s="13" t="n">
        <v>0</v>
      </c>
      <c r="AQ532" s="13" t="n">
        <v>0.015</v>
      </c>
      <c r="AR532" s="13" t="n">
        <v>0</v>
      </c>
      <c r="AS532" s="13" t="n">
        <v>0.025</v>
      </c>
      <c r="AT532" s="13" t="n">
        <v>0</v>
      </c>
      <c r="AU532" s="13" t="n">
        <v>0.0025</v>
      </c>
      <c r="AV532" s="13" t="n">
        <v>-0.005</v>
      </c>
      <c r="AW532" s="13" t="n">
        <v>0.0645</v>
      </c>
      <c r="AX532" s="13" t="n">
        <v>0.0225</v>
      </c>
      <c r="AY532" s="12" t="n">
        <v>3717234</v>
      </c>
      <c r="AZ532" s="12" t="n">
        <v>3832200</v>
      </c>
      <c r="BA532" s="12" t="n">
        <v>3947166</v>
      </c>
      <c r="BB532" s="12" t="n">
        <v>3803458</v>
      </c>
      <c r="BC532" s="12" t="n">
        <v>3918424</v>
      </c>
      <c r="BD532" s="12" t="n">
        <v>4033390</v>
      </c>
      <c r="BE532" s="12" t="n">
        <v>4006589</v>
      </c>
      <c r="BF532" t="inlineStr">
        <is>
          <t>Frozen values from same rules-based model as formula sheet.</t>
        </is>
      </c>
      <c r="BG532" t="inlineStr">
        <is>
          <t>2026-03-17</t>
        </is>
      </c>
      <c r="BH532" t="inlineStr">
        <is>
          <t>DLD / Digital Dubai / CBUAE / Savills / Knight Frank-Moody’s / Reuters</t>
        </is>
      </c>
    </row>
    <row r="533">
      <c r="A533" t="n">
        <v>532</v>
      </c>
      <c r="B533" t="inlineStr">
        <is>
          <t>The Autograph I Series</t>
        </is>
      </c>
      <c r="C533" t="inlineStr">
        <is>
          <t>Green Group</t>
        </is>
      </c>
      <c r="D533" t="inlineStr">
        <is>
          <t>JVC</t>
        </is>
      </c>
      <c r="E533" t="inlineStr">
        <is>
          <t>Apartments</t>
        </is>
      </c>
      <c r="F533" t="inlineStr">
        <is>
          <t>Boutique / Smart</t>
        </is>
      </c>
      <c r="G533" t="inlineStr">
        <is>
          <t>1.1M</t>
        </is>
      </c>
      <c r="H533" t="inlineStr">
        <is>
          <t>1400</t>
        </is>
      </c>
      <c r="I533" t="inlineStr">
        <is>
          <t>16</t>
        </is>
      </c>
      <c r="J533" t="inlineStr">
        <is>
          <t>50/50</t>
        </is>
      </c>
      <c r="K533" t="inlineStr">
        <is>
          <t>2024</t>
        </is>
      </c>
      <c r="L533" t="inlineStr">
        <is>
          <t>7.5-8.0</t>
        </is>
      </c>
      <c r="M533" t="inlineStr">
        <is>
          <t>8-10</t>
        </is>
      </c>
      <c r="N533" t="inlineStr">
        <is>
          <t>15.5-18.0</t>
        </is>
      </c>
      <c r="O533" t="inlineStr">
        <is>
          <t>JSS International</t>
        </is>
      </c>
      <c r="P533" t="inlineStr">
        <is>
          <t>Saudi German Hospital</t>
        </is>
      </c>
      <c r="Q533" t="inlineStr">
        <is>
          <t>Circle Mall</t>
        </is>
      </c>
      <c r="R533" t="inlineStr">
        <is>
          <t>Hessa St / E44</t>
        </is>
      </c>
      <c r="S533" t="inlineStr">
        <is>
          <t>20</t>
        </is>
      </c>
      <c r="T533" t="inlineStr">
        <is>
          <t>15</t>
        </is>
      </c>
      <c r="U533" t="inlineStr">
        <is>
          <t>25</t>
        </is>
      </c>
      <c r="V533" t="inlineStr">
        <is>
          <t>30</t>
        </is>
      </c>
      <c r="W533" t="n">
        <v>2</v>
      </c>
      <c r="X533" s="12" t="n">
        <v>1100000</v>
      </c>
      <c r="Y533" s="12" t="n">
        <v>1100000</v>
      </c>
      <c r="Z533" s="9" t="n">
        <v>7.5</v>
      </c>
      <c r="AA533" s="9" t="n">
        <v>8</v>
      </c>
      <c r="AB533" s="9" t="n">
        <v>8</v>
      </c>
      <c r="AC533" s="9" t="n">
        <v>10</v>
      </c>
      <c r="AD533" s="9" t="n">
        <v>15.5</v>
      </c>
      <c r="AE533" s="9" t="n">
        <v>18</v>
      </c>
      <c r="AF533" t="n">
        <v>2024</v>
      </c>
      <c r="AH533" t="inlineStr">
        <is>
          <t>Apartment</t>
        </is>
      </c>
      <c r="AI533" t="inlineStr">
        <is>
          <t>SupplySensitiveApartment</t>
        </is>
      </c>
      <c r="AJ533" t="inlineStr">
        <is>
          <t>Established</t>
        </is>
      </c>
      <c r="AK533" t="inlineStr">
        <is>
          <t>Supply-sensitive / selective</t>
        </is>
      </c>
      <c r="AL533" t="inlineStr">
        <is>
          <t>Higher delivery risk in more price-sensitive apartment clusters; building selection and exit liquidity matter.</t>
        </is>
      </c>
      <c r="AM533" s="9" t="n">
        <v>9</v>
      </c>
      <c r="AN533" s="9" t="n">
        <v>7.75</v>
      </c>
      <c r="AO533" s="10" t="n">
        <v>0.55</v>
      </c>
      <c r="AP533" s="13" t="n">
        <v>0</v>
      </c>
      <c r="AQ533" s="13" t="n">
        <v>0</v>
      </c>
      <c r="AR533" s="13" t="n">
        <v>-0.01</v>
      </c>
      <c r="AS533" s="13" t="n">
        <v>-0.01</v>
      </c>
      <c r="AT533" s="13" t="n">
        <v>0</v>
      </c>
      <c r="AU533" s="13" t="n">
        <v>0.0025</v>
      </c>
      <c r="AV533" s="13" t="n">
        <v>-0.005</v>
      </c>
      <c r="AW533" s="13" t="n">
        <v>0.0395</v>
      </c>
      <c r="AX533" s="13" t="n">
        <v>-0.0125</v>
      </c>
      <c r="AY533" s="12" t="n">
        <v>1109146</v>
      </c>
      <c r="AZ533" s="12" t="n">
        <v>1143450</v>
      </c>
      <c r="BA533" s="12" t="n">
        <v>1177754</v>
      </c>
      <c r="BB533" s="12" t="n">
        <v>1094853</v>
      </c>
      <c r="BC533" s="12" t="n">
        <v>1129157</v>
      </c>
      <c r="BD533" s="12" t="n">
        <v>1163460</v>
      </c>
      <c r="BE533" s="12" t="n">
        <v>1115042</v>
      </c>
      <c r="BF533" t="inlineStr">
        <is>
          <t>Frozen values from same rules-based model as formula sheet.</t>
        </is>
      </c>
      <c r="BG533" t="inlineStr">
        <is>
          <t>2026-03-17</t>
        </is>
      </c>
      <c r="BH533" t="inlineStr">
        <is>
          <t>DLD / Digital Dubai / CBUAE / Savills / Knight Frank-Moody’s / Reuters</t>
        </is>
      </c>
    </row>
    <row r="534">
      <c r="A534" t="n">
        <v>533</v>
      </c>
      <c r="B534" t="inlineStr">
        <is>
          <t>Paradise Lakes (Resale)</t>
        </is>
      </c>
      <c r="C534" t="inlineStr">
        <is>
          <t>Sweet Homes (Orig.)</t>
        </is>
      </c>
      <c r="D534" t="inlineStr">
        <is>
          <t>Emirates City (Ajman)</t>
        </is>
      </c>
      <c r="E534" t="inlineStr">
        <is>
          <t>Apartments</t>
        </is>
      </c>
      <c r="F534" t="inlineStr">
        <is>
          <t>Budget / Resale</t>
        </is>
      </c>
      <c r="G534" t="inlineStr">
        <is>
          <t>250k</t>
        </is>
      </c>
      <c r="H534" t="inlineStr">
        <is>
          <t>350</t>
        </is>
      </c>
      <c r="I534" t="inlineStr">
        <is>
          <t>10</t>
        </is>
      </c>
      <c r="J534" t="inlineStr">
        <is>
          <t>Cash</t>
        </is>
      </c>
      <c r="K534" t="inlineStr">
        <is>
          <t>2008</t>
        </is>
      </c>
      <c r="L534" t="inlineStr">
        <is>
          <t>9.0-10.0</t>
        </is>
      </c>
      <c r="M534" t="inlineStr">
        <is>
          <t>3-5</t>
        </is>
      </c>
      <c r="N534" t="inlineStr">
        <is>
          <t>12.0-15.0</t>
        </is>
      </c>
      <c r="O534" t="inlineStr">
        <is>
          <t>Ajman Academy</t>
        </is>
      </c>
      <c r="P534" t="inlineStr">
        <is>
          <t>Saudi German Ajman</t>
        </is>
      </c>
      <c r="Q534" t="inlineStr">
        <is>
          <t>China Mall Ajman</t>
        </is>
      </c>
      <c r="R534" t="inlineStr">
        <is>
          <t>E311 (Ajman)</t>
        </is>
      </c>
      <c r="S534" t="inlineStr">
        <is>
          <t>40</t>
        </is>
      </c>
      <c r="T534" t="inlineStr">
        <is>
          <t>60</t>
        </is>
      </c>
      <c r="U534" t="inlineStr">
        <is>
          <t>25</t>
        </is>
      </c>
      <c r="V534" t="inlineStr">
        <is>
          <t>60</t>
        </is>
      </c>
      <c r="W534" t="n">
        <v>2</v>
      </c>
      <c r="X534" s="12" t="n">
        <v>250000</v>
      </c>
      <c r="Y534" s="12" t="n">
        <v>250000</v>
      </c>
      <c r="Z534" s="9" t="n">
        <v>9</v>
      </c>
      <c r="AA534" s="9" t="n">
        <v>10</v>
      </c>
      <c r="AB534" s="9" t="n">
        <v>3</v>
      </c>
      <c r="AC534" s="9" t="n">
        <v>5</v>
      </c>
      <c r="AD534" s="9" t="n">
        <v>12</v>
      </c>
      <c r="AE534" s="9" t="n">
        <v>15</v>
      </c>
      <c r="AF534" t="n">
        <v>2008</v>
      </c>
      <c r="AH534" t="inlineStr">
        <is>
          <t>Apartment</t>
        </is>
      </c>
      <c r="AI534" t="inlineStr">
        <is>
          <t>MainstreamSelective</t>
        </is>
      </c>
      <c r="AJ534" t="inlineStr">
        <is>
          <t>Established</t>
        </is>
      </c>
      <c r="AK534" t="inlineStr">
        <is>
          <t>Balanced / selective</t>
        </is>
      </c>
      <c r="AL534" t="inlineStr">
        <is>
          <t>Market remains active but increasingly differentiated by developer, micro-location, livability, and pricing discipline.</t>
        </is>
      </c>
      <c r="AM534" s="9" t="n">
        <v>4</v>
      </c>
      <c r="AN534" s="9" t="n">
        <v>9.5</v>
      </c>
      <c r="AO534" s="10" t="n">
        <v>0.55</v>
      </c>
      <c r="AP534" s="13" t="n">
        <v>0</v>
      </c>
      <c r="AQ534" s="13" t="n">
        <v>0</v>
      </c>
      <c r="AR534" s="13" t="n">
        <v>0</v>
      </c>
      <c r="AS534" s="13" t="n">
        <v>0.01</v>
      </c>
      <c r="AT534" s="13" t="n">
        <v>0</v>
      </c>
      <c r="AU534" s="13" t="n">
        <v>0.0025</v>
      </c>
      <c r="AV534" s="13" t="n">
        <v>-0.005</v>
      </c>
      <c r="AW534" s="13" t="n">
        <v>0.022</v>
      </c>
      <c r="AX534" s="13" t="n">
        <v>0.007500000000000001</v>
      </c>
      <c r="AY534" s="12" t="n">
        <v>247835</v>
      </c>
      <c r="AZ534" s="12" t="n">
        <v>255500</v>
      </c>
      <c r="BA534" s="12" t="n">
        <v>263165</v>
      </c>
      <c r="BB534" s="12" t="n">
        <v>249751</v>
      </c>
      <c r="BC534" s="12" t="n">
        <v>257416</v>
      </c>
      <c r="BD534" s="12" t="n">
        <v>265081</v>
      </c>
      <c r="BE534" s="12" t="n">
        <v>259347</v>
      </c>
      <c r="BF534" t="inlineStr">
        <is>
          <t>Frozen values from same rules-based model as formula sheet.</t>
        </is>
      </c>
      <c r="BG534" t="inlineStr">
        <is>
          <t>2026-03-17</t>
        </is>
      </c>
      <c r="BH534" t="inlineStr">
        <is>
          <t>DLD / Digital Dubai / CBUAE / Savills / Knight Frank-Moody’s / Reuters</t>
        </is>
      </c>
    </row>
    <row r="535">
      <c r="A535" t="n">
        <v>534</v>
      </c>
      <c r="B535" t="inlineStr">
        <is>
          <t>Helvetia Residences</t>
        </is>
      </c>
      <c r="C535" t="inlineStr">
        <is>
          <t>DHG Properties</t>
        </is>
      </c>
      <c r="D535" t="inlineStr">
        <is>
          <t>JVC</t>
        </is>
      </c>
      <c r="E535" t="inlineStr">
        <is>
          <t>Apartments</t>
        </is>
      </c>
      <c r="F535" t="inlineStr">
        <is>
          <t>Swiss Quality</t>
        </is>
      </c>
      <c r="G535" t="inlineStr">
        <is>
          <t>900k</t>
        </is>
      </c>
      <c r="H535" t="inlineStr">
        <is>
          <t>1200</t>
        </is>
      </c>
      <c r="I535" t="inlineStr">
        <is>
          <t>15</t>
        </is>
      </c>
      <c r="J535" t="inlineStr">
        <is>
          <t>60/40</t>
        </is>
      </c>
      <c r="K535" t="inlineStr">
        <is>
          <t>2023</t>
        </is>
      </c>
      <c r="L535" t="inlineStr">
        <is>
          <t>7.5-8.0</t>
        </is>
      </c>
      <c r="M535" t="inlineStr">
        <is>
          <t>6-8</t>
        </is>
      </c>
      <c r="N535" t="inlineStr">
        <is>
          <t>13.5-16.0</t>
        </is>
      </c>
      <c r="O535" t="inlineStr">
        <is>
          <t>JSS International</t>
        </is>
      </c>
      <c r="P535" t="inlineStr">
        <is>
          <t>Saudi German Hospital</t>
        </is>
      </c>
      <c r="Q535" t="inlineStr">
        <is>
          <t>Circle Mall</t>
        </is>
      </c>
      <c r="R535" t="inlineStr">
        <is>
          <t>Hessa St / E44</t>
        </is>
      </c>
      <c r="S535" t="inlineStr">
        <is>
          <t>20</t>
        </is>
      </c>
      <c r="T535" t="inlineStr">
        <is>
          <t>15</t>
        </is>
      </c>
      <c r="U535" t="inlineStr">
        <is>
          <t>25</t>
        </is>
      </c>
      <c r="V535" t="inlineStr">
        <is>
          <t>30</t>
        </is>
      </c>
      <c r="W535" t="n">
        <v>2</v>
      </c>
      <c r="X535" s="12" t="n">
        <v>900000</v>
      </c>
      <c r="Y535" s="12" t="n">
        <v>900000</v>
      </c>
      <c r="Z535" s="9" t="n">
        <v>7.5</v>
      </c>
      <c r="AA535" s="9" t="n">
        <v>8</v>
      </c>
      <c r="AB535" s="9" t="n">
        <v>6</v>
      </c>
      <c r="AC535" s="9" t="n">
        <v>8</v>
      </c>
      <c r="AD535" s="9" t="n">
        <v>13.5</v>
      </c>
      <c r="AE535" s="9" t="n">
        <v>16</v>
      </c>
      <c r="AF535" t="n">
        <v>2023</v>
      </c>
      <c r="AH535" t="inlineStr">
        <is>
          <t>Apartment</t>
        </is>
      </c>
      <c r="AI535" t="inlineStr">
        <is>
          <t>SupplySensitiveApartment</t>
        </is>
      </c>
      <c r="AJ535" t="inlineStr">
        <is>
          <t>Established</t>
        </is>
      </c>
      <c r="AK535" t="inlineStr">
        <is>
          <t>Supply-sensitive / selective</t>
        </is>
      </c>
      <c r="AL535" t="inlineStr">
        <is>
          <t>Higher delivery risk in more price-sensitive apartment clusters; building selection and exit liquidity matter.</t>
        </is>
      </c>
      <c r="AM535" s="9" t="n">
        <v>7</v>
      </c>
      <c r="AN535" s="9" t="n">
        <v>7.75</v>
      </c>
      <c r="AO535" s="10" t="n">
        <v>0.55</v>
      </c>
      <c r="AP535" s="13" t="n">
        <v>0</v>
      </c>
      <c r="AQ535" s="13" t="n">
        <v>0</v>
      </c>
      <c r="AR535" s="13" t="n">
        <v>-0.01</v>
      </c>
      <c r="AS535" s="13" t="n">
        <v>-0.01</v>
      </c>
      <c r="AT535" s="13" t="n">
        <v>0</v>
      </c>
      <c r="AU535" s="13" t="n">
        <v>0.0025</v>
      </c>
      <c r="AV535" s="13" t="n">
        <v>-0.005</v>
      </c>
      <c r="AW535" s="13" t="n">
        <v>0.0285</v>
      </c>
      <c r="AX535" s="13" t="n">
        <v>-0.0125</v>
      </c>
      <c r="AY535" s="12" t="n">
        <v>897880</v>
      </c>
      <c r="AZ535" s="12" t="n">
        <v>925650</v>
      </c>
      <c r="BA535" s="12" t="n">
        <v>953420</v>
      </c>
      <c r="BB535" s="12" t="n">
        <v>886310</v>
      </c>
      <c r="BC535" s="12" t="n">
        <v>914079</v>
      </c>
      <c r="BD535" s="12" t="n">
        <v>941849</v>
      </c>
      <c r="BE535" s="12" t="n">
        <v>902653</v>
      </c>
      <c r="BF535" t="inlineStr">
        <is>
          <t>Frozen values from same rules-based model as formula sheet.</t>
        </is>
      </c>
      <c r="BG535" t="inlineStr">
        <is>
          <t>2026-03-17</t>
        </is>
      </c>
      <c r="BH535" t="inlineStr">
        <is>
          <t>DLD / Digital Dubai / CBUAE / Savills / Knight Frank-Moody’s / Reuters</t>
        </is>
      </c>
    </row>
    <row r="536">
      <c r="A536" t="n">
        <v>535</v>
      </c>
      <c r="B536" t="inlineStr">
        <is>
          <t>Helvetia Marine</t>
        </is>
      </c>
      <c r="C536" t="inlineStr">
        <is>
          <t>DHG Properties</t>
        </is>
      </c>
      <c r="D536" t="inlineStr">
        <is>
          <t>Dubai Maritime City</t>
        </is>
      </c>
      <c r="E536" t="inlineStr">
        <is>
          <t>Apartments</t>
        </is>
      </c>
      <c r="F536" t="inlineStr">
        <is>
          <t>Sea View</t>
        </is>
      </c>
      <c r="G536" t="inlineStr">
        <is>
          <t>1.5M</t>
        </is>
      </c>
      <c r="H536" t="inlineStr">
        <is>
          <t>1600</t>
        </is>
      </c>
      <c r="I536" t="inlineStr">
        <is>
          <t>18</t>
        </is>
      </c>
      <c r="J536" t="inlineStr">
        <is>
          <t>60/40</t>
        </is>
      </c>
      <c r="K536" t="inlineStr">
        <is>
          <t>2024</t>
        </is>
      </c>
      <c r="L536" t="inlineStr">
        <is>
          <t>6.5-7.0</t>
        </is>
      </c>
      <c r="M536" t="inlineStr">
        <is>
          <t>8-10</t>
        </is>
      </c>
      <c r="N536" t="inlineStr">
        <is>
          <t>14.5-17.0</t>
        </is>
      </c>
      <c r="O536" t="inlineStr">
        <is>
          <t>New Academy School</t>
        </is>
      </c>
      <c r="P536" t="inlineStr">
        <is>
          <t>Aster Hospital Mankhool</t>
        </is>
      </c>
      <c r="Q536" t="inlineStr">
        <is>
          <t>Dubai Mall</t>
        </is>
      </c>
      <c r="R536" t="inlineStr">
        <is>
          <t>Al Khaleej / E11</t>
        </is>
      </c>
      <c r="S536" t="inlineStr">
        <is>
          <t>15</t>
        </is>
      </c>
      <c r="T536" t="inlineStr">
        <is>
          <t>25</t>
        </is>
      </c>
      <c r="U536" t="inlineStr">
        <is>
          <t>15</t>
        </is>
      </c>
      <c r="V536" t="inlineStr">
        <is>
          <t>45</t>
        </is>
      </c>
      <c r="W536" t="n">
        <v>2</v>
      </c>
      <c r="X536" s="12" t="n">
        <v>1500000</v>
      </c>
      <c r="Y536" s="12" t="n">
        <v>1500000</v>
      </c>
      <c r="Z536" s="9" t="n">
        <v>6.5</v>
      </c>
      <c r="AA536" s="9" t="n">
        <v>7</v>
      </c>
      <c r="AB536" s="9" t="n">
        <v>8</v>
      </c>
      <c r="AC536" s="9" t="n">
        <v>10</v>
      </c>
      <c r="AD536" s="9" t="n">
        <v>14.5</v>
      </c>
      <c r="AE536" s="9" t="n">
        <v>17</v>
      </c>
      <c r="AF536" t="n">
        <v>2024</v>
      </c>
      <c r="AH536" t="inlineStr">
        <is>
          <t>Apartment</t>
        </is>
      </c>
      <c r="AI536" t="inlineStr">
        <is>
          <t>MainstreamSelective</t>
        </is>
      </c>
      <c r="AJ536" t="inlineStr">
        <is>
          <t>Established</t>
        </is>
      </c>
      <c r="AK536" t="inlineStr">
        <is>
          <t>Balanced / selective</t>
        </is>
      </c>
      <c r="AL536" t="inlineStr">
        <is>
          <t>Market remains active but increasingly differentiated by developer, micro-location, livability, and pricing discipline.</t>
        </is>
      </c>
      <c r="AM536" s="9" t="n">
        <v>9</v>
      </c>
      <c r="AN536" s="9" t="n">
        <v>6.75</v>
      </c>
      <c r="AO536" s="10" t="n">
        <v>0.55</v>
      </c>
      <c r="AP536" s="13" t="n">
        <v>0</v>
      </c>
      <c r="AQ536" s="13" t="n">
        <v>0</v>
      </c>
      <c r="AR536" s="13" t="n">
        <v>0</v>
      </c>
      <c r="AS536" s="13" t="n">
        <v>0.01</v>
      </c>
      <c r="AT536" s="13" t="n">
        <v>0</v>
      </c>
      <c r="AU536" s="13" t="n">
        <v>0.0025</v>
      </c>
      <c r="AV536" s="13" t="n">
        <v>-0.005</v>
      </c>
      <c r="AW536" s="13" t="n">
        <v>0.0495</v>
      </c>
      <c r="AX536" s="13" t="n">
        <v>0.007500000000000001</v>
      </c>
      <c r="AY536" s="12" t="n">
        <v>1527022</v>
      </c>
      <c r="AZ536" s="12" t="n">
        <v>1574250</v>
      </c>
      <c r="BA536" s="12" t="n">
        <v>1621478</v>
      </c>
      <c r="BB536" s="12" t="n">
        <v>1538829</v>
      </c>
      <c r="BC536" s="12" t="n">
        <v>1586057</v>
      </c>
      <c r="BD536" s="12" t="n">
        <v>1633284</v>
      </c>
      <c r="BE536" s="12" t="n">
        <v>1597952</v>
      </c>
      <c r="BF536" t="inlineStr">
        <is>
          <t>Frozen values from same rules-based model as formula sheet.</t>
        </is>
      </c>
      <c r="BG536" t="inlineStr">
        <is>
          <t>2026-03-17</t>
        </is>
      </c>
      <c r="BH536" t="inlineStr">
        <is>
          <t>DLD / Digital Dubai / CBUAE / Savills / Knight Frank-Moody’s / Reuters</t>
        </is>
      </c>
    </row>
    <row r="537">
      <c r="A537" t="n">
        <v>536</v>
      </c>
      <c r="B537" t="inlineStr">
        <is>
          <t>Helvetia Verde</t>
        </is>
      </c>
      <c r="C537" t="inlineStr">
        <is>
          <t>DHG Properties</t>
        </is>
      </c>
      <c r="D537" t="inlineStr">
        <is>
          <t>JVC</t>
        </is>
      </c>
      <c r="E537" t="inlineStr">
        <is>
          <t>Apartments</t>
        </is>
      </c>
      <c r="F537" t="inlineStr">
        <is>
          <t>Green</t>
        </is>
      </c>
      <c r="G537" t="inlineStr">
        <is>
          <t>950k</t>
        </is>
      </c>
      <c r="H537" t="inlineStr">
        <is>
          <t>1250</t>
        </is>
      </c>
      <c r="I537" t="inlineStr">
        <is>
          <t>15</t>
        </is>
      </c>
      <c r="J537" t="inlineStr">
        <is>
          <t>60/40</t>
        </is>
      </c>
      <c r="K537" t="inlineStr">
        <is>
          <t>2024</t>
        </is>
      </c>
      <c r="L537" t="inlineStr">
        <is>
          <t>7.5-8.0</t>
        </is>
      </c>
      <c r="M537" t="inlineStr">
        <is>
          <t>6-8</t>
        </is>
      </c>
      <c r="N537" t="inlineStr">
        <is>
          <t>13.5-16.0</t>
        </is>
      </c>
      <c r="O537" t="inlineStr">
        <is>
          <t>JSS International</t>
        </is>
      </c>
      <c r="P537" t="inlineStr">
        <is>
          <t>Saudi German Hospital</t>
        </is>
      </c>
      <c r="Q537" t="inlineStr">
        <is>
          <t>Circle Mall</t>
        </is>
      </c>
      <c r="R537" t="inlineStr">
        <is>
          <t>Hessa St / E44</t>
        </is>
      </c>
      <c r="S537" t="inlineStr">
        <is>
          <t>20</t>
        </is>
      </c>
      <c r="T537" t="inlineStr">
        <is>
          <t>15</t>
        </is>
      </c>
      <c r="U537" t="inlineStr">
        <is>
          <t>25</t>
        </is>
      </c>
      <c r="V537" t="inlineStr">
        <is>
          <t>30</t>
        </is>
      </c>
      <c r="W537" t="n">
        <v>2</v>
      </c>
      <c r="X537" s="12" t="n">
        <v>950000</v>
      </c>
      <c r="Y537" s="12" t="n">
        <v>950000</v>
      </c>
      <c r="Z537" s="9" t="n">
        <v>7.5</v>
      </c>
      <c r="AA537" s="9" t="n">
        <v>8</v>
      </c>
      <c r="AB537" s="9" t="n">
        <v>6</v>
      </c>
      <c r="AC537" s="9" t="n">
        <v>8</v>
      </c>
      <c r="AD537" s="9" t="n">
        <v>13.5</v>
      </c>
      <c r="AE537" s="9" t="n">
        <v>16</v>
      </c>
      <c r="AF537" t="n">
        <v>2024</v>
      </c>
      <c r="AH537" t="inlineStr">
        <is>
          <t>Apartment</t>
        </is>
      </c>
      <c r="AI537" t="inlineStr">
        <is>
          <t>SupplySensitiveApartment</t>
        </is>
      </c>
      <c r="AJ537" t="inlineStr">
        <is>
          <t>Established</t>
        </is>
      </c>
      <c r="AK537" t="inlineStr">
        <is>
          <t>Supply-sensitive / selective</t>
        </is>
      </c>
      <c r="AL537" t="inlineStr">
        <is>
          <t>Higher delivery risk in more price-sensitive apartment clusters; building selection and exit liquidity matter.</t>
        </is>
      </c>
      <c r="AM537" s="9" t="n">
        <v>7</v>
      </c>
      <c r="AN537" s="9" t="n">
        <v>7.75</v>
      </c>
      <c r="AO537" s="10" t="n">
        <v>0.55</v>
      </c>
      <c r="AP537" s="13" t="n">
        <v>0</v>
      </c>
      <c r="AQ537" s="13" t="n">
        <v>0</v>
      </c>
      <c r="AR537" s="13" t="n">
        <v>-0.01</v>
      </c>
      <c r="AS537" s="13" t="n">
        <v>-0.01</v>
      </c>
      <c r="AT537" s="13" t="n">
        <v>0</v>
      </c>
      <c r="AU537" s="13" t="n">
        <v>0.0025</v>
      </c>
      <c r="AV537" s="13" t="n">
        <v>-0.005</v>
      </c>
      <c r="AW537" s="13" t="n">
        <v>0.0285</v>
      </c>
      <c r="AX537" s="13" t="n">
        <v>-0.0125</v>
      </c>
      <c r="AY537" s="12" t="n">
        <v>947763</v>
      </c>
      <c r="AZ537" s="12" t="n">
        <v>977075</v>
      </c>
      <c r="BA537" s="12" t="n">
        <v>1006387</v>
      </c>
      <c r="BB537" s="12" t="n">
        <v>935549</v>
      </c>
      <c r="BC537" s="12" t="n">
        <v>964862</v>
      </c>
      <c r="BD537" s="12" t="n">
        <v>994174</v>
      </c>
      <c r="BE537" s="12" t="n">
        <v>952801</v>
      </c>
      <c r="BF537" t="inlineStr">
        <is>
          <t>Frozen values from same rules-based model as formula sheet.</t>
        </is>
      </c>
      <c r="BG537" t="inlineStr">
        <is>
          <t>2026-03-17</t>
        </is>
      </c>
      <c r="BH537" t="inlineStr">
        <is>
          <t>DLD / Digital Dubai / CBUAE / Savills / Knight Frank-Moody’s / Reuters</t>
        </is>
      </c>
    </row>
    <row r="538">
      <c r="A538" t="n">
        <v>537</v>
      </c>
      <c r="B538" s="7" t="inlineStr">
        <is>
          <t>City Walk Crestlane</t>
        </is>
      </c>
      <c r="C538" t="inlineStr">
        <is>
          <t>Meraas</t>
        </is>
      </c>
      <c r="D538" t="inlineStr">
        <is>
          <t>City Walk</t>
        </is>
      </c>
      <c r="E538" t="inlineStr">
        <is>
          <t>Apartments</t>
        </is>
      </c>
      <c r="F538" s="7" t="inlineStr">
        <is>
          <t>Urban / Mixed-Use</t>
        </is>
      </c>
      <c r="G538" t="inlineStr">
        <is>
          <t>2.6M</t>
        </is>
      </c>
      <c r="H538" t="inlineStr">
        <is>
          <t>TBA</t>
        </is>
      </c>
      <c r="I538" t="inlineStr">
        <is>
          <t>TBA</t>
        </is>
      </c>
      <c r="J538" t="inlineStr">
        <is>
          <t>Flexible</t>
        </is>
      </c>
      <c r="K538" t="inlineStr">
        <is>
          <t>Q1 2025</t>
        </is>
      </c>
      <c r="L538" t="inlineStr">
        <is>
          <t>4.5-5.5</t>
        </is>
      </c>
      <c r="M538" t="inlineStr">
        <is>
          <t>3-6</t>
        </is>
      </c>
      <c r="N538" t="inlineStr">
        <is>
          <t>7.5-11.5</t>
        </is>
      </c>
      <c r="O538" s="7" t="inlineStr">
        <is>
          <t>GEMS Wellington / JSS Private</t>
        </is>
      </c>
      <c r="P538" s="7" t="inlineStr">
        <is>
          <t>Medcare / Emirates Hospital Jumeirah</t>
        </is>
      </c>
      <c r="Q538" s="7" t="inlineStr">
        <is>
          <t>City Walk / Dubai Mall</t>
        </is>
      </c>
      <c r="R538" s="7" t="inlineStr">
        <is>
          <t>Al Safa St / Sheikh Zayed Rd</t>
        </is>
      </c>
      <c r="S538" t="n">
        <v>10</v>
      </c>
      <c r="T538" t="n">
        <v>20</v>
      </c>
      <c r="U538" t="n">
        <v>15</v>
      </c>
      <c r="V538" t="n">
        <v>40</v>
      </c>
      <c r="W538" t="n">
        <v>1</v>
      </c>
      <c r="X538" t="n">
        <v>2600000</v>
      </c>
      <c r="Y538" t="n">
        <v>2600000</v>
      </c>
      <c r="Z538" t="n">
        <v>4.5</v>
      </c>
      <c r="AA538" t="n">
        <v>5.5</v>
      </c>
      <c r="AB538" t="n">
        <v>3</v>
      </c>
      <c r="AC538" t="n">
        <v>6</v>
      </c>
      <c r="AD538" t="n">
        <v>7.5</v>
      </c>
      <c r="AE538" t="n">
        <v>11.5</v>
      </c>
      <c r="AF538" t="n">
        <v>2025</v>
      </c>
      <c r="AG538" t="n">
        <v>1</v>
      </c>
      <c r="AH538" t="inlineStr">
        <is>
          <t>Apartment</t>
        </is>
      </c>
      <c r="AI538" t="inlineStr">
        <is>
          <t>Prime</t>
        </is>
      </c>
      <c r="AJ538" t="inlineStr">
        <is>
          <t>TopTier</t>
        </is>
      </c>
      <c r="AK538" t="inlineStr">
        <is>
          <t>Prime resilient / selective</t>
        </is>
      </c>
      <c r="AL538" s="7" t="inlineStr">
        <is>
          <t>Better support from quality, branding, and scarcer prime stock; still entry-price sensitive.</t>
        </is>
      </c>
      <c r="AM538" t="n">
        <v>4.5</v>
      </c>
      <c r="AN538" t="n">
        <v>5</v>
      </c>
      <c r="AO538" t="n">
        <v>0.4</v>
      </c>
      <c r="AP538" t="n">
        <v>0.02</v>
      </c>
      <c r="AQ538" t="n">
        <v>0</v>
      </c>
      <c r="AR538" t="n">
        <v>0</v>
      </c>
      <c r="AS538" t="n">
        <v>0.03</v>
      </c>
      <c r="AT538" t="n">
        <v>0.005</v>
      </c>
      <c r="AU538" t="n">
        <v>0</v>
      </c>
      <c r="AV538" t="n">
        <v>-0.005</v>
      </c>
      <c r="AW538" t="n">
        <v>0.038</v>
      </c>
      <c r="AX538" t="n">
        <v>0.03</v>
      </c>
      <c r="AY538" t="n">
        <v>2617836</v>
      </c>
      <c r="AZ538" t="n">
        <v>2698800</v>
      </c>
      <c r="BA538" t="n">
        <v>2779764</v>
      </c>
      <c r="BB538" t="n">
        <v>2698800</v>
      </c>
      <c r="BC538" t="n">
        <v>2779764</v>
      </c>
      <c r="BD538" t="n">
        <v>2860728</v>
      </c>
      <c r="BE538" t="n">
        <v>2863157</v>
      </c>
      <c r="BF538" s="7" t="inlineStr">
        <is>
          <t>Rules-based enrichment using launch-price anchor, cap-app realization, and 2026 segment conditions.</t>
        </is>
      </c>
      <c r="BG538" t="inlineStr">
        <is>
          <t>2026-03-18</t>
        </is>
      </c>
      <c r="BH538" s="7" t="inlineStr">
        <is>
          <t>Project row added from current web launch/pricing sources</t>
        </is>
      </c>
      <c r="BI538" s="7" t="inlineStr">
        <is>
          <t>https://eplogoffplan.com/projects/city-walk-crestlane-by-meraas-apartments/paymentplan-details</t>
        </is>
      </c>
      <c r="BJ538" t="inlineStr">
        <is>
          <t>web_added</t>
        </is>
      </c>
      <c r="BK538" t="inlineStr">
        <is>
          <t>2026-03-18</t>
        </is>
      </c>
    </row>
    <row r="539">
      <c r="A539" t="n">
        <v>538</v>
      </c>
      <c r="B539" s="7" t="inlineStr">
        <is>
          <t>The Edit at d3</t>
        </is>
      </c>
      <c r="C539" t="inlineStr">
        <is>
          <t>Meraas</t>
        </is>
      </c>
      <c r="D539" t="inlineStr">
        <is>
          <t>Dubai Design District (d3)</t>
        </is>
      </c>
      <c r="E539" t="inlineStr">
        <is>
          <t>Apartments</t>
        </is>
      </c>
      <c r="F539" s="7" t="inlineStr">
        <is>
          <t>Waterfront / Design-Led</t>
        </is>
      </c>
      <c r="G539" t="inlineStr">
        <is>
          <t>1.87M</t>
        </is>
      </c>
      <c r="H539" t="inlineStr">
        <is>
          <t>TBA</t>
        </is>
      </c>
      <c r="I539" t="inlineStr">
        <is>
          <t>TBA</t>
        </is>
      </c>
      <c r="J539" t="inlineStr">
        <is>
          <t>75/25</t>
        </is>
      </c>
      <c r="K539" t="inlineStr">
        <is>
          <t>Q1 2026</t>
        </is>
      </c>
      <c r="L539" t="inlineStr">
        <is>
          <t>5.0-6.0</t>
        </is>
      </c>
      <c r="M539" t="inlineStr">
        <is>
          <t>4-7</t>
        </is>
      </c>
      <c r="N539" t="inlineStr">
        <is>
          <t>9.0-13.0</t>
        </is>
      </c>
      <c r="O539" s="7" t="inlineStr">
        <is>
          <t>Hartland Intl / North London Collegiate</t>
        </is>
      </c>
      <c r="P539" s="7" t="inlineStr">
        <is>
          <t>Medcare / Emirates Hospital</t>
        </is>
      </c>
      <c r="Q539" s="7" t="inlineStr">
        <is>
          <t>Dubai Mall</t>
        </is>
      </c>
      <c r="R539" s="7" t="inlineStr">
        <is>
          <t>Ras Al Khor Rd / Al Khail Rd</t>
        </is>
      </c>
      <c r="S539" t="n">
        <v>7</v>
      </c>
      <c r="T539" t="n">
        <v>20</v>
      </c>
      <c r="U539" t="n">
        <v>15</v>
      </c>
      <c r="V539" t="n">
        <v>35</v>
      </c>
      <c r="W539" t="n">
        <v>1</v>
      </c>
      <c r="X539" t="n">
        <v>1870000</v>
      </c>
      <c r="Y539" t="n">
        <v>1870000</v>
      </c>
      <c r="Z539" t="n">
        <v>5</v>
      </c>
      <c r="AA539" t="n">
        <v>6</v>
      </c>
      <c r="AB539" t="n">
        <v>4</v>
      </c>
      <c r="AC539" t="n">
        <v>7</v>
      </c>
      <c r="AD539" t="n">
        <v>9</v>
      </c>
      <c r="AE539" t="n">
        <v>13</v>
      </c>
      <c r="AF539" t="n">
        <v>2026</v>
      </c>
      <c r="AG539" t="n">
        <v>1</v>
      </c>
      <c r="AH539" t="inlineStr">
        <is>
          <t>Apartment</t>
        </is>
      </c>
      <c r="AI539" t="inlineStr">
        <is>
          <t>MainstreamSelective</t>
        </is>
      </c>
      <c r="AJ539" t="inlineStr">
        <is>
          <t>TopTier</t>
        </is>
      </c>
      <c r="AK539" t="inlineStr">
        <is>
          <t>Balanced / selective</t>
        </is>
      </c>
      <c r="AL539" s="7" t="inlineStr">
        <is>
          <t>Market remains active but increasingly differentiated by developer, micro-location, livability, and pricing discipline.</t>
        </is>
      </c>
      <c r="AM539" t="n">
        <v>5.5</v>
      </c>
      <c r="AN539" t="n">
        <v>5.5</v>
      </c>
      <c r="AO539" t="n">
        <v>0.1</v>
      </c>
      <c r="AP539" t="n">
        <v>0</v>
      </c>
      <c r="AQ539" t="n">
        <v>0</v>
      </c>
      <c r="AR539" t="n">
        <v>0</v>
      </c>
      <c r="AS539" t="n">
        <v>0.01</v>
      </c>
      <c r="AT539" t="n">
        <v>0.005</v>
      </c>
      <c r="AU539" t="n">
        <v>0</v>
      </c>
      <c r="AV539" t="n">
        <v>-0.005</v>
      </c>
      <c r="AW539" t="n">
        <v>0.005500000000000001</v>
      </c>
      <c r="AX539" t="n">
        <v>0.009999999999999998</v>
      </c>
      <c r="AY539" t="n">
        <v>1823876</v>
      </c>
      <c r="AZ539" t="n">
        <v>1880285</v>
      </c>
      <c r="BA539" t="n">
        <v>1936694</v>
      </c>
      <c r="BB539" t="n">
        <v>1842679</v>
      </c>
      <c r="BC539" t="n">
        <v>1899088</v>
      </c>
      <c r="BD539" t="n">
        <v>1955496</v>
      </c>
      <c r="BE539" t="n">
        <v>1918079</v>
      </c>
      <c r="BF539" s="7" t="inlineStr">
        <is>
          <t>Rules-based enrichment using launch-price anchor, cap-app realization, and 2026 segment conditions.</t>
        </is>
      </c>
      <c r="BG539" t="inlineStr">
        <is>
          <t>2026-03-18</t>
        </is>
      </c>
      <c r="BH539" s="7" t="inlineStr">
        <is>
          <t>Project row added from current web launch/pricing sources</t>
        </is>
      </c>
      <c r="BI539" s="7" t="inlineStr">
        <is>
          <t>https://www.engelvoelkers.com/ae/en/off-plan/the-edit-d3</t>
        </is>
      </c>
      <c r="BJ539" t="inlineStr">
        <is>
          <t>web_added</t>
        </is>
      </c>
      <c r="BK539" t="inlineStr">
        <is>
          <t>2026-03-18</t>
        </is>
      </c>
    </row>
    <row r="540">
      <c r="A540" t="n">
        <v>539</v>
      </c>
      <c r="B540" s="7" t="inlineStr">
        <is>
          <t>Jumeirah Residences Emirates Towers</t>
        </is>
      </c>
      <c r="C540" t="inlineStr">
        <is>
          <t>Meraas</t>
        </is>
      </c>
      <c r="D540" t="inlineStr">
        <is>
          <t>Sheikh Zayed Road</t>
        </is>
      </c>
      <c r="E540" t="inlineStr">
        <is>
          <t>Apartments</t>
        </is>
      </c>
      <c r="F540" s="7" t="inlineStr">
        <is>
          <t>Branded / Urban Core</t>
        </is>
      </c>
      <c r="G540" t="inlineStr">
        <is>
          <t>3.51M</t>
        </is>
      </c>
      <c r="H540" t="inlineStr">
        <is>
          <t>TBA</t>
        </is>
      </c>
      <c r="I540" t="inlineStr">
        <is>
          <t>TBA</t>
        </is>
      </c>
      <c r="J540" t="inlineStr">
        <is>
          <t>80/20</t>
        </is>
      </c>
      <c r="K540" t="inlineStr">
        <is>
          <t>Q2 2025</t>
        </is>
      </c>
      <c r="L540" t="inlineStr">
        <is>
          <t>4.0-5.0</t>
        </is>
      </c>
      <c r="M540" t="inlineStr">
        <is>
          <t>3-6</t>
        </is>
      </c>
      <c r="N540" t="inlineStr">
        <is>
          <t>7.0-11.0</t>
        </is>
      </c>
      <c r="O540" s="7" t="inlineStr">
        <is>
          <t>GEMS Wellington / JESS</t>
        </is>
      </c>
      <c r="P540" s="7" t="inlineStr">
        <is>
          <t>Medcare / Emirates Hospital</t>
        </is>
      </c>
      <c r="Q540" s="7" t="inlineStr">
        <is>
          <t>Museum of the Future / Dubai Mall</t>
        </is>
      </c>
      <c r="R540" s="7" t="inlineStr">
        <is>
          <t>Sheikh Zayed Rd</t>
        </is>
      </c>
      <c r="S540" t="n">
        <v>10</v>
      </c>
      <c r="T540" t="n">
        <v>20</v>
      </c>
      <c r="U540" t="n">
        <v>15</v>
      </c>
      <c r="V540" t="n">
        <v>40</v>
      </c>
      <c r="W540" t="n">
        <v>1</v>
      </c>
      <c r="X540" t="n">
        <v>3510000</v>
      </c>
      <c r="Y540" t="n">
        <v>3510000</v>
      </c>
      <c r="Z540" t="n">
        <v>4</v>
      </c>
      <c r="AA540" t="n">
        <v>5</v>
      </c>
      <c r="AB540" t="n">
        <v>3</v>
      </c>
      <c r="AC540" t="n">
        <v>6</v>
      </c>
      <c r="AD540" t="n">
        <v>7</v>
      </c>
      <c r="AE540" t="n">
        <v>11</v>
      </c>
      <c r="AF540" t="n">
        <v>2025</v>
      </c>
      <c r="AG540" t="n">
        <v>2</v>
      </c>
      <c r="AH540" t="inlineStr">
        <is>
          <t>Apartment</t>
        </is>
      </c>
      <c r="AI540" t="inlineStr">
        <is>
          <t>MainstreamSelective</t>
        </is>
      </c>
      <c r="AJ540" t="inlineStr">
        <is>
          <t>TopTier</t>
        </is>
      </c>
      <c r="AK540" t="inlineStr">
        <is>
          <t>Balanced / selective</t>
        </is>
      </c>
      <c r="AL540" s="7" t="inlineStr">
        <is>
          <t>Market remains active but increasingly differentiated by developer, micro-location, livability, and pricing discipline.</t>
        </is>
      </c>
      <c r="AM540" t="n">
        <v>4.5</v>
      </c>
      <c r="AN540" t="n">
        <v>4.5</v>
      </c>
      <c r="AO540" t="n">
        <v>0.33</v>
      </c>
      <c r="AP540" t="n">
        <v>0</v>
      </c>
      <c r="AQ540" t="n">
        <v>0</v>
      </c>
      <c r="AR540" t="n">
        <v>0</v>
      </c>
      <c r="AS540" t="n">
        <v>0.01</v>
      </c>
      <c r="AT540" t="n">
        <v>0.005</v>
      </c>
      <c r="AU540" t="n">
        <v>0</v>
      </c>
      <c r="AV540" t="n">
        <v>-0.005</v>
      </c>
      <c r="AW540" t="n">
        <v>0.01485</v>
      </c>
      <c r="AX540" t="n">
        <v>0.009999999999999998</v>
      </c>
      <c r="AY540" t="n">
        <v>3455260</v>
      </c>
      <c r="AZ540" t="n">
        <v>3562124</v>
      </c>
      <c r="BA540" t="n">
        <v>3668988</v>
      </c>
      <c r="BB540" t="n">
        <v>3490882</v>
      </c>
      <c r="BC540" t="n">
        <v>3597745</v>
      </c>
      <c r="BD540" t="n">
        <v>3704609</v>
      </c>
      <c r="BE540" t="n">
        <v>3633723</v>
      </c>
      <c r="BF540" s="7" t="inlineStr">
        <is>
          <t>Rules-based enrichment using launch-price anchor, cap-app realization, and 2026 segment conditions.</t>
        </is>
      </c>
      <c r="BG540" t="inlineStr">
        <is>
          <t>2026-03-18</t>
        </is>
      </c>
      <c r="BH540" s="7" t="inlineStr">
        <is>
          <t>Project row added from current web launch/pricing sources</t>
        </is>
      </c>
      <c r="BI540" s="7" t="inlineStr">
        <is>
          <t>https://metropolitan.realestate/sheikh-zayed-road/jumeirah-residences-emirates-towers/</t>
        </is>
      </c>
      <c r="BJ540" t="inlineStr">
        <is>
          <t>web_added</t>
        </is>
      </c>
      <c r="BK540" t="inlineStr">
        <is>
          <t>2026-03-18</t>
        </is>
      </c>
    </row>
    <row r="541">
      <c r="A541" t="n">
        <v>540</v>
      </c>
      <c r="B541" s="7" t="inlineStr">
        <is>
          <t>Atélis at d3</t>
        </is>
      </c>
      <c r="C541" t="inlineStr">
        <is>
          <t>Meraas</t>
        </is>
      </c>
      <c r="D541" t="inlineStr">
        <is>
          <t>Dubai Design District (d3)</t>
        </is>
      </c>
      <c r="E541" t="inlineStr">
        <is>
          <t>Apartments &amp; Sky Villas</t>
        </is>
      </c>
      <c r="F541" s="7" t="inlineStr">
        <is>
          <t>Waterfront / Design-Led</t>
        </is>
      </c>
      <c r="G541" t="inlineStr">
        <is>
          <t>2.1M</t>
        </is>
      </c>
      <c r="H541" t="inlineStr">
        <is>
          <t>TBA</t>
        </is>
      </c>
      <c r="I541" t="inlineStr">
        <is>
          <t>TBA</t>
        </is>
      </c>
      <c r="J541" t="inlineStr">
        <is>
          <t>50/50</t>
        </is>
      </c>
      <c r="K541" t="inlineStr">
        <is>
          <t>Q1 2026</t>
        </is>
      </c>
      <c r="L541" t="inlineStr">
        <is>
          <t>5.0-6.0</t>
        </is>
      </c>
      <c r="M541" t="inlineStr">
        <is>
          <t>4-7</t>
        </is>
      </c>
      <c r="N541" t="inlineStr">
        <is>
          <t>9.0-13.0</t>
        </is>
      </c>
      <c r="O541" s="7" t="inlineStr">
        <is>
          <t>Hartland Intl / North London Collegiate</t>
        </is>
      </c>
      <c r="P541" s="7" t="inlineStr">
        <is>
          <t>Medcare / Emirates Hospital</t>
        </is>
      </c>
      <c r="Q541" s="7" t="inlineStr">
        <is>
          <t>Dubai Mall</t>
        </is>
      </c>
      <c r="R541" s="7" t="inlineStr">
        <is>
          <t>Ras Al Khor Rd / Al Khail Rd</t>
        </is>
      </c>
      <c r="S541" t="n">
        <v>6</v>
      </c>
      <c r="T541" t="n">
        <v>20</v>
      </c>
      <c r="U541" t="n">
        <v>15</v>
      </c>
      <c r="V541" t="n">
        <v>35</v>
      </c>
      <c r="W541" t="n">
        <v>1</v>
      </c>
      <c r="X541" t="n">
        <v>2100000</v>
      </c>
      <c r="Y541" t="n">
        <v>2100000</v>
      </c>
      <c r="Z541" t="n">
        <v>5</v>
      </c>
      <c r="AA541" t="n">
        <v>6</v>
      </c>
      <c r="AB541" t="n">
        <v>4</v>
      </c>
      <c r="AC541" t="n">
        <v>7</v>
      </c>
      <c r="AD541" t="n">
        <v>9</v>
      </c>
      <c r="AE541" t="n">
        <v>13</v>
      </c>
      <c r="AF541" t="n">
        <v>2026</v>
      </c>
      <c r="AG541" t="n">
        <v>1</v>
      </c>
      <c r="AH541" t="inlineStr">
        <is>
          <t>Villa</t>
        </is>
      </c>
      <c r="AI541" t="inlineStr">
        <is>
          <t>MainstreamSelective</t>
        </is>
      </c>
      <c r="AJ541" t="inlineStr">
        <is>
          <t>TopTier</t>
        </is>
      </c>
      <c r="AK541" t="inlineStr">
        <is>
          <t>Family-villa resilient</t>
        </is>
      </c>
      <c r="AL541" s="7" t="inlineStr">
        <is>
          <t>Villa/townhouse demand remains relatively firmer, though growth should be slower than the post-2020 surge.</t>
        </is>
      </c>
      <c r="AM541" t="n">
        <v>5.5</v>
      </c>
      <c r="AN541" t="n">
        <v>5.5</v>
      </c>
      <c r="AO541" t="n">
        <v>0.1</v>
      </c>
      <c r="AP541" t="n">
        <v>0</v>
      </c>
      <c r="AQ541" t="n">
        <v>0.015</v>
      </c>
      <c r="AR541" t="n">
        <v>0</v>
      </c>
      <c r="AS541" t="n">
        <v>0.025</v>
      </c>
      <c r="AT541" t="n">
        <v>0.005</v>
      </c>
      <c r="AU541" t="n">
        <v>0</v>
      </c>
      <c r="AV541" t="n">
        <v>-0.005</v>
      </c>
      <c r="AW541" t="n">
        <v>0.0205</v>
      </c>
      <c r="AX541" t="n">
        <v>0.025</v>
      </c>
      <c r="AY541" t="n">
        <v>2078758</v>
      </c>
      <c r="AZ541" t="n">
        <v>2143050</v>
      </c>
      <c r="BA541" t="n">
        <v>2207342</v>
      </c>
      <c r="BB541" t="n">
        <v>2132335</v>
      </c>
      <c r="BC541" t="n">
        <v>2196626</v>
      </c>
      <c r="BD541" t="n">
        <v>2260918</v>
      </c>
      <c r="BE541" t="n">
        <v>2251542</v>
      </c>
      <c r="BF541" s="7" t="inlineStr">
        <is>
          <t>Rules-based enrichment using launch-price anchor, cap-app realization, and 2026 segment conditions.</t>
        </is>
      </c>
      <c r="BG541" t="inlineStr">
        <is>
          <t>2026-03-18</t>
        </is>
      </c>
      <c r="BH541" s="7" t="inlineStr">
        <is>
          <t>Project row added from current web launch/pricing sources</t>
        </is>
      </c>
      <c r="BI541" s="7" t="inlineStr">
        <is>
          <t>https://www.sekene.com/off-plane/atelis-at-d3/</t>
        </is>
      </c>
      <c r="BJ541" t="inlineStr">
        <is>
          <t>web_added</t>
        </is>
      </c>
      <c r="BK541" t="inlineStr">
        <is>
          <t>2026-03-18</t>
        </is>
      </c>
    </row>
    <row r="542">
      <c r="A542" t="n">
        <v>541</v>
      </c>
      <c r="B542" s="7" t="inlineStr">
        <is>
          <t>Jumeirah Asora Bay</t>
        </is>
      </c>
      <c r="C542" t="inlineStr">
        <is>
          <t>Meraas</t>
        </is>
      </c>
      <c r="D542" t="inlineStr">
        <is>
          <t>La Mer / Jumeirah</t>
        </is>
      </c>
      <c r="E542" t="inlineStr">
        <is>
          <t>Apartments, Villas &amp; Penthouses</t>
        </is>
      </c>
      <c r="F542" s="7" t="inlineStr">
        <is>
          <t>Ultra-Luxury Waterfront</t>
        </is>
      </c>
      <c r="G542" t="inlineStr">
        <is>
          <t>45M</t>
        </is>
      </c>
      <c r="H542" t="inlineStr">
        <is>
          <t>TBA</t>
        </is>
      </c>
      <c r="I542" t="inlineStr">
        <is>
          <t>TBA</t>
        </is>
      </c>
      <c r="J542" t="inlineStr">
        <is>
          <t>20/40/40</t>
        </is>
      </c>
      <c r="K542" t="inlineStr">
        <is>
          <t>Q1 2026</t>
        </is>
      </c>
      <c r="L542" t="inlineStr">
        <is>
          <t>2.5-3.5</t>
        </is>
      </c>
      <c r="M542" t="inlineStr">
        <is>
          <t>3-6</t>
        </is>
      </c>
      <c r="N542" t="inlineStr">
        <is>
          <t>5.5-9.5</t>
        </is>
      </c>
      <c r="O542" s="7" t="inlineStr">
        <is>
          <t>Jumeirah College / GEMS Wellington</t>
        </is>
      </c>
      <c r="P542" s="7" t="inlineStr">
        <is>
          <t>Medcare / Emirates Hospital Jumeirah</t>
        </is>
      </c>
      <c r="Q542" s="7" t="inlineStr">
        <is>
          <t>La Mer / Dubai Mall</t>
        </is>
      </c>
      <c r="R542" s="7" t="inlineStr">
        <is>
          <t>Jumeirah St / Sheikh Zayed Rd</t>
        </is>
      </c>
      <c r="S542" t="n">
        <v>15</v>
      </c>
      <c r="T542" t="n">
        <v>20</v>
      </c>
      <c r="U542" t="n">
        <v>20</v>
      </c>
      <c r="V542" t="n">
        <v>45</v>
      </c>
      <c r="W542" t="n">
        <v>1</v>
      </c>
      <c r="X542" t="n">
        <v>45000000</v>
      </c>
      <c r="Y542" t="n">
        <v>45000000</v>
      </c>
      <c r="Z542" t="n">
        <v>2.5</v>
      </c>
      <c r="AA542" t="n">
        <v>3.5</v>
      </c>
      <c r="AB542" t="n">
        <v>3</v>
      </c>
      <c r="AC542" t="n">
        <v>6</v>
      </c>
      <c r="AD542" t="n">
        <v>5.5</v>
      </c>
      <c r="AE542" t="n">
        <v>9.5</v>
      </c>
      <c r="AF542" t="n">
        <v>2026</v>
      </c>
      <c r="AG542" t="n">
        <v>1</v>
      </c>
      <c r="AH542" t="inlineStr">
        <is>
          <t>Villa</t>
        </is>
      </c>
      <c r="AI542" t="inlineStr">
        <is>
          <t>Prime</t>
        </is>
      </c>
      <c r="AJ542" t="inlineStr">
        <is>
          <t>TopTier</t>
        </is>
      </c>
      <c r="AK542" t="inlineStr">
        <is>
          <t>Prime resilient / selective</t>
        </is>
      </c>
      <c r="AL542" s="7" t="inlineStr">
        <is>
          <t>Better support from quality, branding, and scarcer prime stock; still entry-price sensitive.</t>
        </is>
      </c>
      <c r="AM542" t="n">
        <v>4.5</v>
      </c>
      <c r="AN542" t="n">
        <v>3</v>
      </c>
      <c r="AO542" t="n">
        <v>0.1</v>
      </c>
      <c r="AP542" t="n">
        <v>0.02</v>
      </c>
      <c r="AQ542" t="n">
        <v>0.015</v>
      </c>
      <c r="AR542" t="n">
        <v>0</v>
      </c>
      <c r="AS542" t="n">
        <v>0.03</v>
      </c>
      <c r="AT542" t="n">
        <v>0.005</v>
      </c>
      <c r="AU542" t="n">
        <v>0</v>
      </c>
      <c r="AV542" t="n">
        <v>-0.005</v>
      </c>
      <c r="AW542" t="n">
        <v>0.0395</v>
      </c>
      <c r="AX542" t="n">
        <v>0.03</v>
      </c>
      <c r="AY542" t="n">
        <v>45374175</v>
      </c>
      <c r="AZ542" t="n">
        <v>46777500</v>
      </c>
      <c r="BA542" t="n">
        <v>48180825</v>
      </c>
      <c r="BB542" t="n">
        <v>46777500</v>
      </c>
      <c r="BC542" t="n">
        <v>48180825</v>
      </c>
      <c r="BD542" t="n">
        <v>49584150</v>
      </c>
      <c r="BE542" t="n">
        <v>49626250</v>
      </c>
      <c r="BF542" s="7" t="inlineStr">
        <is>
          <t>Rules-based enrichment using launch-price anchor, cap-app realization, and 2026 segment conditions.</t>
        </is>
      </c>
      <c r="BG542" t="inlineStr">
        <is>
          <t>2026-03-18</t>
        </is>
      </c>
      <c r="BH542" s="7" t="inlineStr">
        <is>
          <t>Project row added from current web launch/pricing sources</t>
        </is>
      </c>
      <c r="BI542" s="7" t="inlineStr">
        <is>
          <t>https://eplogoffplan.com/projects/jumeirah-asora-bay-by-meraas-apartment/paymentplan-details</t>
        </is>
      </c>
      <c r="BJ542" t="inlineStr">
        <is>
          <t>web_added</t>
        </is>
      </c>
      <c r="BK542" t="inlineStr">
        <is>
          <t>2026-03-18</t>
        </is>
      </c>
    </row>
    <row r="543">
      <c r="A543" t="n">
        <v>542</v>
      </c>
      <c r="B543" s="7" t="inlineStr">
        <is>
          <t>The Acres Villas</t>
        </is>
      </c>
      <c r="C543" t="inlineStr">
        <is>
          <t>Meraas</t>
        </is>
      </c>
      <c r="D543" t="inlineStr">
        <is>
          <t>Dubailand</t>
        </is>
      </c>
      <c r="E543" t="inlineStr">
        <is>
          <t>Villas</t>
        </is>
      </c>
      <c r="F543" s="7" t="inlineStr">
        <is>
          <t>Gated / Nature-Led</t>
        </is>
      </c>
      <c r="G543" t="inlineStr">
        <is>
          <t>5.05M</t>
        </is>
      </c>
      <c r="H543" t="inlineStr">
        <is>
          <t>TBA</t>
        </is>
      </c>
      <c r="I543" t="inlineStr">
        <is>
          <t>TBA</t>
        </is>
      </c>
      <c r="J543" t="inlineStr">
        <is>
          <t>65/35</t>
        </is>
      </c>
      <c r="K543" t="inlineStr">
        <is>
          <t>Q1 2026</t>
        </is>
      </c>
      <c r="L543" t="inlineStr">
        <is>
          <t>4.0-5.0</t>
        </is>
      </c>
      <c r="M543" t="inlineStr">
        <is>
          <t>3-6</t>
        </is>
      </c>
      <c r="N543" t="inlineStr">
        <is>
          <t>7.0-11.0</t>
        </is>
      </c>
      <c r="O543" s="7" t="inlineStr">
        <is>
          <t>GEMS FirstPoint / Repton</t>
        </is>
      </c>
      <c r="P543" s="7" t="inlineStr">
        <is>
          <t>Fakeeh University / Mediclinic Parkview</t>
        </is>
      </c>
      <c r="Q543" s="7" t="inlineStr">
        <is>
          <t>Dubai Outlet Mall / Cityland Mall</t>
        </is>
      </c>
      <c r="R543" s="7" t="inlineStr">
        <is>
          <t>Sheikh Zayed Bin Hamdan / Emirates Rd</t>
        </is>
      </c>
      <c r="S543" t="n">
        <v>25</v>
      </c>
      <c r="T543" t="n">
        <v>25</v>
      </c>
      <c r="U543" t="n">
        <v>30</v>
      </c>
      <c r="V543" t="n">
        <v>35</v>
      </c>
      <c r="W543" t="n">
        <v>1</v>
      </c>
      <c r="X543" t="n">
        <v>5050000</v>
      </c>
      <c r="Y543" t="n">
        <v>5050000</v>
      </c>
      <c r="Z543" t="n">
        <v>4</v>
      </c>
      <c r="AA543" t="n">
        <v>5</v>
      </c>
      <c r="AB543" t="n">
        <v>3</v>
      </c>
      <c r="AC543" t="n">
        <v>6</v>
      </c>
      <c r="AD543" t="n">
        <v>7</v>
      </c>
      <c r="AE543" t="n">
        <v>11</v>
      </c>
      <c r="AF543" t="n">
        <v>2026</v>
      </c>
      <c r="AG543" t="n">
        <v>1</v>
      </c>
      <c r="AH543" t="inlineStr">
        <is>
          <t>Villa</t>
        </is>
      </c>
      <c r="AI543" t="inlineStr">
        <is>
          <t>MainstreamSelective</t>
        </is>
      </c>
      <c r="AJ543" t="inlineStr">
        <is>
          <t>TopTier</t>
        </is>
      </c>
      <c r="AK543" t="inlineStr">
        <is>
          <t>Family-villa resilient</t>
        </is>
      </c>
      <c r="AL543" s="7" t="inlineStr">
        <is>
          <t>Villa/townhouse demand remains relatively firmer, though growth should be slower than the post-2020 surge.</t>
        </is>
      </c>
      <c r="AM543" t="n">
        <v>4.5</v>
      </c>
      <c r="AN543" t="n">
        <v>4.5</v>
      </c>
      <c r="AO543" t="n">
        <v>0.1</v>
      </c>
      <c r="AP543" t="n">
        <v>0</v>
      </c>
      <c r="AQ543" t="n">
        <v>0.015</v>
      </c>
      <c r="AR543" t="n">
        <v>0</v>
      </c>
      <c r="AS543" t="n">
        <v>0.025</v>
      </c>
      <c r="AT543" t="n">
        <v>0.005</v>
      </c>
      <c r="AU543" t="n">
        <v>0</v>
      </c>
      <c r="AV543" t="n">
        <v>-0.005</v>
      </c>
      <c r="AW543" t="n">
        <v>0.0195</v>
      </c>
      <c r="AX543" t="n">
        <v>0.025</v>
      </c>
      <c r="AY543" t="n">
        <v>4994021</v>
      </c>
      <c r="AZ543" t="n">
        <v>5148475</v>
      </c>
      <c r="BA543" t="n">
        <v>5302929</v>
      </c>
      <c r="BB543" t="n">
        <v>5122733</v>
      </c>
      <c r="BC543" t="n">
        <v>5277187</v>
      </c>
      <c r="BD543" t="n">
        <v>5431641</v>
      </c>
      <c r="BE543" t="n">
        <v>5409117</v>
      </c>
      <c r="BF543" s="7" t="inlineStr">
        <is>
          <t>Rules-based enrichment using launch-price anchor, cap-app realization, and 2026 segment conditions.</t>
        </is>
      </c>
      <c r="BG543" t="inlineStr">
        <is>
          <t>2026-03-18</t>
        </is>
      </c>
      <c r="BH543" s="7" t="inlineStr">
        <is>
          <t>Project row added from current web launch/pricing sources</t>
        </is>
      </c>
      <c r="BI543" s="7" t="inlineStr">
        <is>
          <t>https://eplogoffplan.com/projects/acres-by-meraas-villas-dubailand/paymentplan-details</t>
        </is>
      </c>
      <c r="BJ543" t="inlineStr">
        <is>
          <t>web_added</t>
        </is>
      </c>
      <c r="BK543" t="inlineStr">
        <is>
          <t>2026-03-18</t>
        </is>
      </c>
    </row>
    <row r="544">
      <c r="A544" t="n">
        <v>543</v>
      </c>
      <c r="B544" s="7" t="inlineStr">
        <is>
          <t>District One Naya Residences</t>
        </is>
      </c>
      <c r="C544" t="inlineStr">
        <is>
          <t>Nakheel Properties</t>
        </is>
      </c>
      <c r="D544" t="inlineStr">
        <is>
          <t>District One / MBR City</t>
        </is>
      </c>
      <c r="E544" t="inlineStr">
        <is>
          <t>Apartments, Penthouses &amp; Villas</t>
        </is>
      </c>
      <c r="F544" s="7" t="inlineStr">
        <is>
          <t>Lagoon / Waterfront</t>
        </is>
      </c>
      <c r="G544" t="inlineStr">
        <is>
          <t>1.7M</t>
        </is>
      </c>
      <c r="H544" t="inlineStr">
        <is>
          <t>TBA</t>
        </is>
      </c>
      <c r="I544" t="inlineStr">
        <is>
          <t>TBA</t>
        </is>
      </c>
      <c r="J544" t="inlineStr">
        <is>
          <t>65/35</t>
        </is>
      </c>
      <c r="K544" t="inlineStr">
        <is>
          <t>Q1 2025</t>
        </is>
      </c>
      <c r="L544" t="inlineStr">
        <is>
          <t>4.5-5.5</t>
        </is>
      </c>
      <c r="M544" t="inlineStr">
        <is>
          <t>4-7</t>
        </is>
      </c>
      <c r="N544" t="inlineStr">
        <is>
          <t>8.5-12.5</t>
        </is>
      </c>
      <c r="O544" s="7" t="inlineStr">
        <is>
          <t>Hartland Intl / North London Collegiate</t>
        </is>
      </c>
      <c r="P544" s="7" t="inlineStr">
        <is>
          <t>MediClinic City / Emirates Hospital</t>
        </is>
      </c>
      <c r="Q544" s="7" t="inlineStr">
        <is>
          <t>Dubai Mall / Meydan One</t>
        </is>
      </c>
      <c r="R544" s="7" t="inlineStr">
        <is>
          <t>Al Khail Rd / Meydan Rd</t>
        </is>
      </c>
      <c r="S544" t="n">
        <v>12</v>
      </c>
      <c r="T544" t="n">
        <v>22</v>
      </c>
      <c r="U544" t="n">
        <v>18</v>
      </c>
      <c r="V544" t="n">
        <v>40</v>
      </c>
      <c r="W544" t="n">
        <v>1</v>
      </c>
      <c r="X544" t="n">
        <v>1700000</v>
      </c>
      <c r="Y544" t="n">
        <v>1700000</v>
      </c>
      <c r="Z544" t="n">
        <v>4.5</v>
      </c>
      <c r="AA544" t="n">
        <v>5.5</v>
      </c>
      <c r="AB544" t="n">
        <v>4</v>
      </c>
      <c r="AC544" t="n">
        <v>7</v>
      </c>
      <c r="AD544" t="n">
        <v>8.5</v>
      </c>
      <c r="AE544" t="n">
        <v>12.5</v>
      </c>
      <c r="AF544" t="n">
        <v>2025</v>
      </c>
      <c r="AG544" t="n">
        <v>1</v>
      </c>
      <c r="AH544" t="inlineStr">
        <is>
          <t>Villa</t>
        </is>
      </c>
      <c r="AI544" t="inlineStr">
        <is>
          <t>Prime</t>
        </is>
      </c>
      <c r="AJ544" t="inlineStr">
        <is>
          <t>TopTier</t>
        </is>
      </c>
      <c r="AK544" t="inlineStr">
        <is>
          <t>Prime resilient / selective</t>
        </is>
      </c>
      <c r="AL544" s="7" t="inlineStr">
        <is>
          <t>Better support from quality, branding, and scarcer prime stock; still entry-price sensitive.</t>
        </is>
      </c>
      <c r="AM544" t="n">
        <v>5.5</v>
      </c>
      <c r="AN544" t="n">
        <v>5</v>
      </c>
      <c r="AO544" t="n">
        <v>0.4</v>
      </c>
      <c r="AP544" t="n">
        <v>0.02</v>
      </c>
      <c r="AQ544" t="n">
        <v>0.015</v>
      </c>
      <c r="AR544" t="n">
        <v>0</v>
      </c>
      <c r="AS544" t="n">
        <v>0.03</v>
      </c>
      <c r="AT544" t="n">
        <v>0.005</v>
      </c>
      <c r="AU544" t="n">
        <v>0</v>
      </c>
      <c r="AV544" t="n">
        <v>-0.005</v>
      </c>
      <c r="AW544" t="n">
        <v>0.057</v>
      </c>
      <c r="AX544" t="n">
        <v>0.03</v>
      </c>
      <c r="AY544" t="n">
        <v>1742993</v>
      </c>
      <c r="AZ544" t="n">
        <v>1796900</v>
      </c>
      <c r="BA544" t="n">
        <v>1850807</v>
      </c>
      <c r="BB544" t="n">
        <v>1796900</v>
      </c>
      <c r="BC544" t="n">
        <v>1850807</v>
      </c>
      <c r="BD544" t="n">
        <v>1904714</v>
      </c>
      <c r="BE544" t="n">
        <v>1906331</v>
      </c>
      <c r="BF544" s="7" t="inlineStr">
        <is>
          <t>Rules-based enrichment using launch-price anchor, cap-app realization, and 2026 segment conditions.</t>
        </is>
      </c>
      <c r="BG544" t="inlineStr">
        <is>
          <t>2026-03-18</t>
        </is>
      </c>
      <c r="BH544" s="7" t="inlineStr">
        <is>
          <t>Project row added from current web launch/pricing sources</t>
        </is>
      </c>
      <c r="BI544" s="7" t="inlineStr">
        <is>
          <t>https://www.proprain.com/projects/district-one-naya-residences-by-nakheel-download-brochure/</t>
        </is>
      </c>
      <c r="BJ544" t="inlineStr">
        <is>
          <t>web_added</t>
        </is>
      </c>
      <c r="BK544" t="inlineStr">
        <is>
          <t>2026-03-18</t>
        </is>
      </c>
    </row>
    <row r="545">
      <c r="A545" t="n">
        <v>544</v>
      </c>
      <c r="B545" s="7" t="inlineStr">
        <is>
          <t>Rixos Hotel &amp; Residences Dubai Islands</t>
        </is>
      </c>
      <c r="C545" t="inlineStr">
        <is>
          <t>Nakheel Properties</t>
        </is>
      </c>
      <c r="D545" t="inlineStr">
        <is>
          <t>Dubai Islands</t>
        </is>
      </c>
      <c r="E545" t="inlineStr">
        <is>
          <t>Apartments, Duplexes, Beach Houses &amp; Villas</t>
        </is>
      </c>
      <c r="F545" s="7" t="inlineStr">
        <is>
          <t>Branded Waterfront / Resort</t>
        </is>
      </c>
      <c r="G545" t="inlineStr">
        <is>
          <t>2.6M</t>
        </is>
      </c>
      <c r="H545" t="inlineStr">
        <is>
          <t>TBA</t>
        </is>
      </c>
      <c r="I545" t="inlineStr">
        <is>
          <t>TBA</t>
        </is>
      </c>
      <c r="J545" t="inlineStr">
        <is>
          <t>80/20</t>
        </is>
      </c>
      <c r="K545" t="inlineStr">
        <is>
          <t>Q3 2023</t>
        </is>
      </c>
      <c r="L545" t="inlineStr">
        <is>
          <t>4.5-6.0</t>
        </is>
      </c>
      <c r="M545" t="inlineStr">
        <is>
          <t>4-7</t>
        </is>
      </c>
      <c r="N545" t="inlineStr">
        <is>
          <t>8.5-13.0</t>
        </is>
      </c>
      <c r="O545" s="7" t="inlineStr">
        <is>
          <t>The Elite English School / Deira Intl</t>
        </is>
      </c>
      <c r="P545" s="7" t="inlineStr">
        <is>
          <t>Dubai Hospital</t>
        </is>
      </c>
      <c r="Q545" s="7" t="inlineStr">
        <is>
          <t>Souk Al Marfa / Deira City Centre</t>
        </is>
      </c>
      <c r="R545" s="7" t="inlineStr">
        <is>
          <t>Infinity Bridge / Al Khaleej Rd</t>
        </is>
      </c>
      <c r="S545" t="n">
        <v>25</v>
      </c>
      <c r="T545" t="n">
        <v>35</v>
      </c>
      <c r="U545" t="n">
        <v>20</v>
      </c>
      <c r="V545" t="n">
        <v>55</v>
      </c>
      <c r="W545" t="n">
        <v>1</v>
      </c>
      <c r="X545" t="n">
        <v>2600000</v>
      </c>
      <c r="Y545" t="n">
        <v>2600000</v>
      </c>
      <c r="Z545" t="n">
        <v>4.5</v>
      </c>
      <c r="AA545" t="n">
        <v>6</v>
      </c>
      <c r="AB545" t="n">
        <v>4</v>
      </c>
      <c r="AC545" t="n">
        <v>7</v>
      </c>
      <c r="AD545" t="n">
        <v>8.5</v>
      </c>
      <c r="AE545" t="n">
        <v>13</v>
      </c>
      <c r="AF545" t="n">
        <v>2023</v>
      </c>
      <c r="AG545" t="n">
        <v>3</v>
      </c>
      <c r="AH545" t="inlineStr">
        <is>
          <t>Villa</t>
        </is>
      </c>
      <c r="AI545" t="inlineStr">
        <is>
          <t>MainstreamSelective</t>
        </is>
      </c>
      <c r="AJ545" t="inlineStr">
        <is>
          <t>TopTier</t>
        </is>
      </c>
      <c r="AK545" t="inlineStr">
        <is>
          <t>Family-villa resilient</t>
        </is>
      </c>
      <c r="AL545" s="7" t="inlineStr">
        <is>
          <t>Villa/townhouse demand remains relatively firmer, though growth should be slower than the post-2020 surge.</t>
        </is>
      </c>
      <c r="AM545" t="n">
        <v>5.5</v>
      </c>
      <c r="AN545" t="n">
        <v>5.25</v>
      </c>
      <c r="AO545" t="n">
        <v>0.55</v>
      </c>
      <c r="AP545" t="n">
        <v>0</v>
      </c>
      <c r="AQ545" t="n">
        <v>0.015</v>
      </c>
      <c r="AR545" t="n">
        <v>0</v>
      </c>
      <c r="AS545" t="n">
        <v>0.025</v>
      </c>
      <c r="AT545" t="n">
        <v>0.005</v>
      </c>
      <c r="AU545" t="n">
        <v>0</v>
      </c>
      <c r="AV545" t="n">
        <v>-0.005</v>
      </c>
      <c r="AW545" t="n">
        <v>0.04525</v>
      </c>
      <c r="AX545" t="n">
        <v>0.025</v>
      </c>
      <c r="AY545" t="n">
        <v>2636120</v>
      </c>
      <c r="AZ545" t="n">
        <v>2717650</v>
      </c>
      <c r="BA545" t="n">
        <v>2799180</v>
      </c>
      <c r="BB545" t="n">
        <v>2704062</v>
      </c>
      <c r="BC545" t="n">
        <v>2785591</v>
      </c>
      <c r="BD545" t="n">
        <v>2867121</v>
      </c>
      <c r="BE545" t="n">
        <v>2855231</v>
      </c>
      <c r="BF545" s="7" t="inlineStr">
        <is>
          <t>Rules-based enrichment using launch-price anchor, cap-app realization, and 2026 segment conditions.</t>
        </is>
      </c>
      <c r="BG545" t="inlineStr">
        <is>
          <t>2026-03-18</t>
        </is>
      </c>
      <c r="BH545" s="7" t="inlineStr">
        <is>
          <t>Project row added from current web launch/pricing sources</t>
        </is>
      </c>
      <c r="BI545" s="7" t="inlineStr">
        <is>
          <t>https://www.propjunction.ae/projects/nakheel-rixos-dubai-islands-payment-plan</t>
        </is>
      </c>
      <c r="BJ545" t="inlineStr">
        <is>
          <t>web_added</t>
        </is>
      </c>
      <c r="BK545" t="inlineStr">
        <is>
          <t>2026-03-18</t>
        </is>
      </c>
    </row>
    <row r="546">
      <c r="A546" t="n">
        <v>545</v>
      </c>
      <c r="B546" s="7" t="inlineStr">
        <is>
          <t>Palm Beach Towers</t>
        </is>
      </c>
      <c r="C546" t="inlineStr">
        <is>
          <t>Nakheel Properties</t>
        </is>
      </c>
      <c r="D546" t="inlineStr">
        <is>
          <t>Palm Jumeirah</t>
        </is>
      </c>
      <c r="E546" t="inlineStr">
        <is>
          <t>Apartments</t>
        </is>
      </c>
      <c r="F546" s="7" t="inlineStr">
        <is>
          <t>Waterfront / High-Rise</t>
        </is>
      </c>
      <c r="G546" t="inlineStr">
        <is>
          <t>3.6M</t>
        </is>
      </c>
      <c r="H546" t="inlineStr">
        <is>
          <t>TBA</t>
        </is>
      </c>
      <c r="I546" t="inlineStr">
        <is>
          <t>TBA</t>
        </is>
      </c>
      <c r="J546" t="inlineStr">
        <is>
          <t>10/70/20</t>
        </is>
      </c>
      <c r="K546" t="inlineStr">
        <is>
          <t>Q4 2022</t>
        </is>
      </c>
      <c r="L546" t="inlineStr">
        <is>
          <t>4.0-5.0</t>
        </is>
      </c>
      <c r="M546" t="inlineStr">
        <is>
          <t>3-6</t>
        </is>
      </c>
      <c r="N546" t="inlineStr">
        <is>
          <t>7.0-11.0</t>
        </is>
      </c>
      <c r="O546" s="7" t="inlineStr">
        <is>
          <t>GEMS Wellington Intl / Dubai College</t>
        </is>
      </c>
      <c r="P546" s="7" t="inlineStr">
        <is>
          <t>Al Zahra / Saudi German</t>
        </is>
      </c>
      <c r="Q546" s="7" t="inlineStr">
        <is>
          <t>Nakheel Mall / Dubai Marina Mall</t>
        </is>
      </c>
      <c r="R546" s="7" t="inlineStr">
        <is>
          <t>Sheikh Zayed Rd / Palm Monorail</t>
        </is>
      </c>
      <c r="S546" t="n">
        <v>20</v>
      </c>
      <c r="T546" t="n">
        <v>5</v>
      </c>
      <c r="U546" t="n">
        <v>30</v>
      </c>
      <c r="V546" t="n">
        <v>45</v>
      </c>
      <c r="W546" t="n">
        <v>1</v>
      </c>
      <c r="X546" t="n">
        <v>3600000</v>
      </c>
      <c r="Y546" t="n">
        <v>3600000</v>
      </c>
      <c r="Z546" t="n">
        <v>4</v>
      </c>
      <c r="AA546" t="n">
        <v>5</v>
      </c>
      <c r="AB546" t="n">
        <v>3</v>
      </c>
      <c r="AC546" t="n">
        <v>6</v>
      </c>
      <c r="AD546" t="n">
        <v>7</v>
      </c>
      <c r="AE546" t="n">
        <v>11</v>
      </c>
      <c r="AF546" t="n">
        <v>2022</v>
      </c>
      <c r="AG546" t="n">
        <v>4</v>
      </c>
      <c r="AH546" t="inlineStr">
        <is>
          <t>Apartment</t>
        </is>
      </c>
      <c r="AI546" t="inlineStr">
        <is>
          <t>Prime</t>
        </is>
      </c>
      <c r="AJ546" t="inlineStr">
        <is>
          <t>TopTier</t>
        </is>
      </c>
      <c r="AK546" t="inlineStr">
        <is>
          <t>Prime resilient / selective</t>
        </is>
      </c>
      <c r="AL546" s="7" t="inlineStr">
        <is>
          <t>Better support from quality, branding, and scarcer prime stock; still entry-price sensitive.</t>
        </is>
      </c>
      <c r="AM546" t="n">
        <v>4.5</v>
      </c>
      <c r="AN546" t="n">
        <v>4.5</v>
      </c>
      <c r="AO546" t="n">
        <v>0.55</v>
      </c>
      <c r="AP546" t="n">
        <v>0.02</v>
      </c>
      <c r="AQ546" t="n">
        <v>0</v>
      </c>
      <c r="AR546" t="n">
        <v>0</v>
      </c>
      <c r="AS546" t="n">
        <v>0.03</v>
      </c>
      <c r="AT546" t="n">
        <v>0.005</v>
      </c>
      <c r="AU546" t="n">
        <v>0</v>
      </c>
      <c r="AV546" t="n">
        <v>-0.005</v>
      </c>
      <c r="AW546" t="n">
        <v>0.04475</v>
      </c>
      <c r="AX546" t="n">
        <v>0.03</v>
      </c>
      <c r="AY546" t="n">
        <v>3648267</v>
      </c>
      <c r="AZ546" t="n">
        <v>3761100</v>
      </c>
      <c r="BA546" t="n">
        <v>3873933</v>
      </c>
      <c r="BB546" t="n">
        <v>3761100</v>
      </c>
      <c r="BC546" t="n">
        <v>3873933</v>
      </c>
      <c r="BD546" t="n">
        <v>3986766</v>
      </c>
      <c r="BE546" t="n">
        <v>3990151</v>
      </c>
      <c r="BF546" s="7" t="inlineStr">
        <is>
          <t>Rules-based enrichment using launch-price anchor, cap-app realization, and 2026 segment conditions.</t>
        </is>
      </c>
      <c r="BG546" t="inlineStr">
        <is>
          <t>2026-03-18</t>
        </is>
      </c>
      <c r="BH546" s="7" t="inlineStr">
        <is>
          <t>Project row added from current web launch/pricing sources</t>
        </is>
      </c>
      <c r="BI546" s="7" t="inlineStr">
        <is>
          <t>https://eplogoffplan.com/projects/palm-beach-towers-3-at-palm-jumeirah/paymentplan-details</t>
        </is>
      </c>
      <c r="BJ546" t="inlineStr">
        <is>
          <t>web_added</t>
        </is>
      </c>
      <c r="BK546" t="inlineStr">
        <is>
          <t>2026-03-18</t>
        </is>
      </c>
    </row>
    <row r="547">
      <c r="A547" t="n">
        <v>546</v>
      </c>
      <c r="B547" s="7" t="inlineStr">
        <is>
          <t>The Heights Country Club &amp; Wellness</t>
        </is>
      </c>
      <c r="C547" t="inlineStr">
        <is>
          <t>Emaar Properties</t>
        </is>
      </c>
      <c r="D547" t="inlineStr">
        <is>
          <t>Dubai South</t>
        </is>
      </c>
      <c r="E547" t="inlineStr">
        <is>
          <t>Townhouses &amp; Villas</t>
        </is>
      </c>
      <c r="F547" s="7" t="inlineStr">
        <is>
          <t>Wellness / Master Community</t>
        </is>
      </c>
      <c r="G547" t="inlineStr">
        <is>
          <t>2.49M</t>
        </is>
      </c>
      <c r="H547" t="inlineStr">
        <is>
          <t>TBA</t>
        </is>
      </c>
      <c r="I547" t="inlineStr">
        <is>
          <t>TBA</t>
        </is>
      </c>
      <c r="J547" t="inlineStr">
        <is>
          <t>80/20</t>
        </is>
      </c>
      <c r="K547" t="inlineStr">
        <is>
          <t>Q1 2026</t>
        </is>
      </c>
      <c r="L547" t="inlineStr">
        <is>
          <t>4.0-5.0</t>
        </is>
      </c>
      <c r="M547" t="inlineStr">
        <is>
          <t>3-6</t>
        </is>
      </c>
      <c r="N547" t="inlineStr">
        <is>
          <t>7.0-11.0</t>
        </is>
      </c>
      <c r="O547" s="7" t="inlineStr">
        <is>
          <t>Greenfield Intl / Bright Riders</t>
        </is>
      </c>
      <c r="P547" s="7" t="inlineStr">
        <is>
          <t>NMC Royal DIP / Al Maktoum Hospital</t>
        </is>
      </c>
      <c r="Q547" s="7" t="inlineStr">
        <is>
          <t>Expo City / Ibn Battuta Mall</t>
        </is>
      </c>
      <c r="R547" s="7" t="inlineStr">
        <is>
          <t>Emirates Rd / Expo Rd</t>
        </is>
      </c>
      <c r="S547" t="n">
        <v>35</v>
      </c>
      <c r="T547" t="n">
        <v>25</v>
      </c>
      <c r="U547" t="n">
        <v>35</v>
      </c>
      <c r="V547" t="n">
        <v>15</v>
      </c>
      <c r="W547" t="n">
        <v>1</v>
      </c>
      <c r="X547" t="n">
        <v>2490000</v>
      </c>
      <c r="Y547" t="n">
        <v>2490000</v>
      </c>
      <c r="Z547" t="n">
        <v>4</v>
      </c>
      <c r="AA547" t="n">
        <v>5</v>
      </c>
      <c r="AB547" t="n">
        <v>3</v>
      </c>
      <c r="AC547" t="n">
        <v>6</v>
      </c>
      <c r="AD547" t="n">
        <v>7</v>
      </c>
      <c r="AE547" t="n">
        <v>11</v>
      </c>
      <c r="AF547" t="n">
        <v>2026</v>
      </c>
      <c r="AG547" t="n">
        <v>1</v>
      </c>
      <c r="AH547" t="inlineStr">
        <is>
          <t>Villa/Townhouse</t>
        </is>
      </c>
      <c r="AI547" t="inlineStr">
        <is>
          <t>FamilyVilla</t>
        </is>
      </c>
      <c r="AJ547" t="inlineStr">
        <is>
          <t>TopTier</t>
        </is>
      </c>
      <c r="AK547" t="inlineStr">
        <is>
          <t>Family-villa resilient</t>
        </is>
      </c>
      <c r="AL547" s="7" t="inlineStr">
        <is>
          <t>Villa/townhouse demand remains relatively firmer, though growth should be slower than the post-2020 surge.</t>
        </is>
      </c>
      <c r="AM547" t="n">
        <v>4.5</v>
      </c>
      <c r="AN547" t="n">
        <v>4.5</v>
      </c>
      <c r="AO547" t="n">
        <v>0.1</v>
      </c>
      <c r="AP547" t="n">
        <v>0</v>
      </c>
      <c r="AQ547" t="n">
        <v>0.015</v>
      </c>
      <c r="AR547" t="n">
        <v>0</v>
      </c>
      <c r="AS547" t="n">
        <v>0.025</v>
      </c>
      <c r="AT547" t="n">
        <v>0.005</v>
      </c>
      <c r="AU547" t="n">
        <v>0</v>
      </c>
      <c r="AV547" t="n">
        <v>-0.005</v>
      </c>
      <c r="AW547" t="n">
        <v>0.0195</v>
      </c>
      <c r="AX547" t="n">
        <v>0.025</v>
      </c>
      <c r="AY547" t="n">
        <v>2462398</v>
      </c>
      <c r="AZ547" t="n">
        <v>2538555</v>
      </c>
      <c r="BA547" t="n">
        <v>2614712</v>
      </c>
      <c r="BB547" t="n">
        <v>2525862</v>
      </c>
      <c r="BC547" t="n">
        <v>2602019</v>
      </c>
      <c r="BD547" t="n">
        <v>2678176</v>
      </c>
      <c r="BE547" t="n">
        <v>2667069</v>
      </c>
      <c r="BF547" s="7" t="inlineStr">
        <is>
          <t>Rules-based enrichment using launch-price anchor, cap-app realization, and 2026 segment conditions.</t>
        </is>
      </c>
      <c r="BG547" t="inlineStr">
        <is>
          <t>2026-03-18</t>
        </is>
      </c>
      <c r="BH547" s="7" t="inlineStr">
        <is>
          <t>Project row added from current web launch/pricing sources</t>
        </is>
      </c>
      <c r="BI547" s="7" t="inlineStr">
        <is>
          <t>https://eplogoffplan.com/projects/the-heights-country-club-and-wellness-by-emaar/paymentplan-details</t>
        </is>
      </c>
      <c r="BJ547" t="inlineStr">
        <is>
          <t>web_added</t>
        </is>
      </c>
      <c r="BK547" t="inlineStr">
        <is>
          <t>2026-03-18</t>
        </is>
      </c>
    </row>
    <row r="548">
      <c r="A548" t="n">
        <v>547</v>
      </c>
      <c r="B548" s="7" t="inlineStr">
        <is>
          <t>Dubai Mansions</t>
        </is>
      </c>
      <c r="C548" t="inlineStr">
        <is>
          <t>Emaar Properties</t>
        </is>
      </c>
      <c r="D548" t="inlineStr">
        <is>
          <t>Emaar Hills / Dubai Hills Estate</t>
        </is>
      </c>
      <c r="E548" t="inlineStr">
        <is>
          <t>Mansions</t>
        </is>
      </c>
      <c r="F548" s="7" t="inlineStr">
        <is>
          <t>Ultra-Luxury / Golf-Adjacent</t>
        </is>
      </c>
      <c r="G548" t="inlineStr">
        <is>
          <t>TBA</t>
        </is>
      </c>
      <c r="H548" t="inlineStr">
        <is>
          <t>TBA</t>
        </is>
      </c>
      <c r="I548" t="inlineStr">
        <is>
          <t>TBA</t>
        </is>
      </c>
      <c r="J548" t="inlineStr">
        <is>
          <t>TBA</t>
        </is>
      </c>
      <c r="K548" t="inlineStr">
        <is>
          <t>Q3 2025</t>
        </is>
      </c>
      <c r="L548" t="inlineStr">
        <is>
          <t>2.5-3.5</t>
        </is>
      </c>
      <c r="M548" t="inlineStr">
        <is>
          <t>4-7</t>
        </is>
      </c>
      <c r="N548" t="inlineStr">
        <is>
          <t>6.5-10.5</t>
        </is>
      </c>
      <c r="O548" s="7" t="inlineStr">
        <is>
          <t>GEMS Wellington / King’s School Al Barsha</t>
        </is>
      </c>
      <c r="P548" s="7" t="inlineStr">
        <is>
          <t>King’s College Hospital / Mediclinic Parkview</t>
        </is>
      </c>
      <c r="Q548" s="7" t="inlineStr">
        <is>
          <t>Dubai Hills Mall / Mall of the Emirates</t>
        </is>
      </c>
      <c r="R548" s="7" t="inlineStr">
        <is>
          <t>Al Khail Rd / Umm Suqeim St</t>
        </is>
      </c>
      <c r="S548" t="n">
        <v>20</v>
      </c>
      <c r="T548" t="n">
        <v>15</v>
      </c>
      <c r="U548" t="n">
        <v>25</v>
      </c>
      <c r="V548" t="n">
        <v>35</v>
      </c>
      <c r="W548" t="n">
        <v>1</v>
      </c>
      <c r="Z548" t="n">
        <v>2.5</v>
      </c>
      <c r="AA548" t="n">
        <v>3.5</v>
      </c>
      <c r="AB548" t="n">
        <v>4</v>
      </c>
      <c r="AC548" t="n">
        <v>7</v>
      </c>
      <c r="AD548" t="n">
        <v>6.5</v>
      </c>
      <c r="AE548" t="n">
        <v>10.5</v>
      </c>
      <c r="AF548" t="n">
        <v>2025</v>
      </c>
      <c r="AG548" t="n">
        <v>3</v>
      </c>
      <c r="AH548" t="inlineStr">
        <is>
          <t>Villa</t>
        </is>
      </c>
      <c r="AI548" t="inlineStr">
        <is>
          <t>Prime</t>
        </is>
      </c>
      <c r="AJ548" t="inlineStr">
        <is>
          <t>TopTier</t>
        </is>
      </c>
      <c r="AK548" t="inlineStr">
        <is>
          <t>Prime resilient / selective</t>
        </is>
      </c>
      <c r="AL548" s="7" t="inlineStr">
        <is>
          <t>Better support from quality, branding, and scarcer prime stock; still entry-price sensitive.</t>
        </is>
      </c>
      <c r="AM548" t="n">
        <v>5.5</v>
      </c>
      <c r="AN548" t="n">
        <v>3</v>
      </c>
      <c r="AO548" t="n">
        <v>0.27</v>
      </c>
      <c r="AP548" t="n">
        <v>0.02</v>
      </c>
      <c r="AQ548" t="n">
        <v>0.015</v>
      </c>
      <c r="AR548" t="n">
        <v>0</v>
      </c>
      <c r="AS548" t="n">
        <v>0.03</v>
      </c>
      <c r="AT548" t="n">
        <v>0.005</v>
      </c>
      <c r="AU548" t="n">
        <v>0</v>
      </c>
      <c r="AV548" t="n">
        <v>-0.005</v>
      </c>
      <c r="BF548" s="7" t="inlineStr">
        <is>
          <t>Rules-based enrichment using launch-price anchor, cap-app realization, and 2026 segment conditions.</t>
        </is>
      </c>
      <c r="BG548" t="inlineStr">
        <is>
          <t>2026-03-18</t>
        </is>
      </c>
      <c r="BH548" s="7" t="inlineStr">
        <is>
          <t>Project row added from current web launch/pricing sources</t>
        </is>
      </c>
      <c r="BI548" s="7" t="inlineStr">
        <is>
          <t>https://properties.emaar.com/en/press-release-listing/emaar-to-reveal-its-iconic-ultra-luxury-address-dubai-mansions/</t>
        </is>
      </c>
      <c r="BJ548" t="inlineStr">
        <is>
          <t>web_added</t>
        </is>
      </c>
      <c r="BK548" t="inlineStr">
        <is>
          <t>2026-03-18</t>
        </is>
      </c>
    </row>
  </sheetData>
  <autoFilter ref="A1:BK5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30" customWidth="1" min="4" max="4"/>
    <col width="30" customWidth="1" min="5" max="5"/>
    <col width="30" customWidth="1" min="6" max="6"/>
    <col width="19" customWidth="1" min="7" max="7"/>
    <col width="21" customWidth="1" min="8" max="8"/>
    <col width="16" customWidth="1" min="9" max="9"/>
    <col width="14" customWidth="1" min="10" max="10"/>
    <col width="13" customWidth="1" min="11" max="11"/>
    <col width="16" customWidth="1" min="12" max="12"/>
    <col width="12" customWidth="1" min="13" max="13"/>
    <col width="16" customWidth="1" min="14" max="14"/>
    <col width="30" customWidth="1" min="15" max="15"/>
    <col width="30" customWidth="1" min="16" max="16"/>
    <col width="30" customWidth="1" min="17" max="17"/>
    <col width="30" customWidth="1" min="18" max="18"/>
    <col width="12" customWidth="1" min="19" max="19"/>
    <col width="16" customWidth="1" min="20" max="20"/>
    <col width="13" customWidth="1" min="21" max="21"/>
    <col width="13" customWidth="1" min="22" max="22"/>
    <col width="28" customWidth="1" min="23" max="23"/>
    <col width="28" customWidth="1" min="24" max="24"/>
    <col width="28" customWidth="1" min="25" max="25"/>
    <col width="29" customWidth="1" min="26" max="26"/>
    <col width="30" customWidth="1" min="27" max="27"/>
    <col width="24" customWidth="1" min="28" max="28"/>
    <col width="25" customWidth="1" min="29" max="29"/>
    <col width="29" customWidth="1" min="30" max="30"/>
    <col width="30" customWidth="1" min="31" max="31"/>
    <col width="20" customWidth="1" min="32" max="32"/>
    <col width="23" customWidth="1" min="33" max="33"/>
    <col width="20" customWidth="1" min="34" max="34"/>
    <col width="21" customWidth="1" min="35" max="35"/>
    <col width="23" customWidth="1" min="36" max="36"/>
    <col width="29" customWidth="1" min="37" max="37"/>
    <col width="30" customWidth="1" min="38" max="38"/>
    <col width="24" customWidth="1" min="39" max="39"/>
    <col width="29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25" customWidth="1" min="49" max="49"/>
    <col width="23" customWidth="1" min="50" max="50"/>
    <col width="23" customWidth="1" min="51" max="51"/>
    <col width="24" customWidth="1" min="52" max="52"/>
    <col width="24" customWidth="1" min="53" max="53"/>
    <col width="22" customWidth="1" min="54" max="54"/>
    <col width="23" customWidth="1" min="55" max="55"/>
    <col width="23" customWidth="1" min="56" max="56"/>
    <col width="23" customWidth="1" min="57" max="57"/>
    <col width="30" customWidth="1" min="58" max="58"/>
    <col width="25" customWidth="1" min="59" max="59"/>
    <col width="30" customWidth="1" min="60" max="60"/>
    <col width="30" customWidth="1" min="61" max="61"/>
    <col width="22" customWidth="1" min="62" max="62"/>
    <col width="12" customWidth="1" min="63" max="6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Developer</t>
        </is>
      </c>
      <c r="D1" s="1" t="inlineStr">
        <is>
          <t>Location</t>
        </is>
      </c>
      <c r="E1" s="1" t="inlineStr">
        <is>
          <t>Unit Type</t>
        </is>
      </c>
      <c r="F1" s="1" t="inlineStr">
        <is>
          <t>Community Type</t>
        </is>
      </c>
      <c r="G1" s="1" t="inlineStr">
        <is>
          <t>Start Price (AED)</t>
        </is>
      </c>
      <c r="H1" s="1" t="inlineStr">
        <is>
          <t>Price per Sqm (AED)</t>
        </is>
      </c>
      <c r="I1" s="1" t="inlineStr">
        <is>
          <t>Service Charge</t>
        </is>
      </c>
      <c r="J1" s="1" t="inlineStr">
        <is>
          <t>Payment Plan</t>
        </is>
      </c>
      <c r="K1" s="1" t="inlineStr">
        <is>
          <t>Launch Date</t>
        </is>
      </c>
      <c r="L1" s="1" t="inlineStr">
        <is>
          <t>Annual Yield %</t>
        </is>
      </c>
      <c r="M1" s="1" t="inlineStr">
        <is>
          <t>Cap Appr %</t>
        </is>
      </c>
      <c r="N1" s="1" t="inlineStr">
        <is>
          <t>Total Return %</t>
        </is>
      </c>
      <c r="O1" s="1" t="inlineStr">
        <is>
          <t>Nearest Schools</t>
        </is>
      </c>
      <c r="P1" s="1" t="inlineStr">
        <is>
          <t>Nearest Hospitals</t>
        </is>
      </c>
      <c r="Q1" s="1" t="inlineStr">
        <is>
          <t>Nearest Malls</t>
        </is>
      </c>
      <c r="R1" s="1" t="inlineStr">
        <is>
          <t>Main Access Roads</t>
        </is>
      </c>
      <c r="S1" s="1" t="inlineStr">
        <is>
          <t>Mins to DT</t>
        </is>
      </c>
      <c r="T1" s="1" t="inlineStr">
        <is>
          <t>Mins to Marina</t>
        </is>
      </c>
      <c r="U1" s="1" t="inlineStr">
        <is>
          <t>Mins to DXB</t>
        </is>
      </c>
      <c r="V1" s="1" t="inlineStr">
        <is>
          <t>Mins to DWC</t>
        </is>
      </c>
      <c r="W1" s="1" t="inlineStr">
        <is>
          <t>Duplicate_Count_From_Merge</t>
        </is>
      </c>
      <c r="X1" s="1" t="inlineStr">
        <is>
          <t>Helper_Start_Price_Min_AED</t>
        </is>
      </c>
      <c r="Y1" s="1" t="inlineStr">
        <is>
          <t>Helper_Start_Price_Max_AED</t>
        </is>
      </c>
      <c r="Z1" s="1" t="inlineStr">
        <is>
          <t>Helper_Annual_Yield_Low_Pct</t>
        </is>
      </c>
      <c r="AA1" s="1" t="inlineStr">
        <is>
          <t>Helper_Annual_Yield_High_Pct</t>
        </is>
      </c>
      <c r="AB1" s="1" t="inlineStr">
        <is>
          <t>Helper_Cap_App_Low_Pct</t>
        </is>
      </c>
      <c r="AC1" s="1" t="inlineStr">
        <is>
          <t>Helper_Cap_App_High_Pct</t>
        </is>
      </c>
      <c r="AD1" s="1" t="inlineStr">
        <is>
          <t>Helper_Total_Return_Low_Pct</t>
        </is>
      </c>
      <c r="AE1" s="1" t="inlineStr">
        <is>
          <t>Helper_Total_Return_High_Pct</t>
        </is>
      </c>
      <c r="AF1" s="1" t="inlineStr">
        <is>
          <t>Helper_Launch_Year</t>
        </is>
      </c>
      <c r="AG1" s="1" t="inlineStr">
        <is>
          <t>Helper_Launch_Quarter</t>
        </is>
      </c>
      <c r="AH1" s="1" t="inlineStr">
        <is>
          <t>Helper_Asset_Class</t>
        </is>
      </c>
      <c r="AI1" s="1" t="inlineStr">
        <is>
          <t>Helper_Area_Segment</t>
        </is>
      </c>
      <c r="AJ1" s="1" t="inlineStr">
        <is>
          <t>Helper_Developer_Tier</t>
        </is>
      </c>
      <c r="AK1" s="1" t="inlineStr">
        <is>
          <t>Market_Condition</t>
        </is>
      </c>
      <c r="AL1" s="1" t="inlineStr">
        <is>
          <t>Conditions_Notes</t>
        </is>
      </c>
      <c r="AM1" s="1" t="inlineStr">
        <is>
          <t>Helper_Cap_App_Mid_Pct</t>
        </is>
      </c>
      <c r="AN1" s="1" t="inlineStr">
        <is>
          <t>Helper_Annual_Yield_Mid_Pct</t>
        </is>
      </c>
      <c r="AO1" s="1" t="inlineStr">
        <is>
          <t>Helper_Current_Realization_Factor</t>
        </is>
      </c>
      <c r="AP1" s="1" t="inlineStr">
        <is>
          <t>Helper_Current_Prime_Premium_Pct</t>
        </is>
      </c>
      <c r="AQ1" s="1" t="inlineStr">
        <is>
          <t>Helper_Current_Asset_Adjustment_Pct</t>
        </is>
      </c>
      <c r="AR1" s="1" t="inlineStr">
        <is>
          <t>Helper_Current_Supply_Adjustment_Pct</t>
        </is>
      </c>
      <c r="AS1" s="1" t="inlineStr">
        <is>
          <t>Helper_Forecast_Segment_Base_Pct</t>
        </is>
      </c>
      <c r="AT1" s="1" t="inlineStr">
        <is>
          <t>Helper_Forecast_Developer_Adjustment_Pct</t>
        </is>
      </c>
      <c r="AU1" s="1" t="inlineStr">
        <is>
          <t>Helper_Forecast_Yield_Adjustment_Pct</t>
        </is>
      </c>
      <c r="AV1" s="1" t="inlineStr">
        <is>
          <t>Helper_Forecast_Risk_Adjustment_Pct</t>
        </is>
      </c>
      <c r="AW1" s="1" t="inlineStr">
        <is>
          <t>Current_Adjustment_Rate</t>
        </is>
      </c>
      <c r="AX1" s="1" t="inlineStr">
        <is>
          <t>Forecast_12M_Base_Pct</t>
        </is>
      </c>
      <c r="AY1" s="1" t="inlineStr">
        <is>
          <t>Current_Value_Low_AED</t>
        </is>
      </c>
      <c r="AZ1" s="1" t="inlineStr">
        <is>
          <t>Current_Value_Base_AED</t>
        </is>
      </c>
      <c r="BA1" s="1" t="inlineStr">
        <is>
          <t>Current_Value_High_AED</t>
        </is>
      </c>
      <c r="BB1" s="1" t="inlineStr">
        <is>
          <t>Forecast_12M_Low_AED</t>
        </is>
      </c>
      <c r="BC1" s="1" t="inlineStr">
        <is>
          <t>Forecast_12M_Base_AED</t>
        </is>
      </c>
      <c r="BD1" s="1" t="inlineStr">
        <is>
          <t>Forecast_12M_High_AED</t>
        </is>
      </c>
      <c r="BE1" s="1" t="inlineStr">
        <is>
          <t>Forecast_24M_Base_AED</t>
        </is>
      </c>
      <c r="BF1" s="1" t="inlineStr">
        <is>
          <t>Forecast_Method</t>
        </is>
      </c>
      <c r="BG1" s="1" t="inlineStr">
        <is>
          <t>Enrichment_Refresh_Date</t>
        </is>
      </c>
      <c r="BH1" s="1" t="inlineStr">
        <is>
          <t>Source_Summary</t>
        </is>
      </c>
      <c r="BI1" s="1" t="inlineStr">
        <is>
          <t>Added_Project_Source_URL</t>
        </is>
      </c>
      <c r="BJ1" s="1" t="inlineStr">
        <is>
          <t>Added_Project_Status</t>
        </is>
      </c>
      <c r="BK1" s="1" t="inlineStr">
        <is>
          <t>Added_On</t>
        </is>
      </c>
    </row>
    <row r="2">
      <c r="A2" t="n">
        <v>537</v>
      </c>
      <c r="B2" s="7" t="inlineStr">
        <is>
          <t>City Walk Crestlane</t>
        </is>
      </c>
      <c r="C2" t="inlineStr">
        <is>
          <t>Meraas</t>
        </is>
      </c>
      <c r="D2" t="inlineStr">
        <is>
          <t>City Walk</t>
        </is>
      </c>
      <c r="E2" t="inlineStr">
        <is>
          <t>Apartments</t>
        </is>
      </c>
      <c r="F2" s="7" t="inlineStr">
        <is>
          <t>Urban / Mixed-Use</t>
        </is>
      </c>
      <c r="G2" t="inlineStr">
        <is>
          <t>2.6M</t>
        </is>
      </c>
      <c r="H2" t="inlineStr">
        <is>
          <t>TBA</t>
        </is>
      </c>
      <c r="I2" t="inlineStr">
        <is>
          <t>TBA</t>
        </is>
      </c>
      <c r="J2" t="inlineStr">
        <is>
          <t>Flexible</t>
        </is>
      </c>
      <c r="K2" t="inlineStr">
        <is>
          <t>Q1 2025</t>
        </is>
      </c>
      <c r="L2" t="inlineStr">
        <is>
          <t>4.5-5.5</t>
        </is>
      </c>
      <c r="M2" t="inlineStr">
        <is>
          <t>3-6</t>
        </is>
      </c>
      <c r="N2" t="inlineStr">
        <is>
          <t>7.5-11.5</t>
        </is>
      </c>
      <c r="O2" s="7" t="inlineStr">
        <is>
          <t>GEMS Wellington / JSS Private</t>
        </is>
      </c>
      <c r="P2" s="7" t="inlineStr">
        <is>
          <t>Medcare / Emirates Hospital Jumeirah</t>
        </is>
      </c>
      <c r="Q2" s="7" t="inlineStr">
        <is>
          <t>City Walk / Dubai Mall</t>
        </is>
      </c>
      <c r="R2" s="7" t="inlineStr">
        <is>
          <t>Al Safa St / Sheikh Zayed Rd</t>
        </is>
      </c>
      <c r="S2" t="n">
        <v>10</v>
      </c>
      <c r="T2" t="n">
        <v>20</v>
      </c>
      <c r="U2" t="n">
        <v>15</v>
      </c>
      <c r="V2" t="n">
        <v>40</v>
      </c>
      <c r="W2" t="n">
        <v>1</v>
      </c>
      <c r="X2" t="n">
        <v>2600000</v>
      </c>
      <c r="Y2" t="n">
        <v>2600000</v>
      </c>
      <c r="Z2" t="n">
        <v>4.5</v>
      </c>
      <c r="AA2" t="n">
        <v>5.5</v>
      </c>
      <c r="AB2" t="n">
        <v>3</v>
      </c>
      <c r="AC2" t="n">
        <v>6</v>
      </c>
      <c r="AD2" t="n">
        <v>7.5</v>
      </c>
      <c r="AE2" t="n">
        <v>11.5</v>
      </c>
      <c r="AF2" t="n">
        <v>2025</v>
      </c>
      <c r="AG2" t="n">
        <v>1</v>
      </c>
      <c r="AH2" t="inlineStr">
        <is>
          <t>Apartment</t>
        </is>
      </c>
      <c r="AI2" t="inlineStr">
        <is>
          <t>Prime</t>
        </is>
      </c>
      <c r="AJ2" t="inlineStr">
        <is>
          <t>TopTier</t>
        </is>
      </c>
      <c r="AK2" t="inlineStr">
        <is>
          <t>Prime resilient / selective</t>
        </is>
      </c>
      <c r="AL2" s="7" t="inlineStr">
        <is>
          <t>Better support from quality, branding, and scarcer prime stock; still entry-price sensitive.</t>
        </is>
      </c>
      <c r="AM2" t="n">
        <v>4.5</v>
      </c>
      <c r="AN2" t="n">
        <v>5</v>
      </c>
      <c r="AO2" t="n">
        <v>0.4</v>
      </c>
      <c r="AP2" t="n">
        <v>0.02</v>
      </c>
      <c r="AQ2" t="n">
        <v>0</v>
      </c>
      <c r="AR2" t="n">
        <v>0</v>
      </c>
      <c r="AS2" t="n">
        <v>0.03</v>
      </c>
      <c r="AT2" t="n">
        <v>0.005</v>
      </c>
      <c r="AU2" t="n">
        <v>0</v>
      </c>
      <c r="AV2" t="n">
        <v>-0.005</v>
      </c>
      <c r="AW2" t="n">
        <v>0.038</v>
      </c>
      <c r="AX2" t="n">
        <v>0.03</v>
      </c>
      <c r="AY2" t="n">
        <v>2617836</v>
      </c>
      <c r="AZ2" t="n">
        <v>2698800</v>
      </c>
      <c r="BA2" t="n">
        <v>2779764</v>
      </c>
      <c r="BB2" t="n">
        <v>2698800</v>
      </c>
      <c r="BC2" t="n">
        <v>2779764</v>
      </c>
      <c r="BD2" t="n">
        <v>2860728</v>
      </c>
      <c r="BE2" t="n">
        <v>2863157</v>
      </c>
      <c r="BF2" s="7" t="inlineStr">
        <is>
          <t>Rules-based enrichment using launch-price anchor, cap-app realization, and 2026 segment conditions.</t>
        </is>
      </c>
      <c r="BG2" t="inlineStr">
        <is>
          <t>2026-03-18</t>
        </is>
      </c>
      <c r="BH2" s="7" t="inlineStr">
        <is>
          <t>Project row added from current web launch/pricing sources</t>
        </is>
      </c>
      <c r="BI2" s="7" t="inlineStr">
        <is>
          <t>https://eplogoffplan.com/projects/city-walk-crestlane-by-meraas-apartments/paymentplan-details</t>
        </is>
      </c>
      <c r="BJ2" t="inlineStr">
        <is>
          <t>web_added</t>
        </is>
      </c>
      <c r="BK2" t="inlineStr">
        <is>
          <t>2026-03-18</t>
        </is>
      </c>
    </row>
    <row r="3">
      <c r="A3" t="n">
        <v>538</v>
      </c>
      <c r="B3" s="7" t="inlineStr">
        <is>
          <t>The Edit at d3</t>
        </is>
      </c>
      <c r="C3" t="inlineStr">
        <is>
          <t>Meraas</t>
        </is>
      </c>
      <c r="D3" t="inlineStr">
        <is>
          <t>Dubai Design District (d3)</t>
        </is>
      </c>
      <c r="E3" t="inlineStr">
        <is>
          <t>Apartments</t>
        </is>
      </c>
      <c r="F3" s="7" t="inlineStr">
        <is>
          <t>Waterfront / Design-Led</t>
        </is>
      </c>
      <c r="G3" t="inlineStr">
        <is>
          <t>1.87M</t>
        </is>
      </c>
      <c r="H3" t="inlineStr">
        <is>
          <t>TBA</t>
        </is>
      </c>
      <c r="I3" t="inlineStr">
        <is>
          <t>TBA</t>
        </is>
      </c>
      <c r="J3" t="inlineStr">
        <is>
          <t>75/25</t>
        </is>
      </c>
      <c r="K3" t="inlineStr">
        <is>
          <t>Q1 2026</t>
        </is>
      </c>
      <c r="L3" t="inlineStr">
        <is>
          <t>5.0-6.0</t>
        </is>
      </c>
      <c r="M3" t="inlineStr">
        <is>
          <t>4-7</t>
        </is>
      </c>
      <c r="N3" t="inlineStr">
        <is>
          <t>9.0-13.0</t>
        </is>
      </c>
      <c r="O3" s="7" t="inlineStr">
        <is>
          <t>Hartland Intl / North London Collegiate</t>
        </is>
      </c>
      <c r="P3" s="7" t="inlineStr">
        <is>
          <t>Medcare / Emirates Hospital</t>
        </is>
      </c>
      <c r="Q3" s="7" t="inlineStr">
        <is>
          <t>Dubai Mall</t>
        </is>
      </c>
      <c r="R3" s="7" t="inlineStr">
        <is>
          <t>Ras Al Khor Rd / Al Khail Rd</t>
        </is>
      </c>
      <c r="S3" t="n">
        <v>7</v>
      </c>
      <c r="T3" t="n">
        <v>20</v>
      </c>
      <c r="U3" t="n">
        <v>15</v>
      </c>
      <c r="V3" t="n">
        <v>35</v>
      </c>
      <c r="W3" t="n">
        <v>1</v>
      </c>
      <c r="X3" t="n">
        <v>1870000</v>
      </c>
      <c r="Y3" t="n">
        <v>1870000</v>
      </c>
      <c r="Z3" t="n">
        <v>5</v>
      </c>
      <c r="AA3" t="n">
        <v>6</v>
      </c>
      <c r="AB3" t="n">
        <v>4</v>
      </c>
      <c r="AC3" t="n">
        <v>7</v>
      </c>
      <c r="AD3" t="n">
        <v>9</v>
      </c>
      <c r="AE3" t="n">
        <v>13</v>
      </c>
      <c r="AF3" t="n">
        <v>2026</v>
      </c>
      <c r="AG3" t="n">
        <v>1</v>
      </c>
      <c r="AH3" t="inlineStr">
        <is>
          <t>Apartment</t>
        </is>
      </c>
      <c r="AI3" t="inlineStr">
        <is>
          <t>MainstreamSelective</t>
        </is>
      </c>
      <c r="AJ3" t="inlineStr">
        <is>
          <t>TopTier</t>
        </is>
      </c>
      <c r="AK3" t="inlineStr">
        <is>
          <t>Balanced / selective</t>
        </is>
      </c>
      <c r="AL3" s="7" t="inlineStr">
        <is>
          <t>Market remains active but increasingly differentiated by developer, micro-location, livability, and pricing discipline.</t>
        </is>
      </c>
      <c r="AM3" t="n">
        <v>5.5</v>
      </c>
      <c r="AN3" t="n">
        <v>5.5</v>
      </c>
      <c r="AO3" t="n">
        <v>0.1</v>
      </c>
      <c r="AP3" t="n">
        <v>0</v>
      </c>
      <c r="AQ3" t="n">
        <v>0</v>
      </c>
      <c r="AR3" t="n">
        <v>0</v>
      </c>
      <c r="AS3" t="n">
        <v>0.01</v>
      </c>
      <c r="AT3" t="n">
        <v>0.005</v>
      </c>
      <c r="AU3" t="n">
        <v>0</v>
      </c>
      <c r="AV3" t="n">
        <v>-0.005</v>
      </c>
      <c r="AW3" t="n">
        <v>0.005500000000000001</v>
      </c>
      <c r="AX3" t="n">
        <v>0.009999999999999998</v>
      </c>
      <c r="AY3" t="n">
        <v>1823876</v>
      </c>
      <c r="AZ3" t="n">
        <v>1880285</v>
      </c>
      <c r="BA3" t="n">
        <v>1936694</v>
      </c>
      <c r="BB3" t="n">
        <v>1842679</v>
      </c>
      <c r="BC3" t="n">
        <v>1899088</v>
      </c>
      <c r="BD3" t="n">
        <v>1955496</v>
      </c>
      <c r="BE3" t="n">
        <v>1918079</v>
      </c>
      <c r="BF3" s="7" t="inlineStr">
        <is>
          <t>Rules-based enrichment using launch-price anchor, cap-app realization, and 2026 segment conditions.</t>
        </is>
      </c>
      <c r="BG3" t="inlineStr">
        <is>
          <t>2026-03-18</t>
        </is>
      </c>
      <c r="BH3" s="7" t="inlineStr">
        <is>
          <t>Project row added from current web launch/pricing sources</t>
        </is>
      </c>
      <c r="BI3" s="7" t="inlineStr">
        <is>
          <t>https://www.engelvoelkers.com/ae/en/off-plan/the-edit-d3</t>
        </is>
      </c>
      <c r="BJ3" t="inlineStr">
        <is>
          <t>web_added</t>
        </is>
      </c>
      <c r="BK3" t="inlineStr">
        <is>
          <t>2026-03-18</t>
        </is>
      </c>
    </row>
    <row r="4">
      <c r="A4" t="n">
        <v>539</v>
      </c>
      <c r="B4" s="7" t="inlineStr">
        <is>
          <t>Jumeirah Residences Emirates Towers</t>
        </is>
      </c>
      <c r="C4" t="inlineStr">
        <is>
          <t>Meraas</t>
        </is>
      </c>
      <c r="D4" t="inlineStr">
        <is>
          <t>Sheikh Zayed Road</t>
        </is>
      </c>
      <c r="E4" t="inlineStr">
        <is>
          <t>Apartments</t>
        </is>
      </c>
      <c r="F4" s="7" t="inlineStr">
        <is>
          <t>Branded / Urban Core</t>
        </is>
      </c>
      <c r="G4" t="inlineStr">
        <is>
          <t>3.51M</t>
        </is>
      </c>
      <c r="H4" t="inlineStr">
        <is>
          <t>TBA</t>
        </is>
      </c>
      <c r="I4" t="inlineStr">
        <is>
          <t>TBA</t>
        </is>
      </c>
      <c r="J4" t="inlineStr">
        <is>
          <t>80/20</t>
        </is>
      </c>
      <c r="K4" t="inlineStr">
        <is>
          <t>Q2 2025</t>
        </is>
      </c>
      <c r="L4" t="inlineStr">
        <is>
          <t>4.0-5.0</t>
        </is>
      </c>
      <c r="M4" t="inlineStr">
        <is>
          <t>3-6</t>
        </is>
      </c>
      <c r="N4" t="inlineStr">
        <is>
          <t>7.0-11.0</t>
        </is>
      </c>
      <c r="O4" s="7" t="inlineStr">
        <is>
          <t>GEMS Wellington / JESS</t>
        </is>
      </c>
      <c r="P4" s="7" t="inlineStr">
        <is>
          <t>Medcare / Emirates Hospital</t>
        </is>
      </c>
      <c r="Q4" s="7" t="inlineStr">
        <is>
          <t>Museum of the Future / Dubai Mall</t>
        </is>
      </c>
      <c r="R4" s="7" t="inlineStr">
        <is>
          <t>Sheikh Zayed Rd</t>
        </is>
      </c>
      <c r="S4" t="n">
        <v>10</v>
      </c>
      <c r="T4" t="n">
        <v>20</v>
      </c>
      <c r="U4" t="n">
        <v>15</v>
      </c>
      <c r="V4" t="n">
        <v>40</v>
      </c>
      <c r="W4" t="n">
        <v>1</v>
      </c>
      <c r="X4" t="n">
        <v>3510000</v>
      </c>
      <c r="Y4" t="n">
        <v>3510000</v>
      </c>
      <c r="Z4" t="n">
        <v>4</v>
      </c>
      <c r="AA4" t="n">
        <v>5</v>
      </c>
      <c r="AB4" t="n">
        <v>3</v>
      </c>
      <c r="AC4" t="n">
        <v>6</v>
      </c>
      <c r="AD4" t="n">
        <v>7</v>
      </c>
      <c r="AE4" t="n">
        <v>11</v>
      </c>
      <c r="AF4" t="n">
        <v>2025</v>
      </c>
      <c r="AG4" t="n">
        <v>2</v>
      </c>
      <c r="AH4" t="inlineStr">
        <is>
          <t>Apartment</t>
        </is>
      </c>
      <c r="AI4" t="inlineStr">
        <is>
          <t>MainstreamSelective</t>
        </is>
      </c>
      <c r="AJ4" t="inlineStr">
        <is>
          <t>TopTier</t>
        </is>
      </c>
      <c r="AK4" t="inlineStr">
        <is>
          <t>Balanced / selective</t>
        </is>
      </c>
      <c r="AL4" s="7" t="inlineStr">
        <is>
          <t>Market remains active but increasingly differentiated by developer, micro-location, livability, and pricing discipline.</t>
        </is>
      </c>
      <c r="AM4" t="n">
        <v>4.5</v>
      </c>
      <c r="AN4" t="n">
        <v>4.5</v>
      </c>
      <c r="AO4" t="n">
        <v>0.33</v>
      </c>
      <c r="AP4" t="n">
        <v>0</v>
      </c>
      <c r="AQ4" t="n">
        <v>0</v>
      </c>
      <c r="AR4" t="n">
        <v>0</v>
      </c>
      <c r="AS4" t="n">
        <v>0.01</v>
      </c>
      <c r="AT4" t="n">
        <v>0.005</v>
      </c>
      <c r="AU4" t="n">
        <v>0</v>
      </c>
      <c r="AV4" t="n">
        <v>-0.005</v>
      </c>
      <c r="AW4" t="n">
        <v>0.01485</v>
      </c>
      <c r="AX4" t="n">
        <v>0.009999999999999998</v>
      </c>
      <c r="AY4" t="n">
        <v>3455260</v>
      </c>
      <c r="AZ4" t="n">
        <v>3562124</v>
      </c>
      <c r="BA4" t="n">
        <v>3668988</v>
      </c>
      <c r="BB4" t="n">
        <v>3490882</v>
      </c>
      <c r="BC4" t="n">
        <v>3597745</v>
      </c>
      <c r="BD4" t="n">
        <v>3704609</v>
      </c>
      <c r="BE4" t="n">
        <v>3633723</v>
      </c>
      <c r="BF4" s="7" t="inlineStr">
        <is>
          <t>Rules-based enrichment using launch-price anchor, cap-app realization, and 2026 segment conditions.</t>
        </is>
      </c>
      <c r="BG4" t="inlineStr">
        <is>
          <t>2026-03-18</t>
        </is>
      </c>
      <c r="BH4" s="7" t="inlineStr">
        <is>
          <t>Project row added from current web launch/pricing sources</t>
        </is>
      </c>
      <c r="BI4" s="7" t="inlineStr">
        <is>
          <t>https://metropolitan.realestate/sheikh-zayed-road/jumeirah-residences-emirates-towers/</t>
        </is>
      </c>
      <c r="BJ4" t="inlineStr">
        <is>
          <t>web_added</t>
        </is>
      </c>
      <c r="BK4" t="inlineStr">
        <is>
          <t>2026-03-18</t>
        </is>
      </c>
    </row>
    <row r="5">
      <c r="A5" t="n">
        <v>540</v>
      </c>
      <c r="B5" s="7" t="inlineStr">
        <is>
          <t>Atélis at d3</t>
        </is>
      </c>
      <c r="C5" t="inlineStr">
        <is>
          <t>Meraas</t>
        </is>
      </c>
      <c r="D5" t="inlineStr">
        <is>
          <t>Dubai Design District (d3)</t>
        </is>
      </c>
      <c r="E5" t="inlineStr">
        <is>
          <t>Apartments &amp; Sky Villas</t>
        </is>
      </c>
      <c r="F5" s="7" t="inlineStr">
        <is>
          <t>Waterfront / Design-Led</t>
        </is>
      </c>
      <c r="G5" t="inlineStr">
        <is>
          <t>2.1M</t>
        </is>
      </c>
      <c r="H5" t="inlineStr">
        <is>
          <t>TBA</t>
        </is>
      </c>
      <c r="I5" t="inlineStr">
        <is>
          <t>TBA</t>
        </is>
      </c>
      <c r="J5" t="inlineStr">
        <is>
          <t>50/50</t>
        </is>
      </c>
      <c r="K5" t="inlineStr">
        <is>
          <t>Q1 2026</t>
        </is>
      </c>
      <c r="L5" t="inlineStr">
        <is>
          <t>5.0-6.0</t>
        </is>
      </c>
      <c r="M5" t="inlineStr">
        <is>
          <t>4-7</t>
        </is>
      </c>
      <c r="N5" t="inlineStr">
        <is>
          <t>9.0-13.0</t>
        </is>
      </c>
      <c r="O5" s="7" t="inlineStr">
        <is>
          <t>Hartland Intl / North London Collegiate</t>
        </is>
      </c>
      <c r="P5" s="7" t="inlineStr">
        <is>
          <t>Medcare / Emirates Hospital</t>
        </is>
      </c>
      <c r="Q5" s="7" t="inlineStr">
        <is>
          <t>Dubai Mall</t>
        </is>
      </c>
      <c r="R5" s="7" t="inlineStr">
        <is>
          <t>Ras Al Khor Rd / Al Khail Rd</t>
        </is>
      </c>
      <c r="S5" t="n">
        <v>6</v>
      </c>
      <c r="T5" t="n">
        <v>20</v>
      </c>
      <c r="U5" t="n">
        <v>15</v>
      </c>
      <c r="V5" t="n">
        <v>35</v>
      </c>
      <c r="W5" t="n">
        <v>1</v>
      </c>
      <c r="X5" t="n">
        <v>2100000</v>
      </c>
      <c r="Y5" t="n">
        <v>2100000</v>
      </c>
      <c r="Z5" t="n">
        <v>5</v>
      </c>
      <c r="AA5" t="n">
        <v>6</v>
      </c>
      <c r="AB5" t="n">
        <v>4</v>
      </c>
      <c r="AC5" t="n">
        <v>7</v>
      </c>
      <c r="AD5" t="n">
        <v>9</v>
      </c>
      <c r="AE5" t="n">
        <v>13</v>
      </c>
      <c r="AF5" t="n">
        <v>2026</v>
      </c>
      <c r="AG5" t="n">
        <v>1</v>
      </c>
      <c r="AH5" t="inlineStr">
        <is>
          <t>Villa</t>
        </is>
      </c>
      <c r="AI5" t="inlineStr">
        <is>
          <t>MainstreamSelective</t>
        </is>
      </c>
      <c r="AJ5" t="inlineStr">
        <is>
          <t>TopTier</t>
        </is>
      </c>
      <c r="AK5" t="inlineStr">
        <is>
          <t>Family-villa resilient</t>
        </is>
      </c>
      <c r="AL5" s="7" t="inlineStr">
        <is>
          <t>Villa/townhouse demand remains relatively firmer, though growth should be slower than the post-2020 surge.</t>
        </is>
      </c>
      <c r="AM5" t="n">
        <v>5.5</v>
      </c>
      <c r="AN5" t="n">
        <v>5.5</v>
      </c>
      <c r="AO5" t="n">
        <v>0.1</v>
      </c>
      <c r="AP5" t="n">
        <v>0</v>
      </c>
      <c r="AQ5" t="n">
        <v>0.015</v>
      </c>
      <c r="AR5" t="n">
        <v>0</v>
      </c>
      <c r="AS5" t="n">
        <v>0.025</v>
      </c>
      <c r="AT5" t="n">
        <v>0.005</v>
      </c>
      <c r="AU5" t="n">
        <v>0</v>
      </c>
      <c r="AV5" t="n">
        <v>-0.005</v>
      </c>
      <c r="AW5" t="n">
        <v>0.0205</v>
      </c>
      <c r="AX5" t="n">
        <v>0.025</v>
      </c>
      <c r="AY5" t="n">
        <v>2078758</v>
      </c>
      <c r="AZ5" t="n">
        <v>2143050</v>
      </c>
      <c r="BA5" t="n">
        <v>2207342</v>
      </c>
      <c r="BB5" t="n">
        <v>2132335</v>
      </c>
      <c r="BC5" t="n">
        <v>2196626</v>
      </c>
      <c r="BD5" t="n">
        <v>2260918</v>
      </c>
      <c r="BE5" t="n">
        <v>2251542</v>
      </c>
      <c r="BF5" s="7" t="inlineStr">
        <is>
          <t>Rules-based enrichment using launch-price anchor, cap-app realization, and 2026 segment conditions.</t>
        </is>
      </c>
      <c r="BG5" t="inlineStr">
        <is>
          <t>2026-03-18</t>
        </is>
      </c>
      <c r="BH5" s="7" t="inlineStr">
        <is>
          <t>Project row added from current web launch/pricing sources</t>
        </is>
      </c>
      <c r="BI5" s="7" t="inlineStr">
        <is>
          <t>https://www.sekene.com/off-plane/atelis-at-d3/</t>
        </is>
      </c>
      <c r="BJ5" t="inlineStr">
        <is>
          <t>web_added</t>
        </is>
      </c>
      <c r="BK5" t="inlineStr">
        <is>
          <t>2026-03-18</t>
        </is>
      </c>
    </row>
    <row r="6">
      <c r="A6" t="n">
        <v>541</v>
      </c>
      <c r="B6" s="7" t="inlineStr">
        <is>
          <t>Jumeirah Asora Bay</t>
        </is>
      </c>
      <c r="C6" t="inlineStr">
        <is>
          <t>Meraas</t>
        </is>
      </c>
      <c r="D6" t="inlineStr">
        <is>
          <t>La Mer / Jumeirah</t>
        </is>
      </c>
      <c r="E6" t="inlineStr">
        <is>
          <t>Apartments, Villas &amp; Penthouses</t>
        </is>
      </c>
      <c r="F6" s="7" t="inlineStr">
        <is>
          <t>Ultra-Luxury Waterfront</t>
        </is>
      </c>
      <c r="G6" t="inlineStr">
        <is>
          <t>45M</t>
        </is>
      </c>
      <c r="H6" t="inlineStr">
        <is>
          <t>TBA</t>
        </is>
      </c>
      <c r="I6" t="inlineStr">
        <is>
          <t>TBA</t>
        </is>
      </c>
      <c r="J6" t="inlineStr">
        <is>
          <t>20/40/40</t>
        </is>
      </c>
      <c r="K6" t="inlineStr">
        <is>
          <t>Q1 2026</t>
        </is>
      </c>
      <c r="L6" t="inlineStr">
        <is>
          <t>2.5-3.5</t>
        </is>
      </c>
      <c r="M6" t="inlineStr">
        <is>
          <t>3-6</t>
        </is>
      </c>
      <c r="N6" t="inlineStr">
        <is>
          <t>5.5-9.5</t>
        </is>
      </c>
      <c r="O6" s="7" t="inlineStr">
        <is>
          <t>Jumeirah College / GEMS Wellington</t>
        </is>
      </c>
      <c r="P6" s="7" t="inlineStr">
        <is>
          <t>Medcare / Emirates Hospital Jumeirah</t>
        </is>
      </c>
      <c r="Q6" s="7" t="inlineStr">
        <is>
          <t>La Mer / Dubai Mall</t>
        </is>
      </c>
      <c r="R6" s="7" t="inlineStr">
        <is>
          <t>Jumeirah St / Sheikh Zayed Rd</t>
        </is>
      </c>
      <c r="S6" t="n">
        <v>15</v>
      </c>
      <c r="T6" t="n">
        <v>20</v>
      </c>
      <c r="U6" t="n">
        <v>20</v>
      </c>
      <c r="V6" t="n">
        <v>45</v>
      </c>
      <c r="W6" t="n">
        <v>1</v>
      </c>
      <c r="X6" t="n">
        <v>45000000</v>
      </c>
      <c r="Y6" t="n">
        <v>45000000</v>
      </c>
      <c r="Z6" t="n">
        <v>2.5</v>
      </c>
      <c r="AA6" t="n">
        <v>3.5</v>
      </c>
      <c r="AB6" t="n">
        <v>3</v>
      </c>
      <c r="AC6" t="n">
        <v>6</v>
      </c>
      <c r="AD6" t="n">
        <v>5.5</v>
      </c>
      <c r="AE6" t="n">
        <v>9.5</v>
      </c>
      <c r="AF6" t="n">
        <v>2026</v>
      </c>
      <c r="AG6" t="n">
        <v>1</v>
      </c>
      <c r="AH6" t="inlineStr">
        <is>
          <t>Villa</t>
        </is>
      </c>
      <c r="AI6" t="inlineStr">
        <is>
          <t>Prime</t>
        </is>
      </c>
      <c r="AJ6" t="inlineStr">
        <is>
          <t>TopTier</t>
        </is>
      </c>
      <c r="AK6" t="inlineStr">
        <is>
          <t>Prime resilient / selective</t>
        </is>
      </c>
      <c r="AL6" s="7" t="inlineStr">
        <is>
          <t>Better support from quality, branding, and scarcer prime stock; still entry-price sensitive.</t>
        </is>
      </c>
      <c r="AM6" t="n">
        <v>4.5</v>
      </c>
      <c r="AN6" t="n">
        <v>3</v>
      </c>
      <c r="AO6" t="n">
        <v>0.1</v>
      </c>
      <c r="AP6" t="n">
        <v>0.02</v>
      </c>
      <c r="AQ6" t="n">
        <v>0.015</v>
      </c>
      <c r="AR6" t="n">
        <v>0</v>
      </c>
      <c r="AS6" t="n">
        <v>0.03</v>
      </c>
      <c r="AT6" t="n">
        <v>0.005</v>
      </c>
      <c r="AU6" t="n">
        <v>0</v>
      </c>
      <c r="AV6" t="n">
        <v>-0.005</v>
      </c>
      <c r="AW6" t="n">
        <v>0.0395</v>
      </c>
      <c r="AX6" t="n">
        <v>0.03</v>
      </c>
      <c r="AY6" t="n">
        <v>45374175</v>
      </c>
      <c r="AZ6" t="n">
        <v>46777500</v>
      </c>
      <c r="BA6" t="n">
        <v>48180825</v>
      </c>
      <c r="BB6" t="n">
        <v>46777500</v>
      </c>
      <c r="BC6" t="n">
        <v>48180825</v>
      </c>
      <c r="BD6" t="n">
        <v>49584150</v>
      </c>
      <c r="BE6" t="n">
        <v>49626250</v>
      </c>
      <c r="BF6" s="7" t="inlineStr">
        <is>
          <t>Rules-based enrichment using launch-price anchor, cap-app realization, and 2026 segment conditions.</t>
        </is>
      </c>
      <c r="BG6" t="inlineStr">
        <is>
          <t>2026-03-18</t>
        </is>
      </c>
      <c r="BH6" s="7" t="inlineStr">
        <is>
          <t>Project row added from current web launch/pricing sources</t>
        </is>
      </c>
      <c r="BI6" s="7" t="inlineStr">
        <is>
          <t>https://eplogoffplan.com/projects/jumeirah-asora-bay-by-meraas-apartment/paymentplan-details</t>
        </is>
      </c>
      <c r="BJ6" t="inlineStr">
        <is>
          <t>web_added</t>
        </is>
      </c>
      <c r="BK6" t="inlineStr">
        <is>
          <t>2026-03-18</t>
        </is>
      </c>
    </row>
    <row r="7">
      <c r="A7" t="n">
        <v>542</v>
      </c>
      <c r="B7" s="7" t="inlineStr">
        <is>
          <t>The Acres Villas</t>
        </is>
      </c>
      <c r="C7" t="inlineStr">
        <is>
          <t>Meraas</t>
        </is>
      </c>
      <c r="D7" t="inlineStr">
        <is>
          <t>Dubailand</t>
        </is>
      </c>
      <c r="E7" t="inlineStr">
        <is>
          <t>Villas</t>
        </is>
      </c>
      <c r="F7" s="7" t="inlineStr">
        <is>
          <t>Gated / Nature-Led</t>
        </is>
      </c>
      <c r="G7" t="inlineStr">
        <is>
          <t>5.05M</t>
        </is>
      </c>
      <c r="H7" t="inlineStr">
        <is>
          <t>TBA</t>
        </is>
      </c>
      <c r="I7" t="inlineStr">
        <is>
          <t>TBA</t>
        </is>
      </c>
      <c r="J7" t="inlineStr">
        <is>
          <t>65/35</t>
        </is>
      </c>
      <c r="K7" t="inlineStr">
        <is>
          <t>Q1 2026</t>
        </is>
      </c>
      <c r="L7" t="inlineStr">
        <is>
          <t>4.0-5.0</t>
        </is>
      </c>
      <c r="M7" t="inlineStr">
        <is>
          <t>3-6</t>
        </is>
      </c>
      <c r="N7" t="inlineStr">
        <is>
          <t>7.0-11.0</t>
        </is>
      </c>
      <c r="O7" s="7" t="inlineStr">
        <is>
          <t>GEMS FirstPoint / Repton</t>
        </is>
      </c>
      <c r="P7" s="7" t="inlineStr">
        <is>
          <t>Fakeeh University / Mediclinic Parkview</t>
        </is>
      </c>
      <c r="Q7" s="7" t="inlineStr">
        <is>
          <t>Dubai Outlet Mall / Cityland Mall</t>
        </is>
      </c>
      <c r="R7" s="7" t="inlineStr">
        <is>
          <t>Sheikh Zayed Bin Hamdan / Emirates Rd</t>
        </is>
      </c>
      <c r="S7" t="n">
        <v>25</v>
      </c>
      <c r="T7" t="n">
        <v>25</v>
      </c>
      <c r="U7" t="n">
        <v>30</v>
      </c>
      <c r="V7" t="n">
        <v>35</v>
      </c>
      <c r="W7" t="n">
        <v>1</v>
      </c>
      <c r="X7" t="n">
        <v>5050000</v>
      </c>
      <c r="Y7" t="n">
        <v>5050000</v>
      </c>
      <c r="Z7" t="n">
        <v>4</v>
      </c>
      <c r="AA7" t="n">
        <v>5</v>
      </c>
      <c r="AB7" t="n">
        <v>3</v>
      </c>
      <c r="AC7" t="n">
        <v>6</v>
      </c>
      <c r="AD7" t="n">
        <v>7</v>
      </c>
      <c r="AE7" t="n">
        <v>11</v>
      </c>
      <c r="AF7" t="n">
        <v>2026</v>
      </c>
      <c r="AG7" t="n">
        <v>1</v>
      </c>
      <c r="AH7" t="inlineStr">
        <is>
          <t>Villa</t>
        </is>
      </c>
      <c r="AI7" t="inlineStr">
        <is>
          <t>MainstreamSelective</t>
        </is>
      </c>
      <c r="AJ7" t="inlineStr">
        <is>
          <t>TopTier</t>
        </is>
      </c>
      <c r="AK7" t="inlineStr">
        <is>
          <t>Family-villa resilient</t>
        </is>
      </c>
      <c r="AL7" s="7" t="inlineStr">
        <is>
          <t>Villa/townhouse demand remains relatively firmer, though growth should be slower than the post-2020 surge.</t>
        </is>
      </c>
      <c r="AM7" t="n">
        <v>4.5</v>
      </c>
      <c r="AN7" t="n">
        <v>4.5</v>
      </c>
      <c r="AO7" t="n">
        <v>0.1</v>
      </c>
      <c r="AP7" t="n">
        <v>0</v>
      </c>
      <c r="AQ7" t="n">
        <v>0.015</v>
      </c>
      <c r="AR7" t="n">
        <v>0</v>
      </c>
      <c r="AS7" t="n">
        <v>0.025</v>
      </c>
      <c r="AT7" t="n">
        <v>0.005</v>
      </c>
      <c r="AU7" t="n">
        <v>0</v>
      </c>
      <c r="AV7" t="n">
        <v>-0.005</v>
      </c>
      <c r="AW7" t="n">
        <v>0.0195</v>
      </c>
      <c r="AX7" t="n">
        <v>0.025</v>
      </c>
      <c r="AY7" t="n">
        <v>4994021</v>
      </c>
      <c r="AZ7" t="n">
        <v>5148475</v>
      </c>
      <c r="BA7" t="n">
        <v>5302929</v>
      </c>
      <c r="BB7" t="n">
        <v>5122733</v>
      </c>
      <c r="BC7" t="n">
        <v>5277187</v>
      </c>
      <c r="BD7" t="n">
        <v>5431641</v>
      </c>
      <c r="BE7" t="n">
        <v>5409117</v>
      </c>
      <c r="BF7" s="7" t="inlineStr">
        <is>
          <t>Rules-based enrichment using launch-price anchor, cap-app realization, and 2026 segment conditions.</t>
        </is>
      </c>
      <c r="BG7" t="inlineStr">
        <is>
          <t>2026-03-18</t>
        </is>
      </c>
      <c r="BH7" s="7" t="inlineStr">
        <is>
          <t>Project row added from current web launch/pricing sources</t>
        </is>
      </c>
      <c r="BI7" s="7" t="inlineStr">
        <is>
          <t>https://eplogoffplan.com/projects/acres-by-meraas-villas-dubailand/paymentplan-details</t>
        </is>
      </c>
      <c r="BJ7" t="inlineStr">
        <is>
          <t>web_added</t>
        </is>
      </c>
      <c r="BK7" t="inlineStr">
        <is>
          <t>2026-03-18</t>
        </is>
      </c>
    </row>
    <row r="8">
      <c r="A8" t="n">
        <v>543</v>
      </c>
      <c r="B8" s="7" t="inlineStr">
        <is>
          <t>District One Naya Residences</t>
        </is>
      </c>
      <c r="C8" t="inlineStr">
        <is>
          <t>Nakheel Properties</t>
        </is>
      </c>
      <c r="D8" t="inlineStr">
        <is>
          <t>District One / MBR City</t>
        </is>
      </c>
      <c r="E8" t="inlineStr">
        <is>
          <t>Apartments, Penthouses &amp; Villas</t>
        </is>
      </c>
      <c r="F8" s="7" t="inlineStr">
        <is>
          <t>Lagoon / Waterfront</t>
        </is>
      </c>
      <c r="G8" t="inlineStr">
        <is>
          <t>1.7M</t>
        </is>
      </c>
      <c r="H8" t="inlineStr">
        <is>
          <t>TBA</t>
        </is>
      </c>
      <c r="I8" t="inlineStr">
        <is>
          <t>TBA</t>
        </is>
      </c>
      <c r="J8" t="inlineStr">
        <is>
          <t>65/35</t>
        </is>
      </c>
      <c r="K8" t="inlineStr">
        <is>
          <t>Q1 2025</t>
        </is>
      </c>
      <c r="L8" t="inlineStr">
        <is>
          <t>4.5-5.5</t>
        </is>
      </c>
      <c r="M8" t="inlineStr">
        <is>
          <t>4-7</t>
        </is>
      </c>
      <c r="N8" t="inlineStr">
        <is>
          <t>8.5-12.5</t>
        </is>
      </c>
      <c r="O8" s="7" t="inlineStr">
        <is>
          <t>Hartland Intl / North London Collegiate</t>
        </is>
      </c>
      <c r="P8" s="7" t="inlineStr">
        <is>
          <t>MediClinic City / Emirates Hospital</t>
        </is>
      </c>
      <c r="Q8" s="7" t="inlineStr">
        <is>
          <t>Dubai Mall / Meydan One</t>
        </is>
      </c>
      <c r="R8" s="7" t="inlineStr">
        <is>
          <t>Al Khail Rd / Meydan Rd</t>
        </is>
      </c>
      <c r="S8" t="n">
        <v>12</v>
      </c>
      <c r="T8" t="n">
        <v>22</v>
      </c>
      <c r="U8" t="n">
        <v>18</v>
      </c>
      <c r="V8" t="n">
        <v>40</v>
      </c>
      <c r="W8" t="n">
        <v>1</v>
      </c>
      <c r="X8" t="n">
        <v>1700000</v>
      </c>
      <c r="Y8" t="n">
        <v>1700000</v>
      </c>
      <c r="Z8" t="n">
        <v>4.5</v>
      </c>
      <c r="AA8" t="n">
        <v>5.5</v>
      </c>
      <c r="AB8" t="n">
        <v>4</v>
      </c>
      <c r="AC8" t="n">
        <v>7</v>
      </c>
      <c r="AD8" t="n">
        <v>8.5</v>
      </c>
      <c r="AE8" t="n">
        <v>12.5</v>
      </c>
      <c r="AF8" t="n">
        <v>2025</v>
      </c>
      <c r="AG8" t="n">
        <v>1</v>
      </c>
      <c r="AH8" t="inlineStr">
        <is>
          <t>Villa</t>
        </is>
      </c>
      <c r="AI8" t="inlineStr">
        <is>
          <t>Prime</t>
        </is>
      </c>
      <c r="AJ8" t="inlineStr">
        <is>
          <t>TopTier</t>
        </is>
      </c>
      <c r="AK8" t="inlineStr">
        <is>
          <t>Prime resilient / selective</t>
        </is>
      </c>
      <c r="AL8" s="7" t="inlineStr">
        <is>
          <t>Better support from quality, branding, and scarcer prime stock; still entry-price sensitive.</t>
        </is>
      </c>
      <c r="AM8" t="n">
        <v>5.5</v>
      </c>
      <c r="AN8" t="n">
        <v>5</v>
      </c>
      <c r="AO8" t="n">
        <v>0.4</v>
      </c>
      <c r="AP8" t="n">
        <v>0.02</v>
      </c>
      <c r="AQ8" t="n">
        <v>0.015</v>
      </c>
      <c r="AR8" t="n">
        <v>0</v>
      </c>
      <c r="AS8" t="n">
        <v>0.03</v>
      </c>
      <c r="AT8" t="n">
        <v>0.005</v>
      </c>
      <c r="AU8" t="n">
        <v>0</v>
      </c>
      <c r="AV8" t="n">
        <v>-0.005</v>
      </c>
      <c r="AW8" t="n">
        <v>0.057</v>
      </c>
      <c r="AX8" t="n">
        <v>0.03</v>
      </c>
      <c r="AY8" t="n">
        <v>1742993</v>
      </c>
      <c r="AZ8" t="n">
        <v>1796900</v>
      </c>
      <c r="BA8" t="n">
        <v>1850807</v>
      </c>
      <c r="BB8" t="n">
        <v>1796900</v>
      </c>
      <c r="BC8" t="n">
        <v>1850807</v>
      </c>
      <c r="BD8" t="n">
        <v>1904714</v>
      </c>
      <c r="BE8" t="n">
        <v>1906331</v>
      </c>
      <c r="BF8" s="7" t="inlineStr">
        <is>
          <t>Rules-based enrichment using launch-price anchor, cap-app realization, and 2026 segment conditions.</t>
        </is>
      </c>
      <c r="BG8" t="inlineStr">
        <is>
          <t>2026-03-18</t>
        </is>
      </c>
      <c r="BH8" s="7" t="inlineStr">
        <is>
          <t>Project row added from current web launch/pricing sources</t>
        </is>
      </c>
      <c r="BI8" s="7" t="inlineStr">
        <is>
          <t>https://www.proprain.com/projects/district-one-naya-residences-by-nakheel-download-brochure/</t>
        </is>
      </c>
      <c r="BJ8" t="inlineStr">
        <is>
          <t>web_added</t>
        </is>
      </c>
      <c r="BK8" t="inlineStr">
        <is>
          <t>2026-03-18</t>
        </is>
      </c>
    </row>
    <row r="9">
      <c r="A9" t="n">
        <v>544</v>
      </c>
      <c r="B9" s="7" t="inlineStr">
        <is>
          <t>Rixos Hotel &amp; Residences Dubai Islands</t>
        </is>
      </c>
      <c r="C9" t="inlineStr">
        <is>
          <t>Nakheel Properties</t>
        </is>
      </c>
      <c r="D9" t="inlineStr">
        <is>
          <t>Dubai Islands</t>
        </is>
      </c>
      <c r="E9" t="inlineStr">
        <is>
          <t>Apartments, Duplexes, Beach Houses &amp; Villas</t>
        </is>
      </c>
      <c r="F9" s="7" t="inlineStr">
        <is>
          <t>Branded Waterfront / Resort</t>
        </is>
      </c>
      <c r="G9" t="inlineStr">
        <is>
          <t>2.6M</t>
        </is>
      </c>
      <c r="H9" t="inlineStr">
        <is>
          <t>TBA</t>
        </is>
      </c>
      <c r="I9" t="inlineStr">
        <is>
          <t>TBA</t>
        </is>
      </c>
      <c r="J9" t="inlineStr">
        <is>
          <t>80/20</t>
        </is>
      </c>
      <c r="K9" t="inlineStr">
        <is>
          <t>Q3 2023</t>
        </is>
      </c>
      <c r="L9" t="inlineStr">
        <is>
          <t>4.5-6.0</t>
        </is>
      </c>
      <c r="M9" t="inlineStr">
        <is>
          <t>4-7</t>
        </is>
      </c>
      <c r="N9" t="inlineStr">
        <is>
          <t>8.5-13.0</t>
        </is>
      </c>
      <c r="O9" s="7" t="inlineStr">
        <is>
          <t>The Elite English School / Deira Intl</t>
        </is>
      </c>
      <c r="P9" s="7" t="inlineStr">
        <is>
          <t>Dubai Hospital</t>
        </is>
      </c>
      <c r="Q9" s="7" t="inlineStr">
        <is>
          <t>Souk Al Marfa / Deira City Centre</t>
        </is>
      </c>
      <c r="R9" s="7" t="inlineStr">
        <is>
          <t>Infinity Bridge / Al Khaleej Rd</t>
        </is>
      </c>
      <c r="S9" t="n">
        <v>25</v>
      </c>
      <c r="T9" t="n">
        <v>35</v>
      </c>
      <c r="U9" t="n">
        <v>20</v>
      </c>
      <c r="V9" t="n">
        <v>55</v>
      </c>
      <c r="W9" t="n">
        <v>1</v>
      </c>
      <c r="X9" t="n">
        <v>2600000</v>
      </c>
      <c r="Y9" t="n">
        <v>2600000</v>
      </c>
      <c r="Z9" t="n">
        <v>4.5</v>
      </c>
      <c r="AA9" t="n">
        <v>6</v>
      </c>
      <c r="AB9" t="n">
        <v>4</v>
      </c>
      <c r="AC9" t="n">
        <v>7</v>
      </c>
      <c r="AD9" t="n">
        <v>8.5</v>
      </c>
      <c r="AE9" t="n">
        <v>13</v>
      </c>
      <c r="AF9" t="n">
        <v>2023</v>
      </c>
      <c r="AG9" t="n">
        <v>3</v>
      </c>
      <c r="AH9" t="inlineStr">
        <is>
          <t>Villa</t>
        </is>
      </c>
      <c r="AI9" t="inlineStr">
        <is>
          <t>MainstreamSelective</t>
        </is>
      </c>
      <c r="AJ9" t="inlineStr">
        <is>
          <t>TopTier</t>
        </is>
      </c>
      <c r="AK9" t="inlineStr">
        <is>
          <t>Family-villa resilient</t>
        </is>
      </c>
      <c r="AL9" s="7" t="inlineStr">
        <is>
          <t>Villa/townhouse demand remains relatively firmer, though growth should be slower than the post-2020 surge.</t>
        </is>
      </c>
      <c r="AM9" t="n">
        <v>5.5</v>
      </c>
      <c r="AN9" t="n">
        <v>5.25</v>
      </c>
      <c r="AO9" t="n">
        <v>0.55</v>
      </c>
      <c r="AP9" t="n">
        <v>0</v>
      </c>
      <c r="AQ9" t="n">
        <v>0.015</v>
      </c>
      <c r="AR9" t="n">
        <v>0</v>
      </c>
      <c r="AS9" t="n">
        <v>0.025</v>
      </c>
      <c r="AT9" t="n">
        <v>0.005</v>
      </c>
      <c r="AU9" t="n">
        <v>0</v>
      </c>
      <c r="AV9" t="n">
        <v>-0.005</v>
      </c>
      <c r="AW9" t="n">
        <v>0.04525</v>
      </c>
      <c r="AX9" t="n">
        <v>0.025</v>
      </c>
      <c r="AY9" t="n">
        <v>2636120</v>
      </c>
      <c r="AZ9" t="n">
        <v>2717650</v>
      </c>
      <c r="BA9" t="n">
        <v>2799180</v>
      </c>
      <c r="BB9" t="n">
        <v>2704062</v>
      </c>
      <c r="BC9" t="n">
        <v>2785591</v>
      </c>
      <c r="BD9" t="n">
        <v>2867121</v>
      </c>
      <c r="BE9" t="n">
        <v>2855231</v>
      </c>
      <c r="BF9" s="7" t="inlineStr">
        <is>
          <t>Rules-based enrichment using launch-price anchor, cap-app realization, and 2026 segment conditions.</t>
        </is>
      </c>
      <c r="BG9" t="inlineStr">
        <is>
          <t>2026-03-18</t>
        </is>
      </c>
      <c r="BH9" s="7" t="inlineStr">
        <is>
          <t>Project row added from current web launch/pricing sources</t>
        </is>
      </c>
      <c r="BI9" s="7" t="inlineStr">
        <is>
          <t>https://www.propjunction.ae/projects/nakheel-rixos-dubai-islands-payment-plan</t>
        </is>
      </c>
      <c r="BJ9" t="inlineStr">
        <is>
          <t>web_added</t>
        </is>
      </c>
      <c r="BK9" t="inlineStr">
        <is>
          <t>2026-03-18</t>
        </is>
      </c>
    </row>
    <row r="10">
      <c r="A10" t="n">
        <v>545</v>
      </c>
      <c r="B10" s="7" t="inlineStr">
        <is>
          <t>Palm Beach Towers</t>
        </is>
      </c>
      <c r="C10" t="inlineStr">
        <is>
          <t>Nakheel Properties</t>
        </is>
      </c>
      <c r="D10" t="inlineStr">
        <is>
          <t>Palm Jumeirah</t>
        </is>
      </c>
      <c r="E10" t="inlineStr">
        <is>
          <t>Apartments</t>
        </is>
      </c>
      <c r="F10" s="7" t="inlineStr">
        <is>
          <t>Waterfront / High-Rise</t>
        </is>
      </c>
      <c r="G10" t="inlineStr">
        <is>
          <t>3.6M</t>
        </is>
      </c>
      <c r="H10" t="inlineStr">
        <is>
          <t>TBA</t>
        </is>
      </c>
      <c r="I10" t="inlineStr">
        <is>
          <t>TBA</t>
        </is>
      </c>
      <c r="J10" t="inlineStr">
        <is>
          <t>10/70/20</t>
        </is>
      </c>
      <c r="K10" t="inlineStr">
        <is>
          <t>Q4 2022</t>
        </is>
      </c>
      <c r="L10" t="inlineStr">
        <is>
          <t>4.0-5.0</t>
        </is>
      </c>
      <c r="M10" t="inlineStr">
        <is>
          <t>3-6</t>
        </is>
      </c>
      <c r="N10" t="inlineStr">
        <is>
          <t>7.0-11.0</t>
        </is>
      </c>
      <c r="O10" s="7" t="inlineStr">
        <is>
          <t>GEMS Wellington Intl / Dubai College</t>
        </is>
      </c>
      <c r="P10" s="7" t="inlineStr">
        <is>
          <t>Al Zahra / Saudi German</t>
        </is>
      </c>
      <c r="Q10" s="7" t="inlineStr">
        <is>
          <t>Nakheel Mall / Dubai Marina Mall</t>
        </is>
      </c>
      <c r="R10" s="7" t="inlineStr">
        <is>
          <t>Sheikh Zayed Rd / Palm Monorail</t>
        </is>
      </c>
      <c r="S10" t="n">
        <v>20</v>
      </c>
      <c r="T10" t="n">
        <v>5</v>
      </c>
      <c r="U10" t="n">
        <v>30</v>
      </c>
      <c r="V10" t="n">
        <v>45</v>
      </c>
      <c r="W10" t="n">
        <v>1</v>
      </c>
      <c r="X10" t="n">
        <v>3600000</v>
      </c>
      <c r="Y10" t="n">
        <v>3600000</v>
      </c>
      <c r="Z10" t="n">
        <v>4</v>
      </c>
      <c r="AA10" t="n">
        <v>5</v>
      </c>
      <c r="AB10" t="n">
        <v>3</v>
      </c>
      <c r="AC10" t="n">
        <v>6</v>
      </c>
      <c r="AD10" t="n">
        <v>7</v>
      </c>
      <c r="AE10" t="n">
        <v>11</v>
      </c>
      <c r="AF10" t="n">
        <v>2022</v>
      </c>
      <c r="AG10" t="n">
        <v>4</v>
      </c>
      <c r="AH10" t="inlineStr">
        <is>
          <t>Apartment</t>
        </is>
      </c>
      <c r="AI10" t="inlineStr">
        <is>
          <t>Prime</t>
        </is>
      </c>
      <c r="AJ10" t="inlineStr">
        <is>
          <t>TopTier</t>
        </is>
      </c>
      <c r="AK10" t="inlineStr">
        <is>
          <t>Prime resilient / selective</t>
        </is>
      </c>
      <c r="AL10" s="7" t="inlineStr">
        <is>
          <t>Better support from quality, branding, and scarcer prime stock; still entry-price sensitive.</t>
        </is>
      </c>
      <c r="AM10" t="n">
        <v>4.5</v>
      </c>
      <c r="AN10" t="n">
        <v>4.5</v>
      </c>
      <c r="AO10" t="n">
        <v>0.55</v>
      </c>
      <c r="AP10" t="n">
        <v>0.02</v>
      </c>
      <c r="AQ10" t="n">
        <v>0</v>
      </c>
      <c r="AR10" t="n">
        <v>0</v>
      </c>
      <c r="AS10" t="n">
        <v>0.03</v>
      </c>
      <c r="AT10" t="n">
        <v>0.005</v>
      </c>
      <c r="AU10" t="n">
        <v>0</v>
      </c>
      <c r="AV10" t="n">
        <v>-0.005</v>
      </c>
      <c r="AW10" t="n">
        <v>0.04475</v>
      </c>
      <c r="AX10" t="n">
        <v>0.03</v>
      </c>
      <c r="AY10" t="n">
        <v>3648267</v>
      </c>
      <c r="AZ10" t="n">
        <v>3761100</v>
      </c>
      <c r="BA10" t="n">
        <v>3873933</v>
      </c>
      <c r="BB10" t="n">
        <v>3761100</v>
      </c>
      <c r="BC10" t="n">
        <v>3873933</v>
      </c>
      <c r="BD10" t="n">
        <v>3986766</v>
      </c>
      <c r="BE10" t="n">
        <v>3990151</v>
      </c>
      <c r="BF10" s="7" t="inlineStr">
        <is>
          <t>Rules-based enrichment using launch-price anchor, cap-app realization, and 2026 segment conditions.</t>
        </is>
      </c>
      <c r="BG10" t="inlineStr">
        <is>
          <t>2026-03-18</t>
        </is>
      </c>
      <c r="BH10" s="7" t="inlineStr">
        <is>
          <t>Project row added from current web launch/pricing sources</t>
        </is>
      </c>
      <c r="BI10" s="7" t="inlineStr">
        <is>
          <t>https://eplogoffplan.com/projects/palm-beach-towers-3-at-palm-jumeirah/paymentplan-details</t>
        </is>
      </c>
      <c r="BJ10" t="inlineStr">
        <is>
          <t>web_added</t>
        </is>
      </c>
      <c r="BK10" t="inlineStr">
        <is>
          <t>2026-03-18</t>
        </is>
      </c>
    </row>
    <row r="11">
      <c r="A11" t="n">
        <v>546</v>
      </c>
      <c r="B11" s="7" t="inlineStr">
        <is>
          <t>The Heights Country Club &amp; Wellness</t>
        </is>
      </c>
      <c r="C11" t="inlineStr">
        <is>
          <t>Emaar Properties</t>
        </is>
      </c>
      <c r="D11" t="inlineStr">
        <is>
          <t>Dubai South</t>
        </is>
      </c>
      <c r="E11" t="inlineStr">
        <is>
          <t>Townhouses &amp; Villas</t>
        </is>
      </c>
      <c r="F11" s="7" t="inlineStr">
        <is>
          <t>Wellness / Master Community</t>
        </is>
      </c>
      <c r="G11" t="inlineStr">
        <is>
          <t>2.49M</t>
        </is>
      </c>
      <c r="H11" t="inlineStr">
        <is>
          <t>TBA</t>
        </is>
      </c>
      <c r="I11" t="inlineStr">
        <is>
          <t>TBA</t>
        </is>
      </c>
      <c r="J11" t="inlineStr">
        <is>
          <t>80/20</t>
        </is>
      </c>
      <c r="K11" t="inlineStr">
        <is>
          <t>Q1 2026</t>
        </is>
      </c>
      <c r="L11" t="inlineStr">
        <is>
          <t>4.0-5.0</t>
        </is>
      </c>
      <c r="M11" t="inlineStr">
        <is>
          <t>3-6</t>
        </is>
      </c>
      <c r="N11" t="inlineStr">
        <is>
          <t>7.0-11.0</t>
        </is>
      </c>
      <c r="O11" s="7" t="inlineStr">
        <is>
          <t>Greenfield Intl / Bright Riders</t>
        </is>
      </c>
      <c r="P11" s="7" t="inlineStr">
        <is>
          <t>NMC Royal DIP / Al Maktoum Hospital</t>
        </is>
      </c>
      <c r="Q11" s="7" t="inlineStr">
        <is>
          <t>Expo City / Ibn Battuta Mall</t>
        </is>
      </c>
      <c r="R11" s="7" t="inlineStr">
        <is>
          <t>Emirates Rd / Expo Rd</t>
        </is>
      </c>
      <c r="S11" t="n">
        <v>35</v>
      </c>
      <c r="T11" t="n">
        <v>25</v>
      </c>
      <c r="U11" t="n">
        <v>35</v>
      </c>
      <c r="V11" t="n">
        <v>15</v>
      </c>
      <c r="W11" t="n">
        <v>1</v>
      </c>
      <c r="X11" t="n">
        <v>2490000</v>
      </c>
      <c r="Y11" t="n">
        <v>2490000</v>
      </c>
      <c r="Z11" t="n">
        <v>4</v>
      </c>
      <c r="AA11" t="n">
        <v>5</v>
      </c>
      <c r="AB11" t="n">
        <v>3</v>
      </c>
      <c r="AC11" t="n">
        <v>6</v>
      </c>
      <c r="AD11" t="n">
        <v>7</v>
      </c>
      <c r="AE11" t="n">
        <v>11</v>
      </c>
      <c r="AF11" t="n">
        <v>2026</v>
      </c>
      <c r="AG11" t="n">
        <v>1</v>
      </c>
      <c r="AH11" t="inlineStr">
        <is>
          <t>Villa/Townhouse</t>
        </is>
      </c>
      <c r="AI11" t="inlineStr">
        <is>
          <t>FamilyVilla</t>
        </is>
      </c>
      <c r="AJ11" t="inlineStr">
        <is>
          <t>TopTier</t>
        </is>
      </c>
      <c r="AK11" t="inlineStr">
        <is>
          <t>Family-villa resilient</t>
        </is>
      </c>
      <c r="AL11" s="7" t="inlineStr">
        <is>
          <t>Villa/townhouse demand remains relatively firmer, though growth should be slower than the post-2020 surge.</t>
        </is>
      </c>
      <c r="AM11" t="n">
        <v>4.5</v>
      </c>
      <c r="AN11" t="n">
        <v>4.5</v>
      </c>
      <c r="AO11" t="n">
        <v>0.1</v>
      </c>
      <c r="AP11" t="n">
        <v>0</v>
      </c>
      <c r="AQ11" t="n">
        <v>0.015</v>
      </c>
      <c r="AR11" t="n">
        <v>0</v>
      </c>
      <c r="AS11" t="n">
        <v>0.025</v>
      </c>
      <c r="AT11" t="n">
        <v>0.005</v>
      </c>
      <c r="AU11" t="n">
        <v>0</v>
      </c>
      <c r="AV11" t="n">
        <v>-0.005</v>
      </c>
      <c r="AW11" t="n">
        <v>0.0195</v>
      </c>
      <c r="AX11" t="n">
        <v>0.025</v>
      </c>
      <c r="AY11" t="n">
        <v>2462398</v>
      </c>
      <c r="AZ11" t="n">
        <v>2538555</v>
      </c>
      <c r="BA11" t="n">
        <v>2614712</v>
      </c>
      <c r="BB11" t="n">
        <v>2525862</v>
      </c>
      <c r="BC11" t="n">
        <v>2602019</v>
      </c>
      <c r="BD11" t="n">
        <v>2678176</v>
      </c>
      <c r="BE11" t="n">
        <v>2667069</v>
      </c>
      <c r="BF11" s="7" t="inlineStr">
        <is>
          <t>Rules-based enrichment using launch-price anchor, cap-app realization, and 2026 segment conditions.</t>
        </is>
      </c>
      <c r="BG11" t="inlineStr">
        <is>
          <t>2026-03-18</t>
        </is>
      </c>
      <c r="BH11" s="7" t="inlineStr">
        <is>
          <t>Project row added from current web launch/pricing sources</t>
        </is>
      </c>
      <c r="BI11" s="7" t="inlineStr">
        <is>
          <t>https://eplogoffplan.com/projects/the-heights-country-club-and-wellness-by-emaar/paymentplan-details</t>
        </is>
      </c>
      <c r="BJ11" t="inlineStr">
        <is>
          <t>web_added</t>
        </is>
      </c>
      <c r="BK11" t="inlineStr">
        <is>
          <t>2026-03-18</t>
        </is>
      </c>
    </row>
    <row r="12">
      <c r="A12" t="n">
        <v>547</v>
      </c>
      <c r="B12" s="7" t="inlineStr">
        <is>
          <t>Dubai Mansions</t>
        </is>
      </c>
      <c r="C12" t="inlineStr">
        <is>
          <t>Emaar Properties</t>
        </is>
      </c>
      <c r="D12" t="inlineStr">
        <is>
          <t>Emaar Hills / Dubai Hills Estate</t>
        </is>
      </c>
      <c r="E12" t="inlineStr">
        <is>
          <t>Mansions</t>
        </is>
      </c>
      <c r="F12" s="7" t="inlineStr">
        <is>
          <t>Ultra-Luxury / Golf-Adjacent</t>
        </is>
      </c>
      <c r="G12" t="inlineStr">
        <is>
          <t>TBA</t>
        </is>
      </c>
      <c r="H12" t="inlineStr">
        <is>
          <t>TBA</t>
        </is>
      </c>
      <c r="I12" t="inlineStr">
        <is>
          <t>TBA</t>
        </is>
      </c>
      <c r="J12" t="inlineStr">
        <is>
          <t>TBA</t>
        </is>
      </c>
      <c r="K12" t="inlineStr">
        <is>
          <t>Q3 2025</t>
        </is>
      </c>
      <c r="L12" t="inlineStr">
        <is>
          <t>2.5-3.5</t>
        </is>
      </c>
      <c r="M12" t="inlineStr">
        <is>
          <t>4-7</t>
        </is>
      </c>
      <c r="N12" t="inlineStr">
        <is>
          <t>6.5-10.5</t>
        </is>
      </c>
      <c r="O12" s="7" t="inlineStr">
        <is>
          <t>GEMS Wellington / King’s School Al Barsha</t>
        </is>
      </c>
      <c r="P12" s="7" t="inlineStr">
        <is>
          <t>King’s College Hospital / Mediclinic Parkview</t>
        </is>
      </c>
      <c r="Q12" s="7" t="inlineStr">
        <is>
          <t>Dubai Hills Mall / Mall of the Emirates</t>
        </is>
      </c>
      <c r="R12" s="7" t="inlineStr">
        <is>
          <t>Al Khail Rd / Umm Suqeim St</t>
        </is>
      </c>
      <c r="S12" t="n">
        <v>20</v>
      </c>
      <c r="T12" t="n">
        <v>15</v>
      </c>
      <c r="U12" t="n">
        <v>25</v>
      </c>
      <c r="V12" t="n">
        <v>35</v>
      </c>
      <c r="W12" t="n">
        <v>1</v>
      </c>
      <c r="Z12" t="n">
        <v>2.5</v>
      </c>
      <c r="AA12" t="n">
        <v>3.5</v>
      </c>
      <c r="AB12" t="n">
        <v>4</v>
      </c>
      <c r="AC12" t="n">
        <v>7</v>
      </c>
      <c r="AD12" t="n">
        <v>6.5</v>
      </c>
      <c r="AE12" t="n">
        <v>10.5</v>
      </c>
      <c r="AF12" t="n">
        <v>2025</v>
      </c>
      <c r="AG12" t="n">
        <v>3</v>
      </c>
      <c r="AH12" t="inlineStr">
        <is>
          <t>Villa</t>
        </is>
      </c>
      <c r="AI12" t="inlineStr">
        <is>
          <t>Prime</t>
        </is>
      </c>
      <c r="AJ12" t="inlineStr">
        <is>
          <t>TopTier</t>
        </is>
      </c>
      <c r="AK12" t="inlineStr">
        <is>
          <t>Prime resilient / selective</t>
        </is>
      </c>
      <c r="AL12" s="7" t="inlineStr">
        <is>
          <t>Better support from quality, branding, and scarcer prime stock; still entry-price sensitive.</t>
        </is>
      </c>
      <c r="AM12" t="n">
        <v>5.5</v>
      </c>
      <c r="AN12" t="n">
        <v>3</v>
      </c>
      <c r="AO12" t="n">
        <v>0.27</v>
      </c>
      <c r="AP12" t="n">
        <v>0.02</v>
      </c>
      <c r="AQ12" t="n">
        <v>0.015</v>
      </c>
      <c r="AR12" t="n">
        <v>0</v>
      </c>
      <c r="AS12" t="n">
        <v>0.03</v>
      </c>
      <c r="AT12" t="n">
        <v>0.005</v>
      </c>
      <c r="AU12" t="n">
        <v>0</v>
      </c>
      <c r="AV12" t="n">
        <v>-0.005</v>
      </c>
      <c r="BF12" s="7" t="inlineStr">
        <is>
          <t>Rules-based enrichment using launch-price anchor, cap-app realization, and 2026 segment conditions.</t>
        </is>
      </c>
      <c r="BG12" t="inlineStr">
        <is>
          <t>2026-03-18</t>
        </is>
      </c>
      <c r="BH12" s="7" t="inlineStr">
        <is>
          <t>Project row added from current web launch/pricing sources</t>
        </is>
      </c>
      <c r="BI12" s="7" t="inlineStr">
        <is>
          <t>https://properties.emaar.com/en/press-release-listing/emaar-to-reveal-its-iconic-ultra-luxury-address-dubai-mansions/</t>
        </is>
      </c>
      <c r="BJ12" t="inlineStr">
        <is>
          <t>web_added</t>
        </is>
      </c>
      <c r="BK12" t="inlineStr">
        <is>
          <t>2026-03-18</t>
        </is>
      </c>
    </row>
  </sheetData>
  <autoFilter ref="A1:BK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8" customWidth="1" min="4" max="4"/>
    <col width="24" customWidth="1" min="5" max="5"/>
    <col width="21" customWidth="1" min="6" max="6"/>
    <col width="23" customWidth="1" min="7" max="7"/>
    <col width="26" customWidth="1" min="8" max="8"/>
    <col width="21" customWidth="1" min="9" max="9"/>
    <col width="16" customWidth="1" min="10" max="10"/>
    <col width="14" customWidth="1" min="11" max="11"/>
    <col width="13" customWidth="1" min="12" max="12"/>
    <col width="16" customWidth="1" min="13" max="13"/>
    <col width="12" customWidth="1" min="14" max="14"/>
    <col width="16" customWidth="1" min="15" max="15"/>
    <col width="30" customWidth="1" min="16" max="16"/>
    <col width="25" customWidth="1" min="17" max="17"/>
    <col width="26" customWidth="1" min="18" max="18"/>
    <col width="19" customWidth="1" min="19" max="19"/>
    <col width="12" customWidth="1" min="20" max="20"/>
    <col width="16" customWidth="1" min="21" max="21"/>
    <col width="13" customWidth="1" min="22" max="22"/>
    <col width="13" customWidth="1" min="23" max="23"/>
    <col width="30" customWidth="1" min="24" max="24"/>
    <col width="26" customWidth="1" min="25" max="25"/>
    <col width="22" customWidth="1" min="26" max="26"/>
    <col width="12" customWidth="1" min="27" max="27"/>
  </cols>
  <sheetData>
    <row r="1">
      <c r="A1" s="1" t="inlineStr">
        <is>
          <t>Raw_Row_ID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Developer</t>
        </is>
      </c>
      <c r="E1" s="1" t="inlineStr">
        <is>
          <t>Location</t>
        </is>
      </c>
      <c r="F1" s="1" t="inlineStr">
        <is>
          <t>Unit Type</t>
        </is>
      </c>
      <c r="G1" s="1" t="inlineStr">
        <is>
          <t>Community Type</t>
        </is>
      </c>
      <c r="H1" s="1" t="inlineStr">
        <is>
          <t>Start Price (AED)</t>
        </is>
      </c>
      <c r="I1" s="1" t="inlineStr">
        <is>
          <t>Price per Sqm (AED)</t>
        </is>
      </c>
      <c r="J1" s="1" t="inlineStr">
        <is>
          <t>Service Charge</t>
        </is>
      </c>
      <c r="K1" s="1" t="inlineStr">
        <is>
          <t>Payment Plan</t>
        </is>
      </c>
      <c r="L1" s="1" t="inlineStr">
        <is>
          <t>Launch Date</t>
        </is>
      </c>
      <c r="M1" s="1" t="inlineStr">
        <is>
          <t>Annual Yield %</t>
        </is>
      </c>
      <c r="N1" s="1" t="inlineStr">
        <is>
          <t>Cap Appr %</t>
        </is>
      </c>
      <c r="O1" s="1" t="inlineStr">
        <is>
          <t>Total Return %</t>
        </is>
      </c>
      <c r="P1" s="1" t="inlineStr">
        <is>
          <t>Nearest Schools</t>
        </is>
      </c>
      <c r="Q1" s="1" t="inlineStr">
        <is>
          <t>Nearest Hospitals</t>
        </is>
      </c>
      <c r="R1" s="1" t="inlineStr">
        <is>
          <t>Nearest Malls</t>
        </is>
      </c>
      <c r="S1" s="1" t="inlineStr">
        <is>
          <t>Main Access Roads</t>
        </is>
      </c>
      <c r="T1" s="1" t="inlineStr">
        <is>
          <t>Mins to DT</t>
        </is>
      </c>
      <c r="U1" s="1" t="inlineStr">
        <is>
          <t>Mins to Marina</t>
        </is>
      </c>
      <c r="V1" s="1" t="inlineStr">
        <is>
          <t>Mins to DXB</t>
        </is>
      </c>
      <c r="W1" s="1" t="inlineStr">
        <is>
          <t>Mins to DWC</t>
        </is>
      </c>
      <c r="X1" s="1" t="inlineStr">
        <is>
          <t>Source_File</t>
        </is>
      </c>
      <c r="Y1" s="1" t="inlineStr">
        <is>
          <t>Added_Project_Source_URL</t>
        </is>
      </c>
      <c r="Z1" s="1" t="inlineStr">
        <is>
          <t>Added_Project_Status</t>
        </is>
      </c>
      <c r="AA1" s="1" t="inlineStr">
        <is>
          <t>Added_On</t>
        </is>
      </c>
    </row>
    <row r="2">
      <c r="A2" t="n">
        <v>1</v>
      </c>
      <c r="B2" t="n">
        <v>1</v>
      </c>
      <c r="C2" t="inlineStr">
        <is>
          <t>Grand Polo Club &amp; Resort</t>
        </is>
      </c>
      <c r="D2" t="inlineStr">
        <is>
          <t>Emaar Properties</t>
        </is>
      </c>
      <c r="E2" t="inlineStr">
        <is>
          <t>Near The Oasis/DIP</t>
        </is>
      </c>
      <c r="F2" t="inlineStr">
        <is>
          <t>Villas &amp; Townhouses</t>
        </is>
      </c>
      <c r="G2" t="inlineStr">
        <is>
          <t>Gated / Golf / Equine</t>
        </is>
      </c>
      <c r="H2" t="inlineStr">
        <is>
          <t>3.6M (TH) / 5.7M (Villa)</t>
        </is>
      </c>
      <c r="I2" t="inlineStr">
        <is>
          <t>1400-1600</t>
        </is>
      </c>
      <c r="J2" t="inlineStr">
        <is>
          <t>TBA</t>
        </is>
      </c>
      <c r="K2" t="inlineStr">
        <is>
          <t>80/20</t>
        </is>
      </c>
      <c r="L2" t="inlineStr">
        <is>
          <t>Q1 2025</t>
        </is>
      </c>
      <c r="M2" t="inlineStr">
        <is>
          <t>5.5-6.5</t>
        </is>
      </c>
      <c r="N2" t="inlineStr">
        <is>
          <t>8-12</t>
        </is>
      </c>
      <c r="O2" t="inlineStr">
        <is>
          <t>13.5-18.5</t>
        </is>
      </c>
      <c r="P2" t="inlineStr">
        <is>
          <t>Victory Heights / South View</t>
        </is>
      </c>
      <c r="Q2" t="inlineStr">
        <is>
          <t>NMC Royal DIP</t>
        </is>
      </c>
      <c r="R2" t="inlineStr">
        <is>
          <t>Damac Mall / First Ave</t>
        </is>
      </c>
      <c r="S2" t="inlineStr">
        <is>
          <t>Yalayis St / E611</t>
        </is>
      </c>
      <c r="T2" t="inlineStr">
        <is>
          <t>25</t>
        </is>
      </c>
      <c r="U2" t="inlineStr">
        <is>
          <t>20</t>
        </is>
      </c>
      <c r="V2" t="inlineStr">
        <is>
          <t>30</t>
        </is>
      </c>
      <c r="W2" t="inlineStr">
        <is>
          <t>18</t>
        </is>
      </c>
      <c r="X2" t="inlineStr">
        <is>
          <t>Guild_real_estate_master.csv</t>
        </is>
      </c>
    </row>
    <row r="3">
      <c r="A3" t="n">
        <v>2</v>
      </c>
      <c r="B3" t="n">
        <v>2</v>
      </c>
      <c r="C3" t="inlineStr">
        <is>
          <t>Equiterra (Phases 1 &amp; 2)</t>
        </is>
      </c>
      <c r="D3" t="inlineStr">
        <is>
          <t>Emaar Properties</t>
        </is>
      </c>
      <c r="E3" t="inlineStr">
        <is>
          <t>Grand Polo Club</t>
        </is>
      </c>
      <c r="F3" t="inlineStr">
        <is>
          <t>Townhouses</t>
        </is>
      </c>
      <c r="G3" t="inlineStr">
        <is>
          <t>Gated Community</t>
        </is>
      </c>
      <c r="H3" t="inlineStr">
        <is>
          <t>3.6M</t>
        </is>
      </c>
      <c r="I3" t="inlineStr">
        <is>
          <t>1450</t>
        </is>
      </c>
      <c r="J3" t="inlineStr">
        <is>
          <t>TBA</t>
        </is>
      </c>
      <c r="K3" t="inlineStr">
        <is>
          <t>80/20</t>
        </is>
      </c>
      <c r="L3" t="inlineStr">
        <is>
          <t>Q1 2025</t>
        </is>
      </c>
      <c r="M3" t="inlineStr">
        <is>
          <t>5.5-6.0</t>
        </is>
      </c>
      <c r="N3" t="inlineStr">
        <is>
          <t>8-12</t>
        </is>
      </c>
      <c r="O3" t="inlineStr">
        <is>
          <t>13.5-18.0</t>
        </is>
      </c>
      <c r="P3" t="inlineStr">
        <is>
          <t>Victory Heights / South View</t>
        </is>
      </c>
      <c r="Q3" t="inlineStr">
        <is>
          <t>NMC Royal DIP</t>
        </is>
      </c>
      <c r="R3" t="inlineStr">
        <is>
          <t>Damac Mall / First Ave</t>
        </is>
      </c>
      <c r="S3" t="inlineStr">
        <is>
          <t>Yalayis St / E611</t>
        </is>
      </c>
      <c r="T3" t="inlineStr">
        <is>
          <t>25</t>
        </is>
      </c>
      <c r="U3" t="inlineStr">
        <is>
          <t>20</t>
        </is>
      </c>
      <c r="V3" t="inlineStr">
        <is>
          <t>30</t>
        </is>
      </c>
      <c r="W3" t="inlineStr">
        <is>
          <t>18</t>
        </is>
      </c>
      <c r="X3" t="inlineStr">
        <is>
          <t>Guild_real_estate_master.csv</t>
        </is>
      </c>
    </row>
    <row r="4">
      <c r="A4" t="n">
        <v>3</v>
      </c>
      <c r="B4" t="n">
        <v>3</v>
      </c>
      <c r="C4" t="inlineStr">
        <is>
          <t>Equestra</t>
        </is>
      </c>
      <c r="D4" t="inlineStr">
        <is>
          <t>Emaar Properties</t>
        </is>
      </c>
      <c r="E4" t="inlineStr">
        <is>
          <t>Grand Polo Club</t>
        </is>
      </c>
      <c r="F4" t="inlineStr">
        <is>
          <t>Townhouses</t>
        </is>
      </c>
      <c r="G4" t="inlineStr">
        <is>
          <t>Gated Community</t>
        </is>
      </c>
      <c r="H4" t="inlineStr">
        <is>
          <t>3.7M</t>
        </is>
      </c>
      <c r="I4" t="inlineStr">
        <is>
          <t>1450</t>
        </is>
      </c>
      <c r="J4" t="inlineStr">
        <is>
          <t>TBA</t>
        </is>
      </c>
      <c r="K4" t="inlineStr">
        <is>
          <t>80/20</t>
        </is>
      </c>
      <c r="L4" t="inlineStr">
        <is>
          <t>Q1 2025</t>
        </is>
      </c>
      <c r="M4" t="inlineStr">
        <is>
          <t>5.5-6.0</t>
        </is>
      </c>
      <c r="N4" t="inlineStr">
        <is>
          <t>8-12</t>
        </is>
      </c>
      <c r="O4" t="inlineStr">
        <is>
          <t>13.5-18.0</t>
        </is>
      </c>
      <c r="P4" t="inlineStr">
        <is>
          <t>Victory Heights / South View</t>
        </is>
      </c>
      <c r="Q4" t="inlineStr">
        <is>
          <t>NMC Royal DIP</t>
        </is>
      </c>
      <c r="R4" t="inlineStr">
        <is>
          <t>Damac Mall / First Ave</t>
        </is>
      </c>
      <c r="S4" t="inlineStr">
        <is>
          <t>Yalayis St / E611</t>
        </is>
      </c>
      <c r="T4" t="inlineStr">
        <is>
          <t>25</t>
        </is>
      </c>
      <c r="U4" t="inlineStr">
        <is>
          <t>20</t>
        </is>
      </c>
      <c r="V4" t="inlineStr">
        <is>
          <t>30</t>
        </is>
      </c>
      <c r="W4" t="inlineStr">
        <is>
          <t>18</t>
        </is>
      </c>
      <c r="X4" t="inlineStr">
        <is>
          <t>Guild_real_estate_master.csv</t>
        </is>
      </c>
    </row>
    <row r="5">
      <c r="A5" t="n">
        <v>4</v>
      </c>
      <c r="B5" t="n">
        <v>4</v>
      </c>
      <c r="C5" t="inlineStr">
        <is>
          <t>Chevalia Estate 2</t>
        </is>
      </c>
      <c r="D5" t="inlineStr">
        <is>
          <t>Emaar Properties</t>
        </is>
      </c>
      <c r="E5" t="inlineStr">
        <is>
          <t>Grand Polo Club</t>
        </is>
      </c>
      <c r="F5" t="inlineStr">
        <is>
          <t>Villas (Large)</t>
        </is>
      </c>
      <c r="G5" t="inlineStr">
        <is>
          <t>Gated Community</t>
        </is>
      </c>
      <c r="H5" t="inlineStr">
        <is>
          <t>7.9M</t>
        </is>
      </c>
      <c r="I5" t="inlineStr">
        <is>
          <t>1600</t>
        </is>
      </c>
      <c r="J5" t="inlineStr">
        <is>
          <t>TBA</t>
        </is>
      </c>
      <c r="K5" t="inlineStr">
        <is>
          <t>80/20</t>
        </is>
      </c>
      <c r="L5" t="inlineStr">
        <is>
          <t>Q1 2025</t>
        </is>
      </c>
      <c r="M5" t="inlineStr">
        <is>
          <t>4.5-5.5</t>
        </is>
      </c>
      <c r="N5" t="inlineStr">
        <is>
          <t>8-12</t>
        </is>
      </c>
      <c r="O5" t="inlineStr">
        <is>
          <t>12.5-17.5</t>
        </is>
      </c>
      <c r="P5" t="inlineStr">
        <is>
          <t>Victory Heights / South View</t>
        </is>
      </c>
      <c r="Q5" t="inlineStr">
        <is>
          <t>NMC Royal DIP</t>
        </is>
      </c>
      <c r="R5" t="inlineStr">
        <is>
          <t>Damac Mall / First Ave</t>
        </is>
      </c>
      <c r="S5" t="inlineStr">
        <is>
          <t>Yalayis St / E611</t>
        </is>
      </c>
      <c r="T5" t="inlineStr">
        <is>
          <t>25</t>
        </is>
      </c>
      <c r="U5" t="inlineStr">
        <is>
          <t>20</t>
        </is>
      </c>
      <c r="V5" t="inlineStr">
        <is>
          <t>30</t>
        </is>
      </c>
      <c r="W5" t="inlineStr">
        <is>
          <t>18</t>
        </is>
      </c>
      <c r="X5" t="inlineStr">
        <is>
          <t>Guild_real_estate_master.csv</t>
        </is>
      </c>
    </row>
    <row r="6">
      <c r="A6" t="n">
        <v>5</v>
      </c>
      <c r="B6" t="n">
        <v>5</v>
      </c>
      <c r="C6" t="inlineStr">
        <is>
          <t>Selvara (Phases 3 &amp; 4)</t>
        </is>
      </c>
      <c r="D6" t="inlineStr">
        <is>
          <t>Emaar Properties</t>
        </is>
      </c>
      <c r="E6" t="inlineStr">
        <is>
          <t>Grand Polo Club</t>
        </is>
      </c>
      <c r="F6" t="inlineStr">
        <is>
          <t>Villas</t>
        </is>
      </c>
      <c r="G6" t="inlineStr">
        <is>
          <t>Gated Community</t>
        </is>
      </c>
      <c r="H6" t="inlineStr">
        <is>
          <t>6.2M</t>
        </is>
      </c>
      <c r="I6" t="inlineStr">
        <is>
          <t>1550</t>
        </is>
      </c>
      <c r="J6" t="inlineStr">
        <is>
          <t>TBA</t>
        </is>
      </c>
      <c r="K6" t="inlineStr">
        <is>
          <t>80/20</t>
        </is>
      </c>
      <c r="L6" t="inlineStr">
        <is>
          <t>Q1 2025</t>
        </is>
      </c>
      <c r="M6" t="inlineStr">
        <is>
          <t>5.0-5.5</t>
        </is>
      </c>
      <c r="N6" t="inlineStr">
        <is>
          <t>8-12</t>
        </is>
      </c>
      <c r="O6" t="inlineStr">
        <is>
          <t>13.0-17.5</t>
        </is>
      </c>
      <c r="P6" t="inlineStr">
        <is>
          <t>Victory Heights / South View</t>
        </is>
      </c>
      <c r="Q6" t="inlineStr">
        <is>
          <t>NMC Royal DIP</t>
        </is>
      </c>
      <c r="R6" t="inlineStr">
        <is>
          <t>Damac Mall / First Ave</t>
        </is>
      </c>
      <c r="S6" t="inlineStr">
        <is>
          <t>Yalayis St / E611</t>
        </is>
      </c>
      <c r="T6" t="inlineStr">
        <is>
          <t>25</t>
        </is>
      </c>
      <c r="U6" t="inlineStr">
        <is>
          <t>20</t>
        </is>
      </c>
      <c r="V6" t="inlineStr">
        <is>
          <t>30</t>
        </is>
      </c>
      <c r="W6" t="inlineStr">
        <is>
          <t>18</t>
        </is>
      </c>
      <c r="X6" t="inlineStr">
        <is>
          <t>Guild_real_estate_master.csv</t>
        </is>
      </c>
    </row>
    <row r="7">
      <c r="A7" t="n">
        <v>6</v>
      </c>
      <c r="B7" t="n">
        <v>6</v>
      </c>
      <c r="C7" t="inlineStr">
        <is>
          <t>Rashid Yachts &amp; Marina</t>
        </is>
      </c>
      <c r="D7" t="inlineStr">
        <is>
          <t>Emaar Properties</t>
        </is>
      </c>
      <c r="E7" t="inlineStr">
        <is>
          <t>Mina Rashid</t>
        </is>
      </c>
      <c r="F7" t="inlineStr">
        <is>
          <t>Mixed</t>
        </is>
      </c>
      <c r="G7" t="inlineStr">
        <is>
          <t>Waterfront / Marina</t>
        </is>
      </c>
      <c r="J7" t="inlineStr">
        <is>
          <t>25-30</t>
        </is>
      </c>
      <c r="K7" t="inlineStr">
        <is>
          <t>Varies</t>
        </is>
      </c>
      <c r="L7" t="inlineStr">
        <is>
          <t>2023-2025</t>
        </is>
      </c>
      <c r="M7" t="inlineStr">
        <is>
          <t>5.5-6.5</t>
        </is>
      </c>
      <c r="N7" t="inlineStr">
        <is>
          <t>10-15</t>
        </is>
      </c>
      <c r="O7" t="inlineStr">
        <is>
          <t>15.5-21.5</t>
        </is>
      </c>
      <c r="P7" t="inlineStr">
        <is>
          <t>New Academy School</t>
        </is>
      </c>
      <c r="Q7" t="inlineStr">
        <is>
          <t>Aster Hospital Mankhool</t>
        </is>
      </c>
      <c r="R7" t="inlineStr">
        <is>
          <t>Dubai Mall / City Centre</t>
        </is>
      </c>
      <c r="S7" t="inlineStr">
        <is>
          <t>Al Khaleej / E11</t>
        </is>
      </c>
      <c r="T7" t="inlineStr">
        <is>
          <t>15</t>
        </is>
      </c>
      <c r="U7" t="inlineStr">
        <is>
          <t>25</t>
        </is>
      </c>
      <c r="V7" t="inlineStr">
        <is>
          <t>15</t>
        </is>
      </c>
      <c r="W7" t="inlineStr">
        <is>
          <t>45</t>
        </is>
      </c>
      <c r="X7" t="inlineStr">
        <is>
          <t>Guild_real_estate_master.csv</t>
        </is>
      </c>
    </row>
    <row r="8">
      <c r="A8" t="n">
        <v>7</v>
      </c>
      <c r="B8" t="n">
        <v>7</v>
      </c>
      <c r="C8" t="inlineStr">
        <is>
          <t>Aurea</t>
        </is>
      </c>
      <c r="D8" t="inlineStr">
        <is>
          <t>Emaar Properties</t>
        </is>
      </c>
      <c r="E8" t="inlineStr">
        <is>
          <t>Rashid Yachts &amp; Marina</t>
        </is>
      </c>
      <c r="F8" t="inlineStr">
        <is>
          <t>Apartments</t>
        </is>
      </c>
      <c r="G8" t="inlineStr">
        <is>
          <t>Waterfront</t>
        </is>
      </c>
      <c r="H8" t="inlineStr">
        <is>
          <t>1.8M</t>
        </is>
      </c>
      <c r="I8" t="inlineStr">
        <is>
          <t>2200</t>
        </is>
      </c>
      <c r="J8" t="inlineStr">
        <is>
          <t>25</t>
        </is>
      </c>
      <c r="K8" t="inlineStr">
        <is>
          <t>80/20</t>
        </is>
      </c>
      <c r="L8" t="inlineStr">
        <is>
          <t>2024</t>
        </is>
      </c>
      <c r="M8" t="inlineStr">
        <is>
          <t>5.5-6.0</t>
        </is>
      </c>
      <c r="N8" t="inlineStr">
        <is>
          <t>10-12</t>
        </is>
      </c>
      <c r="O8" t="inlineStr">
        <is>
          <t>15.5-18.0</t>
        </is>
      </c>
      <c r="P8" t="inlineStr">
        <is>
          <t>New Academy School</t>
        </is>
      </c>
      <c r="Q8" t="inlineStr">
        <is>
          <t>Aster Hospital Mankhool</t>
        </is>
      </c>
      <c r="R8" t="inlineStr">
        <is>
          <t>Dubai Mall / City Centre</t>
        </is>
      </c>
      <c r="S8" t="inlineStr">
        <is>
          <t>Al Khaleej / E11</t>
        </is>
      </c>
      <c r="T8" t="inlineStr">
        <is>
          <t>15</t>
        </is>
      </c>
      <c r="U8" t="inlineStr">
        <is>
          <t>25</t>
        </is>
      </c>
      <c r="V8" t="inlineStr">
        <is>
          <t>15</t>
        </is>
      </c>
      <c r="W8" t="inlineStr">
        <is>
          <t>45</t>
        </is>
      </c>
      <c r="X8" t="inlineStr">
        <is>
          <t>Guild_real_estate_master.csv</t>
        </is>
      </c>
    </row>
    <row r="9">
      <c r="A9" t="n">
        <v>8</v>
      </c>
      <c r="B9" t="n">
        <v>8</v>
      </c>
      <c r="C9" t="inlineStr">
        <is>
          <t>Pier Point</t>
        </is>
      </c>
      <c r="D9" t="inlineStr">
        <is>
          <t>Emaar Properties</t>
        </is>
      </c>
      <c r="E9" t="inlineStr">
        <is>
          <t>Rashid Yachts &amp; Marina</t>
        </is>
      </c>
      <c r="F9" t="inlineStr">
        <is>
          <t>Apartments</t>
        </is>
      </c>
      <c r="G9" t="inlineStr">
        <is>
          <t>Waterfront</t>
        </is>
      </c>
      <c r="H9" t="inlineStr">
        <is>
          <t>2.1M</t>
        </is>
      </c>
      <c r="I9" t="inlineStr">
        <is>
          <t>2300</t>
        </is>
      </c>
      <c r="J9" t="inlineStr">
        <is>
          <t>25</t>
        </is>
      </c>
      <c r="K9" t="inlineStr">
        <is>
          <t>80/20</t>
        </is>
      </c>
      <c r="L9" t="inlineStr">
        <is>
          <t>2024</t>
        </is>
      </c>
      <c r="M9" t="inlineStr">
        <is>
          <t>5.5-6.0</t>
        </is>
      </c>
      <c r="N9" t="inlineStr">
        <is>
          <t>10-12</t>
        </is>
      </c>
      <c r="O9" t="inlineStr">
        <is>
          <t>15.5-18.0</t>
        </is>
      </c>
      <c r="P9" t="inlineStr">
        <is>
          <t>New Academy School</t>
        </is>
      </c>
      <c r="Q9" t="inlineStr">
        <is>
          <t>Aster Hospital Mankhool</t>
        </is>
      </c>
      <c r="R9" t="inlineStr">
        <is>
          <t>Dubai Mall / City Centre</t>
        </is>
      </c>
      <c r="S9" t="inlineStr">
        <is>
          <t>Al Khaleej / E11</t>
        </is>
      </c>
      <c r="T9" t="inlineStr">
        <is>
          <t>15</t>
        </is>
      </c>
      <c r="U9" t="inlineStr">
        <is>
          <t>25</t>
        </is>
      </c>
      <c r="V9" t="inlineStr">
        <is>
          <t>15</t>
        </is>
      </c>
      <c r="W9" t="inlineStr">
        <is>
          <t>45</t>
        </is>
      </c>
      <c r="X9" t="inlineStr">
        <is>
          <t>Guild_real_estate_master.csv</t>
        </is>
      </c>
    </row>
    <row r="10">
      <c r="A10" t="n">
        <v>9</v>
      </c>
      <c r="B10" t="n">
        <v>9</v>
      </c>
      <c r="C10" t="inlineStr">
        <is>
          <t>Marina Cove</t>
        </is>
      </c>
      <c r="D10" t="inlineStr">
        <is>
          <t>Emaar Properties</t>
        </is>
      </c>
      <c r="E10" t="inlineStr">
        <is>
          <t>Rashid Yachts &amp; Marina</t>
        </is>
      </c>
      <c r="F10" t="inlineStr">
        <is>
          <t>Apartments</t>
        </is>
      </c>
      <c r="G10" t="inlineStr">
        <is>
          <t>Waterfront</t>
        </is>
      </c>
      <c r="H10" t="inlineStr">
        <is>
          <t>1.9M</t>
        </is>
      </c>
      <c r="I10" t="inlineStr">
        <is>
          <t>2250</t>
        </is>
      </c>
      <c r="J10" t="inlineStr">
        <is>
          <t>25</t>
        </is>
      </c>
      <c r="K10" t="inlineStr">
        <is>
          <t>80/20</t>
        </is>
      </c>
      <c r="L10" t="inlineStr">
        <is>
          <t>2024</t>
        </is>
      </c>
      <c r="M10" t="inlineStr">
        <is>
          <t>5.5-6.0</t>
        </is>
      </c>
      <c r="N10" t="inlineStr">
        <is>
          <t>10-12</t>
        </is>
      </c>
      <c r="O10" t="inlineStr">
        <is>
          <t>15.5-18.0</t>
        </is>
      </c>
      <c r="P10" t="inlineStr">
        <is>
          <t>New Academy School</t>
        </is>
      </c>
      <c r="Q10" t="inlineStr">
        <is>
          <t>Aster Hospital Mankhool</t>
        </is>
      </c>
      <c r="R10" t="inlineStr">
        <is>
          <t>Dubai Mall / City Centre</t>
        </is>
      </c>
      <c r="S10" t="inlineStr">
        <is>
          <t>Al Khaleej / E11</t>
        </is>
      </c>
      <c r="T10" t="inlineStr">
        <is>
          <t>15</t>
        </is>
      </c>
      <c r="U10" t="inlineStr">
        <is>
          <t>25</t>
        </is>
      </c>
      <c r="V10" t="inlineStr">
        <is>
          <t>15</t>
        </is>
      </c>
      <c r="W10" t="inlineStr">
        <is>
          <t>45</t>
        </is>
      </c>
      <c r="X10" t="inlineStr">
        <is>
          <t>Guild_real_estate_master.csv</t>
        </is>
      </c>
    </row>
    <row r="11">
      <c r="A11" t="n">
        <v>10</v>
      </c>
      <c r="B11" t="n">
        <v>10</v>
      </c>
      <c r="C11" t="inlineStr">
        <is>
          <t>Sera 2</t>
        </is>
      </c>
      <c r="D11" t="inlineStr">
        <is>
          <t>Emaar Properties</t>
        </is>
      </c>
      <c r="E11" t="inlineStr">
        <is>
          <t>Rashid Yachts &amp; Marina</t>
        </is>
      </c>
      <c r="F11" t="inlineStr">
        <is>
          <t>Apartments</t>
        </is>
      </c>
      <c r="G11" t="inlineStr">
        <is>
          <t>Waterfront</t>
        </is>
      </c>
      <c r="H11" t="inlineStr">
        <is>
          <t>1.7M</t>
        </is>
      </c>
      <c r="I11" t="inlineStr">
        <is>
          <t>2100</t>
        </is>
      </c>
      <c r="J11" t="inlineStr">
        <is>
          <t>25</t>
        </is>
      </c>
      <c r="K11" t="inlineStr">
        <is>
          <t>80/20</t>
        </is>
      </c>
      <c r="L11" t="inlineStr">
        <is>
          <t>2024</t>
        </is>
      </c>
      <c r="M11" t="inlineStr">
        <is>
          <t>6.0-6.5</t>
        </is>
      </c>
      <c r="N11" t="inlineStr">
        <is>
          <t>10-12</t>
        </is>
      </c>
      <c r="O11" t="inlineStr">
        <is>
          <t>16.0-18.5</t>
        </is>
      </c>
      <c r="P11" t="inlineStr">
        <is>
          <t>New Academy School</t>
        </is>
      </c>
      <c r="Q11" t="inlineStr">
        <is>
          <t>Aster Hospital Mankhool</t>
        </is>
      </c>
      <c r="R11" t="inlineStr">
        <is>
          <t>Dubai Mall / City Centre</t>
        </is>
      </c>
      <c r="S11" t="inlineStr">
        <is>
          <t>Al Khaleej / E11</t>
        </is>
      </c>
      <c r="T11" t="inlineStr">
        <is>
          <t>15</t>
        </is>
      </c>
      <c r="U11" t="inlineStr">
        <is>
          <t>25</t>
        </is>
      </c>
      <c r="V11" t="inlineStr">
        <is>
          <t>15</t>
        </is>
      </c>
      <c r="W11" t="inlineStr">
        <is>
          <t>45</t>
        </is>
      </c>
      <c r="X11" t="inlineStr">
        <is>
          <t>Guild_real_estate_master.csv</t>
        </is>
      </c>
    </row>
    <row r="12">
      <c r="A12" t="n">
        <v>11</v>
      </c>
      <c r="B12" t="n">
        <v>11</v>
      </c>
      <c r="C12" t="inlineStr">
        <is>
          <t>Ocean Cove</t>
        </is>
      </c>
      <c r="D12" t="inlineStr">
        <is>
          <t>Emaar Properties</t>
        </is>
      </c>
      <c r="E12" t="inlineStr">
        <is>
          <t>Rashid Yachts &amp; Marina</t>
        </is>
      </c>
      <c r="F12" t="inlineStr">
        <is>
          <t>Apartments</t>
        </is>
      </c>
      <c r="G12" t="inlineStr">
        <is>
          <t>Waterfront</t>
        </is>
      </c>
      <c r="H12" t="inlineStr">
        <is>
          <t>1.8M</t>
        </is>
      </c>
      <c r="I12" t="inlineStr">
        <is>
          <t>2200</t>
        </is>
      </c>
      <c r="J12" t="inlineStr">
        <is>
          <t>25</t>
        </is>
      </c>
      <c r="K12" t="inlineStr">
        <is>
          <t>80/20</t>
        </is>
      </c>
      <c r="L12" t="inlineStr">
        <is>
          <t>2024</t>
        </is>
      </c>
      <c r="M12" t="inlineStr">
        <is>
          <t>5.5-6.0</t>
        </is>
      </c>
      <c r="N12" t="inlineStr">
        <is>
          <t>10-12</t>
        </is>
      </c>
      <c r="O12" t="inlineStr">
        <is>
          <t>15.5-18.0</t>
        </is>
      </c>
      <c r="P12" t="inlineStr">
        <is>
          <t>New Academy School</t>
        </is>
      </c>
      <c r="Q12" t="inlineStr">
        <is>
          <t>Aster Hospital Mankhool</t>
        </is>
      </c>
      <c r="R12" t="inlineStr">
        <is>
          <t>Dubai Mall / City Centre</t>
        </is>
      </c>
      <c r="S12" t="inlineStr">
        <is>
          <t>Al Khaleej / E11</t>
        </is>
      </c>
      <c r="T12" t="inlineStr">
        <is>
          <t>15</t>
        </is>
      </c>
      <c r="U12" t="inlineStr">
        <is>
          <t>25</t>
        </is>
      </c>
      <c r="V12" t="inlineStr">
        <is>
          <t>15</t>
        </is>
      </c>
      <c r="W12" t="inlineStr">
        <is>
          <t>45</t>
        </is>
      </c>
      <c r="X12" t="inlineStr">
        <is>
          <t>Guild_real_estate_master.csv</t>
        </is>
      </c>
    </row>
    <row r="13">
      <c r="A13" t="n">
        <v>12</v>
      </c>
      <c r="B13" t="n">
        <v>12</v>
      </c>
      <c r="C13" t="inlineStr">
        <is>
          <t>Baystar</t>
        </is>
      </c>
      <c r="D13" t="inlineStr">
        <is>
          <t>Emaar Properties</t>
        </is>
      </c>
      <c r="E13" t="inlineStr">
        <is>
          <t>Rashid Yachts &amp; Marina</t>
        </is>
      </c>
      <c r="F13" t="inlineStr">
        <is>
          <t>Apartments</t>
        </is>
      </c>
      <c r="G13" t="inlineStr">
        <is>
          <t>Waterfront</t>
        </is>
      </c>
      <c r="H13" t="inlineStr">
        <is>
          <t>1.75M</t>
        </is>
      </c>
      <c r="I13" t="inlineStr">
        <is>
          <t>2150</t>
        </is>
      </c>
      <c r="J13" t="inlineStr">
        <is>
          <t>25</t>
        </is>
      </c>
      <c r="K13" t="inlineStr">
        <is>
          <t>80/20</t>
        </is>
      </c>
      <c r="L13" t="inlineStr">
        <is>
          <t>2024</t>
        </is>
      </c>
      <c r="M13" t="inlineStr">
        <is>
          <t>5.5-6.0</t>
        </is>
      </c>
      <c r="N13" t="inlineStr">
        <is>
          <t>10-12</t>
        </is>
      </c>
      <c r="O13" t="inlineStr">
        <is>
          <t>15.5-18.0</t>
        </is>
      </c>
      <c r="P13" t="inlineStr">
        <is>
          <t>New Academy School</t>
        </is>
      </c>
      <c r="Q13" t="inlineStr">
        <is>
          <t>Aster Hospital Mankhool</t>
        </is>
      </c>
      <c r="R13" t="inlineStr">
        <is>
          <t>Dubai Mall / City Centre</t>
        </is>
      </c>
      <c r="S13" t="inlineStr">
        <is>
          <t>Al Khaleej / E11</t>
        </is>
      </c>
      <c r="T13" t="inlineStr">
        <is>
          <t>15</t>
        </is>
      </c>
      <c r="U13" t="inlineStr">
        <is>
          <t>25</t>
        </is>
      </c>
      <c r="V13" t="inlineStr">
        <is>
          <t>15</t>
        </is>
      </c>
      <c r="W13" t="inlineStr">
        <is>
          <t>45</t>
        </is>
      </c>
      <c r="X13" t="inlineStr">
        <is>
          <t>Guild_real_estate_master.csv</t>
        </is>
      </c>
    </row>
    <row r="14">
      <c r="A14" t="n">
        <v>13</v>
      </c>
      <c r="B14" t="n">
        <v>13</v>
      </c>
      <c r="C14" t="inlineStr">
        <is>
          <t>Seagate</t>
        </is>
      </c>
      <c r="D14" t="inlineStr">
        <is>
          <t>Emaar Properties</t>
        </is>
      </c>
      <c r="E14" t="inlineStr">
        <is>
          <t>Rashid Yachts &amp; Marina</t>
        </is>
      </c>
      <c r="F14" t="inlineStr">
        <is>
          <t>Apartments</t>
        </is>
      </c>
      <c r="G14" t="inlineStr">
        <is>
          <t>Waterfront</t>
        </is>
      </c>
      <c r="H14" t="inlineStr">
        <is>
          <t>1.6M</t>
        </is>
      </c>
      <c r="I14" t="inlineStr">
        <is>
          <t>2000</t>
        </is>
      </c>
      <c r="J14" t="inlineStr">
        <is>
          <t>25</t>
        </is>
      </c>
      <c r="K14" t="inlineStr">
        <is>
          <t>80/20</t>
        </is>
      </c>
      <c r="L14" t="inlineStr">
        <is>
          <t>2023</t>
        </is>
      </c>
      <c r="M14" t="inlineStr">
        <is>
          <t>6.0-6.5</t>
        </is>
      </c>
      <c r="N14" t="inlineStr">
        <is>
          <t>8-10</t>
        </is>
      </c>
      <c r="O14" t="inlineStr">
        <is>
          <t>14.0-16.5</t>
        </is>
      </c>
      <c r="P14" t="inlineStr">
        <is>
          <t>New Academy School</t>
        </is>
      </c>
      <c r="Q14" t="inlineStr">
        <is>
          <t>Aster Hospital Mankhool</t>
        </is>
      </c>
      <c r="R14" t="inlineStr">
        <is>
          <t>Dubai Mall / City Centre</t>
        </is>
      </c>
      <c r="S14" t="inlineStr">
        <is>
          <t>Al Khaleej / E11</t>
        </is>
      </c>
      <c r="T14" t="inlineStr">
        <is>
          <t>15</t>
        </is>
      </c>
      <c r="U14" t="inlineStr">
        <is>
          <t>25</t>
        </is>
      </c>
      <c r="V14" t="inlineStr">
        <is>
          <t>15</t>
        </is>
      </c>
      <c r="W14" t="inlineStr">
        <is>
          <t>45</t>
        </is>
      </c>
      <c r="X14" t="inlineStr">
        <is>
          <t>Guild_real_estate_master.csv</t>
        </is>
      </c>
    </row>
    <row r="15">
      <c r="A15" t="n">
        <v>14</v>
      </c>
      <c r="B15" t="n">
        <v>14</v>
      </c>
      <c r="C15" t="inlineStr">
        <is>
          <t>Clearpoint</t>
        </is>
      </c>
      <c r="D15" t="inlineStr">
        <is>
          <t>Emaar Properties</t>
        </is>
      </c>
      <c r="E15" t="inlineStr">
        <is>
          <t>Rashid Yachts &amp; Marina</t>
        </is>
      </c>
      <c r="F15" t="inlineStr">
        <is>
          <t>Apartments</t>
        </is>
      </c>
      <c r="G15" t="inlineStr">
        <is>
          <t>Waterfront</t>
        </is>
      </c>
      <c r="H15" t="inlineStr">
        <is>
          <t>1.6M</t>
        </is>
      </c>
      <c r="I15" t="inlineStr">
        <is>
          <t>2000</t>
        </is>
      </c>
      <c r="J15" t="inlineStr">
        <is>
          <t>25</t>
        </is>
      </c>
      <c r="K15" t="inlineStr">
        <is>
          <t>80/20</t>
        </is>
      </c>
      <c r="L15" t="inlineStr">
        <is>
          <t>2023</t>
        </is>
      </c>
      <c r="M15" t="inlineStr">
        <is>
          <t>6.0-6.5</t>
        </is>
      </c>
      <c r="N15" t="inlineStr">
        <is>
          <t>8-10</t>
        </is>
      </c>
      <c r="O15" t="inlineStr">
        <is>
          <t>14.0-16.5</t>
        </is>
      </c>
      <c r="P15" t="inlineStr">
        <is>
          <t>New Academy School</t>
        </is>
      </c>
      <c r="Q15" t="inlineStr">
        <is>
          <t>Aster Hospital Mankhool</t>
        </is>
      </c>
      <c r="R15" t="inlineStr">
        <is>
          <t>Dubai Mall / City Centre</t>
        </is>
      </c>
      <c r="S15" t="inlineStr">
        <is>
          <t>Al Khaleej / E11</t>
        </is>
      </c>
      <c r="T15" t="inlineStr">
        <is>
          <t>15</t>
        </is>
      </c>
      <c r="U15" t="inlineStr">
        <is>
          <t>25</t>
        </is>
      </c>
      <c r="V15" t="inlineStr">
        <is>
          <t>15</t>
        </is>
      </c>
      <c r="W15" t="inlineStr">
        <is>
          <t>45</t>
        </is>
      </c>
      <c r="X15" t="inlineStr">
        <is>
          <t>Guild_real_estate_master.csv</t>
        </is>
      </c>
    </row>
    <row r="16">
      <c r="A16" t="n">
        <v>15</v>
      </c>
      <c r="B16" t="n">
        <v>15</v>
      </c>
      <c r="C16" t="inlineStr">
        <is>
          <t>Sunridge</t>
        </is>
      </c>
      <c r="D16" t="inlineStr">
        <is>
          <t>Emaar Properties</t>
        </is>
      </c>
      <c r="E16" t="inlineStr">
        <is>
          <t>Rashid Yachts &amp; Marina</t>
        </is>
      </c>
      <c r="F16" t="inlineStr">
        <is>
          <t>Apartments</t>
        </is>
      </c>
      <c r="G16" t="inlineStr">
        <is>
          <t>Waterfront</t>
        </is>
      </c>
      <c r="H16" t="inlineStr">
        <is>
          <t>1.55M</t>
        </is>
      </c>
      <c r="I16" t="inlineStr">
        <is>
          <t>1950</t>
        </is>
      </c>
      <c r="J16" t="inlineStr">
        <is>
          <t>25</t>
        </is>
      </c>
      <c r="K16" t="inlineStr">
        <is>
          <t>80/20</t>
        </is>
      </c>
      <c r="L16" t="inlineStr">
        <is>
          <t>2023</t>
        </is>
      </c>
      <c r="M16" t="inlineStr">
        <is>
          <t>6.0-6.5</t>
        </is>
      </c>
      <c r="N16" t="inlineStr">
        <is>
          <t>8-10</t>
        </is>
      </c>
      <c r="O16" t="inlineStr">
        <is>
          <t>14.0-16.5</t>
        </is>
      </c>
      <c r="P16" t="inlineStr">
        <is>
          <t>New Academy School</t>
        </is>
      </c>
      <c r="Q16" t="inlineStr">
        <is>
          <t>Aster Hospital Mankhool</t>
        </is>
      </c>
      <c r="R16" t="inlineStr">
        <is>
          <t>Dubai Mall / City Centre</t>
        </is>
      </c>
      <c r="S16" t="inlineStr">
        <is>
          <t>Al Khaleej / E11</t>
        </is>
      </c>
      <c r="T16" t="inlineStr">
        <is>
          <t>15</t>
        </is>
      </c>
      <c r="U16" t="inlineStr">
        <is>
          <t>25</t>
        </is>
      </c>
      <c r="V16" t="inlineStr">
        <is>
          <t>15</t>
        </is>
      </c>
      <c r="W16" t="inlineStr">
        <is>
          <t>45</t>
        </is>
      </c>
      <c r="X16" t="inlineStr">
        <is>
          <t>Guild_real_estate_master.csv</t>
        </is>
      </c>
    </row>
    <row r="17">
      <c r="A17" t="n">
        <v>16</v>
      </c>
      <c r="B17" t="n">
        <v>16</v>
      </c>
      <c r="C17" t="inlineStr">
        <is>
          <t>Dubai Creek Harbour</t>
        </is>
      </c>
      <c r="D17" t="inlineStr">
        <is>
          <t>Emaar Properties</t>
        </is>
      </c>
      <c r="E17" t="inlineStr">
        <is>
          <t>The Creek</t>
        </is>
      </c>
      <c r="F17" t="inlineStr">
        <is>
          <t>Mixed</t>
        </is>
      </c>
      <c r="G17" t="inlineStr">
        <is>
          <t>Waterfront / City</t>
        </is>
      </c>
      <c r="J17" t="inlineStr">
        <is>
          <t>25-30</t>
        </is>
      </c>
      <c r="K17" t="inlineStr">
        <is>
          <t>Varies</t>
        </is>
      </c>
      <c r="L17" t="inlineStr">
        <is>
          <t>Ongoing</t>
        </is>
      </c>
      <c r="M17" t="inlineStr">
        <is>
          <t>5.5-6.5</t>
        </is>
      </c>
      <c r="N17" t="inlineStr">
        <is>
          <t>9-12</t>
        </is>
      </c>
      <c r="O17" t="inlineStr">
        <is>
          <t>14.5-18.5</t>
        </is>
      </c>
      <c r="P17" t="inlineStr">
        <is>
          <t>Swiss Intl School</t>
        </is>
      </c>
      <c r="Q17" t="inlineStr">
        <is>
          <t>American Hospital</t>
        </is>
      </c>
      <c r="R17" t="inlineStr">
        <is>
          <t>Dubai Festival City</t>
        </is>
      </c>
      <c r="S17" t="inlineStr">
        <is>
          <t>Ras Al Khor / E44</t>
        </is>
      </c>
      <c r="T17" t="inlineStr">
        <is>
          <t>12</t>
        </is>
      </c>
      <c r="U17" t="inlineStr">
        <is>
          <t>25</t>
        </is>
      </c>
      <c r="V17" t="inlineStr">
        <is>
          <t>10</t>
        </is>
      </c>
      <c r="W17" t="inlineStr">
        <is>
          <t>40</t>
        </is>
      </c>
      <c r="X17" t="inlineStr">
        <is>
          <t>Guild_real_estate_master.csv</t>
        </is>
      </c>
    </row>
    <row r="18">
      <c r="A18" t="n">
        <v>17</v>
      </c>
      <c r="B18" t="n">
        <v>17</v>
      </c>
      <c r="C18" t="inlineStr">
        <is>
          <t>Valo</t>
        </is>
      </c>
      <c r="D18" t="inlineStr">
        <is>
          <t>Emaar Properties</t>
        </is>
      </c>
      <c r="E18" t="inlineStr">
        <is>
          <t>Dubai Creek Harbour</t>
        </is>
      </c>
      <c r="F18" t="inlineStr">
        <is>
          <t>Apartments</t>
        </is>
      </c>
      <c r="G18" t="inlineStr">
        <is>
          <t>Waterfront / Metro</t>
        </is>
      </c>
      <c r="H18" t="inlineStr">
        <is>
          <t>1.9M</t>
        </is>
      </c>
      <c r="I18" t="inlineStr">
        <is>
          <t>2300</t>
        </is>
      </c>
      <c r="J18" t="inlineStr">
        <is>
          <t>25</t>
        </is>
      </c>
      <c r="K18" t="inlineStr">
        <is>
          <t>80/20</t>
        </is>
      </c>
      <c r="L18" t="inlineStr">
        <is>
          <t>2024</t>
        </is>
      </c>
      <c r="M18" t="inlineStr">
        <is>
          <t>5.5-6.0</t>
        </is>
      </c>
      <c r="N18" t="inlineStr">
        <is>
          <t>9-12</t>
        </is>
      </c>
      <c r="O18" t="inlineStr">
        <is>
          <t>14.5-18.0</t>
        </is>
      </c>
      <c r="P18" t="inlineStr">
        <is>
          <t>Swiss Intl School</t>
        </is>
      </c>
      <c r="Q18" t="inlineStr">
        <is>
          <t>American Hospital</t>
        </is>
      </c>
      <c r="R18" t="inlineStr">
        <is>
          <t>Dubai Festival City</t>
        </is>
      </c>
      <c r="S18" t="inlineStr">
        <is>
          <t>Ras Al Khor / E44</t>
        </is>
      </c>
      <c r="T18" t="inlineStr">
        <is>
          <t>12</t>
        </is>
      </c>
      <c r="U18" t="inlineStr">
        <is>
          <t>25</t>
        </is>
      </c>
      <c r="V18" t="inlineStr">
        <is>
          <t>10</t>
        </is>
      </c>
      <c r="W18" t="inlineStr">
        <is>
          <t>40</t>
        </is>
      </c>
      <c r="X18" t="inlineStr">
        <is>
          <t>Guild_real_estate_master.csv</t>
        </is>
      </c>
    </row>
    <row r="19">
      <c r="A19" t="n">
        <v>18</v>
      </c>
      <c r="B19" t="n">
        <v>18</v>
      </c>
      <c r="C19" t="inlineStr">
        <is>
          <t>Aeon</t>
        </is>
      </c>
      <c r="D19" t="inlineStr">
        <is>
          <t>Emaar Properties</t>
        </is>
      </c>
      <c r="E19" t="inlineStr">
        <is>
          <t>Dubai Creek Harbour</t>
        </is>
      </c>
      <c r="F19" t="inlineStr">
        <is>
          <t>Apartments</t>
        </is>
      </c>
      <c r="G19" t="inlineStr">
        <is>
          <t>Waterfront</t>
        </is>
      </c>
      <c r="H19" t="inlineStr">
        <is>
          <t>1.8M</t>
        </is>
      </c>
      <c r="I19" t="inlineStr">
        <is>
          <t>2200</t>
        </is>
      </c>
      <c r="J19" t="inlineStr">
        <is>
          <t>25</t>
        </is>
      </c>
      <c r="K19" t="inlineStr">
        <is>
          <t>80/20</t>
        </is>
      </c>
      <c r="L19" t="inlineStr">
        <is>
          <t>2024</t>
        </is>
      </c>
      <c r="M19" t="inlineStr">
        <is>
          <t>5.5-6.0</t>
        </is>
      </c>
      <c r="N19" t="inlineStr">
        <is>
          <t>9-12</t>
        </is>
      </c>
      <c r="O19" t="inlineStr">
        <is>
          <t>14.5-18.0</t>
        </is>
      </c>
      <c r="P19" t="inlineStr">
        <is>
          <t>Swiss Intl School</t>
        </is>
      </c>
      <c r="Q19" t="inlineStr">
        <is>
          <t>American Hospital</t>
        </is>
      </c>
      <c r="R19" t="inlineStr">
        <is>
          <t>Dubai Festival City</t>
        </is>
      </c>
      <c r="S19" t="inlineStr">
        <is>
          <t>Ras Al Khor / E44</t>
        </is>
      </c>
      <c r="T19" t="inlineStr">
        <is>
          <t>12</t>
        </is>
      </c>
      <c r="U19" t="inlineStr">
        <is>
          <t>25</t>
        </is>
      </c>
      <c r="V19" t="inlineStr">
        <is>
          <t>10</t>
        </is>
      </c>
      <c r="W19" t="inlineStr">
        <is>
          <t>40</t>
        </is>
      </c>
      <c r="X19" t="inlineStr">
        <is>
          <t>Guild_real_estate_master.csv</t>
        </is>
      </c>
    </row>
    <row r="20">
      <c r="A20" t="n">
        <v>19</v>
      </c>
      <c r="B20" t="n">
        <v>19</v>
      </c>
      <c r="C20" t="inlineStr">
        <is>
          <t>Oria</t>
        </is>
      </c>
      <c r="D20" t="inlineStr">
        <is>
          <t>Emaar Properties</t>
        </is>
      </c>
      <c r="E20" t="inlineStr">
        <is>
          <t>Dubai Creek Harbour</t>
        </is>
      </c>
      <c r="F20" t="inlineStr">
        <is>
          <t>Apartments</t>
        </is>
      </c>
      <c r="G20" t="inlineStr">
        <is>
          <t>Waterfront</t>
        </is>
      </c>
      <c r="H20" t="inlineStr">
        <is>
          <t>1.7M</t>
        </is>
      </c>
      <c r="I20" t="inlineStr">
        <is>
          <t>2100</t>
        </is>
      </c>
      <c r="J20" t="inlineStr">
        <is>
          <t>25</t>
        </is>
      </c>
      <c r="K20" t="inlineStr">
        <is>
          <t>80/20</t>
        </is>
      </c>
      <c r="L20" t="inlineStr">
        <is>
          <t>2024</t>
        </is>
      </c>
      <c r="M20" t="inlineStr">
        <is>
          <t>6.0-6.5</t>
        </is>
      </c>
      <c r="N20" t="inlineStr">
        <is>
          <t>9-12</t>
        </is>
      </c>
      <c r="O20" t="inlineStr">
        <is>
          <t>15.0-18.5</t>
        </is>
      </c>
      <c r="P20" t="inlineStr">
        <is>
          <t>Swiss Intl School</t>
        </is>
      </c>
      <c r="Q20" t="inlineStr">
        <is>
          <t>American Hospital</t>
        </is>
      </c>
      <c r="R20" t="inlineStr">
        <is>
          <t>Dubai Festival City</t>
        </is>
      </c>
      <c r="S20" t="inlineStr">
        <is>
          <t>Ras Al Khor / E44</t>
        </is>
      </c>
      <c r="T20" t="inlineStr">
        <is>
          <t>12</t>
        </is>
      </c>
      <c r="U20" t="inlineStr">
        <is>
          <t>25</t>
        </is>
      </c>
      <c r="V20" t="inlineStr">
        <is>
          <t>10</t>
        </is>
      </c>
      <c r="W20" t="inlineStr">
        <is>
          <t>40</t>
        </is>
      </c>
      <c r="X20" t="inlineStr">
        <is>
          <t>Guild_real_estate_master.csv</t>
        </is>
      </c>
    </row>
    <row r="21">
      <c r="A21" t="n">
        <v>20</v>
      </c>
      <c r="B21" t="n">
        <v>20</v>
      </c>
      <c r="C21" t="inlineStr">
        <is>
          <t>Mangrove (Creek Beach)</t>
        </is>
      </c>
      <c r="D21" t="inlineStr">
        <is>
          <t>Emaar Properties</t>
        </is>
      </c>
      <c r="E21" t="inlineStr">
        <is>
          <t>Dubai Creek Harbour</t>
        </is>
      </c>
      <c r="F21" t="inlineStr">
        <is>
          <t>Apartments</t>
        </is>
      </c>
      <c r="G21" t="inlineStr">
        <is>
          <t>Beachfront</t>
        </is>
      </c>
      <c r="H21" t="inlineStr">
        <is>
          <t>1.6M</t>
        </is>
      </c>
      <c r="I21" t="inlineStr">
        <is>
          <t>2000</t>
        </is>
      </c>
      <c r="J21" t="inlineStr">
        <is>
          <t>25</t>
        </is>
      </c>
      <c r="K21" t="inlineStr">
        <is>
          <t>80/20</t>
        </is>
      </c>
      <c r="L21" t="inlineStr">
        <is>
          <t>2024</t>
        </is>
      </c>
      <c r="M21" t="inlineStr">
        <is>
          <t>6.0-6.5</t>
        </is>
      </c>
      <c r="N21" t="inlineStr">
        <is>
          <t>9-12</t>
        </is>
      </c>
      <c r="O21" t="inlineStr">
        <is>
          <t>15.0-18.5</t>
        </is>
      </c>
      <c r="P21" t="inlineStr">
        <is>
          <t>Swiss Intl School</t>
        </is>
      </c>
      <c r="Q21" t="inlineStr">
        <is>
          <t>American Hospital</t>
        </is>
      </c>
      <c r="R21" t="inlineStr">
        <is>
          <t>Dubai Festival City</t>
        </is>
      </c>
      <c r="S21" t="inlineStr">
        <is>
          <t>Ras Al Khor / E44</t>
        </is>
      </c>
      <c r="T21" t="inlineStr">
        <is>
          <t>12</t>
        </is>
      </c>
      <c r="U21" t="inlineStr">
        <is>
          <t>25</t>
        </is>
      </c>
      <c r="V21" t="inlineStr">
        <is>
          <t>10</t>
        </is>
      </c>
      <c r="W21" t="inlineStr">
        <is>
          <t>40</t>
        </is>
      </c>
      <c r="X21" t="inlineStr">
        <is>
          <t>Guild_real_estate_master.csv</t>
        </is>
      </c>
    </row>
    <row r="22">
      <c r="A22" t="n">
        <v>21</v>
      </c>
      <c r="B22" t="n">
        <v>21</v>
      </c>
      <c r="C22" t="inlineStr">
        <is>
          <t>Altan</t>
        </is>
      </c>
      <c r="D22" t="inlineStr">
        <is>
          <t>Emaar Properties</t>
        </is>
      </c>
      <c r="E22" t="inlineStr">
        <is>
          <t>Dubai Creek Harbour</t>
        </is>
      </c>
      <c r="F22" t="inlineStr">
        <is>
          <t>Apartments</t>
        </is>
      </c>
      <c r="G22" t="inlineStr">
        <is>
          <t>Waterfront</t>
        </is>
      </c>
      <c r="H22" t="inlineStr">
        <is>
          <t>1.8M</t>
        </is>
      </c>
      <c r="I22" t="inlineStr">
        <is>
          <t>2200</t>
        </is>
      </c>
      <c r="J22" t="inlineStr">
        <is>
          <t>25</t>
        </is>
      </c>
      <c r="K22" t="inlineStr">
        <is>
          <t>80/20</t>
        </is>
      </c>
      <c r="L22" t="inlineStr">
        <is>
          <t>2024</t>
        </is>
      </c>
      <c r="M22" t="inlineStr">
        <is>
          <t>5.5-6.0</t>
        </is>
      </c>
      <c r="N22" t="inlineStr">
        <is>
          <t>9-12</t>
        </is>
      </c>
      <c r="O22" t="inlineStr">
        <is>
          <t>14.5-18.0</t>
        </is>
      </c>
      <c r="P22" t="inlineStr">
        <is>
          <t>Swiss Intl School</t>
        </is>
      </c>
      <c r="Q22" t="inlineStr">
        <is>
          <t>American Hospital</t>
        </is>
      </c>
      <c r="R22" t="inlineStr">
        <is>
          <t>Dubai Festival City</t>
        </is>
      </c>
      <c r="S22" t="inlineStr">
        <is>
          <t>Ras Al Khor / E44</t>
        </is>
      </c>
      <c r="T22" t="inlineStr">
        <is>
          <t>12</t>
        </is>
      </c>
      <c r="U22" t="inlineStr">
        <is>
          <t>25</t>
        </is>
      </c>
      <c r="V22" t="inlineStr">
        <is>
          <t>10</t>
        </is>
      </c>
      <c r="W22" t="inlineStr">
        <is>
          <t>40</t>
        </is>
      </c>
      <c r="X22" t="inlineStr">
        <is>
          <t>Guild_real_estate_master.csv</t>
        </is>
      </c>
    </row>
    <row r="23">
      <c r="A23" t="n">
        <v>22</v>
      </c>
      <c r="B23" t="n">
        <v>22</v>
      </c>
      <c r="C23" t="inlineStr">
        <is>
          <t>Silva</t>
        </is>
      </c>
      <c r="D23" t="inlineStr">
        <is>
          <t>Emaar Properties</t>
        </is>
      </c>
      <c r="E23" t="inlineStr">
        <is>
          <t>Dubai Creek Harbour</t>
        </is>
      </c>
      <c r="F23" t="inlineStr">
        <is>
          <t>Apartments</t>
        </is>
      </c>
      <c r="G23" t="inlineStr">
        <is>
          <t>Waterfront</t>
        </is>
      </c>
      <c r="H23" t="inlineStr">
        <is>
          <t>1.85M</t>
        </is>
      </c>
      <c r="I23" t="inlineStr">
        <is>
          <t>2250</t>
        </is>
      </c>
      <c r="J23" t="inlineStr">
        <is>
          <t>25</t>
        </is>
      </c>
      <c r="K23" t="inlineStr">
        <is>
          <t>80/20</t>
        </is>
      </c>
      <c r="L23" t="inlineStr">
        <is>
          <t>2024</t>
        </is>
      </c>
      <c r="M23" t="inlineStr">
        <is>
          <t>5.5-6.0</t>
        </is>
      </c>
      <c r="N23" t="inlineStr">
        <is>
          <t>9-12</t>
        </is>
      </c>
      <c r="O23" t="inlineStr">
        <is>
          <t>14.5-18.0</t>
        </is>
      </c>
      <c r="P23" t="inlineStr">
        <is>
          <t>Swiss Intl School</t>
        </is>
      </c>
      <c r="Q23" t="inlineStr">
        <is>
          <t>American Hospital</t>
        </is>
      </c>
      <c r="R23" t="inlineStr">
        <is>
          <t>Dubai Festival City</t>
        </is>
      </c>
      <c r="S23" t="inlineStr">
        <is>
          <t>Ras Al Khor / E44</t>
        </is>
      </c>
      <c r="T23" t="inlineStr">
        <is>
          <t>12</t>
        </is>
      </c>
      <c r="U23" t="inlineStr">
        <is>
          <t>25</t>
        </is>
      </c>
      <c r="V23" t="inlineStr">
        <is>
          <t>10</t>
        </is>
      </c>
      <c r="W23" t="inlineStr">
        <is>
          <t>40</t>
        </is>
      </c>
      <c r="X23" t="inlineStr">
        <is>
          <t>Guild_real_estate_master.csv</t>
        </is>
      </c>
    </row>
    <row r="24">
      <c r="A24" t="n">
        <v>23</v>
      </c>
      <c r="B24" t="n">
        <v>23</v>
      </c>
      <c r="C24" t="inlineStr">
        <is>
          <t>Albero</t>
        </is>
      </c>
      <c r="D24" t="inlineStr">
        <is>
          <t>Emaar Properties</t>
        </is>
      </c>
      <c r="E24" t="inlineStr">
        <is>
          <t>Dubai Creek Harbour</t>
        </is>
      </c>
      <c r="F24" t="inlineStr">
        <is>
          <t>Apartments</t>
        </is>
      </c>
      <c r="G24" t="inlineStr">
        <is>
          <t>Waterfront</t>
        </is>
      </c>
      <c r="H24" t="inlineStr">
        <is>
          <t>1.75M</t>
        </is>
      </c>
      <c r="I24" t="inlineStr">
        <is>
          <t>2150</t>
        </is>
      </c>
      <c r="J24" t="inlineStr">
        <is>
          <t>25</t>
        </is>
      </c>
      <c r="K24" t="inlineStr">
        <is>
          <t>80/20</t>
        </is>
      </c>
      <c r="L24" t="inlineStr">
        <is>
          <t>2024</t>
        </is>
      </c>
      <c r="M24" t="inlineStr">
        <is>
          <t>5.5-6.0</t>
        </is>
      </c>
      <c r="N24" t="inlineStr">
        <is>
          <t>9-12</t>
        </is>
      </c>
      <c r="O24" t="inlineStr">
        <is>
          <t>14.5-18.0</t>
        </is>
      </c>
      <c r="P24" t="inlineStr">
        <is>
          <t>Swiss Intl School</t>
        </is>
      </c>
      <c r="Q24" t="inlineStr">
        <is>
          <t>American Hospital</t>
        </is>
      </c>
      <c r="R24" t="inlineStr">
        <is>
          <t>Dubai Festival City</t>
        </is>
      </c>
      <c r="S24" t="inlineStr">
        <is>
          <t>Ras Al Khor / E44</t>
        </is>
      </c>
      <c r="T24" t="inlineStr">
        <is>
          <t>12</t>
        </is>
      </c>
      <c r="U24" t="inlineStr">
        <is>
          <t>25</t>
        </is>
      </c>
      <c r="V24" t="inlineStr">
        <is>
          <t>10</t>
        </is>
      </c>
      <c r="W24" t="inlineStr">
        <is>
          <t>40</t>
        </is>
      </c>
      <c r="X24" t="inlineStr">
        <is>
          <t>Guild_real_estate_master.csv</t>
        </is>
      </c>
    </row>
    <row r="25">
      <c r="A25" t="n">
        <v>24</v>
      </c>
      <c r="B25" t="n">
        <v>24</v>
      </c>
      <c r="C25" t="inlineStr">
        <is>
          <t>Montiva</t>
        </is>
      </c>
      <c r="D25" t="inlineStr">
        <is>
          <t>Emaar Properties</t>
        </is>
      </c>
      <c r="E25" t="inlineStr">
        <is>
          <t>Dubai Creek Harbour</t>
        </is>
      </c>
      <c r="F25" t="inlineStr">
        <is>
          <t>Apartments</t>
        </is>
      </c>
      <c r="G25" t="inlineStr">
        <is>
          <t>Waterfront</t>
        </is>
      </c>
      <c r="H25" t="inlineStr">
        <is>
          <t>1.8M</t>
        </is>
      </c>
      <c r="I25" t="inlineStr">
        <is>
          <t>2200</t>
        </is>
      </c>
      <c r="J25" t="inlineStr">
        <is>
          <t>25</t>
        </is>
      </c>
      <c r="K25" t="inlineStr">
        <is>
          <t>80/20</t>
        </is>
      </c>
      <c r="L25" t="inlineStr">
        <is>
          <t>2024</t>
        </is>
      </c>
      <c r="M25" t="inlineStr">
        <is>
          <t>5.5-6.0</t>
        </is>
      </c>
      <c r="N25" t="inlineStr">
        <is>
          <t>9-12</t>
        </is>
      </c>
      <c r="O25" t="inlineStr">
        <is>
          <t>14.5-18.0</t>
        </is>
      </c>
      <c r="P25" t="inlineStr">
        <is>
          <t>Swiss Intl School</t>
        </is>
      </c>
      <c r="Q25" t="inlineStr">
        <is>
          <t>American Hospital</t>
        </is>
      </c>
      <c r="R25" t="inlineStr">
        <is>
          <t>Dubai Festival City</t>
        </is>
      </c>
      <c r="S25" t="inlineStr">
        <is>
          <t>Ras Al Khor / E44</t>
        </is>
      </c>
      <c r="T25" t="inlineStr">
        <is>
          <t>12</t>
        </is>
      </c>
      <c r="U25" t="inlineStr">
        <is>
          <t>25</t>
        </is>
      </c>
      <c r="V25" t="inlineStr">
        <is>
          <t>10</t>
        </is>
      </c>
      <c r="W25" t="inlineStr">
        <is>
          <t>40</t>
        </is>
      </c>
      <c r="X25" t="inlineStr">
        <is>
          <t>Guild_real_estate_master.csv</t>
        </is>
      </c>
    </row>
    <row r="26">
      <c r="A26" t="n">
        <v>25</v>
      </c>
      <c r="B26" t="n">
        <v>25</v>
      </c>
      <c r="C26" t="inlineStr">
        <is>
          <t>Creek Waters 1</t>
        </is>
      </c>
      <c r="D26" t="inlineStr">
        <is>
          <t>Emaar Properties</t>
        </is>
      </c>
      <c r="E26" t="inlineStr">
        <is>
          <t>Dubai Creek Harbour</t>
        </is>
      </c>
      <c r="F26" t="inlineStr">
        <is>
          <t>Apartments</t>
        </is>
      </c>
      <c r="G26" t="inlineStr">
        <is>
          <t>Waterfront / Island</t>
        </is>
      </c>
      <c r="H26" t="inlineStr">
        <is>
          <t>2.2M</t>
        </is>
      </c>
      <c r="I26" t="inlineStr">
        <is>
          <t>2400</t>
        </is>
      </c>
      <c r="J26" t="inlineStr">
        <is>
          <t>25</t>
        </is>
      </c>
      <c r="K26" t="inlineStr">
        <is>
          <t>80/20</t>
        </is>
      </c>
      <c r="L26" t="inlineStr">
        <is>
          <t>2023</t>
        </is>
      </c>
      <c r="M26" t="inlineStr">
        <is>
          <t>5.0-5.5</t>
        </is>
      </c>
      <c r="N26" t="inlineStr">
        <is>
          <t>8-10</t>
        </is>
      </c>
      <c r="O26" t="inlineStr">
        <is>
          <t>13.0-15.5</t>
        </is>
      </c>
      <c r="P26" t="inlineStr">
        <is>
          <t>Swiss Intl School</t>
        </is>
      </c>
      <c r="Q26" t="inlineStr">
        <is>
          <t>American Hospital</t>
        </is>
      </c>
      <c r="R26" t="inlineStr">
        <is>
          <t>Dubai Festival City</t>
        </is>
      </c>
      <c r="S26" t="inlineStr">
        <is>
          <t>Ras Al Khor / E44</t>
        </is>
      </c>
      <c r="T26" t="inlineStr">
        <is>
          <t>12</t>
        </is>
      </c>
      <c r="U26" t="inlineStr">
        <is>
          <t>25</t>
        </is>
      </c>
      <c r="V26" t="inlineStr">
        <is>
          <t>10</t>
        </is>
      </c>
      <c r="W26" t="inlineStr">
        <is>
          <t>40</t>
        </is>
      </c>
      <c r="X26" t="inlineStr">
        <is>
          <t>Guild_real_estate_master.csv</t>
        </is>
      </c>
    </row>
    <row r="27">
      <c r="A27" t="n">
        <v>26</v>
      </c>
      <c r="B27" t="n">
        <v>26</v>
      </c>
      <c r="C27" t="inlineStr">
        <is>
          <t>Creek Waters 2</t>
        </is>
      </c>
      <c r="D27" t="inlineStr">
        <is>
          <t>Emaar Properties</t>
        </is>
      </c>
      <c r="E27" t="inlineStr">
        <is>
          <t>Dubai Creek Harbour</t>
        </is>
      </c>
      <c r="F27" t="inlineStr">
        <is>
          <t>Apartments</t>
        </is>
      </c>
      <c r="G27" t="inlineStr">
        <is>
          <t>Waterfront / Island</t>
        </is>
      </c>
      <c r="H27" t="inlineStr">
        <is>
          <t>2.3M</t>
        </is>
      </c>
      <c r="I27" t="inlineStr">
        <is>
          <t>2450</t>
        </is>
      </c>
      <c r="J27" t="inlineStr">
        <is>
          <t>25</t>
        </is>
      </c>
      <c r="K27" t="inlineStr">
        <is>
          <t>80/20</t>
        </is>
      </c>
      <c r="L27" t="inlineStr">
        <is>
          <t>2023</t>
        </is>
      </c>
      <c r="M27" t="inlineStr">
        <is>
          <t>5.0-5.5</t>
        </is>
      </c>
      <c r="N27" t="inlineStr">
        <is>
          <t>8-10</t>
        </is>
      </c>
      <c r="O27" t="inlineStr">
        <is>
          <t>13.0-15.5</t>
        </is>
      </c>
      <c r="P27" t="inlineStr">
        <is>
          <t>Swiss Intl School</t>
        </is>
      </c>
      <c r="Q27" t="inlineStr">
        <is>
          <t>American Hospital</t>
        </is>
      </c>
      <c r="R27" t="inlineStr">
        <is>
          <t>Dubai Festival City</t>
        </is>
      </c>
      <c r="S27" t="inlineStr">
        <is>
          <t>Ras Al Khor / E44</t>
        </is>
      </c>
      <c r="T27" t="inlineStr">
        <is>
          <t>12</t>
        </is>
      </c>
      <c r="U27" t="inlineStr">
        <is>
          <t>25</t>
        </is>
      </c>
      <c r="V27" t="inlineStr">
        <is>
          <t>10</t>
        </is>
      </c>
      <c r="W27" t="inlineStr">
        <is>
          <t>40</t>
        </is>
      </c>
      <c r="X27" t="inlineStr">
        <is>
          <t>Guild_real_estate_master.csv</t>
        </is>
      </c>
    </row>
    <row r="28">
      <c r="A28" t="n">
        <v>27</v>
      </c>
      <c r="B28" t="n">
        <v>27</v>
      </c>
      <c r="C28" t="inlineStr">
        <is>
          <t>Creek Gate</t>
        </is>
      </c>
      <c r="D28" t="inlineStr">
        <is>
          <t>Emaar Properties</t>
        </is>
      </c>
      <c r="E28" t="inlineStr">
        <is>
          <t>Dubai Creek Harbour</t>
        </is>
      </c>
      <c r="F28" t="inlineStr">
        <is>
          <t>Apartments</t>
        </is>
      </c>
      <c r="G28" t="inlineStr">
        <is>
          <t>Waterfront</t>
        </is>
      </c>
      <c r="H28" t="inlineStr">
        <is>
          <t>Resale</t>
        </is>
      </c>
      <c r="I28" t="inlineStr">
        <is>
          <t>1800</t>
        </is>
      </c>
      <c r="J28" t="inlineStr">
        <is>
          <t>25</t>
        </is>
      </c>
      <c r="K28" t="inlineStr">
        <is>
          <t>Completed</t>
        </is>
      </c>
      <c r="L28" t="inlineStr">
        <is>
          <t>2017</t>
        </is>
      </c>
      <c r="M28" t="inlineStr">
        <is>
          <t>6.0-6.5</t>
        </is>
      </c>
      <c r="N28" t="inlineStr">
        <is>
          <t>5-7</t>
        </is>
      </c>
      <c r="O28" t="inlineStr">
        <is>
          <t>11.0-13.5</t>
        </is>
      </c>
      <c r="P28" t="inlineStr">
        <is>
          <t>Swiss Intl School</t>
        </is>
      </c>
      <c r="Q28" t="inlineStr">
        <is>
          <t>American Hospital</t>
        </is>
      </c>
      <c r="R28" t="inlineStr">
        <is>
          <t>Dubai Festival City</t>
        </is>
      </c>
      <c r="S28" t="inlineStr">
        <is>
          <t>Ras Al Khor / E44</t>
        </is>
      </c>
      <c r="T28" t="inlineStr">
        <is>
          <t>12</t>
        </is>
      </c>
      <c r="U28" t="inlineStr">
        <is>
          <t>25</t>
        </is>
      </c>
      <c r="V28" t="inlineStr">
        <is>
          <t>10</t>
        </is>
      </c>
      <c r="W28" t="inlineStr">
        <is>
          <t>40</t>
        </is>
      </c>
      <c r="X28" t="inlineStr">
        <is>
          <t>Guild_real_estate_master.csv</t>
        </is>
      </c>
    </row>
    <row r="29">
      <c r="A29" t="n">
        <v>28</v>
      </c>
      <c r="B29" t="n">
        <v>28</v>
      </c>
      <c r="C29" t="inlineStr">
        <is>
          <t>Address Grand Creek</t>
        </is>
      </c>
      <c r="D29" t="inlineStr">
        <is>
          <t>Emaar Properties</t>
        </is>
      </c>
      <c r="E29" t="inlineStr">
        <is>
          <t>Dubai Creek Harbour</t>
        </is>
      </c>
      <c r="F29" t="inlineStr">
        <is>
          <t>Branded Residences</t>
        </is>
      </c>
      <c r="G29" t="inlineStr">
        <is>
          <t>Luxury Hotel</t>
        </is>
      </c>
      <c r="H29" t="inlineStr">
        <is>
          <t>3.5M</t>
        </is>
      </c>
      <c r="I29" t="inlineStr">
        <is>
          <t>3500</t>
        </is>
      </c>
      <c r="J29" t="inlineStr">
        <is>
          <t>45+</t>
        </is>
      </c>
      <c r="K29" t="inlineStr">
        <is>
          <t>Varies</t>
        </is>
      </c>
      <c r="L29" t="inlineStr">
        <is>
          <t>2023</t>
        </is>
      </c>
      <c r="M29" t="inlineStr">
        <is>
          <t>4.0-5.0</t>
        </is>
      </c>
      <c r="N29" t="inlineStr">
        <is>
          <t>8-10</t>
        </is>
      </c>
      <c r="O29" t="inlineStr">
        <is>
          <t>12.0-15.0</t>
        </is>
      </c>
      <c r="P29" t="inlineStr">
        <is>
          <t>Swiss Intl School</t>
        </is>
      </c>
      <c r="Q29" t="inlineStr">
        <is>
          <t>American Hospital</t>
        </is>
      </c>
      <c r="R29" t="inlineStr">
        <is>
          <t>Dubai Festival City</t>
        </is>
      </c>
      <c r="S29" t="inlineStr">
        <is>
          <t>Ras Al Khor / E44</t>
        </is>
      </c>
      <c r="T29" t="inlineStr">
        <is>
          <t>12</t>
        </is>
      </c>
      <c r="U29" t="inlineStr">
        <is>
          <t>25</t>
        </is>
      </c>
      <c r="V29" t="inlineStr">
        <is>
          <t>10</t>
        </is>
      </c>
      <c r="W29" t="inlineStr">
        <is>
          <t>40</t>
        </is>
      </c>
      <c r="X29" t="inlineStr">
        <is>
          <t>Guild_real_estate_master.csv</t>
        </is>
      </c>
    </row>
    <row r="30">
      <c r="A30" t="n">
        <v>29</v>
      </c>
      <c r="B30" t="n">
        <v>29</v>
      </c>
      <c r="C30" t="inlineStr">
        <is>
          <t>Dubai Hills Estate</t>
        </is>
      </c>
      <c r="D30" t="inlineStr">
        <is>
          <t>Emaar Properties</t>
        </is>
      </c>
      <c r="E30" t="inlineStr">
        <is>
          <t>Al Khail Road</t>
        </is>
      </c>
      <c r="F30" t="inlineStr">
        <is>
          <t>Mixed</t>
        </is>
      </c>
      <c r="G30" t="inlineStr">
        <is>
          <t>Golf / Central Park</t>
        </is>
      </c>
      <c r="J30" t="inlineStr">
        <is>
          <t>20-25</t>
        </is>
      </c>
      <c r="K30" t="inlineStr">
        <is>
          <t>Varies</t>
        </is>
      </c>
      <c r="L30" t="inlineStr">
        <is>
          <t>Ongoing</t>
        </is>
      </c>
      <c r="M30" t="inlineStr">
        <is>
          <t>5.5-6.5</t>
        </is>
      </c>
      <c r="N30" t="inlineStr">
        <is>
          <t>8-12</t>
        </is>
      </c>
      <c r="O30" t="inlineStr">
        <is>
          <t>13.5-18.5</t>
        </is>
      </c>
      <c r="P30" t="inlineStr">
        <is>
          <t>GEMS Wellington</t>
        </is>
      </c>
      <c r="Q30" t="inlineStr">
        <is>
          <t>King's College Hospital</t>
        </is>
      </c>
      <c r="R30" t="inlineStr">
        <is>
          <t>Dubai Hills Mall</t>
        </is>
      </c>
      <c r="S30" t="inlineStr">
        <is>
          <t>Al Khail E44</t>
        </is>
      </c>
      <c r="T30" t="inlineStr">
        <is>
          <t>15</t>
        </is>
      </c>
      <c r="U30" t="inlineStr">
        <is>
          <t>15</t>
        </is>
      </c>
      <c r="V30" t="inlineStr">
        <is>
          <t>20</t>
        </is>
      </c>
      <c r="W30" t="inlineStr">
        <is>
          <t>30</t>
        </is>
      </c>
      <c r="X30" t="inlineStr">
        <is>
          <t>Guild_real_estate_master.csv</t>
        </is>
      </c>
    </row>
    <row r="31">
      <c r="A31" t="n">
        <v>30</v>
      </c>
      <c r="B31" t="n">
        <v>30</v>
      </c>
      <c r="C31" t="inlineStr">
        <is>
          <t>Park Gate 2</t>
        </is>
      </c>
      <c r="D31" t="inlineStr">
        <is>
          <t>Emaar Properties</t>
        </is>
      </c>
      <c r="E31" t="inlineStr">
        <is>
          <t>Dubai Hills Estate</t>
        </is>
      </c>
      <c r="F31" t="inlineStr">
        <is>
          <t>Villas</t>
        </is>
      </c>
      <c r="G31" t="inlineStr">
        <is>
          <t>Gated / Park</t>
        </is>
      </c>
      <c r="H31" t="inlineStr">
        <is>
          <t>4.5M</t>
        </is>
      </c>
      <c r="I31" t="inlineStr">
        <is>
          <t>1800</t>
        </is>
      </c>
      <c r="J31" t="inlineStr">
        <is>
          <t>20</t>
        </is>
      </c>
      <c r="K31" t="inlineStr">
        <is>
          <t>80/20</t>
        </is>
      </c>
      <c r="L31" t="inlineStr">
        <is>
          <t>2024</t>
        </is>
      </c>
      <c r="M31" t="inlineStr">
        <is>
          <t>5.0-5.5</t>
        </is>
      </c>
      <c r="N31" t="inlineStr">
        <is>
          <t>8-12</t>
        </is>
      </c>
      <c r="O31" t="inlineStr">
        <is>
          <t>13.0-17.5</t>
        </is>
      </c>
      <c r="P31" t="inlineStr">
        <is>
          <t>GEMS Wellington</t>
        </is>
      </c>
      <c r="Q31" t="inlineStr">
        <is>
          <t>King's College Hospital</t>
        </is>
      </c>
      <c r="R31" t="inlineStr">
        <is>
          <t>Dubai Hills Mall</t>
        </is>
      </c>
      <c r="S31" t="inlineStr">
        <is>
          <t>Al Khail E44</t>
        </is>
      </c>
      <c r="T31" t="inlineStr">
        <is>
          <t>15</t>
        </is>
      </c>
      <c r="U31" t="inlineStr">
        <is>
          <t>15</t>
        </is>
      </c>
      <c r="V31" t="inlineStr">
        <is>
          <t>20</t>
        </is>
      </c>
      <c r="W31" t="inlineStr">
        <is>
          <t>30</t>
        </is>
      </c>
      <c r="X31" t="inlineStr">
        <is>
          <t>Guild_real_estate_master.csv</t>
        </is>
      </c>
    </row>
    <row r="32">
      <c r="A32" t="n">
        <v>31</v>
      </c>
      <c r="B32" t="n">
        <v>31</v>
      </c>
      <c r="C32" t="inlineStr">
        <is>
          <t>Rosehill</t>
        </is>
      </c>
      <c r="D32" t="inlineStr">
        <is>
          <t>Emaar Properties</t>
        </is>
      </c>
      <c r="E32" t="inlineStr">
        <is>
          <t>Dubai Hills Estate</t>
        </is>
      </c>
      <c r="F32" t="inlineStr">
        <is>
          <t>Apartments</t>
        </is>
      </c>
      <c r="G32" t="inlineStr">
        <is>
          <t>Community View</t>
        </is>
      </c>
      <c r="H32" t="inlineStr">
        <is>
          <t>1.6M</t>
        </is>
      </c>
      <c r="I32" t="inlineStr">
        <is>
          <t>1900</t>
        </is>
      </c>
      <c r="J32" t="inlineStr">
        <is>
          <t>22</t>
        </is>
      </c>
      <c r="K32" t="inlineStr">
        <is>
          <t>80/20</t>
        </is>
      </c>
      <c r="L32" t="inlineStr">
        <is>
          <t>2024</t>
        </is>
      </c>
      <c r="M32" t="inlineStr">
        <is>
          <t>6.0-6.5</t>
        </is>
      </c>
      <c r="N32" t="inlineStr">
        <is>
          <t>8-12</t>
        </is>
      </c>
      <c r="O32" t="inlineStr">
        <is>
          <t>14.0-18.5</t>
        </is>
      </c>
      <c r="P32" t="inlineStr">
        <is>
          <t>GEMS Wellington</t>
        </is>
      </c>
      <c r="Q32" t="inlineStr">
        <is>
          <t>King's College Hospital</t>
        </is>
      </c>
      <c r="R32" t="inlineStr">
        <is>
          <t>Dubai Hills Mall</t>
        </is>
      </c>
      <c r="S32" t="inlineStr">
        <is>
          <t>Al Khail E44</t>
        </is>
      </c>
      <c r="T32" t="inlineStr">
        <is>
          <t>15</t>
        </is>
      </c>
      <c r="U32" t="inlineStr">
        <is>
          <t>15</t>
        </is>
      </c>
      <c r="V32" t="inlineStr">
        <is>
          <t>20</t>
        </is>
      </c>
      <c r="W32" t="inlineStr">
        <is>
          <t>30</t>
        </is>
      </c>
      <c r="X32" t="inlineStr">
        <is>
          <t>Guild_real_estate_master.csv</t>
        </is>
      </c>
    </row>
    <row r="33">
      <c r="A33" t="n">
        <v>32</v>
      </c>
      <c r="B33" t="n">
        <v>32</v>
      </c>
      <c r="C33" t="inlineStr">
        <is>
          <t>Greencrest</t>
        </is>
      </c>
      <c r="D33" t="inlineStr">
        <is>
          <t>Emaar Properties</t>
        </is>
      </c>
      <c r="E33" t="inlineStr">
        <is>
          <t>Dubai Hills Estate</t>
        </is>
      </c>
      <c r="F33" t="inlineStr">
        <is>
          <t>Apartments</t>
        </is>
      </c>
      <c r="G33" t="inlineStr">
        <is>
          <t>Community View</t>
        </is>
      </c>
      <c r="H33" t="inlineStr">
        <is>
          <t>1.55M</t>
        </is>
      </c>
      <c r="I33" t="inlineStr">
        <is>
          <t>1850</t>
        </is>
      </c>
      <c r="J33" t="inlineStr">
        <is>
          <t>22</t>
        </is>
      </c>
      <c r="K33" t="inlineStr">
        <is>
          <t>80/20</t>
        </is>
      </c>
      <c r="L33" t="inlineStr">
        <is>
          <t>2024</t>
        </is>
      </c>
      <c r="M33" t="inlineStr">
        <is>
          <t>6.0-6.5</t>
        </is>
      </c>
      <c r="N33" t="inlineStr">
        <is>
          <t>8-12</t>
        </is>
      </c>
      <c r="O33" t="inlineStr">
        <is>
          <t>14.0-18.5</t>
        </is>
      </c>
      <c r="P33" t="inlineStr">
        <is>
          <t>GEMS Wellington</t>
        </is>
      </c>
      <c r="Q33" t="inlineStr">
        <is>
          <t>King's College Hospital</t>
        </is>
      </c>
      <c r="R33" t="inlineStr">
        <is>
          <t>Dubai Hills Mall</t>
        </is>
      </c>
      <c r="S33" t="inlineStr">
        <is>
          <t>Al Khail E44</t>
        </is>
      </c>
      <c r="T33" t="inlineStr">
        <is>
          <t>15</t>
        </is>
      </c>
      <c r="U33" t="inlineStr">
        <is>
          <t>15</t>
        </is>
      </c>
      <c r="V33" t="inlineStr">
        <is>
          <t>20</t>
        </is>
      </c>
      <c r="W33" t="inlineStr">
        <is>
          <t>30</t>
        </is>
      </c>
      <c r="X33" t="inlineStr">
        <is>
          <t>Guild_real_estate_master.csv</t>
        </is>
      </c>
    </row>
    <row r="34">
      <c r="A34" t="n">
        <v>33</v>
      </c>
      <c r="B34" t="n">
        <v>33</v>
      </c>
      <c r="C34" t="inlineStr">
        <is>
          <t>Palace Residences Hillside</t>
        </is>
      </c>
      <c r="D34" t="inlineStr">
        <is>
          <t>Emaar Properties</t>
        </is>
      </c>
      <c r="E34" t="inlineStr">
        <is>
          <t>Dubai Hills Estate</t>
        </is>
      </c>
      <c r="F34" t="inlineStr">
        <is>
          <t>Branded Apartments</t>
        </is>
      </c>
      <c r="G34" t="inlineStr">
        <is>
          <t>Golf / Park</t>
        </is>
      </c>
      <c r="H34" t="inlineStr">
        <is>
          <t>2.5M</t>
        </is>
      </c>
      <c r="I34" t="inlineStr">
        <is>
          <t>2400</t>
        </is>
      </c>
      <c r="J34" t="inlineStr">
        <is>
          <t>35</t>
        </is>
      </c>
      <c r="K34" t="inlineStr">
        <is>
          <t>80/20</t>
        </is>
      </c>
      <c r="L34" t="inlineStr">
        <is>
          <t>2024</t>
        </is>
      </c>
      <c r="M34" t="inlineStr">
        <is>
          <t>4.5-5.0</t>
        </is>
      </c>
      <c r="N34" t="inlineStr">
        <is>
          <t>8-12</t>
        </is>
      </c>
      <c r="O34" t="inlineStr">
        <is>
          <t>12.5-17.0</t>
        </is>
      </c>
      <c r="P34" t="inlineStr">
        <is>
          <t>GEMS Wellington</t>
        </is>
      </c>
      <c r="Q34" t="inlineStr">
        <is>
          <t>King's College Hospital</t>
        </is>
      </c>
      <c r="R34" t="inlineStr">
        <is>
          <t>Dubai Hills Mall</t>
        </is>
      </c>
      <c r="S34" t="inlineStr">
        <is>
          <t>Al Khail E44</t>
        </is>
      </c>
      <c r="T34" t="inlineStr">
        <is>
          <t>15</t>
        </is>
      </c>
      <c r="U34" t="inlineStr">
        <is>
          <t>15</t>
        </is>
      </c>
      <c r="V34" t="inlineStr">
        <is>
          <t>20</t>
        </is>
      </c>
      <c r="W34" t="inlineStr">
        <is>
          <t>30</t>
        </is>
      </c>
      <c r="X34" t="inlineStr">
        <is>
          <t>Guild_real_estate_master.csv</t>
        </is>
      </c>
    </row>
    <row r="35">
      <c r="A35" t="n">
        <v>34</v>
      </c>
      <c r="B35" t="n">
        <v>34</v>
      </c>
      <c r="C35" t="inlineStr">
        <is>
          <t>Vida Residences Hillside</t>
        </is>
      </c>
      <c r="D35" t="inlineStr">
        <is>
          <t>Emaar Properties</t>
        </is>
      </c>
      <c r="E35" t="inlineStr">
        <is>
          <t>Dubai Hills Estate</t>
        </is>
      </c>
      <c r="F35" t="inlineStr">
        <is>
          <t>Branded Apartments</t>
        </is>
      </c>
      <c r="G35" t="inlineStr">
        <is>
          <t>Golf / Park</t>
        </is>
      </c>
      <c r="H35" t="inlineStr">
        <is>
          <t>2.2M</t>
        </is>
      </c>
      <c r="I35" t="inlineStr">
        <is>
          <t>2200</t>
        </is>
      </c>
      <c r="J35" t="inlineStr">
        <is>
          <t>30</t>
        </is>
      </c>
      <c r="K35" t="inlineStr">
        <is>
          <t>80/20</t>
        </is>
      </c>
      <c r="L35" t="inlineStr">
        <is>
          <t>2024</t>
        </is>
      </c>
      <c r="M35" t="inlineStr">
        <is>
          <t>5.0-5.5</t>
        </is>
      </c>
      <c r="N35" t="inlineStr">
        <is>
          <t>8-12</t>
        </is>
      </c>
      <c r="O35" t="inlineStr">
        <is>
          <t>13.0-17.5</t>
        </is>
      </c>
      <c r="P35" t="inlineStr">
        <is>
          <t>GEMS Wellington</t>
        </is>
      </c>
      <c r="Q35" t="inlineStr">
        <is>
          <t>King's College Hospital</t>
        </is>
      </c>
      <c r="R35" t="inlineStr">
        <is>
          <t>Dubai Hills Mall</t>
        </is>
      </c>
      <c r="S35" t="inlineStr">
        <is>
          <t>Al Khail E44</t>
        </is>
      </c>
      <c r="T35" t="inlineStr">
        <is>
          <t>15</t>
        </is>
      </c>
      <c r="U35" t="inlineStr">
        <is>
          <t>15</t>
        </is>
      </c>
      <c r="V35" t="inlineStr">
        <is>
          <t>20</t>
        </is>
      </c>
      <c r="W35" t="inlineStr">
        <is>
          <t>30</t>
        </is>
      </c>
      <c r="X35" t="inlineStr">
        <is>
          <t>Guild_real_estate_master.csv</t>
        </is>
      </c>
    </row>
    <row r="36">
      <c r="A36" t="n">
        <v>35</v>
      </c>
      <c r="B36" t="n">
        <v>35</v>
      </c>
      <c r="C36" t="inlineStr">
        <is>
          <t>Golf Hillside</t>
        </is>
      </c>
      <c r="D36" t="inlineStr">
        <is>
          <t>Emaar Properties</t>
        </is>
      </c>
      <c r="E36" t="inlineStr">
        <is>
          <t>Dubai Hills Estate</t>
        </is>
      </c>
      <c r="F36" t="inlineStr">
        <is>
          <t>Apartments</t>
        </is>
      </c>
      <c r="G36" t="inlineStr">
        <is>
          <t>Golf Course</t>
        </is>
      </c>
      <c r="H36" t="inlineStr">
        <is>
          <t>1.8M</t>
        </is>
      </c>
      <c r="I36" t="inlineStr">
        <is>
          <t>2000</t>
        </is>
      </c>
      <c r="J36" t="inlineStr">
        <is>
          <t>22</t>
        </is>
      </c>
      <c r="K36" t="inlineStr">
        <is>
          <t>80/20</t>
        </is>
      </c>
      <c r="L36" t="inlineStr">
        <is>
          <t>2024</t>
        </is>
      </c>
      <c r="M36" t="inlineStr">
        <is>
          <t>5.5-6.0</t>
        </is>
      </c>
      <c r="N36" t="inlineStr">
        <is>
          <t>8-12</t>
        </is>
      </c>
      <c r="O36" t="inlineStr">
        <is>
          <t>13.5-18.0</t>
        </is>
      </c>
      <c r="P36" t="inlineStr">
        <is>
          <t>GEMS Wellington</t>
        </is>
      </c>
      <c r="Q36" t="inlineStr">
        <is>
          <t>King's College Hospital</t>
        </is>
      </c>
      <c r="R36" t="inlineStr">
        <is>
          <t>Dubai Hills Mall</t>
        </is>
      </c>
      <c r="S36" t="inlineStr">
        <is>
          <t>Al Khail E44</t>
        </is>
      </c>
      <c r="T36" t="inlineStr">
        <is>
          <t>15</t>
        </is>
      </c>
      <c r="U36" t="inlineStr">
        <is>
          <t>15</t>
        </is>
      </c>
      <c r="V36" t="inlineStr">
        <is>
          <t>20</t>
        </is>
      </c>
      <c r="W36" t="inlineStr">
        <is>
          <t>30</t>
        </is>
      </c>
      <c r="X36" t="inlineStr">
        <is>
          <t>Guild_real_estate_master.csv</t>
        </is>
      </c>
    </row>
    <row r="37">
      <c r="A37" t="n">
        <v>36</v>
      </c>
      <c r="B37" t="n">
        <v>36</v>
      </c>
      <c r="C37" t="inlineStr">
        <is>
          <t>Parkland</t>
        </is>
      </c>
      <c r="D37" t="inlineStr">
        <is>
          <t>Emaar Properties</t>
        </is>
      </c>
      <c r="E37" t="inlineStr">
        <is>
          <t>Dubai Hills Estate</t>
        </is>
      </c>
      <c r="F37" t="inlineStr">
        <is>
          <t>Apartments</t>
        </is>
      </c>
      <c r="G37" t="inlineStr">
        <is>
          <t>Park View</t>
        </is>
      </c>
      <c r="H37" t="inlineStr">
        <is>
          <t>1.7M</t>
        </is>
      </c>
      <c r="I37" t="inlineStr">
        <is>
          <t>1950</t>
        </is>
      </c>
      <c r="J37" t="inlineStr">
        <is>
          <t>22</t>
        </is>
      </c>
      <c r="K37" t="inlineStr">
        <is>
          <t>80/20</t>
        </is>
      </c>
      <c r="L37" t="inlineStr">
        <is>
          <t>2024</t>
        </is>
      </c>
      <c r="M37" t="inlineStr">
        <is>
          <t>5.5-6.0</t>
        </is>
      </c>
      <c r="N37" t="inlineStr">
        <is>
          <t>8-12</t>
        </is>
      </c>
      <c r="O37" t="inlineStr">
        <is>
          <t>13.5-18.0</t>
        </is>
      </c>
      <c r="P37" t="inlineStr">
        <is>
          <t>GEMS Wellington</t>
        </is>
      </c>
      <c r="Q37" t="inlineStr">
        <is>
          <t>King's College Hospital</t>
        </is>
      </c>
      <c r="R37" t="inlineStr">
        <is>
          <t>Dubai Hills Mall</t>
        </is>
      </c>
      <c r="S37" t="inlineStr">
        <is>
          <t>Al Khail E44</t>
        </is>
      </c>
      <c r="T37" t="inlineStr">
        <is>
          <t>15</t>
        </is>
      </c>
      <c r="U37" t="inlineStr">
        <is>
          <t>15</t>
        </is>
      </c>
      <c r="V37" t="inlineStr">
        <is>
          <t>20</t>
        </is>
      </c>
      <c r="W37" t="inlineStr">
        <is>
          <t>30</t>
        </is>
      </c>
      <c r="X37" t="inlineStr">
        <is>
          <t>Guild_real_estate_master.csv</t>
        </is>
      </c>
    </row>
    <row r="38">
      <c r="A38" t="n">
        <v>37</v>
      </c>
      <c r="B38" t="n">
        <v>37</v>
      </c>
      <c r="C38" t="inlineStr">
        <is>
          <t>Sidra Villas</t>
        </is>
      </c>
      <c r="D38" t="inlineStr">
        <is>
          <t>Emaar Properties</t>
        </is>
      </c>
      <c r="E38" t="inlineStr">
        <is>
          <t>Dubai Hills Estate</t>
        </is>
      </c>
      <c r="F38" t="inlineStr">
        <is>
          <t>Villas</t>
        </is>
      </c>
      <c r="G38" t="inlineStr">
        <is>
          <t>Gated Community</t>
        </is>
      </c>
      <c r="H38" t="inlineStr">
        <is>
          <t>Resale (5M+)</t>
        </is>
      </c>
      <c r="I38" t="inlineStr">
        <is>
          <t>1600</t>
        </is>
      </c>
      <c r="J38" t="inlineStr">
        <is>
          <t>15</t>
        </is>
      </c>
      <c r="K38" t="inlineStr">
        <is>
          <t>Completed</t>
        </is>
      </c>
      <c r="L38" t="inlineStr">
        <is>
          <t>2016</t>
        </is>
      </c>
      <c r="M38" t="inlineStr">
        <is>
          <t>5.5-6.0</t>
        </is>
      </c>
      <c r="N38" t="inlineStr">
        <is>
          <t>6-8</t>
        </is>
      </c>
      <c r="O38" t="inlineStr">
        <is>
          <t>11.5-14.0</t>
        </is>
      </c>
      <c r="P38" t="inlineStr">
        <is>
          <t>GEMS Wellington</t>
        </is>
      </c>
      <c r="Q38" t="inlineStr">
        <is>
          <t>King's College Hospital</t>
        </is>
      </c>
      <c r="R38" t="inlineStr">
        <is>
          <t>Dubai Hills Mall</t>
        </is>
      </c>
      <c r="S38" t="inlineStr">
        <is>
          <t>Al Khail E44</t>
        </is>
      </c>
      <c r="T38" t="inlineStr">
        <is>
          <t>15</t>
        </is>
      </c>
      <c r="U38" t="inlineStr">
        <is>
          <t>15</t>
        </is>
      </c>
      <c r="V38" t="inlineStr">
        <is>
          <t>20</t>
        </is>
      </c>
      <c r="W38" t="inlineStr">
        <is>
          <t>30</t>
        </is>
      </c>
      <c r="X38" t="inlineStr">
        <is>
          <t>Guild_real_estate_master.csv</t>
        </is>
      </c>
    </row>
    <row r="39">
      <c r="A39" t="n">
        <v>38</v>
      </c>
      <c r="B39" t="n">
        <v>38</v>
      </c>
      <c r="C39" t="inlineStr">
        <is>
          <t>Maple Townhouses</t>
        </is>
      </c>
      <c r="D39" t="inlineStr">
        <is>
          <t>Emaar Properties</t>
        </is>
      </c>
      <c r="E39" t="inlineStr">
        <is>
          <t>Dubai Hills Estate</t>
        </is>
      </c>
      <c r="F39" t="inlineStr">
        <is>
          <t>Townhouses</t>
        </is>
      </c>
      <c r="G39" t="inlineStr">
        <is>
          <t>Gated Community</t>
        </is>
      </c>
      <c r="H39" t="inlineStr">
        <is>
          <t>Resale (3.5M+)</t>
        </is>
      </c>
      <c r="I39" t="inlineStr">
        <is>
          <t>1500</t>
        </is>
      </c>
      <c r="J39" t="inlineStr">
        <is>
          <t>15</t>
        </is>
      </c>
      <c r="K39" t="inlineStr">
        <is>
          <t>Completed</t>
        </is>
      </c>
      <c r="L39" t="inlineStr">
        <is>
          <t>2016</t>
        </is>
      </c>
      <c r="M39" t="inlineStr">
        <is>
          <t>6.0-6.5</t>
        </is>
      </c>
      <c r="N39" t="inlineStr">
        <is>
          <t>6-8</t>
        </is>
      </c>
      <c r="O39" t="inlineStr">
        <is>
          <t>12.0-14.5</t>
        </is>
      </c>
      <c r="P39" t="inlineStr">
        <is>
          <t>GEMS Wellington</t>
        </is>
      </c>
      <c r="Q39" t="inlineStr">
        <is>
          <t>King's College Hospital</t>
        </is>
      </c>
      <c r="R39" t="inlineStr">
        <is>
          <t>Dubai Hills Mall</t>
        </is>
      </c>
      <c r="S39" t="inlineStr">
        <is>
          <t>Al Khail E44</t>
        </is>
      </c>
      <c r="T39" t="inlineStr">
        <is>
          <t>15</t>
        </is>
      </c>
      <c r="U39" t="inlineStr">
        <is>
          <t>15</t>
        </is>
      </c>
      <c r="V39" t="inlineStr">
        <is>
          <t>20</t>
        </is>
      </c>
      <c r="W39" t="inlineStr">
        <is>
          <t>30</t>
        </is>
      </c>
      <c r="X39" t="inlineStr">
        <is>
          <t>Guild_real_estate_master.csv</t>
        </is>
      </c>
    </row>
    <row r="40">
      <c r="A40" t="n">
        <v>39</v>
      </c>
      <c r="B40" t="n">
        <v>39</v>
      </c>
      <c r="C40" t="inlineStr">
        <is>
          <t>Address Villas Hillcrest</t>
        </is>
      </c>
      <c r="D40" t="inlineStr">
        <is>
          <t>Emaar Properties</t>
        </is>
      </c>
      <c r="E40" t="inlineStr">
        <is>
          <t>Dubai Hills Estate</t>
        </is>
      </c>
      <c r="F40" t="inlineStr">
        <is>
          <t>Villas</t>
        </is>
      </c>
      <c r="G40" t="inlineStr">
        <is>
          <t>Luxury / Golf</t>
        </is>
      </c>
      <c r="H40" t="inlineStr">
        <is>
          <t>8.0M</t>
        </is>
      </c>
      <c r="I40" t="inlineStr">
        <is>
          <t>2200</t>
        </is>
      </c>
      <c r="J40" t="inlineStr">
        <is>
          <t>25</t>
        </is>
      </c>
      <c r="K40" t="inlineStr">
        <is>
          <t>80/20</t>
        </is>
      </c>
      <c r="L40" t="inlineStr">
        <is>
          <t>2023</t>
        </is>
      </c>
      <c r="M40" t="inlineStr">
        <is>
          <t>4.5-5.0</t>
        </is>
      </c>
      <c r="N40" t="inlineStr">
        <is>
          <t>8-10</t>
        </is>
      </c>
      <c r="O40" t="inlineStr">
        <is>
          <t>12.5-15.0</t>
        </is>
      </c>
      <c r="P40" t="inlineStr">
        <is>
          <t>GEMS Wellington</t>
        </is>
      </c>
      <c r="Q40" t="inlineStr">
        <is>
          <t>King's College Hospital</t>
        </is>
      </c>
      <c r="R40" t="inlineStr">
        <is>
          <t>Dubai Hills Mall</t>
        </is>
      </c>
      <c r="S40" t="inlineStr">
        <is>
          <t>Al Khail E44</t>
        </is>
      </c>
      <c r="T40" t="inlineStr">
        <is>
          <t>15</t>
        </is>
      </c>
      <c r="U40" t="inlineStr">
        <is>
          <t>15</t>
        </is>
      </c>
      <c r="V40" t="inlineStr">
        <is>
          <t>20</t>
        </is>
      </c>
      <c r="W40" t="inlineStr">
        <is>
          <t>30</t>
        </is>
      </c>
      <c r="X40" t="inlineStr">
        <is>
          <t>Guild_real_estate_master.csv</t>
        </is>
      </c>
    </row>
    <row r="41">
      <c r="A41" t="n">
        <v>40</v>
      </c>
      <c r="B41" t="n">
        <v>40</v>
      </c>
      <c r="C41" t="inlineStr">
        <is>
          <t>The Valley (Master Community)</t>
        </is>
      </c>
      <c r="D41" t="inlineStr">
        <is>
          <t>Emaar Properties</t>
        </is>
      </c>
      <c r="E41" t="inlineStr">
        <is>
          <t>Dubailand (Al Ain Rd)</t>
        </is>
      </c>
      <c r="F41" t="inlineStr">
        <is>
          <t>Mixed</t>
        </is>
      </c>
      <c r="G41" t="inlineStr">
        <is>
          <t>Suburban / Family</t>
        </is>
      </c>
      <c r="J41" t="inlineStr">
        <is>
          <t>12-15</t>
        </is>
      </c>
      <c r="K41" t="inlineStr">
        <is>
          <t>Varies</t>
        </is>
      </c>
      <c r="L41" t="inlineStr">
        <is>
          <t>Ongoing</t>
        </is>
      </c>
      <c r="M41" t="inlineStr">
        <is>
          <t>6.5-7.5</t>
        </is>
      </c>
      <c r="N41" t="inlineStr">
        <is>
          <t>10-15</t>
        </is>
      </c>
      <c r="O41" t="inlineStr">
        <is>
          <t>16.5-22.5</t>
        </is>
      </c>
      <c r="P41" t="inlineStr">
        <is>
          <t>The Aquila School</t>
        </is>
      </c>
      <c r="Q41" t="inlineStr">
        <is>
          <t>Fakeeh University Hosp</t>
        </is>
      </c>
      <c r="R41" t="inlineStr">
        <is>
          <t>Dubai Outlet Mall</t>
        </is>
      </c>
      <c r="S41" t="inlineStr">
        <is>
          <t>Al Ain Rd E66</t>
        </is>
      </c>
      <c r="T41" t="inlineStr">
        <is>
          <t>25</t>
        </is>
      </c>
      <c r="U41" t="inlineStr">
        <is>
          <t>35</t>
        </is>
      </c>
      <c r="V41" t="inlineStr">
        <is>
          <t>25</t>
        </is>
      </c>
      <c r="W41" t="inlineStr">
        <is>
          <t>35</t>
        </is>
      </c>
      <c r="X41" t="inlineStr">
        <is>
          <t>Guild_real_estate_master.csv</t>
        </is>
      </c>
    </row>
    <row r="42">
      <c r="A42" t="n">
        <v>41</v>
      </c>
      <c r="B42" t="n">
        <v>41</v>
      </c>
      <c r="C42" t="inlineStr">
        <is>
          <t>Velora</t>
        </is>
      </c>
      <c r="D42" t="inlineStr">
        <is>
          <t>Emaar Properties</t>
        </is>
      </c>
      <c r="E42" t="inlineStr">
        <is>
          <t>The Valley (Phase 2)</t>
        </is>
      </c>
      <c r="F42" t="inlineStr">
        <is>
          <t>Townhouses</t>
        </is>
      </c>
      <c r="G42" t="inlineStr">
        <is>
          <t>Nature / Hills</t>
        </is>
      </c>
      <c r="H42" t="inlineStr">
        <is>
          <t>2.48M</t>
        </is>
      </c>
      <c r="I42" t="inlineStr">
        <is>
          <t>1100</t>
        </is>
      </c>
      <c r="J42" t="inlineStr">
        <is>
          <t>15</t>
        </is>
      </c>
      <c r="K42" t="inlineStr">
        <is>
          <t>80/20</t>
        </is>
      </c>
      <c r="L42" t="inlineStr">
        <is>
          <t>Aug 2028</t>
        </is>
      </c>
      <c r="M42" t="inlineStr">
        <is>
          <t>6.5-7.0</t>
        </is>
      </c>
      <c r="N42" t="inlineStr">
        <is>
          <t>10-15</t>
        </is>
      </c>
      <c r="O42" t="inlineStr">
        <is>
          <t>16.5-22.0</t>
        </is>
      </c>
      <c r="P42" t="inlineStr">
        <is>
          <t>The Aquila School</t>
        </is>
      </c>
      <c r="Q42" t="inlineStr">
        <is>
          <t>Fakeeh University Hosp</t>
        </is>
      </c>
      <c r="R42" t="inlineStr">
        <is>
          <t>Dubai Outlet Mall</t>
        </is>
      </c>
      <c r="S42" t="inlineStr">
        <is>
          <t>Al Ain Rd E66</t>
        </is>
      </c>
      <c r="T42" t="inlineStr">
        <is>
          <t>25</t>
        </is>
      </c>
      <c r="U42" t="inlineStr">
        <is>
          <t>35</t>
        </is>
      </c>
      <c r="V42" t="inlineStr">
        <is>
          <t>25</t>
        </is>
      </c>
      <c r="W42" t="inlineStr">
        <is>
          <t>35</t>
        </is>
      </c>
      <c r="X42" t="inlineStr">
        <is>
          <t>Guild_real_estate_master.csv</t>
        </is>
      </c>
    </row>
    <row r="43">
      <c r="A43" t="n">
        <v>42</v>
      </c>
      <c r="B43" t="n">
        <v>42</v>
      </c>
      <c r="C43" t="inlineStr">
        <is>
          <t>Venera</t>
        </is>
      </c>
      <c r="D43" t="inlineStr">
        <is>
          <t>Emaar Properties</t>
        </is>
      </c>
      <c r="E43" t="inlineStr">
        <is>
          <t>The Valley (Phase 2)</t>
        </is>
      </c>
      <c r="F43" t="inlineStr">
        <is>
          <t>Townhouses</t>
        </is>
      </c>
      <c r="G43" t="inlineStr">
        <is>
          <t>Nature / Hills</t>
        </is>
      </c>
      <c r="H43" t="inlineStr">
        <is>
          <t>2.5M</t>
        </is>
      </c>
      <c r="I43" t="inlineStr">
        <is>
          <t>1100</t>
        </is>
      </c>
      <c r="J43" t="inlineStr">
        <is>
          <t>15</t>
        </is>
      </c>
      <c r="K43" t="inlineStr">
        <is>
          <t>80/20</t>
        </is>
      </c>
      <c r="L43" t="inlineStr">
        <is>
          <t>2024</t>
        </is>
      </c>
      <c r="M43" t="inlineStr">
        <is>
          <t>6.5-7.0</t>
        </is>
      </c>
      <c r="N43" t="inlineStr">
        <is>
          <t>10-15</t>
        </is>
      </c>
      <c r="O43" t="inlineStr">
        <is>
          <t>16.5-22.0</t>
        </is>
      </c>
      <c r="P43" t="inlineStr">
        <is>
          <t>The Aquila School</t>
        </is>
      </c>
      <c r="Q43" t="inlineStr">
        <is>
          <t>Fakeeh University Hosp</t>
        </is>
      </c>
      <c r="R43" t="inlineStr">
        <is>
          <t>Dubai Outlet Mall</t>
        </is>
      </c>
      <c r="S43" t="inlineStr">
        <is>
          <t>Al Ain Rd E66</t>
        </is>
      </c>
      <c r="T43" t="inlineStr">
        <is>
          <t>25</t>
        </is>
      </c>
      <c r="U43" t="inlineStr">
        <is>
          <t>35</t>
        </is>
      </c>
      <c r="V43" t="inlineStr">
        <is>
          <t>25</t>
        </is>
      </c>
      <c r="W43" t="inlineStr">
        <is>
          <t>35</t>
        </is>
      </c>
      <c r="X43" t="inlineStr">
        <is>
          <t>Guild_real_estate_master.csv</t>
        </is>
      </c>
    </row>
    <row r="44">
      <c r="A44" t="n">
        <v>43</v>
      </c>
      <c r="B44" t="n">
        <v>43</v>
      </c>
      <c r="C44" t="inlineStr">
        <is>
          <t>Rivera</t>
        </is>
      </c>
      <c r="D44" t="inlineStr">
        <is>
          <t>Emaar Properties</t>
        </is>
      </c>
      <c r="E44" t="inlineStr">
        <is>
          <t>The Valley</t>
        </is>
      </c>
      <c r="F44" t="inlineStr">
        <is>
          <t>Townhouses</t>
        </is>
      </c>
      <c r="G44" t="inlineStr">
        <is>
          <t>Water / Lagoon</t>
        </is>
      </c>
      <c r="H44" t="inlineStr">
        <is>
          <t>2.6M</t>
        </is>
      </c>
      <c r="I44" t="inlineStr">
        <is>
          <t>1150</t>
        </is>
      </c>
      <c r="J44" t="inlineStr">
        <is>
          <t>15</t>
        </is>
      </c>
      <c r="K44" t="inlineStr">
        <is>
          <t>80/20</t>
        </is>
      </c>
      <c r="L44" t="inlineStr">
        <is>
          <t>2024</t>
        </is>
      </c>
      <c r="M44" t="inlineStr">
        <is>
          <t>6.5-7.0</t>
        </is>
      </c>
      <c r="N44" t="inlineStr">
        <is>
          <t>10-15</t>
        </is>
      </c>
      <c r="O44" t="inlineStr">
        <is>
          <t>16.5-22.0</t>
        </is>
      </c>
      <c r="P44" t="inlineStr">
        <is>
          <t>The Aquila School</t>
        </is>
      </c>
      <c r="Q44" t="inlineStr">
        <is>
          <t>Fakeeh University Hosp</t>
        </is>
      </c>
      <c r="R44" t="inlineStr">
        <is>
          <t>Dubai Outlet Mall</t>
        </is>
      </c>
      <c r="S44" t="inlineStr">
        <is>
          <t>Al Ain Rd E66</t>
        </is>
      </c>
      <c r="T44" t="inlineStr">
        <is>
          <t>25</t>
        </is>
      </c>
      <c r="U44" t="inlineStr">
        <is>
          <t>35</t>
        </is>
      </c>
      <c r="V44" t="inlineStr">
        <is>
          <t>25</t>
        </is>
      </c>
      <c r="W44" t="inlineStr">
        <is>
          <t>35</t>
        </is>
      </c>
      <c r="X44" t="inlineStr">
        <is>
          <t>Guild_real_estate_master.csv</t>
        </is>
      </c>
    </row>
    <row r="45">
      <c r="A45" t="n">
        <v>44</v>
      </c>
      <c r="B45" t="n">
        <v>44</v>
      </c>
      <c r="C45" t="inlineStr">
        <is>
          <t>Avena</t>
        </is>
      </c>
      <c r="D45" t="inlineStr">
        <is>
          <t>Emaar Properties</t>
        </is>
      </c>
      <c r="E45" t="inlineStr">
        <is>
          <t>The Valley</t>
        </is>
      </c>
      <c r="F45" t="inlineStr">
        <is>
          <t>Villas</t>
        </is>
      </c>
      <c r="G45" t="inlineStr">
        <is>
          <t>Nature</t>
        </is>
      </c>
      <c r="H45" t="inlineStr">
        <is>
          <t>3.2M</t>
        </is>
      </c>
      <c r="I45" t="inlineStr">
        <is>
          <t>1200</t>
        </is>
      </c>
      <c r="J45" t="inlineStr">
        <is>
          <t>15</t>
        </is>
      </c>
      <c r="K45" t="inlineStr">
        <is>
          <t>80/20</t>
        </is>
      </c>
      <c r="L45" t="inlineStr">
        <is>
          <t>2024</t>
        </is>
      </c>
      <c r="M45" t="inlineStr">
        <is>
          <t>6.0-6.5</t>
        </is>
      </c>
      <c r="N45" t="inlineStr">
        <is>
          <t>10-15</t>
        </is>
      </c>
      <c r="O45" t="inlineStr">
        <is>
          <t>16.0-21.5</t>
        </is>
      </c>
      <c r="P45" t="inlineStr">
        <is>
          <t>The Aquila School</t>
        </is>
      </c>
      <c r="Q45" t="inlineStr">
        <is>
          <t>Fakeeh University Hosp</t>
        </is>
      </c>
      <c r="R45" t="inlineStr">
        <is>
          <t>Dubai Outlet Mall</t>
        </is>
      </c>
      <c r="S45" t="inlineStr">
        <is>
          <t>Al Ain Rd E66</t>
        </is>
      </c>
      <c r="T45" t="inlineStr">
        <is>
          <t>25</t>
        </is>
      </c>
      <c r="U45" t="inlineStr">
        <is>
          <t>35</t>
        </is>
      </c>
      <c r="V45" t="inlineStr">
        <is>
          <t>25</t>
        </is>
      </c>
      <c r="W45" t="inlineStr">
        <is>
          <t>35</t>
        </is>
      </c>
      <c r="X45" t="inlineStr">
        <is>
          <t>Guild_real_estate_master.csv</t>
        </is>
      </c>
    </row>
    <row r="46">
      <c r="A46" t="n">
        <v>45</v>
      </c>
      <c r="B46" t="n">
        <v>45</v>
      </c>
      <c r="C46" t="inlineStr">
        <is>
          <t>Ovelle</t>
        </is>
      </c>
      <c r="D46" t="inlineStr">
        <is>
          <t>Emaar Properties</t>
        </is>
      </c>
      <c r="E46" t="inlineStr">
        <is>
          <t>The Valley</t>
        </is>
      </c>
      <c r="F46" t="inlineStr">
        <is>
          <t>Townhouses</t>
        </is>
      </c>
      <c r="G46" t="inlineStr">
        <is>
          <t>Family</t>
        </is>
      </c>
      <c r="H46" t="inlineStr">
        <is>
          <t>2.4M</t>
        </is>
      </c>
      <c r="I46" t="inlineStr">
        <is>
          <t>1050</t>
        </is>
      </c>
      <c r="J46" t="inlineStr">
        <is>
          <t>15</t>
        </is>
      </c>
      <c r="K46" t="inlineStr">
        <is>
          <t>80/20</t>
        </is>
      </c>
      <c r="L46" t="inlineStr">
        <is>
          <t>2024</t>
        </is>
      </c>
      <c r="M46" t="inlineStr">
        <is>
          <t>6.5-7.0</t>
        </is>
      </c>
      <c r="N46" t="inlineStr">
        <is>
          <t>10-15</t>
        </is>
      </c>
      <c r="O46" t="inlineStr">
        <is>
          <t>16.5-22.0</t>
        </is>
      </c>
      <c r="P46" t="inlineStr">
        <is>
          <t>The Aquila School</t>
        </is>
      </c>
      <c r="Q46" t="inlineStr">
        <is>
          <t>Fakeeh University Hosp</t>
        </is>
      </c>
      <c r="R46" t="inlineStr">
        <is>
          <t>Dubai Outlet Mall</t>
        </is>
      </c>
      <c r="S46" t="inlineStr">
        <is>
          <t>Al Ain Rd E66</t>
        </is>
      </c>
      <c r="T46" t="inlineStr">
        <is>
          <t>25</t>
        </is>
      </c>
      <c r="U46" t="inlineStr">
        <is>
          <t>35</t>
        </is>
      </c>
      <c r="V46" t="inlineStr">
        <is>
          <t>25</t>
        </is>
      </c>
      <c r="W46" t="inlineStr">
        <is>
          <t>35</t>
        </is>
      </c>
      <c r="X46" t="inlineStr">
        <is>
          <t>Guild_real_estate_master.csv</t>
        </is>
      </c>
    </row>
    <row r="47">
      <c r="A47" t="n">
        <v>46</v>
      </c>
      <c r="B47" t="n">
        <v>46</v>
      </c>
      <c r="C47" t="inlineStr">
        <is>
          <t>Avelia</t>
        </is>
      </c>
      <c r="D47" t="inlineStr">
        <is>
          <t>Emaar Properties</t>
        </is>
      </c>
      <c r="E47" t="inlineStr">
        <is>
          <t>The Valley</t>
        </is>
      </c>
      <c r="F47" t="inlineStr">
        <is>
          <t>Townhouses</t>
        </is>
      </c>
      <c r="G47" t="inlineStr">
        <is>
          <t>Family</t>
        </is>
      </c>
      <c r="H47" t="inlineStr">
        <is>
          <t>2.3M</t>
        </is>
      </c>
      <c r="I47" t="inlineStr">
        <is>
          <t>1000</t>
        </is>
      </c>
      <c r="J47" t="inlineStr">
        <is>
          <t>15</t>
        </is>
      </c>
      <c r="K47" t="inlineStr">
        <is>
          <t>80/20</t>
        </is>
      </c>
      <c r="L47" t="inlineStr">
        <is>
          <t>2024</t>
        </is>
      </c>
      <c r="M47" t="inlineStr">
        <is>
          <t>6.5-7.0</t>
        </is>
      </c>
      <c r="N47" t="inlineStr">
        <is>
          <t>10-15</t>
        </is>
      </c>
      <c r="O47" t="inlineStr">
        <is>
          <t>16.5-22.0</t>
        </is>
      </c>
      <c r="P47" t="inlineStr">
        <is>
          <t>The Aquila School</t>
        </is>
      </c>
      <c r="Q47" t="inlineStr">
        <is>
          <t>Fakeeh University Hosp</t>
        </is>
      </c>
      <c r="R47" t="inlineStr">
        <is>
          <t>Dubai Outlet Mall</t>
        </is>
      </c>
      <c r="S47" t="inlineStr">
        <is>
          <t>Al Ain Rd E66</t>
        </is>
      </c>
      <c r="T47" t="inlineStr">
        <is>
          <t>25</t>
        </is>
      </c>
      <c r="U47" t="inlineStr">
        <is>
          <t>35</t>
        </is>
      </c>
      <c r="V47" t="inlineStr">
        <is>
          <t>25</t>
        </is>
      </c>
      <c r="W47" t="inlineStr">
        <is>
          <t>35</t>
        </is>
      </c>
      <c r="X47" t="inlineStr">
        <is>
          <t>Guild_real_estate_master.csv</t>
        </is>
      </c>
    </row>
    <row r="48">
      <c r="A48" t="n">
        <v>47</v>
      </c>
      <c r="B48" t="n">
        <v>47</v>
      </c>
      <c r="C48" t="inlineStr">
        <is>
          <t>Elora</t>
        </is>
      </c>
      <c r="D48" t="inlineStr">
        <is>
          <t>Emaar Properties</t>
        </is>
      </c>
      <c r="E48" t="inlineStr">
        <is>
          <t>The Valley</t>
        </is>
      </c>
      <c r="F48" t="inlineStr">
        <is>
          <t>Townhouses</t>
        </is>
      </c>
      <c r="G48" t="inlineStr">
        <is>
          <t>Family</t>
        </is>
      </c>
      <c r="H48" t="inlineStr">
        <is>
          <t>2.1M</t>
        </is>
      </c>
      <c r="I48" t="inlineStr">
        <is>
          <t>1000</t>
        </is>
      </c>
      <c r="J48" t="inlineStr">
        <is>
          <t>15</t>
        </is>
      </c>
      <c r="K48" t="inlineStr">
        <is>
          <t>80/20</t>
        </is>
      </c>
      <c r="L48" t="inlineStr">
        <is>
          <t>2023</t>
        </is>
      </c>
      <c r="M48" t="inlineStr">
        <is>
          <t>7.0-7.5</t>
        </is>
      </c>
      <c r="N48" t="inlineStr">
        <is>
          <t>10-12</t>
        </is>
      </c>
      <c r="O48" t="inlineStr">
        <is>
          <t>17.0-19.5</t>
        </is>
      </c>
      <c r="P48" t="inlineStr">
        <is>
          <t>The Aquila School</t>
        </is>
      </c>
      <c r="Q48" t="inlineStr">
        <is>
          <t>Fakeeh University Hosp</t>
        </is>
      </c>
      <c r="R48" t="inlineStr">
        <is>
          <t>Dubai Outlet Mall</t>
        </is>
      </c>
      <c r="S48" t="inlineStr">
        <is>
          <t>Al Ain Rd E66</t>
        </is>
      </c>
      <c r="T48" t="inlineStr">
        <is>
          <t>25</t>
        </is>
      </c>
      <c r="U48" t="inlineStr">
        <is>
          <t>35</t>
        </is>
      </c>
      <c r="V48" t="inlineStr">
        <is>
          <t>25</t>
        </is>
      </c>
      <c r="W48" t="inlineStr">
        <is>
          <t>35</t>
        </is>
      </c>
      <c r="X48" t="inlineStr">
        <is>
          <t>Guild_real_estate_master.csv</t>
        </is>
      </c>
    </row>
    <row r="49">
      <c r="A49" t="n">
        <v>48</v>
      </c>
      <c r="B49" t="n">
        <v>48</v>
      </c>
      <c r="C49" t="inlineStr">
        <is>
          <t>Rivana</t>
        </is>
      </c>
      <c r="D49" t="inlineStr">
        <is>
          <t>Emaar Properties</t>
        </is>
      </c>
      <c r="E49" t="inlineStr">
        <is>
          <t>The Valley</t>
        </is>
      </c>
      <c r="F49" t="inlineStr">
        <is>
          <t>Villas</t>
        </is>
      </c>
      <c r="G49" t="inlineStr">
        <is>
          <t>Twin Villas</t>
        </is>
      </c>
      <c r="H49" t="inlineStr">
        <is>
          <t>2.8M</t>
        </is>
      </c>
      <c r="I49" t="inlineStr">
        <is>
          <t>1100</t>
        </is>
      </c>
      <c r="J49" t="inlineStr">
        <is>
          <t>15</t>
        </is>
      </c>
      <c r="K49" t="inlineStr">
        <is>
          <t>80/20</t>
        </is>
      </c>
      <c r="L49" t="inlineStr">
        <is>
          <t>2023</t>
        </is>
      </c>
      <c r="M49" t="inlineStr">
        <is>
          <t>6.5-7.0</t>
        </is>
      </c>
      <c r="N49" t="inlineStr">
        <is>
          <t>10-12</t>
        </is>
      </c>
      <c r="O49" t="inlineStr">
        <is>
          <t>16.5-19.0</t>
        </is>
      </c>
      <c r="P49" t="inlineStr">
        <is>
          <t>The Aquila School</t>
        </is>
      </c>
      <c r="Q49" t="inlineStr">
        <is>
          <t>Fakeeh University Hosp</t>
        </is>
      </c>
      <c r="R49" t="inlineStr">
        <is>
          <t>Dubai Outlet Mall</t>
        </is>
      </c>
      <c r="S49" t="inlineStr">
        <is>
          <t>Al Ain Rd E66</t>
        </is>
      </c>
      <c r="T49" t="inlineStr">
        <is>
          <t>25</t>
        </is>
      </c>
      <c r="U49" t="inlineStr">
        <is>
          <t>35</t>
        </is>
      </c>
      <c r="V49" t="inlineStr">
        <is>
          <t>25</t>
        </is>
      </c>
      <c r="W49" t="inlineStr">
        <is>
          <t>35</t>
        </is>
      </c>
      <c r="X49" t="inlineStr">
        <is>
          <t>Guild_real_estate_master.csv</t>
        </is>
      </c>
    </row>
    <row r="50">
      <c r="A50" t="n">
        <v>49</v>
      </c>
      <c r="B50" t="n">
        <v>49</v>
      </c>
      <c r="C50" t="inlineStr">
        <is>
          <t>Farm Gardens</t>
        </is>
      </c>
      <c r="D50" t="inlineStr">
        <is>
          <t>Emaar Properties</t>
        </is>
      </c>
      <c r="E50" t="inlineStr">
        <is>
          <t>The Valley</t>
        </is>
      </c>
      <c r="F50" t="inlineStr">
        <is>
          <t>Villas (Estate)</t>
        </is>
      </c>
      <c r="G50" t="inlineStr">
        <is>
          <t>Farm / Luxury</t>
        </is>
      </c>
      <c r="H50" t="inlineStr">
        <is>
          <t>5.5M</t>
        </is>
      </c>
      <c r="I50" t="inlineStr">
        <is>
          <t>1300</t>
        </is>
      </c>
      <c r="J50" t="inlineStr">
        <is>
          <t>15</t>
        </is>
      </c>
      <c r="K50" t="inlineStr">
        <is>
          <t>80/20</t>
        </is>
      </c>
      <c r="L50" t="inlineStr">
        <is>
          <t>2023</t>
        </is>
      </c>
      <c r="M50" t="inlineStr">
        <is>
          <t>5.5-6.0</t>
        </is>
      </c>
      <c r="N50" t="inlineStr">
        <is>
          <t>10-12</t>
        </is>
      </c>
      <c r="O50" t="inlineStr">
        <is>
          <t>15.5-18.0</t>
        </is>
      </c>
      <c r="P50" t="inlineStr">
        <is>
          <t>The Aquila School</t>
        </is>
      </c>
      <c r="Q50" t="inlineStr">
        <is>
          <t>Fakeeh University Hosp</t>
        </is>
      </c>
      <c r="R50" t="inlineStr">
        <is>
          <t>Dubai Outlet Mall</t>
        </is>
      </c>
      <c r="S50" t="inlineStr">
        <is>
          <t>Al Ain Rd E66</t>
        </is>
      </c>
      <c r="T50" t="inlineStr">
        <is>
          <t>25</t>
        </is>
      </c>
      <c r="U50" t="inlineStr">
        <is>
          <t>35</t>
        </is>
      </c>
      <c r="V50" t="inlineStr">
        <is>
          <t>25</t>
        </is>
      </c>
      <c r="W50" t="inlineStr">
        <is>
          <t>35</t>
        </is>
      </c>
      <c r="X50" t="inlineStr">
        <is>
          <t>Guild_real_estate_master.csv</t>
        </is>
      </c>
    </row>
    <row r="51">
      <c r="A51" t="n">
        <v>50</v>
      </c>
      <c r="B51" t="n">
        <v>50</v>
      </c>
      <c r="C51" t="inlineStr">
        <is>
          <t>The Oasis (Master Community)</t>
        </is>
      </c>
      <c r="D51" t="inlineStr">
        <is>
          <t>Emaar Properties</t>
        </is>
      </c>
      <c r="E51" t="inlineStr">
        <is>
          <t>Near DIP</t>
        </is>
      </c>
      <c r="F51" t="inlineStr">
        <is>
          <t>Villas &amp; Mansions</t>
        </is>
      </c>
      <c r="G51" t="inlineStr">
        <is>
          <t>Blue Lagoons / Luxury</t>
        </is>
      </c>
      <c r="J51" t="inlineStr">
        <is>
          <t>TBA</t>
        </is>
      </c>
      <c r="K51" t="inlineStr">
        <is>
          <t>Varies</t>
        </is>
      </c>
      <c r="L51" t="inlineStr">
        <is>
          <t>2024</t>
        </is>
      </c>
      <c r="M51" t="inlineStr">
        <is>
          <t>4.5-5.5</t>
        </is>
      </c>
      <c r="N51" t="inlineStr">
        <is>
          <t>12-18</t>
        </is>
      </c>
      <c r="O51" t="inlineStr">
        <is>
          <t>16.5-23.5</t>
        </is>
      </c>
      <c r="P51" t="inlineStr">
        <is>
          <t>Victory Heights</t>
        </is>
      </c>
      <c r="Q51" t="inlineStr">
        <is>
          <t>NMC Royal DIP</t>
        </is>
      </c>
      <c r="R51" t="inlineStr">
        <is>
          <t>First Avenue Mall</t>
        </is>
      </c>
      <c r="S51" t="inlineStr">
        <is>
          <t>Yalayis St / E611</t>
        </is>
      </c>
      <c r="T51" t="inlineStr">
        <is>
          <t>25</t>
        </is>
      </c>
      <c r="U51" t="inlineStr">
        <is>
          <t>20</t>
        </is>
      </c>
      <c r="V51" t="inlineStr">
        <is>
          <t>30</t>
        </is>
      </c>
      <c r="W51" t="inlineStr">
        <is>
          <t>18</t>
        </is>
      </c>
      <c r="X51" t="inlineStr">
        <is>
          <t>Guild_real_estate_master.csv</t>
        </is>
      </c>
    </row>
    <row r="52">
      <c r="A52" t="n">
        <v>51</v>
      </c>
      <c r="B52" t="n">
        <v>51</v>
      </c>
      <c r="C52" t="inlineStr">
        <is>
          <t>Palmiera</t>
        </is>
      </c>
      <c r="D52" t="inlineStr">
        <is>
          <t>Emaar Properties</t>
        </is>
      </c>
      <c r="E52" t="inlineStr">
        <is>
          <t>The Oasis</t>
        </is>
      </c>
      <c r="F52" t="inlineStr">
        <is>
          <t>Villas</t>
        </is>
      </c>
      <c r="G52" t="inlineStr">
        <is>
          <t>Luxury / Water</t>
        </is>
      </c>
      <c r="H52" t="inlineStr">
        <is>
          <t>8.5M</t>
        </is>
      </c>
      <c r="I52" t="inlineStr">
        <is>
          <t>1800</t>
        </is>
      </c>
      <c r="J52" t="inlineStr">
        <is>
          <t>20</t>
        </is>
      </c>
      <c r="K52" t="inlineStr">
        <is>
          <t>80/20</t>
        </is>
      </c>
      <c r="L52" t="inlineStr">
        <is>
          <t>2024</t>
        </is>
      </c>
      <c r="M52" t="inlineStr">
        <is>
          <t>4.5-5.0</t>
        </is>
      </c>
      <c r="N52" t="inlineStr">
        <is>
          <t>12-18</t>
        </is>
      </c>
      <c r="O52" t="inlineStr">
        <is>
          <t>16.5-23.0</t>
        </is>
      </c>
      <c r="P52" t="inlineStr">
        <is>
          <t>Victory Heights</t>
        </is>
      </c>
      <c r="Q52" t="inlineStr">
        <is>
          <t>NMC Royal DIP</t>
        </is>
      </c>
      <c r="R52" t="inlineStr">
        <is>
          <t>First Avenue Mall</t>
        </is>
      </c>
      <c r="S52" t="inlineStr">
        <is>
          <t>Yalayis St / E611</t>
        </is>
      </c>
      <c r="T52" t="inlineStr">
        <is>
          <t>25</t>
        </is>
      </c>
      <c r="U52" t="inlineStr">
        <is>
          <t>20</t>
        </is>
      </c>
      <c r="V52" t="inlineStr">
        <is>
          <t>30</t>
        </is>
      </c>
      <c r="W52" t="inlineStr">
        <is>
          <t>18</t>
        </is>
      </c>
      <c r="X52" t="inlineStr">
        <is>
          <t>Guild_real_estate_master.csv</t>
        </is>
      </c>
    </row>
    <row r="53">
      <c r="A53" t="n">
        <v>52</v>
      </c>
      <c r="B53" t="n">
        <v>52</v>
      </c>
      <c r="C53" t="inlineStr">
        <is>
          <t>Marèva 1</t>
        </is>
      </c>
      <c r="D53" t="inlineStr">
        <is>
          <t>Emaar Properties</t>
        </is>
      </c>
      <c r="E53" t="inlineStr">
        <is>
          <t>The Oasis</t>
        </is>
      </c>
      <c r="F53" t="inlineStr">
        <is>
          <t>Villas</t>
        </is>
      </c>
      <c r="G53" t="inlineStr">
        <is>
          <t>Luxury / Water</t>
        </is>
      </c>
      <c r="H53" t="inlineStr">
        <is>
          <t>9.0M</t>
        </is>
      </c>
      <c r="I53" t="inlineStr">
        <is>
          <t>1900</t>
        </is>
      </c>
      <c r="J53" t="inlineStr">
        <is>
          <t>20</t>
        </is>
      </c>
      <c r="K53" t="inlineStr">
        <is>
          <t>80/20</t>
        </is>
      </c>
      <c r="L53" t="inlineStr">
        <is>
          <t>2024</t>
        </is>
      </c>
      <c r="M53" t="inlineStr">
        <is>
          <t>4.5-5.0</t>
        </is>
      </c>
      <c r="N53" t="inlineStr">
        <is>
          <t>12-18</t>
        </is>
      </c>
      <c r="O53" t="inlineStr">
        <is>
          <t>16.5-23.0</t>
        </is>
      </c>
      <c r="P53" t="inlineStr">
        <is>
          <t>Victory Heights</t>
        </is>
      </c>
      <c r="Q53" t="inlineStr">
        <is>
          <t>NMC Royal DIP</t>
        </is>
      </c>
      <c r="R53" t="inlineStr">
        <is>
          <t>First Avenue Mall</t>
        </is>
      </c>
      <c r="S53" t="inlineStr">
        <is>
          <t>Yalayis St / E611</t>
        </is>
      </c>
      <c r="T53" t="inlineStr">
        <is>
          <t>25</t>
        </is>
      </c>
      <c r="U53" t="inlineStr">
        <is>
          <t>20</t>
        </is>
      </c>
      <c r="V53" t="inlineStr">
        <is>
          <t>30</t>
        </is>
      </c>
      <c r="W53" t="inlineStr">
        <is>
          <t>18</t>
        </is>
      </c>
      <c r="X53" t="inlineStr">
        <is>
          <t>Guild_real_estate_master.csv</t>
        </is>
      </c>
    </row>
    <row r="54">
      <c r="A54" t="n">
        <v>53</v>
      </c>
      <c r="B54" t="n">
        <v>53</v>
      </c>
      <c r="C54" t="inlineStr">
        <is>
          <t>Marèva 2</t>
        </is>
      </c>
      <c r="D54" t="inlineStr">
        <is>
          <t>Emaar Properties</t>
        </is>
      </c>
      <c r="E54" t="inlineStr">
        <is>
          <t>The Oasis</t>
        </is>
      </c>
      <c r="F54" t="inlineStr">
        <is>
          <t>Villas</t>
        </is>
      </c>
      <c r="G54" t="inlineStr">
        <is>
          <t>Luxury / Water</t>
        </is>
      </c>
      <c r="H54" t="inlineStr">
        <is>
          <t>13.47M</t>
        </is>
      </c>
      <c r="I54" t="inlineStr">
        <is>
          <t>2000</t>
        </is>
      </c>
      <c r="J54" t="inlineStr">
        <is>
          <t>20</t>
        </is>
      </c>
      <c r="K54" t="inlineStr">
        <is>
          <t>80/20</t>
        </is>
      </c>
      <c r="L54" t="inlineStr">
        <is>
          <t>2024</t>
        </is>
      </c>
      <c r="M54" t="inlineStr">
        <is>
          <t>4.0-4.5</t>
        </is>
      </c>
      <c r="N54" t="inlineStr">
        <is>
          <t>12-18</t>
        </is>
      </c>
      <c r="O54" t="inlineStr">
        <is>
          <t>16.0-22.5</t>
        </is>
      </c>
      <c r="P54" t="inlineStr">
        <is>
          <t>Victory Heights</t>
        </is>
      </c>
      <c r="Q54" t="inlineStr">
        <is>
          <t>NMC Royal DIP</t>
        </is>
      </c>
      <c r="R54" t="inlineStr">
        <is>
          <t>First Avenue Mall</t>
        </is>
      </c>
      <c r="S54" t="inlineStr">
        <is>
          <t>Yalayis St / E611</t>
        </is>
      </c>
      <c r="T54" t="inlineStr">
        <is>
          <t>25</t>
        </is>
      </c>
      <c r="U54" t="inlineStr">
        <is>
          <t>20</t>
        </is>
      </c>
      <c r="V54" t="inlineStr">
        <is>
          <t>30</t>
        </is>
      </c>
      <c r="W54" t="inlineStr">
        <is>
          <t>18</t>
        </is>
      </c>
      <c r="X54" t="inlineStr">
        <is>
          <t>Guild_real_estate_master.csv</t>
        </is>
      </c>
    </row>
    <row r="55">
      <c r="A55" t="n">
        <v>54</v>
      </c>
      <c r="B55" t="n">
        <v>54</v>
      </c>
      <c r="C55" t="inlineStr">
        <is>
          <t>Emaar South (Master Community)</t>
        </is>
      </c>
      <c r="D55" t="inlineStr">
        <is>
          <t>Emaar Properties</t>
        </is>
      </c>
      <c r="E55" t="inlineStr">
        <is>
          <t>Dubai South (Airport)</t>
        </is>
      </c>
      <c r="F55" t="inlineStr">
        <is>
          <t>Mixed</t>
        </is>
      </c>
      <c r="G55" t="inlineStr">
        <is>
          <t>Golf / Airport</t>
        </is>
      </c>
      <c r="J55" t="inlineStr">
        <is>
          <t>10-12</t>
        </is>
      </c>
      <c r="K55" t="inlineStr">
        <is>
          <t>Varies</t>
        </is>
      </c>
      <c r="L55" t="inlineStr">
        <is>
          <t>Ongoing</t>
        </is>
      </c>
      <c r="M55" t="inlineStr">
        <is>
          <t>7.0-8.5</t>
        </is>
      </c>
      <c r="N55" t="inlineStr">
        <is>
          <t>8-12</t>
        </is>
      </c>
      <c r="O55" t="inlineStr">
        <is>
          <t>15.0-20.5</t>
        </is>
      </c>
      <c r="P55" t="inlineStr">
        <is>
          <t>Greenfield Intl</t>
        </is>
      </c>
      <c r="Q55" t="inlineStr">
        <is>
          <t>NMC Royal DIP</t>
        </is>
      </c>
      <c r="R55" t="inlineStr">
        <is>
          <t>Urban Centre (Local)</t>
        </is>
      </c>
      <c r="S55" t="inlineStr">
        <is>
          <t>Expo Rd / E611</t>
        </is>
      </c>
      <c r="T55" t="inlineStr">
        <is>
          <t>40</t>
        </is>
      </c>
      <c r="U55" t="inlineStr">
        <is>
          <t>25</t>
        </is>
      </c>
      <c r="V55" t="inlineStr">
        <is>
          <t>45</t>
        </is>
      </c>
      <c r="W55" t="inlineStr">
        <is>
          <t>7</t>
        </is>
      </c>
      <c r="X55" t="inlineStr">
        <is>
          <t>Guild_real_estate_master.csv</t>
        </is>
      </c>
    </row>
    <row r="56">
      <c r="A56" t="n">
        <v>55</v>
      </c>
      <c r="B56" t="n">
        <v>55</v>
      </c>
      <c r="C56" t="inlineStr">
        <is>
          <t>Golf Hills 2</t>
        </is>
      </c>
      <c r="D56" t="inlineStr">
        <is>
          <t>Emaar Properties</t>
        </is>
      </c>
      <c r="E56" t="inlineStr">
        <is>
          <t>Emaar South</t>
        </is>
      </c>
      <c r="F56" t="inlineStr">
        <is>
          <t>Apartments</t>
        </is>
      </c>
      <c r="G56" t="inlineStr">
        <is>
          <t>Golf View</t>
        </is>
      </c>
      <c r="H56" t="inlineStr">
        <is>
          <t>1.1M</t>
        </is>
      </c>
      <c r="I56" t="inlineStr">
        <is>
          <t>1200</t>
        </is>
      </c>
      <c r="J56" t="inlineStr">
        <is>
          <t>15</t>
        </is>
      </c>
      <c r="K56" t="inlineStr">
        <is>
          <t>80/20</t>
        </is>
      </c>
      <c r="L56" t="inlineStr">
        <is>
          <t>2024</t>
        </is>
      </c>
      <c r="M56" t="inlineStr">
        <is>
          <t>7.0-7.5</t>
        </is>
      </c>
      <c r="N56" t="inlineStr">
        <is>
          <t>8-12</t>
        </is>
      </c>
      <c r="O56" t="inlineStr">
        <is>
          <t>15.0-19.5</t>
        </is>
      </c>
      <c r="P56" t="inlineStr">
        <is>
          <t>Greenfield Intl</t>
        </is>
      </c>
      <c r="Q56" t="inlineStr">
        <is>
          <t>NMC Royal DIP</t>
        </is>
      </c>
      <c r="R56" t="inlineStr">
        <is>
          <t>Urban Centre (Local)</t>
        </is>
      </c>
      <c r="S56" t="inlineStr">
        <is>
          <t>Expo Rd / E611</t>
        </is>
      </c>
      <c r="T56" t="inlineStr">
        <is>
          <t>40</t>
        </is>
      </c>
      <c r="U56" t="inlineStr">
        <is>
          <t>25</t>
        </is>
      </c>
      <c r="V56" t="inlineStr">
        <is>
          <t>45</t>
        </is>
      </c>
      <c r="W56" t="inlineStr">
        <is>
          <t>7</t>
        </is>
      </c>
      <c r="X56" t="inlineStr">
        <is>
          <t>Guild_real_estate_master.csv</t>
        </is>
      </c>
    </row>
    <row r="57">
      <c r="A57" t="n">
        <v>56</v>
      </c>
      <c r="B57" t="n">
        <v>56</v>
      </c>
      <c r="C57" t="inlineStr">
        <is>
          <t>Vista Ridge</t>
        </is>
      </c>
      <c r="D57" t="inlineStr">
        <is>
          <t>Emaar Properties</t>
        </is>
      </c>
      <c r="E57" t="inlineStr">
        <is>
          <t>Emaar South</t>
        </is>
      </c>
      <c r="F57" t="inlineStr">
        <is>
          <t>Townhouses</t>
        </is>
      </c>
      <c r="G57" t="inlineStr">
        <is>
          <t>Golf View</t>
        </is>
      </c>
      <c r="H57" t="inlineStr">
        <is>
          <t>1.8M</t>
        </is>
      </c>
      <c r="I57" t="inlineStr">
        <is>
          <t>1100</t>
        </is>
      </c>
      <c r="J57" t="inlineStr">
        <is>
          <t>15</t>
        </is>
      </c>
      <c r="K57" t="inlineStr">
        <is>
          <t>80/20</t>
        </is>
      </c>
      <c r="L57" t="inlineStr">
        <is>
          <t>2024</t>
        </is>
      </c>
      <c r="M57" t="inlineStr">
        <is>
          <t>6.5-7.0</t>
        </is>
      </c>
      <c r="N57" t="inlineStr">
        <is>
          <t>8-12</t>
        </is>
      </c>
      <c r="O57" t="inlineStr">
        <is>
          <t>14.5-19.0</t>
        </is>
      </c>
      <c r="P57" t="inlineStr">
        <is>
          <t>Greenfield Intl</t>
        </is>
      </c>
      <c r="Q57" t="inlineStr">
        <is>
          <t>NMC Royal DIP</t>
        </is>
      </c>
      <c r="R57" t="inlineStr">
        <is>
          <t>Urban Centre (Local)</t>
        </is>
      </c>
      <c r="S57" t="inlineStr">
        <is>
          <t>Expo Rd / E611</t>
        </is>
      </c>
      <c r="T57" t="inlineStr">
        <is>
          <t>40</t>
        </is>
      </c>
      <c r="U57" t="inlineStr">
        <is>
          <t>25</t>
        </is>
      </c>
      <c r="V57" t="inlineStr">
        <is>
          <t>45</t>
        </is>
      </c>
      <c r="W57" t="inlineStr">
        <is>
          <t>7</t>
        </is>
      </c>
      <c r="X57" t="inlineStr">
        <is>
          <t>Guild_real_estate_master.csv</t>
        </is>
      </c>
    </row>
    <row r="58">
      <c r="A58" t="n">
        <v>57</v>
      </c>
      <c r="B58" t="n">
        <v>57</v>
      </c>
      <c r="C58" t="inlineStr">
        <is>
          <t>Grove Ridge</t>
        </is>
      </c>
      <c r="D58" t="inlineStr">
        <is>
          <t>Emaar Properties</t>
        </is>
      </c>
      <c r="E58" t="inlineStr">
        <is>
          <t>Emaar South</t>
        </is>
      </c>
      <c r="F58" t="inlineStr">
        <is>
          <t>Townhouses</t>
        </is>
      </c>
      <c r="G58" t="inlineStr">
        <is>
          <t>Family</t>
        </is>
      </c>
      <c r="H58" t="inlineStr">
        <is>
          <t>1.7M</t>
        </is>
      </c>
      <c r="I58" t="inlineStr">
        <is>
          <t>1050</t>
        </is>
      </c>
      <c r="J58" t="inlineStr">
        <is>
          <t>15</t>
        </is>
      </c>
      <c r="K58" t="inlineStr">
        <is>
          <t>80/20</t>
        </is>
      </c>
      <c r="L58" t="inlineStr">
        <is>
          <t>2024</t>
        </is>
      </c>
      <c r="M58" t="inlineStr">
        <is>
          <t>6.5-7.0</t>
        </is>
      </c>
      <c r="N58" t="inlineStr">
        <is>
          <t>8-12</t>
        </is>
      </c>
      <c r="O58" t="inlineStr">
        <is>
          <t>14.5-19.0</t>
        </is>
      </c>
      <c r="P58" t="inlineStr">
        <is>
          <t>Greenfield Intl</t>
        </is>
      </c>
      <c r="Q58" t="inlineStr">
        <is>
          <t>NMC Royal DIP</t>
        </is>
      </c>
      <c r="R58" t="inlineStr">
        <is>
          <t>Urban Centre (Local)</t>
        </is>
      </c>
      <c r="S58" t="inlineStr">
        <is>
          <t>Expo Rd / E611</t>
        </is>
      </c>
      <c r="T58" t="inlineStr">
        <is>
          <t>40</t>
        </is>
      </c>
      <c r="U58" t="inlineStr">
        <is>
          <t>25</t>
        </is>
      </c>
      <c r="V58" t="inlineStr">
        <is>
          <t>45</t>
        </is>
      </c>
      <c r="W58" t="inlineStr">
        <is>
          <t>7</t>
        </is>
      </c>
      <c r="X58" t="inlineStr">
        <is>
          <t>Guild_real_estate_master.csv</t>
        </is>
      </c>
    </row>
    <row r="59">
      <c r="A59" t="n">
        <v>58</v>
      </c>
      <c r="B59" t="n">
        <v>58</v>
      </c>
      <c r="C59" t="inlineStr">
        <is>
          <t>Expo Golf Villas</t>
        </is>
      </c>
      <c r="D59" t="inlineStr">
        <is>
          <t>Emaar Properties</t>
        </is>
      </c>
      <c r="E59" t="inlineStr">
        <is>
          <t>Emaar South</t>
        </is>
      </c>
      <c r="F59" t="inlineStr">
        <is>
          <t>Villas</t>
        </is>
      </c>
      <c r="G59" t="inlineStr">
        <is>
          <t>Golf</t>
        </is>
      </c>
      <c r="H59" t="inlineStr">
        <is>
          <t>Resale (1.5M+)</t>
        </is>
      </c>
      <c r="I59" t="inlineStr">
        <is>
          <t>1000</t>
        </is>
      </c>
      <c r="J59" t="inlineStr">
        <is>
          <t>15</t>
        </is>
      </c>
      <c r="K59" t="inlineStr">
        <is>
          <t>Completed</t>
        </is>
      </c>
      <c r="L59" t="inlineStr">
        <is>
          <t>2019</t>
        </is>
      </c>
      <c r="M59" t="inlineStr">
        <is>
          <t>7.0-7.5</t>
        </is>
      </c>
      <c r="N59" t="inlineStr">
        <is>
          <t>6-8</t>
        </is>
      </c>
      <c r="O59" t="inlineStr">
        <is>
          <t>13.0-15.5</t>
        </is>
      </c>
      <c r="P59" t="inlineStr">
        <is>
          <t>Greenfield Intl</t>
        </is>
      </c>
      <c r="Q59" t="inlineStr">
        <is>
          <t>NMC Royal DIP</t>
        </is>
      </c>
      <c r="R59" t="inlineStr">
        <is>
          <t>Urban Centre (Local)</t>
        </is>
      </c>
      <c r="S59" t="inlineStr">
        <is>
          <t>Expo Rd / E611</t>
        </is>
      </c>
      <c r="T59" t="inlineStr">
        <is>
          <t>40</t>
        </is>
      </c>
      <c r="U59" t="inlineStr">
        <is>
          <t>25</t>
        </is>
      </c>
      <c r="V59" t="inlineStr">
        <is>
          <t>45</t>
        </is>
      </c>
      <c r="W59" t="inlineStr">
        <is>
          <t>7</t>
        </is>
      </c>
      <c r="X59" t="inlineStr">
        <is>
          <t>Guild_real_estate_master.csv</t>
        </is>
      </c>
    </row>
    <row r="60">
      <c r="A60" t="n">
        <v>59</v>
      </c>
      <c r="B60" t="n">
        <v>59</v>
      </c>
      <c r="C60" t="inlineStr">
        <is>
          <t>Urbana</t>
        </is>
      </c>
      <c r="D60" t="inlineStr">
        <is>
          <t>Emaar Properties</t>
        </is>
      </c>
      <c r="E60" t="inlineStr">
        <is>
          <t>Emaar South</t>
        </is>
      </c>
      <c r="F60" t="inlineStr">
        <is>
          <t>Townhouses</t>
        </is>
      </c>
      <c r="G60" t="inlineStr">
        <is>
          <t>Gated</t>
        </is>
      </c>
      <c r="H60" t="inlineStr">
        <is>
          <t>Resale (1.2M+)</t>
        </is>
      </c>
      <c r="I60" t="inlineStr">
        <is>
          <t>950</t>
        </is>
      </c>
      <c r="J60" t="inlineStr">
        <is>
          <t>15</t>
        </is>
      </c>
      <c r="K60" t="inlineStr">
        <is>
          <t>Completed</t>
        </is>
      </c>
      <c r="L60" t="inlineStr">
        <is>
          <t>2018</t>
        </is>
      </c>
      <c r="M60" t="inlineStr">
        <is>
          <t>7.5-8.0</t>
        </is>
      </c>
      <c r="N60" t="inlineStr">
        <is>
          <t>6-8</t>
        </is>
      </c>
      <c r="O60" t="inlineStr">
        <is>
          <t>13.5-16.0</t>
        </is>
      </c>
      <c r="P60" t="inlineStr">
        <is>
          <t>Greenfield Intl</t>
        </is>
      </c>
      <c r="Q60" t="inlineStr">
        <is>
          <t>NMC Royal DIP</t>
        </is>
      </c>
      <c r="R60" t="inlineStr">
        <is>
          <t>Urban Centre (Local)</t>
        </is>
      </c>
      <c r="S60" t="inlineStr">
        <is>
          <t>Expo Rd / E611</t>
        </is>
      </c>
      <c r="T60" t="inlineStr">
        <is>
          <t>40</t>
        </is>
      </c>
      <c r="U60" t="inlineStr">
        <is>
          <t>25</t>
        </is>
      </c>
      <c r="V60" t="inlineStr">
        <is>
          <t>45</t>
        </is>
      </c>
      <c r="W60" t="inlineStr">
        <is>
          <t>7</t>
        </is>
      </c>
      <c r="X60" t="inlineStr">
        <is>
          <t>Guild_real_estate_master.csv</t>
        </is>
      </c>
    </row>
    <row r="61">
      <c r="A61" t="n">
        <v>60</v>
      </c>
      <c r="B61" t="n">
        <v>60</v>
      </c>
      <c r="C61" t="inlineStr">
        <is>
          <t>Expo Living (Master Community)</t>
        </is>
      </c>
      <c r="D61" t="inlineStr">
        <is>
          <t>Emaar Properties</t>
        </is>
      </c>
      <c r="E61" t="inlineStr">
        <is>
          <t>Dubai South</t>
        </is>
      </c>
      <c r="F61" t="inlineStr">
        <is>
          <t>Apartments</t>
        </is>
      </c>
      <c r="G61" t="inlineStr">
        <is>
          <t>Expo City Proximity</t>
        </is>
      </c>
      <c r="J61" t="inlineStr">
        <is>
          <t>15</t>
        </is>
      </c>
      <c r="K61" t="inlineStr">
        <is>
          <t>Varies</t>
        </is>
      </c>
      <c r="L61" t="inlineStr">
        <is>
          <t>2024</t>
        </is>
      </c>
      <c r="M61" t="inlineStr">
        <is>
          <t>7.0-8.0</t>
        </is>
      </c>
      <c r="N61" t="inlineStr">
        <is>
          <t>10-12</t>
        </is>
      </c>
      <c r="O61" t="inlineStr">
        <is>
          <t>17.0-20.0</t>
        </is>
      </c>
      <c r="P61" t="inlineStr">
        <is>
          <t>Dove Green</t>
        </is>
      </c>
      <c r="Q61" t="inlineStr">
        <is>
          <t>NMC Royal DIP</t>
        </is>
      </c>
      <c r="R61" t="inlineStr">
        <is>
          <t>Expo City Mall</t>
        </is>
      </c>
      <c r="S61" t="inlineStr">
        <is>
          <t>Expo Rd</t>
        </is>
      </c>
      <c r="T61" t="inlineStr">
        <is>
          <t>35</t>
        </is>
      </c>
      <c r="U61" t="inlineStr">
        <is>
          <t>20</t>
        </is>
      </c>
      <c r="V61" t="inlineStr">
        <is>
          <t>40</t>
        </is>
      </c>
      <c r="W61" t="inlineStr">
        <is>
          <t>10</t>
        </is>
      </c>
      <c r="X61" t="inlineStr">
        <is>
          <t>Guild_real_estate_master.csv</t>
        </is>
      </c>
    </row>
    <row r="62">
      <c r="A62" t="n">
        <v>61</v>
      </c>
      <c r="B62" t="n">
        <v>61</v>
      </c>
      <c r="C62" t="inlineStr">
        <is>
          <t>Terra Gardens</t>
        </is>
      </c>
      <c r="D62" t="inlineStr">
        <is>
          <t>Emaar Properties</t>
        </is>
      </c>
      <c r="E62" t="inlineStr">
        <is>
          <t>Expo Living</t>
        </is>
      </c>
      <c r="F62" t="inlineStr">
        <is>
          <t>Apartments</t>
        </is>
      </c>
      <c r="G62" t="inlineStr">
        <is>
          <t>Green / Modern</t>
        </is>
      </c>
      <c r="H62" t="inlineStr">
        <is>
          <t>1.3M</t>
        </is>
      </c>
      <c r="I62" t="inlineStr">
        <is>
          <t>1400</t>
        </is>
      </c>
      <c r="J62" t="inlineStr">
        <is>
          <t>15</t>
        </is>
      </c>
      <c r="K62" t="inlineStr">
        <is>
          <t>80/20</t>
        </is>
      </c>
      <c r="L62" t="inlineStr">
        <is>
          <t>2024</t>
        </is>
      </c>
      <c r="M62" t="inlineStr">
        <is>
          <t>7.0-7.5</t>
        </is>
      </c>
      <c r="N62" t="inlineStr">
        <is>
          <t>10-12</t>
        </is>
      </c>
      <c r="O62" t="inlineStr">
        <is>
          <t>17.0-19.5</t>
        </is>
      </c>
      <c r="P62" t="inlineStr">
        <is>
          <t>Dove Green</t>
        </is>
      </c>
      <c r="Q62" t="inlineStr">
        <is>
          <t>NMC Royal DIP</t>
        </is>
      </c>
      <c r="R62" t="inlineStr">
        <is>
          <t>Expo City Mall</t>
        </is>
      </c>
      <c r="S62" t="inlineStr">
        <is>
          <t>Expo Rd</t>
        </is>
      </c>
      <c r="T62" t="inlineStr">
        <is>
          <t>35</t>
        </is>
      </c>
      <c r="U62" t="inlineStr">
        <is>
          <t>20</t>
        </is>
      </c>
      <c r="V62" t="inlineStr">
        <is>
          <t>40</t>
        </is>
      </c>
      <c r="W62" t="inlineStr">
        <is>
          <t>10</t>
        </is>
      </c>
      <c r="X62" t="inlineStr">
        <is>
          <t>Guild_real_estate_master.csv</t>
        </is>
      </c>
    </row>
    <row r="63">
      <c r="A63" t="n">
        <v>62</v>
      </c>
      <c r="B63" t="n">
        <v>62</v>
      </c>
      <c r="C63" t="inlineStr">
        <is>
          <t>St. Regis Residences</t>
        </is>
      </c>
      <c r="D63" t="inlineStr">
        <is>
          <t>Emaar Properties</t>
        </is>
      </c>
      <c r="E63" t="inlineStr">
        <is>
          <t>Downtown Dubai</t>
        </is>
      </c>
      <c r="F63" t="inlineStr">
        <is>
          <t>Branded Apartments</t>
        </is>
      </c>
      <c r="G63" t="inlineStr">
        <is>
          <t>Luxury / Burj View</t>
        </is>
      </c>
      <c r="H63" t="inlineStr">
        <is>
          <t>3.8M</t>
        </is>
      </c>
      <c r="I63" t="inlineStr">
        <is>
          <t>3500</t>
        </is>
      </c>
      <c r="J63" t="inlineStr">
        <is>
          <t>45+</t>
        </is>
      </c>
      <c r="K63" t="inlineStr">
        <is>
          <t>70/30</t>
        </is>
      </c>
      <c r="L63" t="inlineStr">
        <is>
          <t>2022</t>
        </is>
      </c>
      <c r="M63" t="inlineStr">
        <is>
          <t>4.0-4.5</t>
        </is>
      </c>
      <c r="N63" t="inlineStr">
        <is>
          <t>10-15</t>
        </is>
      </c>
      <c r="O63" t="inlineStr">
        <is>
          <t>14.0-19.5</t>
        </is>
      </c>
      <c r="P63" t="inlineStr">
        <is>
          <t>Hartland Intl</t>
        </is>
      </c>
      <c r="Q63" t="inlineStr">
        <is>
          <t>Mediclinic Dubai Mall</t>
        </is>
      </c>
      <c r="R63" t="inlineStr">
        <is>
          <t>Dubai Mall</t>
        </is>
      </c>
      <c r="S63" t="inlineStr">
        <is>
          <t>Financial Ctr Rd</t>
        </is>
      </c>
      <c r="T63" t="inlineStr">
        <is>
          <t>5</t>
        </is>
      </c>
      <c r="U63" t="inlineStr">
        <is>
          <t>20</t>
        </is>
      </c>
      <c r="V63" t="inlineStr">
        <is>
          <t>15</t>
        </is>
      </c>
      <c r="W63" t="inlineStr">
        <is>
          <t>35</t>
        </is>
      </c>
      <c r="X63" t="inlineStr">
        <is>
          <t>Guild_real_estate_master.csv</t>
        </is>
      </c>
    </row>
    <row r="64">
      <c r="A64" t="n">
        <v>63</v>
      </c>
      <c r="B64" t="n">
        <v>63</v>
      </c>
      <c r="C64" t="inlineStr">
        <is>
          <t>Burj Crown</t>
        </is>
      </c>
      <c r="D64" t="inlineStr">
        <is>
          <t>Emaar Properties</t>
        </is>
      </c>
      <c r="E64" t="inlineStr">
        <is>
          <t>Downtown Dubai</t>
        </is>
      </c>
      <c r="F64" t="inlineStr">
        <is>
          <t>Apartments</t>
        </is>
      </c>
      <c r="G64" t="inlineStr">
        <is>
          <t>City Centre</t>
        </is>
      </c>
      <c r="H64" t="inlineStr">
        <is>
          <t>2.2M</t>
        </is>
      </c>
      <c r="I64" t="inlineStr">
        <is>
          <t>2800</t>
        </is>
      </c>
      <c r="J64" t="inlineStr">
        <is>
          <t>30</t>
        </is>
      </c>
      <c r="K64" t="inlineStr">
        <is>
          <t>Completed</t>
        </is>
      </c>
      <c r="L64" t="inlineStr">
        <is>
          <t>2020</t>
        </is>
      </c>
      <c r="M64" t="inlineStr">
        <is>
          <t>5.0-5.5</t>
        </is>
      </c>
      <c r="N64" t="inlineStr">
        <is>
          <t>8-10</t>
        </is>
      </c>
      <c r="O64" t="inlineStr">
        <is>
          <t>13.0-15.5</t>
        </is>
      </c>
      <c r="P64" t="inlineStr">
        <is>
          <t>Hartland Intl</t>
        </is>
      </c>
      <c r="Q64" t="inlineStr">
        <is>
          <t>Mediclinic Dubai Mall</t>
        </is>
      </c>
      <c r="R64" t="inlineStr">
        <is>
          <t>Dubai Mall</t>
        </is>
      </c>
      <c r="S64" t="inlineStr">
        <is>
          <t>Financial Ctr Rd</t>
        </is>
      </c>
      <c r="T64" t="inlineStr">
        <is>
          <t>5</t>
        </is>
      </c>
      <c r="U64" t="inlineStr">
        <is>
          <t>20</t>
        </is>
      </c>
      <c r="V64" t="inlineStr">
        <is>
          <t>15</t>
        </is>
      </c>
      <c r="W64" t="inlineStr">
        <is>
          <t>35</t>
        </is>
      </c>
      <c r="X64" t="inlineStr">
        <is>
          <t>Guild_real_estate_master.csv</t>
        </is>
      </c>
    </row>
    <row r="65">
      <c r="A65" t="n">
        <v>64</v>
      </c>
      <c r="B65" t="n">
        <v>64</v>
      </c>
      <c r="C65" t="inlineStr">
        <is>
          <t>Grande</t>
        </is>
      </c>
      <c r="D65" t="inlineStr">
        <is>
          <t>Emaar Properties</t>
        </is>
      </c>
      <c r="E65" t="inlineStr">
        <is>
          <t>Downtown Dubai</t>
        </is>
      </c>
      <c r="F65" t="inlineStr">
        <is>
          <t>Apartments</t>
        </is>
      </c>
      <c r="G65" t="inlineStr">
        <is>
          <t>Opera District</t>
        </is>
      </c>
      <c r="H65" t="inlineStr">
        <is>
          <t>2.5M</t>
        </is>
      </c>
      <c r="I65" t="inlineStr">
        <is>
          <t>3000</t>
        </is>
      </c>
      <c r="J65" t="inlineStr">
        <is>
          <t>30</t>
        </is>
      </c>
      <c r="K65" t="inlineStr">
        <is>
          <t>Completed</t>
        </is>
      </c>
      <c r="L65" t="inlineStr">
        <is>
          <t>2019</t>
        </is>
      </c>
      <c r="M65" t="inlineStr">
        <is>
          <t>5.0-5.5</t>
        </is>
      </c>
      <c r="N65" t="inlineStr">
        <is>
          <t>8-10</t>
        </is>
      </c>
      <c r="O65" t="inlineStr">
        <is>
          <t>13.0-15.5</t>
        </is>
      </c>
      <c r="P65" t="inlineStr">
        <is>
          <t>Hartland Intl</t>
        </is>
      </c>
      <c r="Q65" t="inlineStr">
        <is>
          <t>Mediclinic Dubai Mall</t>
        </is>
      </c>
      <c r="R65" t="inlineStr">
        <is>
          <t>Dubai Mall</t>
        </is>
      </c>
      <c r="S65" t="inlineStr">
        <is>
          <t>Financial Ctr Rd</t>
        </is>
      </c>
      <c r="T65" t="inlineStr">
        <is>
          <t>5</t>
        </is>
      </c>
      <c r="U65" t="inlineStr">
        <is>
          <t>20</t>
        </is>
      </c>
      <c r="V65" t="inlineStr">
        <is>
          <t>15</t>
        </is>
      </c>
      <c r="W65" t="inlineStr">
        <is>
          <t>35</t>
        </is>
      </c>
      <c r="X65" t="inlineStr">
        <is>
          <t>Guild_real_estate_master.csv</t>
        </is>
      </c>
    </row>
    <row r="66">
      <c r="A66" t="n">
        <v>65</v>
      </c>
      <c r="B66" t="n">
        <v>65</v>
      </c>
      <c r="C66" t="inlineStr">
        <is>
          <t>Act One | Act Two</t>
        </is>
      </c>
      <c r="D66" t="inlineStr">
        <is>
          <t>Emaar Properties</t>
        </is>
      </c>
      <c r="E66" t="inlineStr">
        <is>
          <t>Downtown Dubai</t>
        </is>
      </c>
      <c r="F66" t="inlineStr">
        <is>
          <t>Apartments</t>
        </is>
      </c>
      <c r="G66" t="inlineStr">
        <is>
          <t>Opera District</t>
        </is>
      </c>
      <c r="H66" t="inlineStr">
        <is>
          <t>2.1M</t>
        </is>
      </c>
      <c r="I66" t="inlineStr">
        <is>
          <t>2600</t>
        </is>
      </c>
      <c r="J66" t="inlineStr">
        <is>
          <t>30</t>
        </is>
      </c>
      <c r="K66" t="inlineStr">
        <is>
          <t>Completed</t>
        </is>
      </c>
      <c r="L66" t="inlineStr">
        <is>
          <t>2018</t>
        </is>
      </c>
      <c r="M66" t="inlineStr">
        <is>
          <t>5.5-6.0</t>
        </is>
      </c>
      <c r="N66" t="inlineStr">
        <is>
          <t>7-9</t>
        </is>
      </c>
      <c r="O66" t="inlineStr">
        <is>
          <t>12.5-15.0</t>
        </is>
      </c>
      <c r="P66" t="inlineStr">
        <is>
          <t>Hartland Intl</t>
        </is>
      </c>
      <c r="Q66" t="inlineStr">
        <is>
          <t>Mediclinic Dubai Mall</t>
        </is>
      </c>
      <c r="R66" t="inlineStr">
        <is>
          <t>Dubai Mall</t>
        </is>
      </c>
      <c r="S66" t="inlineStr">
        <is>
          <t>Financial Ctr Rd</t>
        </is>
      </c>
      <c r="T66" t="inlineStr">
        <is>
          <t>5</t>
        </is>
      </c>
      <c r="U66" t="inlineStr">
        <is>
          <t>20</t>
        </is>
      </c>
      <c r="V66" t="inlineStr">
        <is>
          <t>15</t>
        </is>
      </c>
      <c r="W66" t="inlineStr">
        <is>
          <t>35</t>
        </is>
      </c>
      <c r="X66" t="inlineStr">
        <is>
          <t>Guild_real_estate_master.csv</t>
        </is>
      </c>
    </row>
    <row r="67">
      <c r="A67" t="n">
        <v>66</v>
      </c>
      <c r="B67" t="n">
        <v>66</v>
      </c>
      <c r="C67" t="inlineStr">
        <is>
          <t>Il Primo</t>
        </is>
      </c>
      <c r="D67" t="inlineStr">
        <is>
          <t>Emaar Properties</t>
        </is>
      </c>
      <c r="E67" t="inlineStr">
        <is>
          <t>Downtown Dubai</t>
        </is>
      </c>
      <c r="F67" t="inlineStr">
        <is>
          <t>Penthouse/Luxury</t>
        </is>
      </c>
      <c r="G67" t="inlineStr">
        <is>
          <t>Opera District</t>
        </is>
      </c>
      <c r="H67" t="inlineStr">
        <is>
          <t>18M+</t>
        </is>
      </c>
      <c r="I67" t="inlineStr">
        <is>
          <t>4500</t>
        </is>
      </c>
      <c r="J67" t="inlineStr">
        <is>
          <t>45+</t>
        </is>
      </c>
      <c r="K67" t="inlineStr">
        <is>
          <t>Completed</t>
        </is>
      </c>
      <c r="L67" t="inlineStr">
        <is>
          <t>2018</t>
        </is>
      </c>
      <c r="M67" t="inlineStr">
        <is>
          <t>3.5-4.0</t>
        </is>
      </c>
      <c r="N67" t="inlineStr">
        <is>
          <t>8-10</t>
        </is>
      </c>
      <c r="O67" t="inlineStr">
        <is>
          <t>11.5-14.0</t>
        </is>
      </c>
      <c r="P67" t="inlineStr">
        <is>
          <t>Hartland Intl</t>
        </is>
      </c>
      <c r="Q67" t="inlineStr">
        <is>
          <t>Mediclinic Dubai Mall</t>
        </is>
      </c>
      <c r="R67" t="inlineStr">
        <is>
          <t>Dubai Mall</t>
        </is>
      </c>
      <c r="S67" t="inlineStr">
        <is>
          <t>Financial Ctr Rd</t>
        </is>
      </c>
      <c r="T67" t="inlineStr">
        <is>
          <t>5</t>
        </is>
      </c>
      <c r="U67" t="inlineStr">
        <is>
          <t>20</t>
        </is>
      </c>
      <c r="V67" t="inlineStr">
        <is>
          <t>15</t>
        </is>
      </c>
      <c r="W67" t="inlineStr">
        <is>
          <t>35</t>
        </is>
      </c>
      <c r="X67" t="inlineStr">
        <is>
          <t>Guild_real_estate_master.csv</t>
        </is>
      </c>
    </row>
    <row r="68">
      <c r="A68" t="n">
        <v>67</v>
      </c>
      <c r="B68" t="n">
        <v>67</v>
      </c>
      <c r="C68" t="inlineStr">
        <is>
          <t>Palm Jebel Ali</t>
        </is>
      </c>
      <c r="D68" t="inlineStr">
        <is>
          <t>Nakheel</t>
        </is>
      </c>
      <c r="E68" t="inlineStr">
        <is>
          <t>Jebel Ali Waterfront</t>
        </is>
      </c>
      <c r="F68" t="inlineStr">
        <is>
          <t>Villas &amp; Plots</t>
        </is>
      </c>
      <c r="G68" t="inlineStr">
        <is>
          <t>Mega Island / Beach</t>
        </is>
      </c>
      <c r="H68" t="inlineStr">
        <is>
          <t>18.5M</t>
        </is>
      </c>
      <c r="I68" t="inlineStr">
        <is>
          <t>2500+</t>
        </is>
      </c>
      <c r="J68" t="inlineStr">
        <is>
          <t>TBA</t>
        </is>
      </c>
      <c r="K68" t="inlineStr">
        <is>
          <t>80/20</t>
        </is>
      </c>
      <c r="L68" t="inlineStr">
        <is>
          <t>2023</t>
        </is>
      </c>
      <c r="M68" t="inlineStr">
        <is>
          <t>3.5-4.5</t>
        </is>
      </c>
      <c r="N68" t="inlineStr">
        <is>
          <t>15-20</t>
        </is>
      </c>
      <c r="O68" t="inlineStr">
        <is>
          <t>18.5-24.5</t>
        </is>
      </c>
      <c r="P68" t="inlineStr">
        <is>
          <t>Dove Green (DIP)</t>
        </is>
      </c>
      <c r="Q68" t="inlineStr">
        <is>
          <t>Aster Cedars Jebel Ali</t>
        </is>
      </c>
      <c r="R68" t="inlineStr">
        <is>
          <t>Ibn Battuta Mall</t>
        </is>
      </c>
      <c r="S68" t="inlineStr">
        <is>
          <t>Sheikh Zayed E11</t>
        </is>
      </c>
      <c r="T68" t="inlineStr">
        <is>
          <t>40</t>
        </is>
      </c>
      <c r="U68" t="inlineStr">
        <is>
          <t>20</t>
        </is>
      </c>
      <c r="V68" t="inlineStr">
        <is>
          <t>45</t>
        </is>
      </c>
      <c r="W68" t="inlineStr">
        <is>
          <t>20</t>
        </is>
      </c>
      <c r="X68" t="inlineStr">
        <is>
          <t>Guild_real_estate_master.csv</t>
        </is>
      </c>
    </row>
    <row r="69">
      <c r="A69" t="n">
        <v>68</v>
      </c>
      <c r="B69" t="n">
        <v>68</v>
      </c>
      <c r="C69" t="inlineStr">
        <is>
          <t>The Fronds: Coral Collection</t>
        </is>
      </c>
      <c r="D69" t="inlineStr">
        <is>
          <t>Nakheel</t>
        </is>
      </c>
      <c r="E69" t="inlineStr">
        <is>
          <t>Palm Jebel Ali</t>
        </is>
      </c>
      <c r="F69" t="inlineStr">
        <is>
          <t>Villas (7 Beds)</t>
        </is>
      </c>
      <c r="G69" t="inlineStr">
        <is>
          <t>Luxury Beachfront</t>
        </is>
      </c>
      <c r="H69" t="inlineStr">
        <is>
          <t>22M+</t>
        </is>
      </c>
      <c r="I69" t="inlineStr">
        <is>
          <t>2800</t>
        </is>
      </c>
      <c r="J69" t="inlineStr">
        <is>
          <t>TBA</t>
        </is>
      </c>
      <c r="K69" t="inlineStr">
        <is>
          <t>80/20</t>
        </is>
      </c>
      <c r="L69" t="inlineStr">
        <is>
          <t>2023</t>
        </is>
      </c>
      <c r="M69" t="inlineStr">
        <is>
          <t>3.5-4.0</t>
        </is>
      </c>
      <c r="N69" t="inlineStr">
        <is>
          <t>15-20</t>
        </is>
      </c>
      <c r="O69" t="inlineStr">
        <is>
          <t>18.5-24.0</t>
        </is>
      </c>
      <c r="P69" t="inlineStr">
        <is>
          <t>Dove Green (DIP)</t>
        </is>
      </c>
      <c r="Q69" t="inlineStr">
        <is>
          <t>Aster Cedars Jebel Ali</t>
        </is>
      </c>
      <c r="R69" t="inlineStr">
        <is>
          <t>Ibn Battuta Mall</t>
        </is>
      </c>
      <c r="S69" t="inlineStr">
        <is>
          <t>Sheikh Zayed E11</t>
        </is>
      </c>
      <c r="T69" t="inlineStr">
        <is>
          <t>40</t>
        </is>
      </c>
      <c r="U69" t="inlineStr">
        <is>
          <t>20</t>
        </is>
      </c>
      <c r="V69" t="inlineStr">
        <is>
          <t>45</t>
        </is>
      </c>
      <c r="W69" t="inlineStr">
        <is>
          <t>20</t>
        </is>
      </c>
      <c r="X69" t="inlineStr">
        <is>
          <t>Guild_real_estate_master.csv</t>
        </is>
      </c>
    </row>
    <row r="70">
      <c r="A70" t="n">
        <v>69</v>
      </c>
      <c r="B70" t="n">
        <v>69</v>
      </c>
      <c r="C70" t="inlineStr">
        <is>
          <t>The Fronds: Beach Collection</t>
        </is>
      </c>
      <c r="D70" t="inlineStr">
        <is>
          <t>Nakheel</t>
        </is>
      </c>
      <c r="E70" t="inlineStr">
        <is>
          <t>Palm Jebel Ali</t>
        </is>
      </c>
      <c r="F70" t="inlineStr">
        <is>
          <t>Villas (5-6 Beds)</t>
        </is>
      </c>
      <c r="G70" t="inlineStr">
        <is>
          <t>Luxury Beachfront</t>
        </is>
      </c>
      <c r="H70" t="inlineStr">
        <is>
          <t>18.5M</t>
        </is>
      </c>
      <c r="I70" t="inlineStr">
        <is>
          <t>2600</t>
        </is>
      </c>
      <c r="J70" t="inlineStr">
        <is>
          <t>TBA</t>
        </is>
      </c>
      <c r="K70" t="inlineStr">
        <is>
          <t>80/20</t>
        </is>
      </c>
      <c r="L70" t="inlineStr">
        <is>
          <t>2023</t>
        </is>
      </c>
      <c r="M70" t="inlineStr">
        <is>
          <t>3.5-4.5</t>
        </is>
      </c>
      <c r="N70" t="inlineStr">
        <is>
          <t>15-20</t>
        </is>
      </c>
      <c r="O70" t="inlineStr">
        <is>
          <t>18.5-24.5</t>
        </is>
      </c>
      <c r="P70" t="inlineStr">
        <is>
          <t>Dove Green (DIP)</t>
        </is>
      </c>
      <c r="Q70" t="inlineStr">
        <is>
          <t>Aster Cedars Jebel Ali</t>
        </is>
      </c>
      <c r="R70" t="inlineStr">
        <is>
          <t>Ibn Battuta Mall</t>
        </is>
      </c>
      <c r="S70" t="inlineStr">
        <is>
          <t>Sheikh Zayed E11</t>
        </is>
      </c>
      <c r="T70" t="inlineStr">
        <is>
          <t>40</t>
        </is>
      </c>
      <c r="U70" t="inlineStr">
        <is>
          <t>20</t>
        </is>
      </c>
      <c r="V70" t="inlineStr">
        <is>
          <t>45</t>
        </is>
      </c>
      <c r="W70" t="inlineStr">
        <is>
          <t>20</t>
        </is>
      </c>
      <c r="X70" t="inlineStr">
        <is>
          <t>Guild_real_estate_master.csv</t>
        </is>
      </c>
    </row>
    <row r="71">
      <c r="A71" t="n">
        <v>70</v>
      </c>
      <c r="B71" t="n">
        <v>70</v>
      </c>
      <c r="C71" t="inlineStr">
        <is>
          <t>Dubai Islands</t>
        </is>
      </c>
      <c r="D71" t="inlineStr">
        <is>
          <t>Nakheel</t>
        </is>
      </c>
      <c r="E71" t="inlineStr">
        <is>
          <t>Deira Waterfront</t>
        </is>
      </c>
      <c r="F71" t="inlineStr">
        <is>
          <t>Mixed</t>
        </is>
      </c>
      <c r="G71" t="inlineStr">
        <is>
          <t>Islands / Resort</t>
        </is>
      </c>
      <c r="J71" t="inlineStr">
        <is>
          <t>20</t>
        </is>
      </c>
      <c r="K71" t="inlineStr">
        <is>
          <t>Varies</t>
        </is>
      </c>
      <c r="L71" t="inlineStr">
        <is>
          <t>Ongoing</t>
        </is>
      </c>
      <c r="M71" t="inlineStr">
        <is>
          <t>6.0-7.0</t>
        </is>
      </c>
      <c r="N71" t="inlineStr">
        <is>
          <t>12-15</t>
        </is>
      </c>
      <c r="O71" t="inlineStr">
        <is>
          <t>18.0-22.0</t>
        </is>
      </c>
      <c r="P71" t="inlineStr">
        <is>
          <t>The Elite English</t>
        </is>
      </c>
      <c r="Q71" t="inlineStr">
        <is>
          <t>Dubai Hospital</t>
        </is>
      </c>
      <c r="R71" t="inlineStr">
        <is>
          <t>City Centre Deira</t>
        </is>
      </c>
      <c r="S71" t="inlineStr">
        <is>
          <t>Infinity Bridge</t>
        </is>
      </c>
      <c r="T71" t="inlineStr">
        <is>
          <t>20</t>
        </is>
      </c>
      <c r="U71" t="inlineStr">
        <is>
          <t>35</t>
        </is>
      </c>
      <c r="V71" t="inlineStr">
        <is>
          <t>15</t>
        </is>
      </c>
      <c r="W71" t="inlineStr">
        <is>
          <t>45</t>
        </is>
      </c>
      <c r="X71" t="inlineStr">
        <is>
          <t>Guild_real_estate_master.csv</t>
        </is>
      </c>
    </row>
    <row r="72">
      <c r="A72" t="n">
        <v>71</v>
      </c>
      <c r="B72" t="n">
        <v>71</v>
      </c>
      <c r="C72" t="inlineStr">
        <is>
          <t>Rixos Dubai Islands</t>
        </is>
      </c>
      <c r="D72" t="inlineStr">
        <is>
          <t>Nakheel</t>
        </is>
      </c>
      <c r="E72" t="inlineStr">
        <is>
          <t>Dubai Islands</t>
        </is>
      </c>
      <c r="F72" t="inlineStr">
        <is>
          <t>Branded Residences</t>
        </is>
      </c>
      <c r="G72" t="inlineStr">
        <is>
          <t>Resort / Beach</t>
        </is>
      </c>
      <c r="H72" t="inlineStr">
        <is>
          <t>2.6M</t>
        </is>
      </c>
      <c r="I72" t="inlineStr">
        <is>
          <t>2400</t>
        </is>
      </c>
      <c r="J72" t="inlineStr">
        <is>
          <t>40</t>
        </is>
      </c>
      <c r="K72" t="inlineStr">
        <is>
          <t>80/20</t>
        </is>
      </c>
      <c r="L72" t="inlineStr">
        <is>
          <t>2023</t>
        </is>
      </c>
      <c r="M72" t="inlineStr">
        <is>
          <t>5.0-5.5</t>
        </is>
      </c>
      <c r="N72" t="inlineStr">
        <is>
          <t>12-15</t>
        </is>
      </c>
      <c r="O72" t="inlineStr">
        <is>
          <t>17.0-20.5</t>
        </is>
      </c>
      <c r="P72" t="inlineStr">
        <is>
          <t>The Elite English</t>
        </is>
      </c>
      <c r="Q72" t="inlineStr">
        <is>
          <t>Dubai Hospital</t>
        </is>
      </c>
      <c r="R72" t="inlineStr">
        <is>
          <t>City Centre Deira</t>
        </is>
      </c>
      <c r="S72" t="inlineStr">
        <is>
          <t>Infinity Bridge</t>
        </is>
      </c>
      <c r="T72" t="inlineStr">
        <is>
          <t>20</t>
        </is>
      </c>
      <c r="U72" t="inlineStr">
        <is>
          <t>35</t>
        </is>
      </c>
      <c r="V72" t="inlineStr">
        <is>
          <t>15</t>
        </is>
      </c>
      <c r="W72" t="inlineStr">
        <is>
          <t>45</t>
        </is>
      </c>
      <c r="X72" t="inlineStr">
        <is>
          <t>Guild_real_estate_master.csv</t>
        </is>
      </c>
    </row>
    <row r="73">
      <c r="A73" t="n">
        <v>72</v>
      </c>
      <c r="B73" t="n">
        <v>72</v>
      </c>
      <c r="C73" t="inlineStr">
        <is>
          <t>Bay Villas</t>
        </is>
      </c>
      <c r="D73" t="inlineStr">
        <is>
          <t>Nakheel</t>
        </is>
      </c>
      <c r="E73" t="inlineStr">
        <is>
          <t>Dubai Islands</t>
        </is>
      </c>
      <c r="F73" t="inlineStr">
        <is>
          <t>Villas</t>
        </is>
      </c>
      <c r="G73" t="inlineStr">
        <is>
          <t>Waterfront</t>
        </is>
      </c>
      <c r="H73" t="inlineStr">
        <is>
          <t>4.5M</t>
        </is>
      </c>
      <c r="I73" t="inlineStr">
        <is>
          <t>1600</t>
        </is>
      </c>
      <c r="J73" t="inlineStr">
        <is>
          <t>20</t>
        </is>
      </c>
      <c r="K73" t="inlineStr">
        <is>
          <t>80/20</t>
        </is>
      </c>
      <c r="L73" t="inlineStr">
        <is>
          <t>2024</t>
        </is>
      </c>
      <c r="M73" t="inlineStr">
        <is>
          <t>5.0-5.5</t>
        </is>
      </c>
      <c r="N73" t="inlineStr">
        <is>
          <t>12-15</t>
        </is>
      </c>
      <c r="O73" t="inlineStr">
        <is>
          <t>17.0-20.5</t>
        </is>
      </c>
      <c r="P73" t="inlineStr">
        <is>
          <t>The Elite English</t>
        </is>
      </c>
      <c r="Q73" t="inlineStr">
        <is>
          <t>Dubai Hospital</t>
        </is>
      </c>
      <c r="R73" t="inlineStr">
        <is>
          <t>City Centre Deira</t>
        </is>
      </c>
      <c r="S73" t="inlineStr">
        <is>
          <t>Infinity Bridge</t>
        </is>
      </c>
      <c r="T73" t="inlineStr">
        <is>
          <t>20</t>
        </is>
      </c>
      <c r="U73" t="inlineStr">
        <is>
          <t>35</t>
        </is>
      </c>
      <c r="V73" t="inlineStr">
        <is>
          <t>15</t>
        </is>
      </c>
      <c r="W73" t="inlineStr">
        <is>
          <t>45</t>
        </is>
      </c>
      <c r="X73" t="inlineStr">
        <is>
          <t>Guild_real_estate_master.csv</t>
        </is>
      </c>
    </row>
    <row r="74">
      <c r="A74" t="n">
        <v>73</v>
      </c>
      <c r="B74" t="n">
        <v>73</v>
      </c>
      <c r="C74" t="inlineStr">
        <is>
          <t>Beach Walk Residences</t>
        </is>
      </c>
      <c r="D74" t="inlineStr">
        <is>
          <t>Nakheel</t>
        </is>
      </c>
      <c r="E74" t="inlineStr">
        <is>
          <t>Dubai Islands</t>
        </is>
      </c>
      <c r="F74" t="inlineStr">
        <is>
          <t>Apartments</t>
        </is>
      </c>
      <c r="G74" t="inlineStr">
        <is>
          <t>Beachfront</t>
        </is>
      </c>
      <c r="H74" t="inlineStr">
        <is>
          <t>1.9M</t>
        </is>
      </c>
      <c r="I74" t="inlineStr">
        <is>
          <t>1800</t>
        </is>
      </c>
      <c r="J74" t="inlineStr">
        <is>
          <t>20</t>
        </is>
      </c>
      <c r="K74" t="inlineStr">
        <is>
          <t>80/20</t>
        </is>
      </c>
      <c r="L74" t="inlineStr">
        <is>
          <t>2024</t>
        </is>
      </c>
      <c r="M74" t="inlineStr">
        <is>
          <t>6.0-6.5</t>
        </is>
      </c>
      <c r="N74" t="inlineStr">
        <is>
          <t>12-15</t>
        </is>
      </c>
      <c r="O74" t="inlineStr">
        <is>
          <t>18.0-21.5</t>
        </is>
      </c>
      <c r="P74" t="inlineStr">
        <is>
          <t>The Elite English</t>
        </is>
      </c>
      <c r="Q74" t="inlineStr">
        <is>
          <t>Dubai Hospital</t>
        </is>
      </c>
      <c r="R74" t="inlineStr">
        <is>
          <t>City Centre Deira</t>
        </is>
      </c>
      <c r="S74" t="inlineStr">
        <is>
          <t>Infinity Bridge</t>
        </is>
      </c>
      <c r="T74" t="inlineStr">
        <is>
          <t>20</t>
        </is>
      </c>
      <c r="U74" t="inlineStr">
        <is>
          <t>35</t>
        </is>
      </c>
      <c r="V74" t="inlineStr">
        <is>
          <t>15</t>
        </is>
      </c>
      <c r="W74" t="inlineStr">
        <is>
          <t>45</t>
        </is>
      </c>
      <c r="X74" t="inlineStr">
        <is>
          <t>Guild_real_estate_master.csv</t>
        </is>
      </c>
    </row>
    <row r="75">
      <c r="A75" t="n">
        <v>74</v>
      </c>
      <c r="B75" t="n">
        <v>74</v>
      </c>
      <c r="C75" t="inlineStr">
        <is>
          <t>Palm Jumeirah (Master Community)</t>
        </is>
      </c>
      <c r="D75" t="inlineStr">
        <is>
          <t>Nakheel</t>
        </is>
      </c>
      <c r="E75" t="inlineStr">
        <is>
          <t>Palm Jumeirah</t>
        </is>
      </c>
      <c r="F75" t="inlineStr">
        <is>
          <t>Mixed</t>
        </is>
      </c>
      <c r="G75" t="inlineStr">
        <is>
          <t>Iconic Island</t>
        </is>
      </c>
      <c r="J75" t="inlineStr">
        <is>
          <t>30+</t>
        </is>
      </c>
      <c r="L75" t="inlineStr">
        <is>
          <t>Completed</t>
        </is>
      </c>
      <c r="M75" t="inlineStr">
        <is>
          <t>4.5-5.5</t>
        </is>
      </c>
      <c r="N75" t="inlineStr">
        <is>
          <t>8-12</t>
        </is>
      </c>
      <c r="O75" t="inlineStr">
        <is>
          <t>12.5-17.5</t>
        </is>
      </c>
      <c r="P75" t="inlineStr">
        <is>
          <t>Chevalier College</t>
        </is>
      </c>
      <c r="Q75" t="inlineStr">
        <is>
          <t>Emirates Hospital</t>
        </is>
      </c>
      <c r="R75" t="inlineStr">
        <is>
          <t>Nakheel Mall</t>
        </is>
      </c>
      <c r="S75" t="inlineStr">
        <is>
          <t>Sheikh Zayed E11</t>
        </is>
      </c>
      <c r="T75" t="inlineStr">
        <is>
          <t>20</t>
        </is>
      </c>
      <c r="U75" t="inlineStr">
        <is>
          <t>10</t>
        </is>
      </c>
      <c r="V75" t="inlineStr">
        <is>
          <t>25</t>
        </is>
      </c>
      <c r="W75" t="inlineStr">
        <is>
          <t>35</t>
        </is>
      </c>
      <c r="X75" t="inlineStr">
        <is>
          <t>Guild_real_estate_master.csv</t>
        </is>
      </c>
    </row>
    <row r="76">
      <c r="A76" t="n">
        <v>75</v>
      </c>
      <c r="B76" t="n">
        <v>75</v>
      </c>
      <c r="C76" t="inlineStr">
        <is>
          <t>Como Residences</t>
        </is>
      </c>
      <c r="D76" t="inlineStr">
        <is>
          <t>Nakheel</t>
        </is>
      </c>
      <c r="E76" t="inlineStr">
        <is>
          <t>Palm Jumeirah</t>
        </is>
      </c>
      <c r="F76" t="inlineStr">
        <is>
          <t>Ultra-Luxury Apts</t>
        </is>
      </c>
      <c r="G76" t="inlineStr">
        <is>
          <t>High-Rise/Beach</t>
        </is>
      </c>
      <c r="H76" t="inlineStr">
        <is>
          <t>21M+</t>
        </is>
      </c>
      <c r="I76" t="inlineStr">
        <is>
          <t>6000+</t>
        </is>
      </c>
      <c r="J76" t="inlineStr">
        <is>
          <t>40+</t>
        </is>
      </c>
      <c r="K76" t="inlineStr">
        <is>
          <t>80/20</t>
        </is>
      </c>
      <c r="L76" t="inlineStr">
        <is>
          <t>2023</t>
        </is>
      </c>
      <c r="M76" t="inlineStr">
        <is>
          <t>3.0-3.5</t>
        </is>
      </c>
      <c r="N76" t="inlineStr">
        <is>
          <t>10-15</t>
        </is>
      </c>
      <c r="O76" t="inlineStr">
        <is>
          <t>13.0-18.5</t>
        </is>
      </c>
      <c r="P76" t="inlineStr">
        <is>
          <t>Chevalier College</t>
        </is>
      </c>
      <c r="Q76" t="inlineStr">
        <is>
          <t>Emirates Hospital</t>
        </is>
      </c>
      <c r="R76" t="inlineStr">
        <is>
          <t>Nakheel Mall</t>
        </is>
      </c>
      <c r="S76" t="inlineStr">
        <is>
          <t>Sheikh Zayed E11</t>
        </is>
      </c>
      <c r="T76" t="inlineStr">
        <is>
          <t>20</t>
        </is>
      </c>
      <c r="U76" t="inlineStr">
        <is>
          <t>10</t>
        </is>
      </c>
      <c r="V76" t="inlineStr">
        <is>
          <t>25</t>
        </is>
      </c>
      <c r="W76" t="inlineStr">
        <is>
          <t>35</t>
        </is>
      </c>
      <c r="X76" t="inlineStr">
        <is>
          <t>Guild_real_estate_master.csv</t>
        </is>
      </c>
    </row>
    <row r="77">
      <c r="A77" t="n">
        <v>76</v>
      </c>
      <c r="B77" t="n">
        <v>76</v>
      </c>
      <c r="C77" t="inlineStr">
        <is>
          <t>Palm Beach Towers 1</t>
        </is>
      </c>
      <c r="D77" t="inlineStr">
        <is>
          <t>Nakheel</t>
        </is>
      </c>
      <c r="E77" t="inlineStr">
        <is>
          <t>Palm Jumeirah</t>
        </is>
      </c>
      <c r="F77" t="inlineStr">
        <is>
          <t>Apartments</t>
        </is>
      </c>
      <c r="G77" t="inlineStr">
        <is>
          <t>Luxury / View</t>
        </is>
      </c>
      <c r="H77" t="inlineStr">
        <is>
          <t>3.5M</t>
        </is>
      </c>
      <c r="I77" t="inlineStr">
        <is>
          <t>3000</t>
        </is>
      </c>
      <c r="J77" t="inlineStr">
        <is>
          <t>30</t>
        </is>
      </c>
      <c r="K77" t="inlineStr">
        <is>
          <t>60/40</t>
        </is>
      </c>
      <c r="L77" t="inlineStr">
        <is>
          <t>2022</t>
        </is>
      </c>
      <c r="M77" t="inlineStr">
        <is>
          <t>4.5-5.0</t>
        </is>
      </c>
      <c r="N77" t="inlineStr">
        <is>
          <t>8-12</t>
        </is>
      </c>
      <c r="O77" t="inlineStr">
        <is>
          <t>12.5-17.0</t>
        </is>
      </c>
      <c r="P77" t="inlineStr">
        <is>
          <t>Chevalier College</t>
        </is>
      </c>
      <c r="Q77" t="inlineStr">
        <is>
          <t>Emirates Hospital</t>
        </is>
      </c>
      <c r="R77" t="inlineStr">
        <is>
          <t>Nakheel Mall</t>
        </is>
      </c>
      <c r="S77" t="inlineStr">
        <is>
          <t>Sheikh Zayed E11</t>
        </is>
      </c>
      <c r="T77" t="inlineStr">
        <is>
          <t>20</t>
        </is>
      </c>
      <c r="U77" t="inlineStr">
        <is>
          <t>10</t>
        </is>
      </c>
      <c r="V77" t="inlineStr">
        <is>
          <t>25</t>
        </is>
      </c>
      <c r="W77" t="inlineStr">
        <is>
          <t>35</t>
        </is>
      </c>
      <c r="X77" t="inlineStr">
        <is>
          <t>Guild_real_estate_master.csv</t>
        </is>
      </c>
    </row>
    <row r="78">
      <c r="A78" t="n">
        <v>77</v>
      </c>
      <c r="B78" t="n">
        <v>77</v>
      </c>
      <c r="C78" t="inlineStr">
        <is>
          <t>Palm Beach Towers 2</t>
        </is>
      </c>
      <c r="D78" t="inlineStr">
        <is>
          <t>Nakheel</t>
        </is>
      </c>
      <c r="E78" t="inlineStr">
        <is>
          <t>Palm Jumeirah</t>
        </is>
      </c>
      <c r="F78" t="inlineStr">
        <is>
          <t>Apartments</t>
        </is>
      </c>
      <c r="G78" t="inlineStr">
        <is>
          <t>Luxury / View</t>
        </is>
      </c>
      <c r="H78" t="inlineStr">
        <is>
          <t>3.5M</t>
        </is>
      </c>
      <c r="I78" t="inlineStr">
        <is>
          <t>3000</t>
        </is>
      </c>
      <c r="J78" t="inlineStr">
        <is>
          <t>30</t>
        </is>
      </c>
      <c r="K78" t="inlineStr">
        <is>
          <t>60/40</t>
        </is>
      </c>
      <c r="L78" t="inlineStr">
        <is>
          <t>2022</t>
        </is>
      </c>
      <c r="M78" t="inlineStr">
        <is>
          <t>4.5-5.0</t>
        </is>
      </c>
      <c r="N78" t="inlineStr">
        <is>
          <t>8-12</t>
        </is>
      </c>
      <c r="O78" t="inlineStr">
        <is>
          <t>12.5-17.0</t>
        </is>
      </c>
      <c r="P78" t="inlineStr">
        <is>
          <t>Chevalier College</t>
        </is>
      </c>
      <c r="Q78" t="inlineStr">
        <is>
          <t>Emirates Hospital</t>
        </is>
      </c>
      <c r="R78" t="inlineStr">
        <is>
          <t>Nakheel Mall</t>
        </is>
      </c>
      <c r="S78" t="inlineStr">
        <is>
          <t>Sheikh Zayed E11</t>
        </is>
      </c>
      <c r="T78" t="inlineStr">
        <is>
          <t>20</t>
        </is>
      </c>
      <c r="U78" t="inlineStr">
        <is>
          <t>10</t>
        </is>
      </c>
      <c r="V78" t="inlineStr">
        <is>
          <t>25</t>
        </is>
      </c>
      <c r="W78" t="inlineStr">
        <is>
          <t>35</t>
        </is>
      </c>
      <c r="X78" t="inlineStr">
        <is>
          <t>Guild_real_estate_master.csv</t>
        </is>
      </c>
    </row>
    <row r="79">
      <c r="A79" t="n">
        <v>78</v>
      </c>
      <c r="B79" t="n">
        <v>78</v>
      </c>
      <c r="C79" t="inlineStr">
        <is>
          <t>Palm Beach Towers 3</t>
        </is>
      </c>
      <c r="D79" t="inlineStr">
        <is>
          <t>Nakheel</t>
        </is>
      </c>
      <c r="E79" t="inlineStr">
        <is>
          <t>Palm Jumeirah</t>
        </is>
      </c>
      <c r="F79" t="inlineStr">
        <is>
          <t>Apartments</t>
        </is>
      </c>
      <c r="G79" t="inlineStr">
        <is>
          <t>Luxury / View</t>
        </is>
      </c>
      <c r="H79" t="inlineStr">
        <is>
          <t>3.6M</t>
        </is>
      </c>
      <c r="I79" t="inlineStr">
        <is>
          <t>3000</t>
        </is>
      </c>
      <c r="J79" t="inlineStr">
        <is>
          <t>30</t>
        </is>
      </c>
      <c r="K79" t="inlineStr">
        <is>
          <t>60/40</t>
        </is>
      </c>
      <c r="L79" t="inlineStr">
        <is>
          <t>2022</t>
        </is>
      </c>
      <c r="M79" t="inlineStr">
        <is>
          <t>4.5-5.0</t>
        </is>
      </c>
      <c r="N79" t="inlineStr">
        <is>
          <t>8-12</t>
        </is>
      </c>
      <c r="O79" t="inlineStr">
        <is>
          <t>12.5-17.0</t>
        </is>
      </c>
      <c r="P79" t="inlineStr">
        <is>
          <t>Chevalier College</t>
        </is>
      </c>
      <c r="Q79" t="inlineStr">
        <is>
          <t>Emirates Hospital</t>
        </is>
      </c>
      <c r="R79" t="inlineStr">
        <is>
          <t>Nakheel Mall</t>
        </is>
      </c>
      <c r="S79" t="inlineStr">
        <is>
          <t>Sheikh Zayed E11</t>
        </is>
      </c>
      <c r="T79" t="inlineStr">
        <is>
          <t>20</t>
        </is>
      </c>
      <c r="U79" t="inlineStr">
        <is>
          <t>10</t>
        </is>
      </c>
      <c r="V79" t="inlineStr">
        <is>
          <t>25</t>
        </is>
      </c>
      <c r="W79" t="inlineStr">
        <is>
          <t>35</t>
        </is>
      </c>
      <c r="X79" t="inlineStr">
        <is>
          <t>Guild_real_estate_master.csv</t>
        </is>
      </c>
    </row>
    <row r="80">
      <c r="A80" t="n">
        <v>79</v>
      </c>
      <c r="B80" t="n">
        <v>79</v>
      </c>
      <c r="C80" t="inlineStr">
        <is>
          <t>The Palm Tower</t>
        </is>
      </c>
      <c r="D80" t="inlineStr">
        <is>
          <t>Nakheel</t>
        </is>
      </c>
      <c r="E80" t="inlineStr">
        <is>
          <t>Palm Jumeirah</t>
        </is>
      </c>
      <c r="F80" t="inlineStr">
        <is>
          <t>Hotel/Residences</t>
        </is>
      </c>
      <c r="G80" t="inlineStr">
        <is>
          <t>Luxury / View</t>
        </is>
      </c>
      <c r="H80" t="inlineStr">
        <is>
          <t>Resale (2.5M+)</t>
        </is>
      </c>
      <c r="I80" t="inlineStr">
        <is>
          <t>3500</t>
        </is>
      </c>
      <c r="J80" t="inlineStr">
        <is>
          <t>35</t>
        </is>
      </c>
      <c r="K80" t="inlineStr">
        <is>
          <t>Completed</t>
        </is>
      </c>
      <c r="L80" t="inlineStr">
        <is>
          <t>2017</t>
        </is>
      </c>
      <c r="M80" t="inlineStr">
        <is>
          <t>5.0-5.5</t>
        </is>
      </c>
      <c r="N80" t="inlineStr">
        <is>
          <t>6-8</t>
        </is>
      </c>
      <c r="O80" t="inlineStr">
        <is>
          <t>11.0-13.5</t>
        </is>
      </c>
      <c r="P80" t="inlineStr">
        <is>
          <t>Chevalier College</t>
        </is>
      </c>
      <c r="Q80" t="inlineStr">
        <is>
          <t>Emirates Hospital</t>
        </is>
      </c>
      <c r="R80" t="inlineStr">
        <is>
          <t>Nakheel Mall</t>
        </is>
      </c>
      <c r="S80" t="inlineStr">
        <is>
          <t>Sheikh Zayed E11</t>
        </is>
      </c>
      <c r="T80" t="inlineStr">
        <is>
          <t>20</t>
        </is>
      </c>
      <c r="U80" t="inlineStr">
        <is>
          <t>10</t>
        </is>
      </c>
      <c r="V80" t="inlineStr">
        <is>
          <t>25</t>
        </is>
      </c>
      <c r="W80" t="inlineStr">
        <is>
          <t>35</t>
        </is>
      </c>
      <c r="X80" t="inlineStr">
        <is>
          <t>Guild_real_estate_master.csv</t>
        </is>
      </c>
    </row>
    <row r="81">
      <c r="A81" t="n">
        <v>80</v>
      </c>
      <c r="B81" t="n">
        <v>80</v>
      </c>
      <c r="C81" t="inlineStr">
        <is>
          <t>Azure Residences</t>
        </is>
      </c>
      <c r="D81" t="inlineStr">
        <is>
          <t>Nakheel</t>
        </is>
      </c>
      <c r="E81" t="inlineStr">
        <is>
          <t>Palm Jumeirah</t>
        </is>
      </c>
      <c r="F81" t="inlineStr">
        <is>
          <t>Apartments</t>
        </is>
      </c>
      <c r="G81" t="inlineStr">
        <is>
          <t>Beachfront</t>
        </is>
      </c>
      <c r="H81" t="inlineStr">
        <is>
          <t>Resale (1.8M+)</t>
        </is>
      </c>
      <c r="I81" t="inlineStr">
        <is>
          <t>2000</t>
        </is>
      </c>
      <c r="J81" t="inlineStr">
        <is>
          <t>25</t>
        </is>
      </c>
      <c r="K81" t="inlineStr">
        <is>
          <t>Completed</t>
        </is>
      </c>
      <c r="L81" t="inlineStr">
        <is>
          <t>2016</t>
        </is>
      </c>
      <c r="M81" t="inlineStr">
        <is>
          <t>5.5-6.0</t>
        </is>
      </c>
      <c r="N81" t="inlineStr">
        <is>
          <t>6-8</t>
        </is>
      </c>
      <c r="O81" t="inlineStr">
        <is>
          <t>11.5-14.0</t>
        </is>
      </c>
      <c r="P81" t="inlineStr">
        <is>
          <t>Chevalier College</t>
        </is>
      </c>
      <c r="Q81" t="inlineStr">
        <is>
          <t>Emirates Hospital</t>
        </is>
      </c>
      <c r="R81" t="inlineStr">
        <is>
          <t>Nakheel Mall</t>
        </is>
      </c>
      <c r="S81" t="inlineStr">
        <is>
          <t>Sheikh Zayed E11</t>
        </is>
      </c>
      <c r="T81" t="inlineStr">
        <is>
          <t>20</t>
        </is>
      </c>
      <c r="U81" t="inlineStr">
        <is>
          <t>10</t>
        </is>
      </c>
      <c r="V81" t="inlineStr">
        <is>
          <t>25</t>
        </is>
      </c>
      <c r="W81" t="inlineStr">
        <is>
          <t>35</t>
        </is>
      </c>
      <c r="X81" t="inlineStr">
        <is>
          <t>Guild_real_estate_master.csv</t>
        </is>
      </c>
    </row>
    <row r="82">
      <c r="A82" t="n">
        <v>81</v>
      </c>
      <c r="B82" t="n">
        <v>81</v>
      </c>
      <c r="C82" t="inlineStr">
        <is>
          <t>Club Vista Mare</t>
        </is>
      </c>
      <c r="D82" t="inlineStr">
        <is>
          <t>Nakheel</t>
        </is>
      </c>
      <c r="E82" t="inlineStr">
        <is>
          <t>Palm Jumeirah</t>
        </is>
      </c>
      <c r="F82" t="inlineStr">
        <is>
          <t>Apartments</t>
        </is>
      </c>
      <c r="G82" t="inlineStr">
        <is>
          <t>Dining / Beach</t>
        </is>
      </c>
      <c r="H82" t="inlineStr">
        <is>
          <t>Resale</t>
        </is>
      </c>
      <c r="I82" t="inlineStr">
        <is>
          <t>2200</t>
        </is>
      </c>
      <c r="J82" t="inlineStr">
        <is>
          <t>25</t>
        </is>
      </c>
      <c r="K82" t="inlineStr">
        <is>
          <t>Completed</t>
        </is>
      </c>
      <c r="L82" t="inlineStr">
        <is>
          <t>2016</t>
        </is>
      </c>
      <c r="M82" t="inlineStr">
        <is>
          <t>5.0-5.5</t>
        </is>
      </c>
      <c r="N82" t="inlineStr">
        <is>
          <t>6-8</t>
        </is>
      </c>
      <c r="O82" t="inlineStr">
        <is>
          <t>11.0-13.5</t>
        </is>
      </c>
      <c r="P82" t="inlineStr">
        <is>
          <t>Chevalier College</t>
        </is>
      </c>
      <c r="Q82" t="inlineStr">
        <is>
          <t>Emirates Hospital</t>
        </is>
      </c>
      <c r="R82" t="inlineStr">
        <is>
          <t>Nakheel Mall</t>
        </is>
      </c>
      <c r="S82" t="inlineStr">
        <is>
          <t>Sheikh Zayed E11</t>
        </is>
      </c>
      <c r="T82" t="inlineStr">
        <is>
          <t>20</t>
        </is>
      </c>
      <c r="U82" t="inlineStr">
        <is>
          <t>10</t>
        </is>
      </c>
      <c r="V82" t="inlineStr">
        <is>
          <t>25</t>
        </is>
      </c>
      <c r="W82" t="inlineStr">
        <is>
          <t>35</t>
        </is>
      </c>
      <c r="X82" t="inlineStr">
        <is>
          <t>Guild_real_estate_master.csv</t>
        </is>
      </c>
    </row>
    <row r="83">
      <c r="A83" t="n">
        <v>82</v>
      </c>
      <c r="B83" t="n">
        <v>82</v>
      </c>
      <c r="C83" t="inlineStr">
        <is>
          <t>Jumeirah Islands</t>
        </is>
      </c>
      <c r="D83" t="inlineStr">
        <is>
          <t>Nakheel</t>
        </is>
      </c>
      <c r="E83" t="inlineStr">
        <is>
          <t>Jumeirah Islands</t>
        </is>
      </c>
      <c r="F83" t="inlineStr">
        <is>
          <t>Villas</t>
        </is>
      </c>
      <c r="G83" t="inlineStr">
        <is>
          <t>Luxury / Lake</t>
        </is>
      </c>
      <c r="H83" t="inlineStr">
        <is>
          <t>Resale (12M+)</t>
        </is>
      </c>
      <c r="I83" t="inlineStr">
        <is>
          <t>1800</t>
        </is>
      </c>
      <c r="J83" t="inlineStr">
        <is>
          <t>18</t>
        </is>
      </c>
      <c r="K83" t="inlineStr">
        <is>
          <t>Completed</t>
        </is>
      </c>
      <c r="L83" t="inlineStr">
        <is>
          <t>2004</t>
        </is>
      </c>
      <c r="M83" t="inlineStr">
        <is>
          <t>4.5-5.0</t>
        </is>
      </c>
      <c r="N83" t="inlineStr">
        <is>
          <t>5-7</t>
        </is>
      </c>
      <c r="O83" t="inlineStr">
        <is>
          <t>9.5-12.0</t>
        </is>
      </c>
      <c r="P83" t="inlineStr">
        <is>
          <t>Dubai British School</t>
        </is>
      </c>
      <c r="Q83" t="inlineStr">
        <is>
          <t>Mediclinic Meadows</t>
        </is>
      </c>
      <c r="R83" t="inlineStr">
        <is>
          <t>Pavilion JI</t>
        </is>
      </c>
      <c r="S83" t="inlineStr">
        <is>
          <t>Sheikh Zayed E11</t>
        </is>
      </c>
      <c r="T83" t="inlineStr">
        <is>
          <t>20</t>
        </is>
      </c>
      <c r="U83" t="inlineStr">
        <is>
          <t>10</t>
        </is>
      </c>
      <c r="V83" t="inlineStr">
        <is>
          <t>25</t>
        </is>
      </c>
      <c r="W83" t="inlineStr">
        <is>
          <t>30</t>
        </is>
      </c>
      <c r="X83" t="inlineStr">
        <is>
          <t>Guild_real_estate_master.csv</t>
        </is>
      </c>
    </row>
    <row r="84">
      <c r="A84" t="n">
        <v>83</v>
      </c>
      <c r="B84" t="n">
        <v>83</v>
      </c>
      <c r="C84" t="inlineStr">
        <is>
          <t>Jumeirah Park</t>
        </is>
      </c>
      <c r="D84" t="inlineStr">
        <is>
          <t>Nakheel</t>
        </is>
      </c>
      <c r="E84" t="inlineStr">
        <is>
          <t>Jumeirah Park</t>
        </is>
      </c>
      <c r="F84" t="inlineStr">
        <is>
          <t>Villas</t>
        </is>
      </c>
      <c r="G84" t="inlineStr">
        <is>
          <t>Family / Gated</t>
        </is>
      </c>
      <c r="H84" t="inlineStr">
        <is>
          <t>Resale (6M+)</t>
        </is>
      </c>
      <c r="I84" t="inlineStr">
        <is>
          <t>1400</t>
        </is>
      </c>
      <c r="J84" t="inlineStr">
        <is>
          <t>12</t>
        </is>
      </c>
      <c r="K84" t="inlineStr">
        <is>
          <t>Completed</t>
        </is>
      </c>
      <c r="L84" t="inlineStr">
        <is>
          <t>2013</t>
        </is>
      </c>
      <c r="M84" t="inlineStr">
        <is>
          <t>5.0-5.5</t>
        </is>
      </c>
      <c r="N84" t="inlineStr">
        <is>
          <t>5-7</t>
        </is>
      </c>
      <c r="O84" t="inlineStr">
        <is>
          <t>10.0-12.5</t>
        </is>
      </c>
      <c r="P84" t="inlineStr">
        <is>
          <t>Dubai British School</t>
        </is>
      </c>
      <c r="Q84" t="inlineStr">
        <is>
          <t>Mediclinic Meadows</t>
        </is>
      </c>
      <c r="R84" t="inlineStr">
        <is>
          <t>Pavilion JP</t>
        </is>
      </c>
      <c r="S84" t="inlineStr">
        <is>
          <t>Sheikh Zayed E11</t>
        </is>
      </c>
      <c r="T84" t="inlineStr">
        <is>
          <t>20</t>
        </is>
      </c>
      <c r="U84" t="inlineStr">
        <is>
          <t>10</t>
        </is>
      </c>
      <c r="V84" t="inlineStr">
        <is>
          <t>25</t>
        </is>
      </c>
      <c r="W84" t="inlineStr">
        <is>
          <t>30</t>
        </is>
      </c>
      <c r="X84" t="inlineStr">
        <is>
          <t>Guild_real_estate_master.csv</t>
        </is>
      </c>
    </row>
    <row r="85">
      <c r="A85" t="n">
        <v>84</v>
      </c>
      <c r="B85" t="n">
        <v>84</v>
      </c>
      <c r="C85" t="inlineStr">
        <is>
          <t>Al Furjan (West &amp; East)</t>
        </is>
      </c>
      <c r="D85" t="inlineStr">
        <is>
          <t>Nakheel</t>
        </is>
      </c>
      <c r="E85" t="inlineStr">
        <is>
          <t>Jebel Ali Area</t>
        </is>
      </c>
      <c r="F85" t="inlineStr">
        <is>
          <t>Villas &amp; TH</t>
        </is>
      </c>
      <c r="G85" t="inlineStr">
        <is>
          <t>Family</t>
        </is>
      </c>
      <c r="H85" t="inlineStr">
        <is>
          <t>Resale (2.5M+)</t>
        </is>
      </c>
      <c r="I85" t="inlineStr">
        <is>
          <t>1100</t>
        </is>
      </c>
      <c r="J85" t="inlineStr">
        <is>
          <t>10</t>
        </is>
      </c>
      <c r="K85" t="inlineStr">
        <is>
          <t>Completed</t>
        </is>
      </c>
      <c r="L85" t="inlineStr">
        <is>
          <t>2014</t>
        </is>
      </c>
      <c r="M85" t="inlineStr">
        <is>
          <t>6.5-7.0</t>
        </is>
      </c>
      <c r="N85" t="inlineStr">
        <is>
          <t>5-7</t>
        </is>
      </c>
      <c r="O85" t="inlineStr">
        <is>
          <t>11.5-14.0</t>
        </is>
      </c>
      <c r="P85" t="inlineStr">
        <is>
          <t>The Arbor School</t>
        </is>
      </c>
      <c r="Q85" t="inlineStr">
        <is>
          <t>NMC Royal DIP</t>
        </is>
      </c>
      <c r="R85" t="inlineStr">
        <is>
          <t>Ibn Battuta Mall</t>
        </is>
      </c>
      <c r="S85" t="inlineStr">
        <is>
          <t>Yalayis / E311</t>
        </is>
      </c>
      <c r="T85" t="inlineStr">
        <is>
          <t>25</t>
        </is>
      </c>
      <c r="U85" t="inlineStr">
        <is>
          <t>15</t>
        </is>
      </c>
      <c r="V85" t="inlineStr">
        <is>
          <t>30</t>
        </is>
      </c>
      <c r="W85" t="inlineStr">
        <is>
          <t>20</t>
        </is>
      </c>
      <c r="X85" t="inlineStr">
        <is>
          <t>Guild_real_estate_master.csv</t>
        </is>
      </c>
    </row>
    <row r="86">
      <c r="A86" t="n">
        <v>85</v>
      </c>
      <c r="B86" t="n">
        <v>85</v>
      </c>
      <c r="C86" t="inlineStr">
        <is>
          <t>Tilal Al Furjan</t>
        </is>
      </c>
      <c r="D86" t="inlineStr">
        <is>
          <t>Nakheel</t>
        </is>
      </c>
      <c r="E86" t="inlineStr">
        <is>
          <t>Al Furjan</t>
        </is>
      </c>
      <c r="F86" t="inlineStr">
        <is>
          <t>Villas</t>
        </is>
      </c>
      <c r="G86" t="inlineStr">
        <is>
          <t>Gated Community</t>
        </is>
      </c>
      <c r="H86" t="inlineStr">
        <is>
          <t>3.2M</t>
        </is>
      </c>
      <c r="I86" t="inlineStr">
        <is>
          <t>1200</t>
        </is>
      </c>
      <c r="J86" t="inlineStr">
        <is>
          <t>12</t>
        </is>
      </c>
      <c r="K86" t="inlineStr">
        <is>
          <t>Completed</t>
        </is>
      </c>
      <c r="L86" t="inlineStr">
        <is>
          <t>2022</t>
        </is>
      </c>
      <c r="M86" t="inlineStr">
        <is>
          <t>6.0-6.5</t>
        </is>
      </c>
      <c r="N86" t="inlineStr">
        <is>
          <t>6-8</t>
        </is>
      </c>
      <c r="O86" t="inlineStr">
        <is>
          <t>12.0-14.5</t>
        </is>
      </c>
      <c r="P86" t="inlineStr">
        <is>
          <t>The Arbor School</t>
        </is>
      </c>
      <c r="Q86" t="inlineStr">
        <is>
          <t>NMC Royal DIP</t>
        </is>
      </c>
      <c r="R86" t="inlineStr">
        <is>
          <t>Ibn Battuta Mall</t>
        </is>
      </c>
      <c r="S86" t="inlineStr">
        <is>
          <t>Yalayis / E311</t>
        </is>
      </c>
      <c r="T86" t="inlineStr">
        <is>
          <t>25</t>
        </is>
      </c>
      <c r="U86" t="inlineStr">
        <is>
          <t>15</t>
        </is>
      </c>
      <c r="V86" t="inlineStr">
        <is>
          <t>30</t>
        </is>
      </c>
      <c r="W86" t="inlineStr">
        <is>
          <t>20</t>
        </is>
      </c>
      <c r="X86" t="inlineStr">
        <is>
          <t>Guild_real_estate_master.csv</t>
        </is>
      </c>
    </row>
    <row r="87">
      <c r="A87" t="n">
        <v>86</v>
      </c>
      <c r="B87" t="n">
        <v>86</v>
      </c>
      <c r="C87" t="inlineStr">
        <is>
          <t>Murooj Al Furjan</t>
        </is>
      </c>
      <c r="D87" t="inlineStr">
        <is>
          <t>Nakheel</t>
        </is>
      </c>
      <c r="E87" t="inlineStr">
        <is>
          <t>Al Furjan</t>
        </is>
      </c>
      <c r="F87" t="inlineStr">
        <is>
          <t>Townhouses</t>
        </is>
      </c>
      <c r="G87" t="inlineStr">
        <is>
          <t>Gated Community</t>
        </is>
      </c>
      <c r="H87" t="inlineStr">
        <is>
          <t>2.8M</t>
        </is>
      </c>
      <c r="I87" t="inlineStr">
        <is>
          <t>1150</t>
        </is>
      </c>
      <c r="J87" t="inlineStr">
        <is>
          <t>12</t>
        </is>
      </c>
      <c r="K87" t="inlineStr">
        <is>
          <t>Completed</t>
        </is>
      </c>
      <c r="L87" t="inlineStr">
        <is>
          <t>2021</t>
        </is>
      </c>
      <c r="M87" t="inlineStr">
        <is>
          <t>6.5-7.0</t>
        </is>
      </c>
      <c r="N87" t="inlineStr">
        <is>
          <t>6-8</t>
        </is>
      </c>
      <c r="O87" t="inlineStr">
        <is>
          <t>12.5-15.0</t>
        </is>
      </c>
      <c r="P87" t="inlineStr">
        <is>
          <t>The Arbor School</t>
        </is>
      </c>
      <c r="Q87" t="inlineStr">
        <is>
          <t>NMC Royal DIP</t>
        </is>
      </c>
      <c r="R87" t="inlineStr">
        <is>
          <t>Ibn Battuta Mall</t>
        </is>
      </c>
      <c r="S87" t="inlineStr">
        <is>
          <t>Yalayis / E311</t>
        </is>
      </c>
      <c r="T87" t="inlineStr">
        <is>
          <t>25</t>
        </is>
      </c>
      <c r="U87" t="inlineStr">
        <is>
          <t>15</t>
        </is>
      </c>
      <c r="V87" t="inlineStr">
        <is>
          <t>30</t>
        </is>
      </c>
      <c r="W87" t="inlineStr">
        <is>
          <t>20</t>
        </is>
      </c>
      <c r="X87" t="inlineStr">
        <is>
          <t>Guild_real_estate_master.csv</t>
        </is>
      </c>
    </row>
    <row r="88">
      <c r="A88" t="n">
        <v>87</v>
      </c>
      <c r="B88" t="n">
        <v>87</v>
      </c>
      <c r="C88" t="inlineStr">
        <is>
          <t>Discovery Gardens</t>
        </is>
      </c>
      <c r="D88" t="inlineStr">
        <is>
          <t>Nakheel</t>
        </is>
      </c>
      <c r="E88" t="inlineStr">
        <is>
          <t>Jebel Ali Area</t>
        </is>
      </c>
      <c r="F88" t="inlineStr">
        <is>
          <t>Apartments</t>
        </is>
      </c>
      <c r="G88" t="inlineStr">
        <is>
          <t>Budget / Garden</t>
        </is>
      </c>
      <c r="H88" t="inlineStr">
        <is>
          <t>Resale (500k+)</t>
        </is>
      </c>
      <c r="I88" t="inlineStr">
        <is>
          <t>700</t>
        </is>
      </c>
      <c r="J88" t="inlineStr">
        <is>
          <t>12</t>
        </is>
      </c>
      <c r="K88" t="inlineStr">
        <is>
          <t>Completed</t>
        </is>
      </c>
      <c r="L88" t="inlineStr">
        <is>
          <t>2008</t>
        </is>
      </c>
      <c r="M88" t="inlineStr">
        <is>
          <t>8.0-8.5</t>
        </is>
      </c>
      <c r="N88" t="inlineStr">
        <is>
          <t>4-6</t>
        </is>
      </c>
      <c r="O88" t="inlineStr">
        <is>
          <t>12.0-14.5</t>
        </is>
      </c>
      <c r="P88" t="inlineStr">
        <is>
          <t>Winchester School</t>
        </is>
      </c>
      <c r="Q88" t="inlineStr">
        <is>
          <t>Aster Cedars</t>
        </is>
      </c>
      <c r="R88" t="inlineStr">
        <is>
          <t>Ibn Battuta Mall</t>
        </is>
      </c>
      <c r="S88" t="inlineStr">
        <is>
          <t>Sheikh Zayed E11</t>
        </is>
      </c>
      <c r="T88" t="inlineStr">
        <is>
          <t>25</t>
        </is>
      </c>
      <c r="U88" t="inlineStr">
        <is>
          <t>10</t>
        </is>
      </c>
      <c r="V88" t="inlineStr">
        <is>
          <t>30</t>
        </is>
      </c>
      <c r="W88" t="inlineStr">
        <is>
          <t>25</t>
        </is>
      </c>
      <c r="X88" t="inlineStr">
        <is>
          <t>Guild_real_estate_master.csv</t>
        </is>
      </c>
    </row>
    <row r="89">
      <c r="A89" t="n">
        <v>88</v>
      </c>
      <c r="B89" t="n">
        <v>88</v>
      </c>
      <c r="C89" t="inlineStr">
        <is>
          <t>The Gardens</t>
        </is>
      </c>
      <c r="D89" t="inlineStr">
        <is>
          <t>Nakheel</t>
        </is>
      </c>
      <c r="E89" t="inlineStr">
        <is>
          <t>Jebel Ali Area</t>
        </is>
      </c>
      <c r="F89" t="inlineStr">
        <is>
          <t>Apartments</t>
        </is>
      </c>
      <c r="G89" t="inlineStr">
        <is>
          <t>Garden / Low Rise</t>
        </is>
      </c>
      <c r="H89" t="inlineStr">
        <is>
          <t>Resale</t>
        </is>
      </c>
      <c r="I89" t="inlineStr">
        <is>
          <t>700</t>
        </is>
      </c>
      <c r="J89" t="inlineStr">
        <is>
          <t>12</t>
        </is>
      </c>
      <c r="K89" t="inlineStr">
        <is>
          <t>Completed</t>
        </is>
      </c>
      <c r="L89" t="inlineStr">
        <is>
          <t>2003</t>
        </is>
      </c>
      <c r="M89" t="inlineStr">
        <is>
          <t>8.0-8.5</t>
        </is>
      </c>
      <c r="N89" t="inlineStr">
        <is>
          <t>4-6</t>
        </is>
      </c>
      <c r="O89" t="inlineStr">
        <is>
          <t>12.0-14.5</t>
        </is>
      </c>
      <c r="P89" t="inlineStr">
        <is>
          <t>Winchester School</t>
        </is>
      </c>
      <c r="Q89" t="inlineStr">
        <is>
          <t>Aster Cedars</t>
        </is>
      </c>
      <c r="R89" t="inlineStr">
        <is>
          <t>Ibn Battuta Mall</t>
        </is>
      </c>
      <c r="S89" t="inlineStr">
        <is>
          <t>Sheikh Zayed E11</t>
        </is>
      </c>
      <c r="T89" t="inlineStr">
        <is>
          <t>25</t>
        </is>
      </c>
      <c r="U89" t="inlineStr">
        <is>
          <t>10</t>
        </is>
      </c>
      <c r="V89" t="inlineStr">
        <is>
          <t>30</t>
        </is>
      </c>
      <c r="W89" t="inlineStr">
        <is>
          <t>25</t>
        </is>
      </c>
      <c r="X89" t="inlineStr">
        <is>
          <t>Guild_real_estate_master.csv</t>
        </is>
      </c>
    </row>
    <row r="90">
      <c r="A90" t="n">
        <v>89</v>
      </c>
      <c r="B90" t="n">
        <v>89</v>
      </c>
      <c r="C90" t="inlineStr">
        <is>
          <t>Rixos Financial Center Road</t>
        </is>
      </c>
      <c r="D90" t="inlineStr">
        <is>
          <t>Nakheel</t>
        </is>
      </c>
      <c r="E90" t="inlineStr">
        <is>
          <t>Downtown Dubai</t>
        </is>
      </c>
      <c r="F90" t="inlineStr">
        <is>
          <t>Branded Residences</t>
        </is>
      </c>
      <c r="G90" t="inlineStr">
        <is>
          <t>Luxury / City</t>
        </is>
      </c>
      <c r="H90" t="inlineStr">
        <is>
          <t>4.0M</t>
        </is>
      </c>
      <c r="I90" t="inlineStr">
        <is>
          <t>3800</t>
        </is>
      </c>
      <c r="J90" t="inlineStr">
        <is>
          <t>45+</t>
        </is>
      </c>
      <c r="K90" t="inlineStr">
        <is>
          <t>60/40</t>
        </is>
      </c>
      <c r="L90" t="inlineStr">
        <is>
          <t>2024</t>
        </is>
      </c>
      <c r="M90" t="inlineStr">
        <is>
          <t>4.0-4.5</t>
        </is>
      </c>
      <c r="N90" t="inlineStr">
        <is>
          <t>10-15</t>
        </is>
      </c>
      <c r="O90" t="inlineStr">
        <is>
          <t>14.0-19.5</t>
        </is>
      </c>
      <c r="P90" t="inlineStr">
        <is>
          <t>Hartland Intl</t>
        </is>
      </c>
      <c r="Q90" t="inlineStr">
        <is>
          <t>Mediclinic Dubai Mall</t>
        </is>
      </c>
      <c r="R90" t="inlineStr">
        <is>
          <t>Dubai Mall</t>
        </is>
      </c>
      <c r="S90" t="inlineStr">
        <is>
          <t>Financial Ctr Rd</t>
        </is>
      </c>
      <c r="T90" t="inlineStr">
        <is>
          <t>5</t>
        </is>
      </c>
      <c r="U90" t="inlineStr">
        <is>
          <t>20</t>
        </is>
      </c>
      <c r="V90" t="inlineStr">
        <is>
          <t>15</t>
        </is>
      </c>
      <c r="W90" t="inlineStr">
        <is>
          <t>35</t>
        </is>
      </c>
      <c r="X90" t="inlineStr">
        <is>
          <t>Guild_real_estate_master.csv</t>
        </is>
      </c>
    </row>
    <row r="91">
      <c r="A91" t="n">
        <v>90</v>
      </c>
      <c r="B91" t="n">
        <v>90</v>
      </c>
      <c r="C91" t="inlineStr">
        <is>
          <t>Nad Al Sheba Villas</t>
        </is>
      </c>
      <c r="D91" t="inlineStr">
        <is>
          <t>Nakheel</t>
        </is>
      </c>
      <c r="E91" t="inlineStr">
        <is>
          <t>Nad Al Sheba</t>
        </is>
      </c>
      <c r="F91" t="inlineStr">
        <is>
          <t>Villas</t>
        </is>
      </c>
      <c r="G91" t="inlineStr">
        <is>
          <t>Gated</t>
        </is>
      </c>
      <c r="H91" t="inlineStr">
        <is>
          <t>Resale (3.5M+)</t>
        </is>
      </c>
      <c r="I91" t="inlineStr">
        <is>
          <t>1000</t>
        </is>
      </c>
      <c r="J91" t="inlineStr">
        <is>
          <t>10</t>
        </is>
      </c>
      <c r="K91" t="inlineStr">
        <is>
          <t>Completed</t>
        </is>
      </c>
      <c r="L91" t="inlineStr">
        <is>
          <t>2019</t>
        </is>
      </c>
      <c r="M91" t="inlineStr">
        <is>
          <t>6.0-6.5</t>
        </is>
      </c>
      <c r="N91" t="inlineStr">
        <is>
          <t>6-8</t>
        </is>
      </c>
      <c r="O91" t="inlineStr">
        <is>
          <t>12.0-14.5</t>
        </is>
      </c>
      <c r="P91" t="inlineStr">
        <is>
          <t>Repton School</t>
        </is>
      </c>
      <c r="Q91" t="inlineStr">
        <is>
          <t>Nad Al Sheba Health</t>
        </is>
      </c>
      <c r="R91" t="inlineStr">
        <is>
          <t>Avenue Mall</t>
        </is>
      </c>
      <c r="S91" t="inlineStr">
        <is>
          <t>E311 / E66</t>
        </is>
      </c>
      <c r="T91" t="inlineStr">
        <is>
          <t>15</t>
        </is>
      </c>
      <c r="U91" t="inlineStr">
        <is>
          <t>25</t>
        </is>
      </c>
      <c r="V91" t="inlineStr">
        <is>
          <t>15</t>
        </is>
      </c>
      <c r="W91" t="inlineStr">
        <is>
          <t>30</t>
        </is>
      </c>
      <c r="X91" t="inlineStr">
        <is>
          <t>Guild_real_estate_master.csv</t>
        </is>
      </c>
    </row>
    <row r="92">
      <c r="A92" t="n">
        <v>91</v>
      </c>
      <c r="B92" t="n">
        <v>91</v>
      </c>
      <c r="C92" t="inlineStr">
        <is>
          <t>Warsan Village</t>
        </is>
      </c>
      <c r="D92" t="inlineStr">
        <is>
          <t>Nakheel</t>
        </is>
      </c>
      <c r="E92" t="inlineStr">
        <is>
          <t>International City</t>
        </is>
      </c>
      <c r="F92" t="inlineStr">
        <is>
          <t>Townhouses</t>
        </is>
      </c>
      <c r="G92" t="inlineStr">
        <is>
          <t>Budget</t>
        </is>
      </c>
      <c r="H92" t="inlineStr">
        <is>
          <t>Resale (1.5M+)</t>
        </is>
      </c>
      <c r="I92" t="inlineStr">
        <is>
          <t>800</t>
        </is>
      </c>
      <c r="J92" t="inlineStr">
        <is>
          <t>8</t>
        </is>
      </c>
      <c r="K92" t="inlineStr">
        <is>
          <t>Completed</t>
        </is>
      </c>
      <c r="L92" t="inlineStr">
        <is>
          <t>2016</t>
        </is>
      </c>
      <c r="M92" t="inlineStr">
        <is>
          <t>7.5-8.0</t>
        </is>
      </c>
      <c r="N92" t="inlineStr">
        <is>
          <t>5-7</t>
        </is>
      </c>
      <c r="O92" t="inlineStr">
        <is>
          <t>12.5-15.0</t>
        </is>
      </c>
      <c r="P92" t="inlineStr">
        <is>
          <t>Intl School of Arts</t>
        </is>
      </c>
      <c r="Q92" t="inlineStr">
        <is>
          <t>Aster Hospital</t>
        </is>
      </c>
      <c r="R92" t="inlineStr">
        <is>
          <t>Dragon Mart</t>
        </is>
      </c>
      <c r="S92" t="inlineStr">
        <is>
          <t>E44 / E311</t>
        </is>
      </c>
      <c r="T92" t="inlineStr">
        <is>
          <t>20</t>
        </is>
      </c>
      <c r="U92" t="inlineStr">
        <is>
          <t>30</t>
        </is>
      </c>
      <c r="V92" t="inlineStr">
        <is>
          <t>15</t>
        </is>
      </c>
      <c r="W92" t="inlineStr">
        <is>
          <t>35</t>
        </is>
      </c>
      <c r="X92" t="inlineStr">
        <is>
          <t>Guild_real_estate_master.csv</t>
        </is>
      </c>
    </row>
    <row r="93">
      <c r="A93" t="n">
        <v>92</v>
      </c>
      <c r="B93" t="n">
        <v>92</v>
      </c>
      <c r="C93" t="inlineStr">
        <is>
          <t>International City</t>
        </is>
      </c>
      <c r="D93" t="inlineStr">
        <is>
          <t>Nakheel</t>
        </is>
      </c>
      <c r="E93" t="inlineStr">
        <is>
          <t>International City</t>
        </is>
      </c>
      <c r="F93" t="inlineStr">
        <is>
          <t>Apartments</t>
        </is>
      </c>
      <c r="G93" t="inlineStr">
        <is>
          <t>Budget</t>
        </is>
      </c>
      <c r="H93" t="inlineStr">
        <is>
          <t>Resale (350k+)</t>
        </is>
      </c>
      <c r="I93" t="inlineStr">
        <is>
          <t>600</t>
        </is>
      </c>
      <c r="J93" t="inlineStr">
        <is>
          <t>10</t>
        </is>
      </c>
      <c r="K93" t="inlineStr">
        <is>
          <t>Completed</t>
        </is>
      </c>
      <c r="L93" t="inlineStr">
        <is>
          <t>2004</t>
        </is>
      </c>
      <c r="M93" t="inlineStr">
        <is>
          <t>9.0-15.0</t>
        </is>
      </c>
      <c r="N93" t="inlineStr">
        <is>
          <t>5-7</t>
        </is>
      </c>
      <c r="O93" t="inlineStr">
        <is>
          <t>14.0-22.0</t>
        </is>
      </c>
      <c r="P93" t="inlineStr">
        <is>
          <t>Intl School of Arts</t>
        </is>
      </c>
      <c r="Q93" t="inlineStr">
        <is>
          <t>Aster Hospital</t>
        </is>
      </c>
      <c r="R93" t="inlineStr">
        <is>
          <t>Dragon Mart</t>
        </is>
      </c>
      <c r="S93" t="inlineStr">
        <is>
          <t>E44 / E311</t>
        </is>
      </c>
      <c r="T93" t="inlineStr">
        <is>
          <t>20</t>
        </is>
      </c>
      <c r="U93" t="inlineStr">
        <is>
          <t>30</t>
        </is>
      </c>
      <c r="V93" t="inlineStr">
        <is>
          <t>15</t>
        </is>
      </c>
      <c r="W93" t="inlineStr">
        <is>
          <t>35</t>
        </is>
      </c>
      <c r="X93" t="inlineStr">
        <is>
          <t>Guild_real_estate_master.csv</t>
        </is>
      </c>
    </row>
    <row r="94">
      <c r="A94" t="n">
        <v>93</v>
      </c>
      <c r="B94" t="n">
        <v>93</v>
      </c>
      <c r="C94" t="inlineStr">
        <is>
          <t>City Walk (Master Community)</t>
        </is>
      </c>
      <c r="D94" t="inlineStr">
        <is>
          <t>Meraas</t>
        </is>
      </c>
      <c r="E94" t="inlineStr">
        <is>
          <t>Jumeirah</t>
        </is>
      </c>
      <c r="F94" t="inlineStr">
        <is>
          <t>Mixed</t>
        </is>
      </c>
      <c r="G94" t="inlineStr">
        <is>
          <t>Urban / Retail</t>
        </is>
      </c>
      <c r="J94" t="inlineStr">
        <is>
          <t>25-30</t>
        </is>
      </c>
      <c r="K94" t="inlineStr">
        <is>
          <t>Varies</t>
        </is>
      </c>
      <c r="L94" t="inlineStr">
        <is>
          <t>Ongoing</t>
        </is>
      </c>
      <c r="M94" t="inlineStr">
        <is>
          <t>5.5-6.5</t>
        </is>
      </c>
      <c r="N94" t="inlineStr">
        <is>
          <t>8-12</t>
        </is>
      </c>
      <c r="O94" t="inlineStr">
        <is>
          <t>13.5-18.5</t>
        </is>
      </c>
      <c r="P94" t="inlineStr">
        <is>
          <t>Jumeirah Baccalaureate</t>
        </is>
      </c>
      <c r="Q94" t="inlineStr">
        <is>
          <t>Valiant Clinic</t>
        </is>
      </c>
      <c r="R94" t="inlineStr">
        <is>
          <t>City Walk</t>
        </is>
      </c>
      <c r="S94" t="inlineStr">
        <is>
          <t>Al Wasl / SZR</t>
        </is>
      </c>
      <c r="T94" t="inlineStr">
        <is>
          <t>5</t>
        </is>
      </c>
      <c r="U94" t="inlineStr">
        <is>
          <t>15</t>
        </is>
      </c>
      <c r="V94" t="inlineStr">
        <is>
          <t>15</t>
        </is>
      </c>
      <c r="W94" t="inlineStr">
        <is>
          <t>35</t>
        </is>
      </c>
      <c r="X94" t="inlineStr">
        <is>
          <t>Guild_real_estate_master.csv</t>
        </is>
      </c>
    </row>
    <row r="95">
      <c r="A95" t="n">
        <v>94</v>
      </c>
      <c r="B95" t="n">
        <v>94</v>
      </c>
      <c r="C95" t="inlineStr">
        <is>
          <t>Design Quarter at d3 (Phase 1)</t>
        </is>
      </c>
      <c r="D95" t="inlineStr">
        <is>
          <t>Meraas</t>
        </is>
      </c>
      <c r="E95" t="inlineStr">
        <is>
          <t>Dubai Design District</t>
        </is>
      </c>
      <c r="F95" t="inlineStr">
        <is>
          <t>Apartments</t>
        </is>
      </c>
      <c r="G95" t="inlineStr">
        <is>
          <t>Creative / Modern</t>
        </is>
      </c>
      <c r="H95" t="inlineStr">
        <is>
          <t>2.1M</t>
        </is>
      </c>
      <c r="I95" t="inlineStr">
        <is>
          <t>2000</t>
        </is>
      </c>
      <c r="J95" t="inlineStr">
        <is>
          <t>25</t>
        </is>
      </c>
      <c r="K95" t="inlineStr">
        <is>
          <t>60/40</t>
        </is>
      </c>
      <c r="L95" t="inlineStr">
        <is>
          <t>2023</t>
        </is>
      </c>
      <c r="M95" t="inlineStr">
        <is>
          <t>5.5-6.0</t>
        </is>
      </c>
      <c r="N95" t="inlineStr">
        <is>
          <t>8-12</t>
        </is>
      </c>
      <c r="O95" t="inlineStr">
        <is>
          <t>13.5-18.0</t>
        </is>
      </c>
      <c r="P95" t="inlineStr">
        <is>
          <t>Hartland Intl</t>
        </is>
      </c>
      <c r="Q95" t="inlineStr">
        <is>
          <t>Mediclinic Dubai Mall</t>
        </is>
      </c>
      <c r="R95" t="inlineStr">
        <is>
          <t>Dubai Mall</t>
        </is>
      </c>
      <c r="S95" t="inlineStr">
        <is>
          <t>Ras Al Khor / E44</t>
        </is>
      </c>
      <c r="T95" t="inlineStr">
        <is>
          <t>8</t>
        </is>
      </c>
      <c r="U95" t="inlineStr">
        <is>
          <t>20</t>
        </is>
      </c>
      <c r="V95" t="inlineStr">
        <is>
          <t>12</t>
        </is>
      </c>
      <c r="W95" t="inlineStr">
        <is>
          <t>35</t>
        </is>
      </c>
      <c r="X95" t="inlineStr">
        <is>
          <t>Guild_real_estate_master.csv</t>
        </is>
      </c>
    </row>
    <row r="96">
      <c r="A96" t="n">
        <v>95</v>
      </c>
      <c r="B96" t="n">
        <v>95</v>
      </c>
      <c r="C96" t="inlineStr">
        <is>
          <t>Design Quarter at d3 (Phase 2)</t>
        </is>
      </c>
      <c r="D96" t="inlineStr">
        <is>
          <t>Meraas</t>
        </is>
      </c>
      <c r="E96" t="inlineStr">
        <is>
          <t>Dubai Design District</t>
        </is>
      </c>
      <c r="F96" t="inlineStr">
        <is>
          <t>Apartments</t>
        </is>
      </c>
      <c r="G96" t="inlineStr">
        <is>
          <t>Creative / Modern</t>
        </is>
      </c>
      <c r="H96" t="inlineStr">
        <is>
          <t>2.2M</t>
        </is>
      </c>
      <c r="I96" t="inlineStr">
        <is>
          <t>2100</t>
        </is>
      </c>
      <c r="J96" t="inlineStr">
        <is>
          <t>25</t>
        </is>
      </c>
      <c r="K96" t="inlineStr">
        <is>
          <t>60/40</t>
        </is>
      </c>
      <c r="L96" t="inlineStr">
        <is>
          <t>2023</t>
        </is>
      </c>
      <c r="M96" t="inlineStr">
        <is>
          <t>5.5-6.0</t>
        </is>
      </c>
      <c r="N96" t="inlineStr">
        <is>
          <t>8-12</t>
        </is>
      </c>
      <c r="O96" t="inlineStr">
        <is>
          <t>13.5-18.0</t>
        </is>
      </c>
      <c r="P96" t="inlineStr">
        <is>
          <t>Hartland Intl</t>
        </is>
      </c>
      <c r="Q96" t="inlineStr">
        <is>
          <t>Mediclinic Dubai Mall</t>
        </is>
      </c>
      <c r="R96" t="inlineStr">
        <is>
          <t>Dubai Mall</t>
        </is>
      </c>
      <c r="S96" t="inlineStr">
        <is>
          <t>Ras Al Khor / E44</t>
        </is>
      </c>
      <c r="T96" t="inlineStr">
        <is>
          <t>8</t>
        </is>
      </c>
      <c r="U96" t="inlineStr">
        <is>
          <t>20</t>
        </is>
      </c>
      <c r="V96" t="inlineStr">
        <is>
          <t>12</t>
        </is>
      </c>
      <c r="W96" t="inlineStr">
        <is>
          <t>35</t>
        </is>
      </c>
      <c r="X96" t="inlineStr">
        <is>
          <t>Guild_real_estate_master.csv</t>
        </is>
      </c>
    </row>
    <row r="97">
      <c r="A97" t="n">
        <v>96</v>
      </c>
      <c r="B97" t="n">
        <v>96</v>
      </c>
      <c r="C97" t="inlineStr">
        <is>
          <t>Central Park: Fern</t>
        </is>
      </c>
      <c r="D97" t="inlineStr">
        <is>
          <t>Meraas</t>
        </is>
      </c>
      <c r="E97" t="inlineStr">
        <is>
          <t>City Walk</t>
        </is>
      </c>
      <c r="F97" t="inlineStr">
        <is>
          <t>Apartments</t>
        </is>
      </c>
      <c r="G97" t="inlineStr">
        <is>
          <t>Park / Green</t>
        </is>
      </c>
      <c r="H97" t="inlineStr">
        <is>
          <t>1.8M</t>
        </is>
      </c>
      <c r="I97" t="inlineStr">
        <is>
          <t>2300</t>
        </is>
      </c>
      <c r="J97" t="inlineStr">
        <is>
          <t>25</t>
        </is>
      </c>
      <c r="K97" t="inlineStr">
        <is>
          <t>50/50</t>
        </is>
      </c>
      <c r="L97" t="inlineStr">
        <is>
          <t>2023</t>
        </is>
      </c>
      <c r="M97" t="inlineStr">
        <is>
          <t>5.5-6.0</t>
        </is>
      </c>
      <c r="N97" t="inlineStr">
        <is>
          <t>8-10</t>
        </is>
      </c>
      <c r="O97" t="inlineStr">
        <is>
          <t>13.5-16.0</t>
        </is>
      </c>
      <c r="P97" t="inlineStr">
        <is>
          <t>Jumeirah Baccalaureate</t>
        </is>
      </c>
      <c r="Q97" t="inlineStr">
        <is>
          <t>Valiant Clinic</t>
        </is>
      </c>
      <c r="R97" t="inlineStr">
        <is>
          <t>City Walk</t>
        </is>
      </c>
      <c r="S97" t="inlineStr">
        <is>
          <t>Al Wasl / SZR</t>
        </is>
      </c>
      <c r="T97" t="inlineStr">
        <is>
          <t>5</t>
        </is>
      </c>
      <c r="U97" t="inlineStr">
        <is>
          <t>15</t>
        </is>
      </c>
      <c r="V97" t="inlineStr">
        <is>
          <t>15</t>
        </is>
      </c>
      <c r="W97" t="inlineStr">
        <is>
          <t>35</t>
        </is>
      </c>
      <c r="X97" t="inlineStr">
        <is>
          <t>Guild_real_estate_master.csv</t>
        </is>
      </c>
    </row>
    <row r="98">
      <c r="A98" t="n">
        <v>97</v>
      </c>
      <c r="B98" t="n">
        <v>97</v>
      </c>
      <c r="C98" t="inlineStr">
        <is>
          <t>Central Park: Laurel</t>
        </is>
      </c>
      <c r="D98" t="inlineStr">
        <is>
          <t>Meraas</t>
        </is>
      </c>
      <c r="E98" t="inlineStr">
        <is>
          <t>City Walk</t>
        </is>
      </c>
      <c r="F98" t="inlineStr">
        <is>
          <t>Apartments</t>
        </is>
      </c>
      <c r="G98" t="inlineStr">
        <is>
          <t>Park / Green</t>
        </is>
      </c>
      <c r="H98" t="inlineStr">
        <is>
          <t>1.9M</t>
        </is>
      </c>
      <c r="I98" t="inlineStr">
        <is>
          <t>2350</t>
        </is>
      </c>
      <c r="J98" t="inlineStr">
        <is>
          <t>25</t>
        </is>
      </c>
      <c r="K98" t="inlineStr">
        <is>
          <t>50/50</t>
        </is>
      </c>
      <c r="L98" t="inlineStr">
        <is>
          <t>2023</t>
        </is>
      </c>
      <c r="M98" t="inlineStr">
        <is>
          <t>5.5-6.0</t>
        </is>
      </c>
      <c r="N98" t="inlineStr">
        <is>
          <t>8-10</t>
        </is>
      </c>
      <c r="O98" t="inlineStr">
        <is>
          <t>13.5-16.0</t>
        </is>
      </c>
      <c r="P98" t="inlineStr">
        <is>
          <t>Jumeirah Baccalaureate</t>
        </is>
      </c>
      <c r="Q98" t="inlineStr">
        <is>
          <t>Valiant Clinic</t>
        </is>
      </c>
      <c r="R98" t="inlineStr">
        <is>
          <t>City Walk</t>
        </is>
      </c>
      <c r="S98" t="inlineStr">
        <is>
          <t>Al Wasl / SZR</t>
        </is>
      </c>
      <c r="T98" t="inlineStr">
        <is>
          <t>5</t>
        </is>
      </c>
      <c r="U98" t="inlineStr">
        <is>
          <t>15</t>
        </is>
      </c>
      <c r="V98" t="inlineStr">
        <is>
          <t>15</t>
        </is>
      </c>
      <c r="W98" t="inlineStr">
        <is>
          <t>35</t>
        </is>
      </c>
      <c r="X98" t="inlineStr">
        <is>
          <t>Guild_real_estate_master.csv</t>
        </is>
      </c>
    </row>
    <row r="99">
      <c r="A99" t="n">
        <v>98</v>
      </c>
      <c r="B99" t="n">
        <v>98</v>
      </c>
      <c r="C99" t="inlineStr">
        <is>
          <t>Central Park: Myrtle</t>
        </is>
      </c>
      <c r="D99" t="inlineStr">
        <is>
          <t>Meraas</t>
        </is>
      </c>
      <c r="E99" t="inlineStr">
        <is>
          <t>City Walk</t>
        </is>
      </c>
      <c r="F99" t="inlineStr">
        <is>
          <t>Apartments</t>
        </is>
      </c>
      <c r="G99" t="inlineStr">
        <is>
          <t>Park / Green</t>
        </is>
      </c>
      <c r="H99" t="inlineStr">
        <is>
          <t>1.7M</t>
        </is>
      </c>
      <c r="I99" t="inlineStr">
        <is>
          <t>2200</t>
        </is>
      </c>
      <c r="J99" t="inlineStr">
        <is>
          <t>25</t>
        </is>
      </c>
      <c r="K99" t="inlineStr">
        <is>
          <t>50/50</t>
        </is>
      </c>
      <c r="L99" t="inlineStr">
        <is>
          <t>2022</t>
        </is>
      </c>
      <c r="M99" t="inlineStr">
        <is>
          <t>5.5-6.0</t>
        </is>
      </c>
      <c r="N99" t="inlineStr">
        <is>
          <t>7-9</t>
        </is>
      </c>
      <c r="O99" t="inlineStr">
        <is>
          <t>12.5-15.0</t>
        </is>
      </c>
      <c r="P99" t="inlineStr">
        <is>
          <t>Jumeirah Baccalaureate</t>
        </is>
      </c>
      <c r="Q99" t="inlineStr">
        <is>
          <t>Valiant Clinic</t>
        </is>
      </c>
      <c r="R99" t="inlineStr">
        <is>
          <t>City Walk</t>
        </is>
      </c>
      <c r="S99" t="inlineStr">
        <is>
          <t>Al Wasl / SZR</t>
        </is>
      </c>
      <c r="T99" t="inlineStr">
        <is>
          <t>5</t>
        </is>
      </c>
      <c r="U99" t="inlineStr">
        <is>
          <t>15</t>
        </is>
      </c>
      <c r="V99" t="inlineStr">
        <is>
          <t>15</t>
        </is>
      </c>
      <c r="W99" t="inlineStr">
        <is>
          <t>35</t>
        </is>
      </c>
      <c r="X99" t="inlineStr">
        <is>
          <t>Guild_real_estate_master.csv</t>
        </is>
      </c>
    </row>
    <row r="100">
      <c r="A100" t="n">
        <v>99</v>
      </c>
      <c r="B100" t="n">
        <v>99</v>
      </c>
      <c r="C100" t="inlineStr">
        <is>
          <t>Central Park: Thyme</t>
        </is>
      </c>
      <c r="D100" t="inlineStr">
        <is>
          <t>Meraas</t>
        </is>
      </c>
      <c r="E100" t="inlineStr">
        <is>
          <t>City Walk</t>
        </is>
      </c>
      <c r="F100" t="inlineStr">
        <is>
          <t>Apartments</t>
        </is>
      </c>
      <c r="G100" t="inlineStr">
        <is>
          <t>Park / Green</t>
        </is>
      </c>
      <c r="H100" t="inlineStr">
        <is>
          <t>1.75M</t>
        </is>
      </c>
      <c r="I100" t="inlineStr">
        <is>
          <t>2250</t>
        </is>
      </c>
      <c r="J100" t="inlineStr">
        <is>
          <t>25</t>
        </is>
      </c>
      <c r="K100" t="inlineStr">
        <is>
          <t>50/50</t>
        </is>
      </c>
      <c r="L100" t="inlineStr">
        <is>
          <t>2023</t>
        </is>
      </c>
      <c r="M100" t="inlineStr">
        <is>
          <t>5.5-6.0</t>
        </is>
      </c>
      <c r="N100" t="inlineStr">
        <is>
          <t>8-10</t>
        </is>
      </c>
      <c r="O100" t="inlineStr">
        <is>
          <t>13.5-16.0</t>
        </is>
      </c>
      <c r="P100" t="inlineStr">
        <is>
          <t>Jumeirah Baccalaureate</t>
        </is>
      </c>
      <c r="Q100" t="inlineStr">
        <is>
          <t>Valiant Clinic</t>
        </is>
      </c>
      <c r="R100" t="inlineStr">
        <is>
          <t>City Walk</t>
        </is>
      </c>
      <c r="S100" t="inlineStr">
        <is>
          <t>Al Wasl / SZR</t>
        </is>
      </c>
      <c r="T100" t="inlineStr">
        <is>
          <t>5</t>
        </is>
      </c>
      <c r="U100" t="inlineStr">
        <is>
          <t>15</t>
        </is>
      </c>
      <c r="V100" t="inlineStr">
        <is>
          <t>15</t>
        </is>
      </c>
      <c r="W100" t="inlineStr">
        <is>
          <t>35</t>
        </is>
      </c>
      <c r="X100" t="inlineStr">
        <is>
          <t>Guild_real_estate_master.csv</t>
        </is>
      </c>
    </row>
    <row r="101">
      <c r="A101" t="n">
        <v>100</v>
      </c>
      <c r="B101" t="n">
        <v>100</v>
      </c>
      <c r="C101" t="inlineStr">
        <is>
          <t>Central Park: Erin</t>
        </is>
      </c>
      <c r="D101" t="inlineStr">
        <is>
          <t>Meraas</t>
        </is>
      </c>
      <c r="E101" t="inlineStr">
        <is>
          <t>City Walk</t>
        </is>
      </c>
      <c r="F101" t="inlineStr">
        <is>
          <t>Apartments</t>
        </is>
      </c>
      <c r="G101" t="inlineStr">
        <is>
          <t>Park / Green</t>
        </is>
      </c>
      <c r="H101" t="inlineStr">
        <is>
          <t>1.8M</t>
        </is>
      </c>
      <c r="I101" t="inlineStr">
        <is>
          <t>2300</t>
        </is>
      </c>
      <c r="J101" t="inlineStr">
        <is>
          <t>25</t>
        </is>
      </c>
      <c r="K101" t="inlineStr">
        <is>
          <t>50/50</t>
        </is>
      </c>
      <c r="L101" t="inlineStr">
        <is>
          <t>2023</t>
        </is>
      </c>
      <c r="M101" t="inlineStr">
        <is>
          <t>5.5-6.0</t>
        </is>
      </c>
      <c r="N101" t="inlineStr">
        <is>
          <t>8-10</t>
        </is>
      </c>
      <c r="O101" t="inlineStr">
        <is>
          <t>13.5-16.0</t>
        </is>
      </c>
      <c r="P101" t="inlineStr">
        <is>
          <t>Jumeirah Baccalaureate</t>
        </is>
      </c>
      <c r="Q101" t="inlineStr">
        <is>
          <t>Valiant Clinic</t>
        </is>
      </c>
      <c r="R101" t="inlineStr">
        <is>
          <t>City Walk</t>
        </is>
      </c>
      <c r="S101" t="inlineStr">
        <is>
          <t>Al Wasl / SZR</t>
        </is>
      </c>
      <c r="T101" t="inlineStr">
        <is>
          <t>5</t>
        </is>
      </c>
      <c r="U101" t="inlineStr">
        <is>
          <t>15</t>
        </is>
      </c>
      <c r="V101" t="inlineStr">
        <is>
          <t>15</t>
        </is>
      </c>
      <c r="W101" t="inlineStr">
        <is>
          <t>35</t>
        </is>
      </c>
      <c r="X101" t="inlineStr">
        <is>
          <t>Guild_real_estate_master.csv</t>
        </is>
      </c>
    </row>
    <row r="102">
      <c r="A102" t="n">
        <v>101</v>
      </c>
      <c r="B102" t="n">
        <v>101</v>
      </c>
      <c r="C102" t="inlineStr">
        <is>
          <t>City Walk Residences</t>
        </is>
      </c>
      <c r="D102" t="inlineStr">
        <is>
          <t>Meraas</t>
        </is>
      </c>
      <c r="E102" t="inlineStr">
        <is>
          <t>City Walk</t>
        </is>
      </c>
      <c r="F102" t="inlineStr">
        <is>
          <t>Apartments</t>
        </is>
      </c>
      <c r="G102" t="inlineStr">
        <is>
          <t>Urban / Luxury</t>
        </is>
      </c>
      <c r="H102" t="inlineStr">
        <is>
          <t>Resale (3M+)</t>
        </is>
      </c>
      <c r="I102" t="inlineStr">
        <is>
          <t>2500</t>
        </is>
      </c>
      <c r="J102" t="inlineStr">
        <is>
          <t>25</t>
        </is>
      </c>
      <c r="K102" t="inlineStr">
        <is>
          <t>Completed</t>
        </is>
      </c>
      <c r="L102" t="inlineStr">
        <is>
          <t>2016</t>
        </is>
      </c>
      <c r="M102" t="inlineStr">
        <is>
          <t>5.0-5.5</t>
        </is>
      </c>
      <c r="N102" t="inlineStr">
        <is>
          <t>6-8</t>
        </is>
      </c>
      <c r="O102" t="inlineStr">
        <is>
          <t>11.0-13.5</t>
        </is>
      </c>
      <c r="P102" t="inlineStr">
        <is>
          <t>Jumeirah Baccalaureate</t>
        </is>
      </c>
      <c r="Q102" t="inlineStr">
        <is>
          <t>Valiant Clinic</t>
        </is>
      </c>
      <c r="R102" t="inlineStr">
        <is>
          <t>City Walk</t>
        </is>
      </c>
      <c r="S102" t="inlineStr">
        <is>
          <t>Al Wasl / SZR</t>
        </is>
      </c>
      <c r="T102" t="inlineStr">
        <is>
          <t>5</t>
        </is>
      </c>
      <c r="U102" t="inlineStr">
        <is>
          <t>15</t>
        </is>
      </c>
      <c r="V102" t="inlineStr">
        <is>
          <t>15</t>
        </is>
      </c>
      <c r="W102" t="inlineStr">
        <is>
          <t>35</t>
        </is>
      </c>
      <c r="X102" t="inlineStr">
        <is>
          <t>Guild_real_estate_master.csv</t>
        </is>
      </c>
    </row>
    <row r="103">
      <c r="A103" t="n">
        <v>102</v>
      </c>
      <c r="B103" t="n">
        <v>102</v>
      </c>
      <c r="C103" t="inlineStr">
        <is>
          <t>Port de La Mer (Master Community)</t>
        </is>
      </c>
      <c r="D103" t="inlineStr">
        <is>
          <t>Meraas</t>
        </is>
      </c>
      <c r="E103" t="inlineStr">
        <is>
          <t>Jumeirah 1</t>
        </is>
      </c>
      <c r="F103" t="inlineStr">
        <is>
          <t>Apartments</t>
        </is>
      </c>
      <c r="G103" t="inlineStr">
        <is>
          <t>Island / Marina</t>
        </is>
      </c>
      <c r="J103" t="inlineStr">
        <is>
          <t>25</t>
        </is>
      </c>
      <c r="K103" t="inlineStr">
        <is>
          <t>Varies</t>
        </is>
      </c>
      <c r="L103" t="inlineStr">
        <is>
          <t>Ongoing</t>
        </is>
      </c>
      <c r="M103" t="inlineStr">
        <is>
          <t>5.5-6.5</t>
        </is>
      </c>
      <c r="N103" t="inlineStr">
        <is>
          <t>8-12</t>
        </is>
      </c>
      <c r="O103" t="inlineStr">
        <is>
          <t>13.5-18.5</t>
        </is>
      </c>
      <c r="P103" t="inlineStr">
        <is>
          <t>Jumeirah Baccalaureate</t>
        </is>
      </c>
      <c r="Q103" t="inlineStr">
        <is>
          <t>American Hospital (Clinic)</t>
        </is>
      </c>
      <c r="R103" t="inlineStr">
        <is>
          <t>La Mer</t>
        </is>
      </c>
      <c r="S103" t="inlineStr">
        <is>
          <t>Jumeirah St / D94</t>
        </is>
      </c>
      <c r="T103" t="inlineStr">
        <is>
          <t>15</t>
        </is>
      </c>
      <c r="U103" t="inlineStr">
        <is>
          <t>25</t>
        </is>
      </c>
      <c r="V103" t="inlineStr">
        <is>
          <t>15</t>
        </is>
      </c>
      <c r="W103" t="inlineStr">
        <is>
          <t>40</t>
        </is>
      </c>
      <c r="X103" t="inlineStr">
        <is>
          <t>Guild_real_estate_master.csv</t>
        </is>
      </c>
    </row>
    <row r="104">
      <c r="A104" t="n">
        <v>103</v>
      </c>
      <c r="B104" t="n">
        <v>103</v>
      </c>
      <c r="C104" t="inlineStr">
        <is>
          <t>La Sirène</t>
        </is>
      </c>
      <c r="D104" t="inlineStr">
        <is>
          <t>Meraas</t>
        </is>
      </c>
      <c r="E104" t="inlineStr">
        <is>
          <t>Port de La Mer</t>
        </is>
      </c>
      <c r="F104" t="inlineStr">
        <is>
          <t>Apartments</t>
        </is>
      </c>
      <c r="G104" t="inlineStr">
        <is>
          <t>Waterfront</t>
        </is>
      </c>
      <c r="H104" t="inlineStr">
        <is>
          <t>1.8M</t>
        </is>
      </c>
      <c r="I104" t="inlineStr">
        <is>
          <t>2100</t>
        </is>
      </c>
      <c r="J104" t="inlineStr">
        <is>
          <t>25</t>
        </is>
      </c>
      <c r="K104" t="inlineStr">
        <is>
          <t>50/50</t>
        </is>
      </c>
      <c r="L104" t="inlineStr">
        <is>
          <t>2021</t>
        </is>
      </c>
      <c r="M104" t="inlineStr">
        <is>
          <t>5.5-6.0</t>
        </is>
      </c>
      <c r="N104" t="inlineStr">
        <is>
          <t>8-10</t>
        </is>
      </c>
      <c r="O104" t="inlineStr">
        <is>
          <t>13.5-16.0</t>
        </is>
      </c>
      <c r="P104" t="inlineStr">
        <is>
          <t>Jumeirah Baccalaureate</t>
        </is>
      </c>
      <c r="Q104" t="inlineStr">
        <is>
          <t>American Hospital (Clinic)</t>
        </is>
      </c>
      <c r="R104" t="inlineStr">
        <is>
          <t>La Mer</t>
        </is>
      </c>
      <c r="S104" t="inlineStr">
        <is>
          <t>Jumeirah St / D94</t>
        </is>
      </c>
      <c r="T104" t="inlineStr">
        <is>
          <t>15</t>
        </is>
      </c>
      <c r="U104" t="inlineStr">
        <is>
          <t>25</t>
        </is>
      </c>
      <c r="V104" t="inlineStr">
        <is>
          <t>15</t>
        </is>
      </c>
      <c r="W104" t="inlineStr">
        <is>
          <t>40</t>
        </is>
      </c>
      <c r="X104" t="inlineStr">
        <is>
          <t>Guild_real_estate_master.csv</t>
        </is>
      </c>
    </row>
    <row r="105">
      <c r="A105" t="n">
        <v>104</v>
      </c>
      <c r="B105" t="n">
        <v>104</v>
      </c>
      <c r="C105" t="inlineStr">
        <is>
          <t>La Voile</t>
        </is>
      </c>
      <c r="D105" t="inlineStr">
        <is>
          <t>Meraas</t>
        </is>
      </c>
      <c r="E105" t="inlineStr">
        <is>
          <t>Port de La Mer</t>
        </is>
      </c>
      <c r="F105" t="inlineStr">
        <is>
          <t>Apartments</t>
        </is>
      </c>
      <c r="G105" t="inlineStr">
        <is>
          <t>Waterfront</t>
        </is>
      </c>
      <c r="H105" t="inlineStr">
        <is>
          <t>Resale</t>
        </is>
      </c>
      <c r="I105" t="inlineStr">
        <is>
          <t>2000</t>
        </is>
      </c>
      <c r="J105" t="inlineStr">
        <is>
          <t>25</t>
        </is>
      </c>
      <c r="K105" t="inlineStr">
        <is>
          <t>Completed</t>
        </is>
      </c>
      <c r="L105" t="inlineStr">
        <is>
          <t>2019</t>
        </is>
      </c>
      <c r="M105" t="inlineStr">
        <is>
          <t>6.0-6.5</t>
        </is>
      </c>
      <c r="N105" t="inlineStr">
        <is>
          <t>6-8</t>
        </is>
      </c>
      <c r="O105" t="inlineStr">
        <is>
          <t>12.0-14.5</t>
        </is>
      </c>
      <c r="P105" t="inlineStr">
        <is>
          <t>Jumeirah Baccalaureate</t>
        </is>
      </c>
      <c r="Q105" t="inlineStr">
        <is>
          <t>American Hospital (Clinic)</t>
        </is>
      </c>
      <c r="R105" t="inlineStr">
        <is>
          <t>La Mer</t>
        </is>
      </c>
      <c r="S105" t="inlineStr">
        <is>
          <t>Jumeirah St / D94</t>
        </is>
      </c>
      <c r="T105" t="inlineStr">
        <is>
          <t>15</t>
        </is>
      </c>
      <c r="U105" t="inlineStr">
        <is>
          <t>25</t>
        </is>
      </c>
      <c r="V105" t="inlineStr">
        <is>
          <t>15</t>
        </is>
      </c>
      <c r="W105" t="inlineStr">
        <is>
          <t>40</t>
        </is>
      </c>
      <c r="X105" t="inlineStr">
        <is>
          <t>Guild_real_estate_master.csv</t>
        </is>
      </c>
    </row>
    <row r="106">
      <c r="A106" t="n">
        <v>105</v>
      </c>
      <c r="B106" t="n">
        <v>105</v>
      </c>
      <c r="C106" t="inlineStr">
        <is>
          <t>La Rive</t>
        </is>
      </c>
      <c r="D106" t="inlineStr">
        <is>
          <t>Meraas</t>
        </is>
      </c>
      <c r="E106" t="inlineStr">
        <is>
          <t>Port de La Mer</t>
        </is>
      </c>
      <c r="F106" t="inlineStr">
        <is>
          <t>Apartments</t>
        </is>
      </c>
      <c r="G106" t="inlineStr">
        <is>
          <t>Waterfront</t>
        </is>
      </c>
      <c r="H106" t="inlineStr">
        <is>
          <t>Resale</t>
        </is>
      </c>
      <c r="I106" t="inlineStr">
        <is>
          <t>2000</t>
        </is>
      </c>
      <c r="J106" t="inlineStr">
        <is>
          <t>25</t>
        </is>
      </c>
      <c r="K106" t="inlineStr">
        <is>
          <t>Completed</t>
        </is>
      </c>
      <c r="L106" t="inlineStr">
        <is>
          <t>2019</t>
        </is>
      </c>
      <c r="M106" t="inlineStr">
        <is>
          <t>6.0-6.5</t>
        </is>
      </c>
      <c r="N106" t="inlineStr">
        <is>
          <t>6-8</t>
        </is>
      </c>
      <c r="O106" t="inlineStr">
        <is>
          <t>12.0-14.5</t>
        </is>
      </c>
      <c r="P106" t="inlineStr">
        <is>
          <t>Jumeirah Baccalaureate</t>
        </is>
      </c>
      <c r="Q106" t="inlineStr">
        <is>
          <t>American Hospital (Clinic)</t>
        </is>
      </c>
      <c r="R106" t="inlineStr">
        <is>
          <t>La Mer</t>
        </is>
      </c>
      <c r="S106" t="inlineStr">
        <is>
          <t>Jumeirah St / D94</t>
        </is>
      </c>
      <c r="T106" t="inlineStr">
        <is>
          <t>15</t>
        </is>
      </c>
      <c r="U106" t="inlineStr">
        <is>
          <t>25</t>
        </is>
      </c>
      <c r="V106" t="inlineStr">
        <is>
          <t>15</t>
        </is>
      </c>
      <c r="W106" t="inlineStr">
        <is>
          <t>40</t>
        </is>
      </c>
      <c r="X106" t="inlineStr">
        <is>
          <t>Guild_real_estate_master.csv</t>
        </is>
      </c>
    </row>
    <row r="107">
      <c r="A107" t="n">
        <v>106</v>
      </c>
      <c r="B107" t="n">
        <v>106</v>
      </c>
      <c r="C107" t="inlineStr">
        <is>
          <t>Le Pont</t>
        </is>
      </c>
      <c r="D107" t="inlineStr">
        <is>
          <t>Meraas</t>
        </is>
      </c>
      <c r="E107" t="inlineStr">
        <is>
          <t>Port de La Mer</t>
        </is>
      </c>
      <c r="F107" t="inlineStr">
        <is>
          <t>Apartments</t>
        </is>
      </c>
      <c r="G107" t="inlineStr">
        <is>
          <t>Waterfront</t>
        </is>
      </c>
      <c r="H107" t="inlineStr">
        <is>
          <t>Resale</t>
        </is>
      </c>
      <c r="I107" t="inlineStr">
        <is>
          <t>2000</t>
        </is>
      </c>
      <c r="J107" t="inlineStr">
        <is>
          <t>25</t>
        </is>
      </c>
      <c r="K107" t="inlineStr">
        <is>
          <t>Completed</t>
        </is>
      </c>
      <c r="L107" t="inlineStr">
        <is>
          <t>2019</t>
        </is>
      </c>
      <c r="M107" t="inlineStr">
        <is>
          <t>6.0-6.5</t>
        </is>
      </c>
      <c r="N107" t="inlineStr">
        <is>
          <t>6-8</t>
        </is>
      </c>
      <c r="O107" t="inlineStr">
        <is>
          <t>12.0-14.5</t>
        </is>
      </c>
      <c r="P107" t="inlineStr">
        <is>
          <t>Jumeirah Baccalaureate</t>
        </is>
      </c>
      <c r="Q107" t="inlineStr">
        <is>
          <t>American Hospital (Clinic)</t>
        </is>
      </c>
      <c r="R107" t="inlineStr">
        <is>
          <t>La Mer</t>
        </is>
      </c>
      <c r="S107" t="inlineStr">
        <is>
          <t>Jumeirah St / D94</t>
        </is>
      </c>
      <c r="T107" t="inlineStr">
        <is>
          <t>15</t>
        </is>
      </c>
      <c r="U107" t="inlineStr">
        <is>
          <t>25</t>
        </is>
      </c>
      <c r="V107" t="inlineStr">
        <is>
          <t>15</t>
        </is>
      </c>
      <c r="W107" t="inlineStr">
        <is>
          <t>40</t>
        </is>
      </c>
      <c r="X107" t="inlineStr">
        <is>
          <t>Guild_real_estate_master.csv</t>
        </is>
      </c>
    </row>
    <row r="108">
      <c r="A108" t="n">
        <v>107</v>
      </c>
      <c r="B108" t="n">
        <v>107</v>
      </c>
      <c r="C108" t="inlineStr">
        <is>
          <t>La Cote</t>
        </is>
      </c>
      <c r="D108" t="inlineStr">
        <is>
          <t>Meraas</t>
        </is>
      </c>
      <c r="E108" t="inlineStr">
        <is>
          <t>Port de La Mer</t>
        </is>
      </c>
      <c r="F108" t="inlineStr">
        <is>
          <t>Apartments</t>
        </is>
      </c>
      <c r="G108" t="inlineStr">
        <is>
          <t>Waterfront</t>
        </is>
      </c>
      <c r="H108" t="inlineStr">
        <is>
          <t>Resale</t>
        </is>
      </c>
      <c r="I108" t="inlineStr">
        <is>
          <t>1900</t>
        </is>
      </c>
      <c r="J108" t="inlineStr">
        <is>
          <t>25</t>
        </is>
      </c>
      <c r="K108" t="inlineStr">
        <is>
          <t>Completed</t>
        </is>
      </c>
      <c r="L108" t="inlineStr">
        <is>
          <t>2018</t>
        </is>
      </c>
      <c r="M108" t="inlineStr">
        <is>
          <t>6.0-6.5</t>
        </is>
      </c>
      <c r="N108" t="inlineStr">
        <is>
          <t>6-8</t>
        </is>
      </c>
      <c r="O108" t="inlineStr">
        <is>
          <t>12.0-14.5</t>
        </is>
      </c>
      <c r="P108" t="inlineStr">
        <is>
          <t>Jumeirah Baccalaureate</t>
        </is>
      </c>
      <c r="Q108" t="inlineStr">
        <is>
          <t>American Hospital (Clinic)</t>
        </is>
      </c>
      <c r="R108" t="inlineStr">
        <is>
          <t>La Mer</t>
        </is>
      </c>
      <c r="S108" t="inlineStr">
        <is>
          <t>Jumeirah St / D94</t>
        </is>
      </c>
      <c r="T108" t="inlineStr">
        <is>
          <t>15</t>
        </is>
      </c>
      <c r="U108" t="inlineStr">
        <is>
          <t>25</t>
        </is>
      </c>
      <c r="V108" t="inlineStr">
        <is>
          <t>15</t>
        </is>
      </c>
      <c r="W108" t="inlineStr">
        <is>
          <t>40</t>
        </is>
      </c>
      <c r="X108" t="inlineStr">
        <is>
          <t>Guild_real_estate_master.csv</t>
        </is>
      </c>
    </row>
    <row r="109">
      <c r="A109" t="n">
        <v>108</v>
      </c>
      <c r="B109" t="n">
        <v>108</v>
      </c>
      <c r="C109" t="inlineStr">
        <is>
          <t>Sur La Mer</t>
        </is>
      </c>
      <c r="D109" t="inlineStr">
        <is>
          <t>Meraas</t>
        </is>
      </c>
      <c r="E109" t="inlineStr">
        <is>
          <t>Port de La Mer</t>
        </is>
      </c>
      <c r="F109" t="inlineStr">
        <is>
          <t>Townhouses</t>
        </is>
      </c>
      <c r="G109" t="inlineStr">
        <is>
          <t>Waterfront</t>
        </is>
      </c>
      <c r="H109" t="inlineStr">
        <is>
          <t>5.5M</t>
        </is>
      </c>
      <c r="I109" t="inlineStr">
        <is>
          <t>2200</t>
        </is>
      </c>
      <c r="J109" t="inlineStr">
        <is>
          <t>20</t>
        </is>
      </c>
      <c r="K109" t="inlineStr">
        <is>
          <t>50/50</t>
        </is>
      </c>
      <c r="L109" t="inlineStr">
        <is>
          <t>2019</t>
        </is>
      </c>
      <c r="M109" t="inlineStr">
        <is>
          <t>4.5-5.0</t>
        </is>
      </c>
      <c r="N109" t="inlineStr">
        <is>
          <t>8-10</t>
        </is>
      </c>
      <c r="O109" t="inlineStr">
        <is>
          <t>12.5-15.0</t>
        </is>
      </c>
      <c r="P109" t="inlineStr">
        <is>
          <t>Jumeirah Baccalaureate</t>
        </is>
      </c>
      <c r="Q109" t="inlineStr">
        <is>
          <t>American Hospital (Clinic)</t>
        </is>
      </c>
      <c r="R109" t="inlineStr">
        <is>
          <t>La Mer</t>
        </is>
      </c>
      <c r="S109" t="inlineStr">
        <is>
          <t>Jumeirah St / D94</t>
        </is>
      </c>
      <c r="T109" t="inlineStr">
        <is>
          <t>15</t>
        </is>
      </c>
      <c r="U109" t="inlineStr">
        <is>
          <t>25</t>
        </is>
      </c>
      <c r="V109" t="inlineStr">
        <is>
          <t>15</t>
        </is>
      </c>
      <c r="W109" t="inlineStr">
        <is>
          <t>40</t>
        </is>
      </c>
      <c r="X109" t="inlineStr">
        <is>
          <t>Guild_real_estate_master.csv</t>
        </is>
      </c>
    </row>
    <row r="110">
      <c r="A110" t="n">
        <v>109</v>
      </c>
      <c r="B110" t="n">
        <v>109</v>
      </c>
      <c r="C110" t="inlineStr">
        <is>
          <t>Madinat Jumeirah Living</t>
        </is>
      </c>
      <c r="D110" t="inlineStr">
        <is>
          <t>Meraas</t>
        </is>
      </c>
      <c r="E110" t="inlineStr">
        <is>
          <t>Umm Suqeim (Burj Al Arab)</t>
        </is>
      </c>
      <c r="F110" t="inlineStr">
        <is>
          <t>Apartments</t>
        </is>
      </c>
      <c r="G110" t="inlineStr">
        <is>
          <t>Luxury / Traditional</t>
        </is>
      </c>
      <c r="J110" t="inlineStr">
        <is>
          <t>25</t>
        </is>
      </c>
      <c r="K110" t="inlineStr">
        <is>
          <t>Varies</t>
        </is>
      </c>
      <c r="L110" t="inlineStr">
        <is>
          <t>Ongoing</t>
        </is>
      </c>
      <c r="M110" t="inlineStr">
        <is>
          <t>5.0-6.0</t>
        </is>
      </c>
      <c r="N110" t="inlineStr">
        <is>
          <t>9-12</t>
        </is>
      </c>
      <c r="O110" t="inlineStr">
        <is>
          <t>14.0-18.0</t>
        </is>
      </c>
      <c r="P110" t="inlineStr">
        <is>
          <t>Kings' School Dubai</t>
        </is>
      </c>
      <c r="Q110" t="inlineStr">
        <is>
          <t>Saudi German Hospital</t>
        </is>
      </c>
      <c r="R110" t="inlineStr">
        <is>
          <t>Mall of Emirates</t>
        </is>
      </c>
      <c r="S110" t="inlineStr">
        <is>
          <t>Umm Suqeim St</t>
        </is>
      </c>
      <c r="T110" t="inlineStr">
        <is>
          <t>15</t>
        </is>
      </c>
      <c r="U110" t="inlineStr">
        <is>
          <t>10</t>
        </is>
      </c>
      <c r="V110" t="inlineStr">
        <is>
          <t>25</t>
        </is>
      </c>
      <c r="W110" t="inlineStr">
        <is>
          <t>30</t>
        </is>
      </c>
      <c r="X110" t="inlineStr">
        <is>
          <t>Guild_real_estate_master.csv</t>
        </is>
      </c>
    </row>
    <row r="111">
      <c r="A111" t="n">
        <v>110</v>
      </c>
      <c r="B111" t="n">
        <v>110</v>
      </c>
      <c r="C111" t="inlineStr">
        <is>
          <t>Riwa</t>
        </is>
      </c>
      <c r="D111" t="inlineStr">
        <is>
          <t>Meraas</t>
        </is>
      </c>
      <c r="E111" t="inlineStr">
        <is>
          <t>Madinat Jumeirah Living</t>
        </is>
      </c>
      <c r="F111" t="inlineStr">
        <is>
          <t>Apartments</t>
        </is>
      </c>
      <c r="G111" t="inlineStr">
        <is>
          <t>Luxury / View</t>
        </is>
      </c>
      <c r="H111" t="inlineStr">
        <is>
          <t>2.1M</t>
        </is>
      </c>
      <c r="I111" t="inlineStr">
        <is>
          <t>2800</t>
        </is>
      </c>
      <c r="J111" t="inlineStr">
        <is>
          <t>25</t>
        </is>
      </c>
      <c r="K111" t="inlineStr">
        <is>
          <t>70/30</t>
        </is>
      </c>
      <c r="L111" t="inlineStr">
        <is>
          <t>2024</t>
        </is>
      </c>
      <c r="M111" t="inlineStr">
        <is>
          <t>5.0-5.5</t>
        </is>
      </c>
      <c r="N111" t="inlineStr">
        <is>
          <t>9-12</t>
        </is>
      </c>
      <c r="O111" t="inlineStr">
        <is>
          <t>14.0-17.5</t>
        </is>
      </c>
      <c r="P111" t="inlineStr">
        <is>
          <t>Kings' School Dubai</t>
        </is>
      </c>
      <c r="Q111" t="inlineStr">
        <is>
          <t>Saudi German Hospital</t>
        </is>
      </c>
      <c r="R111" t="inlineStr">
        <is>
          <t>Mall of Emirates</t>
        </is>
      </c>
      <c r="S111" t="inlineStr">
        <is>
          <t>Umm Suqeim St</t>
        </is>
      </c>
      <c r="T111" t="inlineStr">
        <is>
          <t>15</t>
        </is>
      </c>
      <c r="U111" t="inlineStr">
        <is>
          <t>10</t>
        </is>
      </c>
      <c r="V111" t="inlineStr">
        <is>
          <t>25</t>
        </is>
      </c>
      <c r="W111" t="inlineStr">
        <is>
          <t>30</t>
        </is>
      </c>
      <c r="X111" t="inlineStr">
        <is>
          <t>Guild_real_estate_master.csv</t>
        </is>
      </c>
    </row>
    <row r="112">
      <c r="A112" t="n">
        <v>111</v>
      </c>
      <c r="B112" t="n">
        <v>111</v>
      </c>
      <c r="C112" t="inlineStr">
        <is>
          <t>Jadeel</t>
        </is>
      </c>
      <c r="D112" t="inlineStr">
        <is>
          <t>Meraas</t>
        </is>
      </c>
      <c r="E112" t="inlineStr">
        <is>
          <t>Madinat Jumeirah Living</t>
        </is>
      </c>
      <c r="F112" t="inlineStr">
        <is>
          <t>Apartments</t>
        </is>
      </c>
      <c r="G112" t="inlineStr">
        <is>
          <t>Luxury / View</t>
        </is>
      </c>
      <c r="H112" t="inlineStr">
        <is>
          <t>1.9M</t>
        </is>
      </c>
      <c r="I112" t="inlineStr">
        <is>
          <t>2600</t>
        </is>
      </c>
      <c r="J112" t="inlineStr">
        <is>
          <t>25</t>
        </is>
      </c>
      <c r="K112" t="inlineStr">
        <is>
          <t>50/50</t>
        </is>
      </c>
      <c r="L112" t="inlineStr">
        <is>
          <t>2022</t>
        </is>
      </c>
      <c r="M112" t="inlineStr">
        <is>
          <t>5.5-6.0</t>
        </is>
      </c>
      <c r="N112" t="inlineStr">
        <is>
          <t>8-10</t>
        </is>
      </c>
      <c r="O112" t="inlineStr">
        <is>
          <t>13.5-16.0</t>
        </is>
      </c>
      <c r="P112" t="inlineStr">
        <is>
          <t>Kings' School Dubai</t>
        </is>
      </c>
      <c r="Q112" t="inlineStr">
        <is>
          <t>Saudi German Hospital</t>
        </is>
      </c>
      <c r="R112" t="inlineStr">
        <is>
          <t>Mall of Emirates</t>
        </is>
      </c>
      <c r="S112" t="inlineStr">
        <is>
          <t>Umm Suqeim St</t>
        </is>
      </c>
      <c r="T112" t="inlineStr">
        <is>
          <t>15</t>
        </is>
      </c>
      <c r="U112" t="inlineStr">
        <is>
          <t>10</t>
        </is>
      </c>
      <c r="V112" t="inlineStr">
        <is>
          <t>25</t>
        </is>
      </c>
      <c r="W112" t="inlineStr">
        <is>
          <t>30</t>
        </is>
      </c>
      <c r="X112" t="inlineStr">
        <is>
          <t>Guild_real_estate_master.csv</t>
        </is>
      </c>
    </row>
    <row r="113">
      <c r="A113" t="n">
        <v>112</v>
      </c>
      <c r="B113" t="n">
        <v>112</v>
      </c>
      <c r="C113" t="inlineStr">
        <is>
          <t>Lamaa</t>
        </is>
      </c>
      <c r="D113" t="inlineStr">
        <is>
          <t>Meraas</t>
        </is>
      </c>
      <c r="E113" t="inlineStr">
        <is>
          <t>Madinat Jumeirah Living</t>
        </is>
      </c>
      <c r="F113" t="inlineStr">
        <is>
          <t>Apartments</t>
        </is>
      </c>
      <c r="G113" t="inlineStr">
        <is>
          <t>Luxury / View</t>
        </is>
      </c>
      <c r="H113" t="inlineStr">
        <is>
          <t>2.0M</t>
        </is>
      </c>
      <c r="I113" t="inlineStr">
        <is>
          <t>2700</t>
        </is>
      </c>
      <c r="J113" t="inlineStr">
        <is>
          <t>25</t>
        </is>
      </c>
      <c r="K113" t="inlineStr">
        <is>
          <t>50/50</t>
        </is>
      </c>
      <c r="L113" t="inlineStr">
        <is>
          <t>2022</t>
        </is>
      </c>
      <c r="M113" t="inlineStr">
        <is>
          <t>5.5-6.0</t>
        </is>
      </c>
      <c r="N113" t="inlineStr">
        <is>
          <t>8-10</t>
        </is>
      </c>
      <c r="O113" t="inlineStr">
        <is>
          <t>13.5-16.0</t>
        </is>
      </c>
      <c r="P113" t="inlineStr">
        <is>
          <t>Kings' School Dubai</t>
        </is>
      </c>
      <c r="Q113" t="inlineStr">
        <is>
          <t>Saudi German Hospital</t>
        </is>
      </c>
      <c r="R113" t="inlineStr">
        <is>
          <t>Mall of Emirates</t>
        </is>
      </c>
      <c r="S113" t="inlineStr">
        <is>
          <t>Umm Suqeim St</t>
        </is>
      </c>
      <c r="T113" t="inlineStr">
        <is>
          <t>15</t>
        </is>
      </c>
      <c r="U113" t="inlineStr">
        <is>
          <t>10</t>
        </is>
      </c>
      <c r="V113" t="inlineStr">
        <is>
          <t>25</t>
        </is>
      </c>
      <c r="W113" t="inlineStr">
        <is>
          <t>30</t>
        </is>
      </c>
      <c r="X113" t="inlineStr">
        <is>
          <t>Guild_real_estate_master.csv</t>
        </is>
      </c>
    </row>
    <row r="114">
      <c r="A114" t="n">
        <v>113</v>
      </c>
      <c r="B114" t="n">
        <v>113</v>
      </c>
      <c r="C114" t="inlineStr">
        <is>
          <t>Jomana</t>
        </is>
      </c>
      <c r="D114" t="inlineStr">
        <is>
          <t>Meraas</t>
        </is>
      </c>
      <c r="E114" t="inlineStr">
        <is>
          <t>Madinat Jumeirah Living</t>
        </is>
      </c>
      <c r="F114" t="inlineStr">
        <is>
          <t>Apartments</t>
        </is>
      </c>
      <c r="G114" t="inlineStr">
        <is>
          <t>Luxury / View</t>
        </is>
      </c>
      <c r="H114" t="inlineStr">
        <is>
          <t>2.1M</t>
        </is>
      </c>
      <c r="I114" t="inlineStr">
        <is>
          <t>2800</t>
        </is>
      </c>
      <c r="J114" t="inlineStr">
        <is>
          <t>25</t>
        </is>
      </c>
      <c r="K114" t="inlineStr">
        <is>
          <t>70/30</t>
        </is>
      </c>
      <c r="L114" t="inlineStr">
        <is>
          <t>2023</t>
        </is>
      </c>
      <c r="M114" t="inlineStr">
        <is>
          <t>5.0-5.5</t>
        </is>
      </c>
      <c r="N114" t="inlineStr">
        <is>
          <t>8-10</t>
        </is>
      </c>
      <c r="O114" t="inlineStr">
        <is>
          <t>13.0-15.5</t>
        </is>
      </c>
      <c r="P114" t="inlineStr">
        <is>
          <t>Kings' School Dubai</t>
        </is>
      </c>
      <c r="Q114" t="inlineStr">
        <is>
          <t>Saudi German Hospital</t>
        </is>
      </c>
      <c r="R114" t="inlineStr">
        <is>
          <t>Mall of Emirates</t>
        </is>
      </c>
      <c r="S114" t="inlineStr">
        <is>
          <t>Umm Suqeim St</t>
        </is>
      </c>
      <c r="T114" t="inlineStr">
        <is>
          <t>15</t>
        </is>
      </c>
      <c r="U114" t="inlineStr">
        <is>
          <t>10</t>
        </is>
      </c>
      <c r="V114" t="inlineStr">
        <is>
          <t>25</t>
        </is>
      </c>
      <c r="W114" t="inlineStr">
        <is>
          <t>30</t>
        </is>
      </c>
      <c r="X114" t="inlineStr">
        <is>
          <t>Guild_real_estate_master.csv</t>
        </is>
      </c>
    </row>
    <row r="115">
      <c r="A115" t="n">
        <v>114</v>
      </c>
      <c r="B115" t="n">
        <v>114</v>
      </c>
      <c r="C115" t="inlineStr">
        <is>
          <t>Rahaal</t>
        </is>
      </c>
      <c r="D115" t="inlineStr">
        <is>
          <t>Meraas</t>
        </is>
      </c>
      <c r="E115" t="inlineStr">
        <is>
          <t>Madinat Jumeirah Living</t>
        </is>
      </c>
      <c r="F115" t="inlineStr">
        <is>
          <t>Apartments</t>
        </is>
      </c>
      <c r="G115" t="inlineStr">
        <is>
          <t>Luxury / View</t>
        </is>
      </c>
      <c r="H115" t="inlineStr">
        <is>
          <t>Resale (2.2M+)</t>
        </is>
      </c>
      <c r="I115" t="inlineStr">
        <is>
          <t>2500</t>
        </is>
      </c>
      <c r="J115" t="inlineStr">
        <is>
          <t>25</t>
        </is>
      </c>
      <c r="K115" t="inlineStr">
        <is>
          <t>Completed</t>
        </is>
      </c>
      <c r="L115" t="inlineStr">
        <is>
          <t>2019</t>
        </is>
      </c>
      <c r="M115" t="inlineStr">
        <is>
          <t>5.5-6.0</t>
        </is>
      </c>
      <c r="N115" t="inlineStr">
        <is>
          <t>6-8</t>
        </is>
      </c>
      <c r="O115" t="inlineStr">
        <is>
          <t>11.5-14.0</t>
        </is>
      </c>
      <c r="P115" t="inlineStr">
        <is>
          <t>Kings' School Dubai</t>
        </is>
      </c>
      <c r="Q115" t="inlineStr">
        <is>
          <t>Saudi German Hospital</t>
        </is>
      </c>
      <c r="R115" t="inlineStr">
        <is>
          <t>Mall of Emirates</t>
        </is>
      </c>
      <c r="S115" t="inlineStr">
        <is>
          <t>Umm Suqeim St</t>
        </is>
      </c>
      <c r="T115" t="inlineStr">
        <is>
          <t>15</t>
        </is>
      </c>
      <c r="U115" t="inlineStr">
        <is>
          <t>10</t>
        </is>
      </c>
      <c r="V115" t="inlineStr">
        <is>
          <t>25</t>
        </is>
      </c>
      <c r="W115" t="inlineStr">
        <is>
          <t>30</t>
        </is>
      </c>
      <c r="X115" t="inlineStr">
        <is>
          <t>Guild_real_estate_master.csv</t>
        </is>
      </c>
    </row>
    <row r="116">
      <c r="A116" t="n">
        <v>115</v>
      </c>
      <c r="B116" t="n">
        <v>115</v>
      </c>
      <c r="C116" t="inlineStr">
        <is>
          <t>Asayel</t>
        </is>
      </c>
      <c r="D116" t="inlineStr">
        <is>
          <t>Meraas</t>
        </is>
      </c>
      <c r="E116" t="inlineStr">
        <is>
          <t>Madinat Jumeirah Living</t>
        </is>
      </c>
      <c r="F116" t="inlineStr">
        <is>
          <t>Apartments</t>
        </is>
      </c>
      <c r="G116" t="inlineStr">
        <is>
          <t>Luxury / View</t>
        </is>
      </c>
      <c r="H116" t="inlineStr">
        <is>
          <t>Resale (2.2M+)</t>
        </is>
      </c>
      <c r="I116" t="inlineStr">
        <is>
          <t>2500</t>
        </is>
      </c>
      <c r="J116" t="inlineStr">
        <is>
          <t>25</t>
        </is>
      </c>
      <c r="K116" t="inlineStr">
        <is>
          <t>Completed</t>
        </is>
      </c>
      <c r="L116" t="inlineStr">
        <is>
          <t>2020</t>
        </is>
      </c>
      <c r="M116" t="inlineStr">
        <is>
          <t>5.5-6.0</t>
        </is>
      </c>
      <c r="N116" t="inlineStr">
        <is>
          <t>6-8</t>
        </is>
      </c>
      <c r="O116" t="inlineStr">
        <is>
          <t>11.5-14.0</t>
        </is>
      </c>
      <c r="P116" t="inlineStr">
        <is>
          <t>Kings' School Dubai</t>
        </is>
      </c>
      <c r="Q116" t="inlineStr">
        <is>
          <t>Saudi German Hospital</t>
        </is>
      </c>
      <c r="R116" t="inlineStr">
        <is>
          <t>Mall of Emirates</t>
        </is>
      </c>
      <c r="S116" t="inlineStr">
        <is>
          <t>Umm Suqeim St</t>
        </is>
      </c>
      <c r="T116" t="inlineStr">
        <is>
          <t>15</t>
        </is>
      </c>
      <c r="U116" t="inlineStr">
        <is>
          <t>10</t>
        </is>
      </c>
      <c r="V116" t="inlineStr">
        <is>
          <t>25</t>
        </is>
      </c>
      <c r="W116" t="inlineStr">
        <is>
          <t>30</t>
        </is>
      </c>
      <c r="X116" t="inlineStr">
        <is>
          <t>Guild_real_estate_master.csv</t>
        </is>
      </c>
    </row>
    <row r="117">
      <c r="A117" t="n">
        <v>116</v>
      </c>
      <c r="B117" t="n">
        <v>116</v>
      </c>
      <c r="C117" t="inlineStr">
        <is>
          <t>The Acres Phase 1</t>
        </is>
      </c>
      <c r="D117" t="inlineStr">
        <is>
          <t>Meraas</t>
        </is>
      </c>
      <c r="E117" t="inlineStr">
        <is>
          <t>Dubailand / Plantation</t>
        </is>
      </c>
      <c r="F117" t="inlineStr">
        <is>
          <t>Villas</t>
        </is>
      </c>
      <c r="G117" t="inlineStr">
        <is>
          <t>Nature / Eco</t>
        </is>
      </c>
      <c r="H117" t="inlineStr">
        <is>
          <t>5.5M</t>
        </is>
      </c>
      <c r="I117" t="inlineStr">
        <is>
          <t>1500</t>
        </is>
      </c>
      <c r="J117" t="inlineStr">
        <is>
          <t>18</t>
        </is>
      </c>
      <c r="K117" t="inlineStr">
        <is>
          <t>65/35</t>
        </is>
      </c>
      <c r="L117" t="inlineStr">
        <is>
          <t>2024</t>
        </is>
      </c>
      <c r="M117" t="inlineStr">
        <is>
          <t>5.0-5.5</t>
        </is>
      </c>
      <c r="N117" t="inlineStr">
        <is>
          <t>10-15</t>
        </is>
      </c>
      <c r="O117" t="inlineStr">
        <is>
          <t>15.0-20.5</t>
        </is>
      </c>
      <c r="P117" t="inlineStr">
        <is>
          <t>GEMS Winchester</t>
        </is>
      </c>
      <c r="Q117" t="inlineStr">
        <is>
          <t>Fakeeh University Hosp</t>
        </is>
      </c>
      <c r="R117" t="inlineStr">
        <is>
          <t>Dubai Outlet Mall</t>
        </is>
      </c>
      <c r="S117" t="inlineStr">
        <is>
          <t>E611 / Al Ain Rd</t>
        </is>
      </c>
      <c r="T117" t="inlineStr">
        <is>
          <t>20</t>
        </is>
      </c>
      <c r="U117" t="inlineStr">
        <is>
          <t>25</t>
        </is>
      </c>
      <c r="V117" t="inlineStr">
        <is>
          <t>25</t>
        </is>
      </c>
      <c r="W117" t="inlineStr">
        <is>
          <t>30</t>
        </is>
      </c>
      <c r="X117" t="inlineStr">
        <is>
          <t>Guild_real_estate_master.csv</t>
        </is>
      </c>
    </row>
    <row r="118">
      <c r="A118" t="n">
        <v>117</v>
      </c>
      <c r="B118" t="n">
        <v>117</v>
      </c>
      <c r="C118" t="inlineStr">
        <is>
          <t>The Acres Phase 2</t>
        </is>
      </c>
      <c r="D118" t="inlineStr">
        <is>
          <t>Meraas</t>
        </is>
      </c>
      <c r="E118" t="inlineStr">
        <is>
          <t>Dubailand / Plantation</t>
        </is>
      </c>
      <c r="F118" t="inlineStr">
        <is>
          <t>Villas</t>
        </is>
      </c>
      <c r="G118" t="inlineStr">
        <is>
          <t>Nature / Eco</t>
        </is>
      </c>
      <c r="H118" t="inlineStr">
        <is>
          <t>6.0M</t>
        </is>
      </c>
      <c r="I118" t="inlineStr">
        <is>
          <t>1550</t>
        </is>
      </c>
      <c r="J118" t="inlineStr">
        <is>
          <t>18</t>
        </is>
      </c>
      <c r="K118" t="inlineStr">
        <is>
          <t>65/35</t>
        </is>
      </c>
      <c r="L118" t="inlineStr">
        <is>
          <t>2024</t>
        </is>
      </c>
      <c r="M118" t="inlineStr">
        <is>
          <t>5.0-5.5</t>
        </is>
      </c>
      <c r="N118" t="inlineStr">
        <is>
          <t>10-15</t>
        </is>
      </c>
      <c r="O118" t="inlineStr">
        <is>
          <t>15.0-20.5</t>
        </is>
      </c>
      <c r="P118" t="inlineStr">
        <is>
          <t>GEMS Winchester</t>
        </is>
      </c>
      <c r="Q118" t="inlineStr">
        <is>
          <t>Fakeeh University Hosp</t>
        </is>
      </c>
      <c r="R118" t="inlineStr">
        <is>
          <t>Dubai Outlet Mall</t>
        </is>
      </c>
      <c r="S118" t="inlineStr">
        <is>
          <t>E611 / Al Ain Rd</t>
        </is>
      </c>
      <c r="T118" t="inlineStr">
        <is>
          <t>20</t>
        </is>
      </c>
      <c r="U118" t="inlineStr">
        <is>
          <t>25</t>
        </is>
      </c>
      <c r="V118" t="inlineStr">
        <is>
          <t>25</t>
        </is>
      </c>
      <c r="W118" t="inlineStr">
        <is>
          <t>30</t>
        </is>
      </c>
      <c r="X118" t="inlineStr">
        <is>
          <t>Guild_real_estate_master.csv</t>
        </is>
      </c>
    </row>
    <row r="119">
      <c r="A119" t="n">
        <v>118</v>
      </c>
      <c r="B119" t="n">
        <v>118</v>
      </c>
      <c r="C119" t="inlineStr">
        <is>
          <t>Nad Al Sheba Gardens Ph 1</t>
        </is>
      </c>
      <c r="D119" t="inlineStr">
        <is>
          <t>Meraas</t>
        </is>
      </c>
      <c r="E119" t="inlineStr">
        <is>
          <t>Nad Al Sheba</t>
        </is>
      </c>
      <c r="F119" t="inlineStr">
        <is>
          <t>Townhouses &amp; Villas</t>
        </is>
      </c>
      <c r="G119" t="inlineStr">
        <is>
          <t>Gated / Design</t>
        </is>
      </c>
      <c r="H119" t="inlineStr">
        <is>
          <t>3.2M</t>
        </is>
      </c>
      <c r="I119" t="inlineStr">
        <is>
          <t>1400</t>
        </is>
      </c>
      <c r="J119" t="inlineStr">
        <is>
          <t>15</t>
        </is>
      </c>
      <c r="K119" t="inlineStr">
        <is>
          <t>50/50</t>
        </is>
      </c>
      <c r="L119" t="inlineStr">
        <is>
          <t>2022</t>
        </is>
      </c>
      <c r="M119" t="inlineStr">
        <is>
          <t>6.0-6.5</t>
        </is>
      </c>
      <c r="N119" t="inlineStr">
        <is>
          <t>8-10</t>
        </is>
      </c>
      <c r="O119" t="inlineStr">
        <is>
          <t>14.0-16.5</t>
        </is>
      </c>
      <c r="P119" t="inlineStr">
        <is>
          <t>Repton School</t>
        </is>
      </c>
      <c r="Q119" t="inlineStr">
        <is>
          <t>Nad Al Sheba Health</t>
        </is>
      </c>
      <c r="R119" t="inlineStr">
        <is>
          <t>Meydan One (Planned)</t>
        </is>
      </c>
      <c r="S119" t="inlineStr">
        <is>
          <t>Al Ain Rd E66</t>
        </is>
      </c>
      <c r="T119" t="inlineStr">
        <is>
          <t>15</t>
        </is>
      </c>
      <c r="U119" t="inlineStr">
        <is>
          <t>20</t>
        </is>
      </c>
      <c r="V119" t="inlineStr">
        <is>
          <t>20</t>
        </is>
      </c>
      <c r="W119" t="inlineStr">
        <is>
          <t>30</t>
        </is>
      </c>
      <c r="X119" t="inlineStr">
        <is>
          <t>Guild_real_estate_master.csv</t>
        </is>
      </c>
    </row>
    <row r="120">
      <c r="A120" t="n">
        <v>119</v>
      </c>
      <c r="B120" t="n">
        <v>119</v>
      </c>
      <c r="C120" t="inlineStr">
        <is>
          <t>Nad Al Sheba Gardens Ph 2</t>
        </is>
      </c>
      <c r="D120" t="inlineStr">
        <is>
          <t>Meraas</t>
        </is>
      </c>
      <c r="E120" t="inlineStr">
        <is>
          <t>Nad Al Sheba</t>
        </is>
      </c>
      <c r="F120" t="inlineStr">
        <is>
          <t>Townhouses &amp; Villas</t>
        </is>
      </c>
      <c r="G120" t="inlineStr">
        <is>
          <t>Gated / Design</t>
        </is>
      </c>
      <c r="H120" t="inlineStr">
        <is>
          <t>3.4M</t>
        </is>
      </c>
      <c r="I120" t="inlineStr">
        <is>
          <t>1450</t>
        </is>
      </c>
      <c r="J120" t="inlineStr">
        <is>
          <t>15</t>
        </is>
      </c>
      <c r="K120" t="inlineStr">
        <is>
          <t>50/50</t>
        </is>
      </c>
      <c r="L120" t="inlineStr">
        <is>
          <t>2022</t>
        </is>
      </c>
      <c r="M120" t="inlineStr">
        <is>
          <t>6.0-6.5</t>
        </is>
      </c>
      <c r="N120" t="inlineStr">
        <is>
          <t>8-10</t>
        </is>
      </c>
      <c r="O120" t="inlineStr">
        <is>
          <t>14.0-16.5</t>
        </is>
      </c>
      <c r="P120" t="inlineStr">
        <is>
          <t>Repton School</t>
        </is>
      </c>
      <c r="Q120" t="inlineStr">
        <is>
          <t>Nad Al Sheba Health</t>
        </is>
      </c>
      <c r="R120" t="inlineStr">
        <is>
          <t>Meydan One (Planned)</t>
        </is>
      </c>
      <c r="S120" t="inlineStr">
        <is>
          <t>Al Ain Rd E66</t>
        </is>
      </c>
      <c r="T120" t="inlineStr">
        <is>
          <t>15</t>
        </is>
      </c>
      <c r="U120" t="inlineStr">
        <is>
          <t>20</t>
        </is>
      </c>
      <c r="V120" t="inlineStr">
        <is>
          <t>20</t>
        </is>
      </c>
      <c r="W120" t="inlineStr">
        <is>
          <t>30</t>
        </is>
      </c>
      <c r="X120" t="inlineStr">
        <is>
          <t>Guild_real_estate_master.csv</t>
        </is>
      </c>
    </row>
    <row r="121">
      <c r="A121" t="n">
        <v>120</v>
      </c>
      <c r="B121" t="n">
        <v>120</v>
      </c>
      <c r="C121" t="inlineStr">
        <is>
          <t>Nad Al Sheba Gardens Ph 3</t>
        </is>
      </c>
      <c r="D121" t="inlineStr">
        <is>
          <t>Meraas</t>
        </is>
      </c>
      <c r="E121" t="inlineStr">
        <is>
          <t>Nad Al Sheba</t>
        </is>
      </c>
      <c r="F121" t="inlineStr">
        <is>
          <t>Townhouses &amp; Villas</t>
        </is>
      </c>
      <c r="G121" t="inlineStr">
        <is>
          <t>Gated / Design</t>
        </is>
      </c>
      <c r="H121" t="inlineStr">
        <is>
          <t>3.5M</t>
        </is>
      </c>
      <c r="I121" t="inlineStr">
        <is>
          <t>1500</t>
        </is>
      </c>
      <c r="J121" t="inlineStr">
        <is>
          <t>15</t>
        </is>
      </c>
      <c r="K121" t="inlineStr">
        <is>
          <t>50/50</t>
        </is>
      </c>
      <c r="L121" t="inlineStr">
        <is>
          <t>2023</t>
        </is>
      </c>
      <c r="M121" t="inlineStr">
        <is>
          <t>6.0-6.5</t>
        </is>
      </c>
      <c r="N121" t="inlineStr">
        <is>
          <t>8-10</t>
        </is>
      </c>
      <c r="O121" t="inlineStr">
        <is>
          <t>14.0-16.5</t>
        </is>
      </c>
      <c r="P121" t="inlineStr">
        <is>
          <t>Repton School</t>
        </is>
      </c>
      <c r="Q121" t="inlineStr">
        <is>
          <t>Nad Al Sheba Health</t>
        </is>
      </c>
      <c r="R121" t="inlineStr">
        <is>
          <t>Meydan One (Planned)</t>
        </is>
      </c>
      <c r="S121" t="inlineStr">
        <is>
          <t>Al Ain Rd E66</t>
        </is>
      </c>
      <c r="T121" t="inlineStr">
        <is>
          <t>15</t>
        </is>
      </c>
      <c r="U121" t="inlineStr">
        <is>
          <t>20</t>
        </is>
      </c>
      <c r="V121" t="inlineStr">
        <is>
          <t>20</t>
        </is>
      </c>
      <c r="W121" t="inlineStr">
        <is>
          <t>30</t>
        </is>
      </c>
      <c r="X121" t="inlineStr">
        <is>
          <t>Guild_real_estate_master.csv</t>
        </is>
      </c>
    </row>
    <row r="122">
      <c r="A122" t="n">
        <v>121</v>
      </c>
      <c r="B122" t="n">
        <v>121</v>
      </c>
      <c r="C122" t="inlineStr">
        <is>
          <t>Nad Al Sheba Gardens Ph 4</t>
        </is>
      </c>
      <c r="D122" t="inlineStr">
        <is>
          <t>Meraas</t>
        </is>
      </c>
      <c r="E122" t="inlineStr">
        <is>
          <t>Nad Al Sheba</t>
        </is>
      </c>
      <c r="F122" t="inlineStr">
        <is>
          <t>Townhouses &amp; Villas</t>
        </is>
      </c>
      <c r="G122" t="inlineStr">
        <is>
          <t>Gated / Design</t>
        </is>
      </c>
      <c r="H122" t="inlineStr">
        <is>
          <t>3.8M</t>
        </is>
      </c>
      <c r="I122" t="inlineStr">
        <is>
          <t>1600</t>
        </is>
      </c>
      <c r="J122" t="inlineStr">
        <is>
          <t>15</t>
        </is>
      </c>
      <c r="K122" t="inlineStr">
        <is>
          <t>60/40</t>
        </is>
      </c>
      <c r="L122" t="inlineStr">
        <is>
          <t>2023</t>
        </is>
      </c>
      <c r="M122" t="inlineStr">
        <is>
          <t>5.5-6.0</t>
        </is>
      </c>
      <c r="N122" t="inlineStr">
        <is>
          <t>8-10</t>
        </is>
      </c>
      <c r="O122" t="inlineStr">
        <is>
          <t>13.5-16.0</t>
        </is>
      </c>
      <c r="P122" t="inlineStr">
        <is>
          <t>Repton School</t>
        </is>
      </c>
      <c r="Q122" t="inlineStr">
        <is>
          <t>Nad Al Sheba Health</t>
        </is>
      </c>
      <c r="R122" t="inlineStr">
        <is>
          <t>Meydan One (Planned)</t>
        </is>
      </c>
      <c r="S122" t="inlineStr">
        <is>
          <t>Al Ain Rd E66</t>
        </is>
      </c>
      <c r="T122" t="inlineStr">
        <is>
          <t>15</t>
        </is>
      </c>
      <c r="U122" t="inlineStr">
        <is>
          <t>20</t>
        </is>
      </c>
      <c r="V122" t="inlineStr">
        <is>
          <t>20</t>
        </is>
      </c>
      <c r="W122" t="inlineStr">
        <is>
          <t>30</t>
        </is>
      </c>
      <c r="X122" t="inlineStr">
        <is>
          <t>Guild_real_estate_master.csv</t>
        </is>
      </c>
    </row>
    <row r="123">
      <c r="A123" t="n">
        <v>122</v>
      </c>
      <c r="B123" t="n">
        <v>122</v>
      </c>
      <c r="C123" t="inlineStr">
        <is>
          <t>Nad Al Sheba Gardens Ph 5</t>
        </is>
      </c>
      <c r="D123" t="inlineStr">
        <is>
          <t>Meraas</t>
        </is>
      </c>
      <c r="E123" t="inlineStr">
        <is>
          <t>Nad Al Sheba</t>
        </is>
      </c>
      <c r="F123" t="inlineStr">
        <is>
          <t>Townhouses &amp; Villas</t>
        </is>
      </c>
      <c r="G123" t="inlineStr">
        <is>
          <t>Gated / Design</t>
        </is>
      </c>
      <c r="H123" t="inlineStr">
        <is>
          <t>4.1M</t>
        </is>
      </c>
      <c r="I123" t="inlineStr">
        <is>
          <t>1700</t>
        </is>
      </c>
      <c r="J123" t="inlineStr">
        <is>
          <t>15</t>
        </is>
      </c>
      <c r="K123" t="inlineStr">
        <is>
          <t>60/40</t>
        </is>
      </c>
      <c r="L123" t="inlineStr">
        <is>
          <t>2024</t>
        </is>
      </c>
      <c r="M123" t="inlineStr">
        <is>
          <t>5.5-6.0</t>
        </is>
      </c>
      <c r="N123" t="inlineStr">
        <is>
          <t>8-10</t>
        </is>
      </c>
      <c r="O123" t="inlineStr">
        <is>
          <t>13.5-16.0</t>
        </is>
      </c>
      <c r="P123" t="inlineStr">
        <is>
          <t>Repton School</t>
        </is>
      </c>
      <c r="Q123" t="inlineStr">
        <is>
          <t>Nad Al Sheba Health</t>
        </is>
      </c>
      <c r="R123" t="inlineStr">
        <is>
          <t>Meydan One (Planned)</t>
        </is>
      </c>
      <c r="S123" t="inlineStr">
        <is>
          <t>Al Ain Rd E66</t>
        </is>
      </c>
      <c r="T123" t="inlineStr">
        <is>
          <t>15</t>
        </is>
      </c>
      <c r="U123" t="inlineStr">
        <is>
          <t>20</t>
        </is>
      </c>
      <c r="V123" t="inlineStr">
        <is>
          <t>20</t>
        </is>
      </c>
      <c r="W123" t="inlineStr">
        <is>
          <t>30</t>
        </is>
      </c>
      <c r="X123" t="inlineStr">
        <is>
          <t>Guild_real_estate_master.csv</t>
        </is>
      </c>
    </row>
    <row r="124">
      <c r="A124" t="n">
        <v>123</v>
      </c>
      <c r="B124" t="n">
        <v>123</v>
      </c>
      <c r="C124" t="inlineStr">
        <is>
          <t>Nad Al Sheba Gardens Ph 6</t>
        </is>
      </c>
      <c r="D124" t="inlineStr">
        <is>
          <t>Meraas</t>
        </is>
      </c>
      <c r="E124" t="inlineStr">
        <is>
          <t>Nad Al Sheba</t>
        </is>
      </c>
      <c r="F124" t="inlineStr">
        <is>
          <t>Townhouses &amp; Villas</t>
        </is>
      </c>
      <c r="G124" t="inlineStr">
        <is>
          <t>Gated / Design</t>
        </is>
      </c>
      <c r="H124" t="inlineStr">
        <is>
          <t>4.2M</t>
        </is>
      </c>
      <c r="I124" t="inlineStr">
        <is>
          <t>1750</t>
        </is>
      </c>
      <c r="J124" t="inlineStr">
        <is>
          <t>15</t>
        </is>
      </c>
      <c r="K124" t="inlineStr">
        <is>
          <t>60/40</t>
        </is>
      </c>
      <c r="L124" t="inlineStr">
        <is>
          <t>2024</t>
        </is>
      </c>
      <c r="M124" t="inlineStr">
        <is>
          <t>5.5-6.0</t>
        </is>
      </c>
      <c r="N124" t="inlineStr">
        <is>
          <t>8-10</t>
        </is>
      </c>
      <c r="O124" t="inlineStr">
        <is>
          <t>13.5-16.0</t>
        </is>
      </c>
      <c r="P124" t="inlineStr">
        <is>
          <t>Repton School</t>
        </is>
      </c>
      <c r="Q124" t="inlineStr">
        <is>
          <t>Nad Al Sheba Health</t>
        </is>
      </c>
      <c r="R124" t="inlineStr">
        <is>
          <t>Meydan One (Planned)</t>
        </is>
      </c>
      <c r="S124" t="inlineStr">
        <is>
          <t>Al Ain Rd E66</t>
        </is>
      </c>
      <c r="T124" t="inlineStr">
        <is>
          <t>15</t>
        </is>
      </c>
      <c r="U124" t="inlineStr">
        <is>
          <t>20</t>
        </is>
      </c>
      <c r="V124" t="inlineStr">
        <is>
          <t>20</t>
        </is>
      </c>
      <c r="W124" t="inlineStr">
        <is>
          <t>30</t>
        </is>
      </c>
      <c r="X124" t="inlineStr">
        <is>
          <t>Guild_real_estate_master.csv</t>
        </is>
      </c>
    </row>
    <row r="125">
      <c r="A125" t="n">
        <v>124</v>
      </c>
      <c r="B125" t="n">
        <v>124</v>
      </c>
      <c r="C125" t="inlineStr">
        <is>
          <t>Cherrywoods</t>
        </is>
      </c>
      <c r="D125" t="inlineStr">
        <is>
          <t>Meraas</t>
        </is>
      </c>
      <c r="E125" t="inlineStr">
        <is>
          <t>Dubailand (Al Qudra)</t>
        </is>
      </c>
      <c r="F125" t="inlineStr">
        <is>
          <t>Townhouses</t>
        </is>
      </c>
      <c r="G125" t="inlineStr">
        <is>
          <t>Gated</t>
        </is>
      </c>
      <c r="H125" t="inlineStr">
        <is>
          <t>Resale (2.2M+)</t>
        </is>
      </c>
      <c r="I125" t="inlineStr">
        <is>
          <t>1100</t>
        </is>
      </c>
      <c r="J125" t="inlineStr">
        <is>
          <t>12</t>
        </is>
      </c>
      <c r="K125" t="inlineStr">
        <is>
          <t>Completed</t>
        </is>
      </c>
      <c r="L125" t="inlineStr">
        <is>
          <t>2019</t>
        </is>
      </c>
      <c r="M125" t="inlineStr">
        <is>
          <t>6.5-7.0</t>
        </is>
      </c>
      <c r="N125" t="inlineStr">
        <is>
          <t>6-8</t>
        </is>
      </c>
      <c r="O125" t="inlineStr">
        <is>
          <t>12.5-15.0</t>
        </is>
      </c>
      <c r="P125" t="inlineStr">
        <is>
          <t>Ranches Primary</t>
        </is>
      </c>
      <c r="Q125" t="inlineStr">
        <is>
          <t>King's College Hospital</t>
        </is>
      </c>
      <c r="R125" t="inlineStr">
        <is>
          <t>Dubai Hills Mall</t>
        </is>
      </c>
      <c r="S125" t="inlineStr">
        <is>
          <t>Al Qudra Rd</t>
        </is>
      </c>
      <c r="T125" t="inlineStr">
        <is>
          <t>25</t>
        </is>
      </c>
      <c r="U125" t="inlineStr">
        <is>
          <t>20</t>
        </is>
      </c>
      <c r="V125" t="inlineStr">
        <is>
          <t>30</t>
        </is>
      </c>
      <c r="W125" t="inlineStr">
        <is>
          <t>25</t>
        </is>
      </c>
      <c r="X125" t="inlineStr">
        <is>
          <t>Guild_real_estate_master.csv</t>
        </is>
      </c>
    </row>
    <row r="126">
      <c r="A126" t="n">
        <v>125</v>
      </c>
      <c r="B126" t="n">
        <v>125</v>
      </c>
      <c r="C126" t="inlineStr">
        <is>
          <t>Bluewaters Bay</t>
        </is>
      </c>
      <c r="D126" t="inlineStr">
        <is>
          <t>Meraas</t>
        </is>
      </c>
      <c r="E126" t="inlineStr">
        <is>
          <t>Bluewaters Island</t>
        </is>
      </c>
      <c r="F126" t="inlineStr">
        <is>
          <t>Apartments</t>
        </is>
      </c>
      <c r="G126" t="inlineStr">
        <is>
          <t>Waterfront / Wheel</t>
        </is>
      </c>
      <c r="H126" t="inlineStr">
        <is>
          <t>3.2M</t>
        </is>
      </c>
      <c r="I126" t="inlineStr">
        <is>
          <t>3500</t>
        </is>
      </c>
      <c r="J126" t="inlineStr">
        <is>
          <t>30</t>
        </is>
      </c>
      <c r="K126" t="inlineStr">
        <is>
          <t>60/40</t>
        </is>
      </c>
      <c r="L126" t="inlineStr">
        <is>
          <t>2023</t>
        </is>
      </c>
      <c r="M126" t="inlineStr">
        <is>
          <t>4.5-5.0</t>
        </is>
      </c>
      <c r="N126" t="inlineStr">
        <is>
          <t>9-12</t>
        </is>
      </c>
      <c r="O126" t="inlineStr">
        <is>
          <t>13.5-17.0</t>
        </is>
      </c>
      <c r="P126" t="inlineStr">
        <is>
          <t>Dubai British School</t>
        </is>
      </c>
      <c r="Q126" t="inlineStr">
        <is>
          <t>Emirates Hospital</t>
        </is>
      </c>
      <c r="R126" t="inlineStr">
        <is>
          <t>Dubai Marina Mall</t>
        </is>
      </c>
      <c r="S126" t="inlineStr">
        <is>
          <t>Sheikh Zayed E11</t>
        </is>
      </c>
      <c r="T126" t="inlineStr">
        <is>
          <t>20</t>
        </is>
      </c>
      <c r="U126" t="inlineStr">
        <is>
          <t>5</t>
        </is>
      </c>
      <c r="V126" t="inlineStr">
        <is>
          <t>25</t>
        </is>
      </c>
      <c r="W126" t="inlineStr">
        <is>
          <t>30</t>
        </is>
      </c>
      <c r="X126" t="inlineStr">
        <is>
          <t>Guild_real_estate_master.csv</t>
        </is>
      </c>
    </row>
    <row r="127">
      <c r="A127" t="n">
        <v>126</v>
      </c>
      <c r="B127" t="n">
        <v>126</v>
      </c>
      <c r="C127" t="inlineStr">
        <is>
          <t>Bluewaters Residences</t>
        </is>
      </c>
      <c r="D127" t="inlineStr">
        <is>
          <t>Meraas</t>
        </is>
      </c>
      <c r="E127" t="inlineStr">
        <is>
          <t>Bluewaters Island</t>
        </is>
      </c>
      <c r="F127" t="inlineStr">
        <is>
          <t>Apartments</t>
        </is>
      </c>
      <c r="G127" t="inlineStr">
        <is>
          <t>Waterfront / Wheel</t>
        </is>
      </c>
      <c r="H127" t="inlineStr">
        <is>
          <t>Resale (4M+)</t>
        </is>
      </c>
      <c r="I127" t="inlineStr">
        <is>
          <t>3500</t>
        </is>
      </c>
      <c r="J127" t="inlineStr">
        <is>
          <t>30</t>
        </is>
      </c>
      <c r="K127" t="inlineStr">
        <is>
          <t>Completed</t>
        </is>
      </c>
      <c r="L127" t="inlineStr">
        <is>
          <t>2018</t>
        </is>
      </c>
      <c r="M127" t="inlineStr">
        <is>
          <t>4.5-5.0</t>
        </is>
      </c>
      <c r="N127" t="inlineStr">
        <is>
          <t>7-9</t>
        </is>
      </c>
      <c r="O127" t="inlineStr">
        <is>
          <t>11.5-14.0</t>
        </is>
      </c>
      <c r="P127" t="inlineStr">
        <is>
          <t>Dubai British School</t>
        </is>
      </c>
      <c r="Q127" t="inlineStr">
        <is>
          <t>Emirates Hospital</t>
        </is>
      </c>
      <c r="R127" t="inlineStr">
        <is>
          <t>Dubai Marina Mall</t>
        </is>
      </c>
      <c r="S127" t="inlineStr">
        <is>
          <t>Sheikh Zayed E11</t>
        </is>
      </c>
      <c r="T127" t="inlineStr">
        <is>
          <t>20</t>
        </is>
      </c>
      <c r="U127" t="inlineStr">
        <is>
          <t>5</t>
        </is>
      </c>
      <c r="V127" t="inlineStr">
        <is>
          <t>25</t>
        </is>
      </c>
      <c r="W127" t="inlineStr">
        <is>
          <t>30</t>
        </is>
      </c>
      <c r="X127" t="inlineStr">
        <is>
          <t>Guild_real_estate_master.csv</t>
        </is>
      </c>
    </row>
    <row r="128">
      <c r="A128" t="n">
        <v>127</v>
      </c>
      <c r="B128" t="n">
        <v>127</v>
      </c>
      <c r="C128" t="inlineStr">
        <is>
          <t>Bulgari Resort &amp; Residences</t>
        </is>
      </c>
      <c r="D128" t="inlineStr">
        <is>
          <t>Meraas</t>
        </is>
      </c>
      <c r="E128" t="inlineStr">
        <is>
          <t>Jumeirah Bay Island</t>
        </is>
      </c>
      <c r="F128" t="inlineStr">
        <is>
          <t>Luxury Apts</t>
        </is>
      </c>
      <c r="G128" t="inlineStr">
        <is>
          <t>Ultra-Luxury</t>
        </is>
      </c>
      <c r="H128" t="inlineStr">
        <is>
          <t>Resale (15M+)</t>
        </is>
      </c>
      <c r="I128" t="inlineStr">
        <is>
          <t>7000+</t>
        </is>
      </c>
      <c r="J128" t="inlineStr">
        <is>
          <t>50+</t>
        </is>
      </c>
      <c r="K128" t="inlineStr">
        <is>
          <t>Completed</t>
        </is>
      </c>
      <c r="L128" t="inlineStr">
        <is>
          <t>2017</t>
        </is>
      </c>
      <c r="M128" t="inlineStr">
        <is>
          <t>3.0-3.5</t>
        </is>
      </c>
      <c r="N128" t="inlineStr">
        <is>
          <t>8-10</t>
        </is>
      </c>
      <c r="O128" t="inlineStr">
        <is>
          <t>11.0-13.5</t>
        </is>
      </c>
      <c r="P128" t="inlineStr">
        <is>
          <t>Jumeirah Baccalaureate</t>
        </is>
      </c>
      <c r="Q128" t="inlineStr">
        <is>
          <t>Valiant Clinic</t>
        </is>
      </c>
      <c r="R128" t="inlineStr">
        <is>
          <t>Mercato Mall</t>
        </is>
      </c>
      <c r="S128" t="inlineStr">
        <is>
          <t>Jumeirah St / D94</t>
        </is>
      </c>
      <c r="T128" t="inlineStr">
        <is>
          <t>15</t>
        </is>
      </c>
      <c r="U128" t="inlineStr">
        <is>
          <t>20</t>
        </is>
      </c>
      <c r="V128" t="inlineStr">
        <is>
          <t>20</t>
        </is>
      </c>
      <c r="W128" t="inlineStr">
        <is>
          <t>40</t>
        </is>
      </c>
      <c r="X128" t="inlineStr">
        <is>
          <t>Guild_real_estate_master.csv</t>
        </is>
      </c>
    </row>
    <row r="129">
      <c r="A129" t="n">
        <v>128</v>
      </c>
      <c r="B129" t="n">
        <v>128</v>
      </c>
      <c r="C129" t="inlineStr">
        <is>
          <t>Villa Amalfi</t>
        </is>
      </c>
      <c r="D129" t="inlineStr">
        <is>
          <t>Meraas</t>
        </is>
      </c>
      <c r="E129" t="inlineStr">
        <is>
          <t>Jumeirah Bay Island</t>
        </is>
      </c>
      <c r="F129" t="inlineStr">
        <is>
          <t>Villas</t>
        </is>
      </c>
      <c r="G129" t="inlineStr">
        <is>
          <t>Ultra-Luxury</t>
        </is>
      </c>
      <c r="H129" t="inlineStr">
        <is>
          <t>Resale (12M+)</t>
        </is>
      </c>
      <c r="I129" t="inlineStr">
        <is>
          <t>5000+</t>
        </is>
      </c>
      <c r="J129" t="inlineStr">
        <is>
          <t>25</t>
        </is>
      </c>
      <c r="K129" t="inlineStr">
        <is>
          <t>Completed</t>
        </is>
      </c>
      <c r="L129" t="inlineStr">
        <is>
          <t>2019</t>
        </is>
      </c>
      <c r="M129" t="inlineStr">
        <is>
          <t>3.5-4.0</t>
        </is>
      </c>
      <c r="N129" t="inlineStr">
        <is>
          <t>8-10</t>
        </is>
      </c>
      <c r="O129" t="inlineStr">
        <is>
          <t>11.5-14.0</t>
        </is>
      </c>
      <c r="P129" t="inlineStr">
        <is>
          <t>Jumeirah Baccalaureate</t>
        </is>
      </c>
      <c r="Q129" t="inlineStr">
        <is>
          <t>Valiant Clinic</t>
        </is>
      </c>
      <c r="R129" t="inlineStr">
        <is>
          <t>Mercato Mall</t>
        </is>
      </c>
      <c r="S129" t="inlineStr">
        <is>
          <t>Jumeirah St / D94</t>
        </is>
      </c>
      <c r="T129" t="inlineStr">
        <is>
          <t>15</t>
        </is>
      </c>
      <c r="U129" t="inlineStr">
        <is>
          <t>20</t>
        </is>
      </c>
      <c r="V129" t="inlineStr">
        <is>
          <t>20</t>
        </is>
      </c>
      <c r="W129" t="inlineStr">
        <is>
          <t>40</t>
        </is>
      </c>
      <c r="X129" t="inlineStr">
        <is>
          <t>Guild_real_estate_master.csv</t>
        </is>
      </c>
    </row>
    <row r="130">
      <c r="A130" t="n">
        <v>129</v>
      </c>
      <c r="B130" t="n">
        <v>129</v>
      </c>
      <c r="C130" t="inlineStr">
        <is>
          <t>Bulgari Lighthouse</t>
        </is>
      </c>
      <c r="D130" t="inlineStr">
        <is>
          <t>Meraas</t>
        </is>
      </c>
      <c r="E130" t="inlineStr">
        <is>
          <t>Jumeirah Bay Island</t>
        </is>
      </c>
      <c r="F130" t="inlineStr">
        <is>
          <t>Penthouses</t>
        </is>
      </c>
      <c r="G130" t="inlineStr">
        <is>
          <t>Ultra-Luxury</t>
        </is>
      </c>
      <c r="H130" t="inlineStr">
        <is>
          <t>60M+</t>
        </is>
      </c>
      <c r="I130" t="inlineStr">
        <is>
          <t>10000+</t>
        </is>
      </c>
      <c r="J130" t="inlineStr">
        <is>
          <t>50+</t>
        </is>
      </c>
      <c r="K130" t="inlineStr">
        <is>
          <t>60/40</t>
        </is>
      </c>
      <c r="L130" t="inlineStr">
        <is>
          <t>2023</t>
        </is>
      </c>
      <c r="M130" t="inlineStr">
        <is>
          <t>3.0-3.5</t>
        </is>
      </c>
      <c r="N130" t="inlineStr">
        <is>
          <t>8-10</t>
        </is>
      </c>
      <c r="O130" t="inlineStr">
        <is>
          <t>11.0-13.5</t>
        </is>
      </c>
      <c r="P130" t="inlineStr">
        <is>
          <t>Jumeirah Baccalaureate</t>
        </is>
      </c>
      <c r="Q130" t="inlineStr">
        <is>
          <t>Valiant Clinic</t>
        </is>
      </c>
      <c r="R130" t="inlineStr">
        <is>
          <t>Mercato Mall</t>
        </is>
      </c>
      <c r="S130" t="inlineStr">
        <is>
          <t>Jumeirah St / D94</t>
        </is>
      </c>
      <c r="T130" t="inlineStr">
        <is>
          <t>15</t>
        </is>
      </c>
      <c r="U130" t="inlineStr">
        <is>
          <t>20</t>
        </is>
      </c>
      <c r="V130" t="inlineStr">
        <is>
          <t>20</t>
        </is>
      </c>
      <c r="W130" t="inlineStr">
        <is>
          <t>40</t>
        </is>
      </c>
      <c r="X130" t="inlineStr">
        <is>
          <t>Guild_real_estate_master.csv</t>
        </is>
      </c>
    </row>
    <row r="131">
      <c r="A131" t="n">
        <v>130</v>
      </c>
      <c r="B131" t="n">
        <v>130</v>
      </c>
      <c r="C131" t="inlineStr">
        <is>
          <t>Mudon (Master Community)</t>
        </is>
      </c>
      <c r="D131" t="inlineStr">
        <is>
          <t>Dubai Properties</t>
        </is>
      </c>
      <c r="E131" t="inlineStr">
        <is>
          <t>Dubailand</t>
        </is>
      </c>
      <c r="F131" t="inlineStr">
        <is>
          <t>Mixed</t>
        </is>
      </c>
      <c r="G131" t="inlineStr">
        <is>
          <t>Family / Gated</t>
        </is>
      </c>
      <c r="J131" t="inlineStr">
        <is>
          <t>12</t>
        </is>
      </c>
      <c r="K131" t="inlineStr">
        <is>
          <t>Varies</t>
        </is>
      </c>
      <c r="L131" t="inlineStr">
        <is>
          <t>Ongoing</t>
        </is>
      </c>
      <c r="M131" t="inlineStr">
        <is>
          <t>6.0-6.5</t>
        </is>
      </c>
      <c r="N131" t="inlineStr">
        <is>
          <t>5-7</t>
        </is>
      </c>
      <c r="O131" t="inlineStr">
        <is>
          <t>11.0-13.5</t>
        </is>
      </c>
      <c r="P131" t="inlineStr">
        <is>
          <t>Jebel Ali School</t>
        </is>
      </c>
      <c r="Q131" t="inlineStr">
        <is>
          <t>Saudi German Hospital</t>
        </is>
      </c>
      <c r="R131" t="inlineStr">
        <is>
          <t>Mudon Community Ctr</t>
        </is>
      </c>
      <c r="S131" t="inlineStr">
        <is>
          <t>Al Qudra Rd</t>
        </is>
      </c>
      <c r="T131" t="inlineStr">
        <is>
          <t>25</t>
        </is>
      </c>
      <c r="U131" t="inlineStr">
        <is>
          <t>20</t>
        </is>
      </c>
      <c r="V131" t="inlineStr">
        <is>
          <t>30</t>
        </is>
      </c>
      <c r="W131" t="inlineStr">
        <is>
          <t>25</t>
        </is>
      </c>
      <c r="X131" t="inlineStr">
        <is>
          <t>Guild_real_estate_master.csv</t>
        </is>
      </c>
    </row>
    <row r="132">
      <c r="A132" t="n">
        <v>131</v>
      </c>
      <c r="B132" t="n">
        <v>131</v>
      </c>
      <c r="C132" t="inlineStr">
        <is>
          <t>Mudon Al Ranim Phase 1</t>
        </is>
      </c>
      <c r="D132" t="inlineStr">
        <is>
          <t>Dubai Properties</t>
        </is>
      </c>
      <c r="E132" t="inlineStr">
        <is>
          <t>Mudon</t>
        </is>
      </c>
      <c r="F132" t="inlineStr">
        <is>
          <t>Townhouses</t>
        </is>
      </c>
      <c r="G132" t="inlineStr">
        <is>
          <t>Park View</t>
        </is>
      </c>
      <c r="H132" t="inlineStr">
        <is>
          <t>2.2M</t>
        </is>
      </c>
      <c r="I132" t="inlineStr">
        <is>
          <t>1200</t>
        </is>
      </c>
      <c r="J132" t="inlineStr">
        <is>
          <t>12</t>
        </is>
      </c>
      <c r="K132" t="inlineStr">
        <is>
          <t>60/40</t>
        </is>
      </c>
      <c r="L132" t="inlineStr">
        <is>
          <t>2022</t>
        </is>
      </c>
      <c r="M132" t="inlineStr">
        <is>
          <t>6.0-6.5</t>
        </is>
      </c>
      <c r="N132" t="inlineStr">
        <is>
          <t>6-8</t>
        </is>
      </c>
      <c r="O132" t="inlineStr">
        <is>
          <t>12.0-14.5</t>
        </is>
      </c>
      <c r="P132" t="inlineStr">
        <is>
          <t>Jebel Ali School</t>
        </is>
      </c>
      <c r="Q132" t="inlineStr">
        <is>
          <t>Saudi German Hospital</t>
        </is>
      </c>
      <c r="R132" t="inlineStr">
        <is>
          <t>Mudon Community Ctr</t>
        </is>
      </c>
      <c r="S132" t="inlineStr">
        <is>
          <t>Al Qudra Rd</t>
        </is>
      </c>
      <c r="T132" t="inlineStr">
        <is>
          <t>25</t>
        </is>
      </c>
      <c r="U132" t="inlineStr">
        <is>
          <t>20</t>
        </is>
      </c>
      <c r="V132" t="inlineStr">
        <is>
          <t>30</t>
        </is>
      </c>
      <c r="W132" t="inlineStr">
        <is>
          <t>25</t>
        </is>
      </c>
      <c r="X132" t="inlineStr">
        <is>
          <t>Guild_real_estate_master.csv</t>
        </is>
      </c>
    </row>
    <row r="133">
      <c r="A133" t="n">
        <v>132</v>
      </c>
      <c r="B133" t="n">
        <v>132</v>
      </c>
      <c r="C133" t="inlineStr">
        <is>
          <t>Mudon Al Ranim Phase 2</t>
        </is>
      </c>
      <c r="D133" t="inlineStr">
        <is>
          <t>Dubai Properties</t>
        </is>
      </c>
      <c r="E133" t="inlineStr">
        <is>
          <t>Mudon</t>
        </is>
      </c>
      <c r="F133" t="inlineStr">
        <is>
          <t>Townhouses</t>
        </is>
      </c>
      <c r="G133" t="inlineStr">
        <is>
          <t>Park View</t>
        </is>
      </c>
      <c r="H133" t="inlineStr">
        <is>
          <t>2.3M</t>
        </is>
      </c>
      <c r="I133" t="inlineStr">
        <is>
          <t>1200</t>
        </is>
      </c>
      <c r="J133" t="inlineStr">
        <is>
          <t>12</t>
        </is>
      </c>
      <c r="K133" t="inlineStr">
        <is>
          <t>60/40</t>
        </is>
      </c>
      <c r="L133" t="inlineStr">
        <is>
          <t>2022</t>
        </is>
      </c>
      <c r="M133" t="inlineStr">
        <is>
          <t>6.0-6.5</t>
        </is>
      </c>
      <c r="N133" t="inlineStr">
        <is>
          <t>6-8</t>
        </is>
      </c>
      <c r="O133" t="inlineStr">
        <is>
          <t>12.0-14.5</t>
        </is>
      </c>
      <c r="P133" t="inlineStr">
        <is>
          <t>Jebel Ali School</t>
        </is>
      </c>
      <c r="Q133" t="inlineStr">
        <is>
          <t>Saudi German Hospital</t>
        </is>
      </c>
      <c r="R133" t="inlineStr">
        <is>
          <t>Mudon Community Ctr</t>
        </is>
      </c>
      <c r="S133" t="inlineStr">
        <is>
          <t>Al Qudra Rd</t>
        </is>
      </c>
      <c r="T133" t="inlineStr">
        <is>
          <t>25</t>
        </is>
      </c>
      <c r="U133" t="inlineStr">
        <is>
          <t>20</t>
        </is>
      </c>
      <c r="V133" t="inlineStr">
        <is>
          <t>30</t>
        </is>
      </c>
      <c r="W133" t="inlineStr">
        <is>
          <t>25</t>
        </is>
      </c>
      <c r="X133" t="inlineStr">
        <is>
          <t>Guild_real_estate_master.csv</t>
        </is>
      </c>
    </row>
    <row r="134">
      <c r="A134" t="n">
        <v>133</v>
      </c>
      <c r="B134" t="n">
        <v>133</v>
      </c>
      <c r="C134" t="inlineStr">
        <is>
          <t>Mudon Al Ranim Phase 3</t>
        </is>
      </c>
      <c r="D134" t="inlineStr">
        <is>
          <t>Dubai Properties</t>
        </is>
      </c>
      <c r="E134" t="inlineStr">
        <is>
          <t>Mudon</t>
        </is>
      </c>
      <c r="F134" t="inlineStr">
        <is>
          <t>Townhouses</t>
        </is>
      </c>
      <c r="G134" t="inlineStr">
        <is>
          <t>Park View</t>
        </is>
      </c>
      <c r="H134" t="inlineStr">
        <is>
          <t>2.4M</t>
        </is>
      </c>
      <c r="I134" t="inlineStr">
        <is>
          <t>1250</t>
        </is>
      </c>
      <c r="J134" t="inlineStr">
        <is>
          <t>12</t>
        </is>
      </c>
      <c r="K134" t="inlineStr">
        <is>
          <t>60/40</t>
        </is>
      </c>
      <c r="L134" t="inlineStr">
        <is>
          <t>2023</t>
        </is>
      </c>
      <c r="M134" t="inlineStr">
        <is>
          <t>6.0-6.5</t>
        </is>
      </c>
      <c r="N134" t="inlineStr">
        <is>
          <t>6-8</t>
        </is>
      </c>
      <c r="O134" t="inlineStr">
        <is>
          <t>12.0-14.5</t>
        </is>
      </c>
      <c r="P134" t="inlineStr">
        <is>
          <t>Jebel Ali School</t>
        </is>
      </c>
      <c r="Q134" t="inlineStr">
        <is>
          <t>Saudi German Hospital</t>
        </is>
      </c>
      <c r="R134" t="inlineStr">
        <is>
          <t>Mudon Community Ctr</t>
        </is>
      </c>
      <c r="S134" t="inlineStr">
        <is>
          <t>Al Qudra Rd</t>
        </is>
      </c>
      <c r="T134" t="inlineStr">
        <is>
          <t>25</t>
        </is>
      </c>
      <c r="U134" t="inlineStr">
        <is>
          <t>20</t>
        </is>
      </c>
      <c r="V134" t="inlineStr">
        <is>
          <t>30</t>
        </is>
      </c>
      <c r="W134" t="inlineStr">
        <is>
          <t>25</t>
        </is>
      </c>
      <c r="X134" t="inlineStr">
        <is>
          <t>Guild_real_estate_master.csv</t>
        </is>
      </c>
    </row>
    <row r="135">
      <c r="A135" t="n">
        <v>134</v>
      </c>
      <c r="B135" t="n">
        <v>134</v>
      </c>
      <c r="C135" t="inlineStr">
        <is>
          <t>Mudon Al Ranim Phase 4</t>
        </is>
      </c>
      <c r="D135" t="inlineStr">
        <is>
          <t>Dubai Properties</t>
        </is>
      </c>
      <c r="E135" t="inlineStr">
        <is>
          <t>Mudon</t>
        </is>
      </c>
      <c r="F135" t="inlineStr">
        <is>
          <t>Townhouses</t>
        </is>
      </c>
      <c r="G135" t="inlineStr">
        <is>
          <t>Park View</t>
        </is>
      </c>
      <c r="H135" t="inlineStr">
        <is>
          <t>2.5M</t>
        </is>
      </c>
      <c r="I135" t="inlineStr">
        <is>
          <t>1250</t>
        </is>
      </c>
      <c r="J135" t="inlineStr">
        <is>
          <t>12</t>
        </is>
      </c>
      <c r="K135" t="inlineStr">
        <is>
          <t>60/40</t>
        </is>
      </c>
      <c r="L135" t="inlineStr">
        <is>
          <t>2023</t>
        </is>
      </c>
      <c r="M135" t="inlineStr">
        <is>
          <t>6.0-6.5</t>
        </is>
      </c>
      <c r="N135" t="inlineStr">
        <is>
          <t>6-8</t>
        </is>
      </c>
      <c r="O135" t="inlineStr">
        <is>
          <t>12.0-14.5</t>
        </is>
      </c>
      <c r="P135" t="inlineStr">
        <is>
          <t>Jebel Ali School</t>
        </is>
      </c>
      <c r="Q135" t="inlineStr">
        <is>
          <t>Saudi German Hospital</t>
        </is>
      </c>
      <c r="R135" t="inlineStr">
        <is>
          <t>Mudon Community Ctr</t>
        </is>
      </c>
      <c r="S135" t="inlineStr">
        <is>
          <t>Al Qudra Rd</t>
        </is>
      </c>
      <c r="T135" t="inlineStr">
        <is>
          <t>25</t>
        </is>
      </c>
      <c r="U135" t="inlineStr">
        <is>
          <t>20</t>
        </is>
      </c>
      <c r="V135" t="inlineStr">
        <is>
          <t>30</t>
        </is>
      </c>
      <c r="W135" t="inlineStr">
        <is>
          <t>25</t>
        </is>
      </c>
      <c r="X135" t="inlineStr">
        <is>
          <t>Guild_real_estate_master.csv</t>
        </is>
      </c>
    </row>
    <row r="136">
      <c r="A136" t="n">
        <v>135</v>
      </c>
      <c r="B136" t="n">
        <v>135</v>
      </c>
      <c r="C136" t="inlineStr">
        <is>
          <t>Mudon Al Ranim Phase 5</t>
        </is>
      </c>
      <c r="D136" t="inlineStr">
        <is>
          <t>Dubai Properties</t>
        </is>
      </c>
      <c r="E136" t="inlineStr">
        <is>
          <t>Mudon</t>
        </is>
      </c>
      <c r="F136" t="inlineStr">
        <is>
          <t>Townhouses</t>
        </is>
      </c>
      <c r="G136" t="inlineStr">
        <is>
          <t>Park View</t>
        </is>
      </c>
      <c r="H136" t="inlineStr">
        <is>
          <t>2.6M</t>
        </is>
      </c>
      <c r="I136" t="inlineStr">
        <is>
          <t>1300</t>
        </is>
      </c>
      <c r="J136" t="inlineStr">
        <is>
          <t>12</t>
        </is>
      </c>
      <c r="K136" t="inlineStr">
        <is>
          <t>60/40</t>
        </is>
      </c>
      <c r="L136" t="inlineStr">
        <is>
          <t>2023</t>
        </is>
      </c>
      <c r="M136" t="inlineStr">
        <is>
          <t>6.0-6.5</t>
        </is>
      </c>
      <c r="N136" t="inlineStr">
        <is>
          <t>6-8</t>
        </is>
      </c>
      <c r="O136" t="inlineStr">
        <is>
          <t>12.0-14.5</t>
        </is>
      </c>
      <c r="P136" t="inlineStr">
        <is>
          <t>Jebel Ali School</t>
        </is>
      </c>
      <c r="Q136" t="inlineStr">
        <is>
          <t>Saudi German Hospital</t>
        </is>
      </c>
      <c r="R136" t="inlineStr">
        <is>
          <t>Mudon Community Ctr</t>
        </is>
      </c>
      <c r="S136" t="inlineStr">
        <is>
          <t>Al Qudra Rd</t>
        </is>
      </c>
      <c r="T136" t="inlineStr">
        <is>
          <t>25</t>
        </is>
      </c>
      <c r="U136" t="inlineStr">
        <is>
          <t>20</t>
        </is>
      </c>
      <c r="V136" t="inlineStr">
        <is>
          <t>30</t>
        </is>
      </c>
      <c r="W136" t="inlineStr">
        <is>
          <t>25</t>
        </is>
      </c>
      <c r="X136" t="inlineStr">
        <is>
          <t>Guild_real_estate_master.csv</t>
        </is>
      </c>
    </row>
    <row r="137">
      <c r="A137" t="n">
        <v>136</v>
      </c>
      <c r="B137" t="n">
        <v>136</v>
      </c>
      <c r="C137" t="inlineStr">
        <is>
          <t>Mudon Al Ranim Phase 6</t>
        </is>
      </c>
      <c r="D137" t="inlineStr">
        <is>
          <t>Dubai Properties</t>
        </is>
      </c>
      <c r="E137" t="inlineStr">
        <is>
          <t>Mudon</t>
        </is>
      </c>
      <c r="F137" t="inlineStr">
        <is>
          <t>Townhouses</t>
        </is>
      </c>
      <c r="G137" t="inlineStr">
        <is>
          <t>Park View</t>
        </is>
      </c>
      <c r="H137" t="inlineStr">
        <is>
          <t>2.6M</t>
        </is>
      </c>
      <c r="I137" t="inlineStr">
        <is>
          <t>1300</t>
        </is>
      </c>
      <c r="J137" t="inlineStr">
        <is>
          <t>12</t>
        </is>
      </c>
      <c r="K137" t="inlineStr">
        <is>
          <t>60/40</t>
        </is>
      </c>
      <c r="L137" t="inlineStr">
        <is>
          <t>2024</t>
        </is>
      </c>
      <c r="M137" t="inlineStr">
        <is>
          <t>6.0-6.5</t>
        </is>
      </c>
      <c r="N137" t="inlineStr">
        <is>
          <t>6-8</t>
        </is>
      </c>
      <c r="O137" t="inlineStr">
        <is>
          <t>12.0-14.5</t>
        </is>
      </c>
      <c r="P137" t="inlineStr">
        <is>
          <t>Jebel Ali School</t>
        </is>
      </c>
      <c r="Q137" t="inlineStr">
        <is>
          <t>Saudi German Hospital</t>
        </is>
      </c>
      <c r="R137" t="inlineStr">
        <is>
          <t>Mudon Community Ctr</t>
        </is>
      </c>
      <c r="S137" t="inlineStr">
        <is>
          <t>Al Qudra Rd</t>
        </is>
      </c>
      <c r="T137" t="inlineStr">
        <is>
          <t>25</t>
        </is>
      </c>
      <c r="U137" t="inlineStr">
        <is>
          <t>20</t>
        </is>
      </c>
      <c r="V137" t="inlineStr">
        <is>
          <t>30</t>
        </is>
      </c>
      <c r="W137" t="inlineStr">
        <is>
          <t>25</t>
        </is>
      </c>
      <c r="X137" t="inlineStr">
        <is>
          <t>Guild_real_estate_master.csv</t>
        </is>
      </c>
    </row>
    <row r="138">
      <c r="A138" t="n">
        <v>137</v>
      </c>
      <c r="B138" t="n">
        <v>137</v>
      </c>
      <c r="C138" t="inlineStr">
        <is>
          <t>Mudon Al Ranim Phase 7</t>
        </is>
      </c>
      <c r="D138" t="inlineStr">
        <is>
          <t>Dubai Properties</t>
        </is>
      </c>
      <c r="E138" t="inlineStr">
        <is>
          <t>Mudon</t>
        </is>
      </c>
      <c r="F138" t="inlineStr">
        <is>
          <t>Townhouses</t>
        </is>
      </c>
      <c r="G138" t="inlineStr">
        <is>
          <t>Park View</t>
        </is>
      </c>
      <c r="H138" t="inlineStr">
        <is>
          <t>2.7M</t>
        </is>
      </c>
      <c r="I138" t="inlineStr">
        <is>
          <t>1350</t>
        </is>
      </c>
      <c r="J138" t="inlineStr">
        <is>
          <t>12</t>
        </is>
      </c>
      <c r="K138" t="inlineStr">
        <is>
          <t>60/40</t>
        </is>
      </c>
      <c r="L138" t="inlineStr">
        <is>
          <t>2024</t>
        </is>
      </c>
      <c r="M138" t="inlineStr">
        <is>
          <t>6.0-6.5</t>
        </is>
      </c>
      <c r="N138" t="inlineStr">
        <is>
          <t>6-8</t>
        </is>
      </c>
      <c r="O138" t="inlineStr">
        <is>
          <t>12.0-14.5</t>
        </is>
      </c>
      <c r="P138" t="inlineStr">
        <is>
          <t>Jebel Ali School</t>
        </is>
      </c>
      <c r="Q138" t="inlineStr">
        <is>
          <t>Saudi German Hospital</t>
        </is>
      </c>
      <c r="R138" t="inlineStr">
        <is>
          <t>Mudon Community Ctr</t>
        </is>
      </c>
      <c r="S138" t="inlineStr">
        <is>
          <t>Al Qudra Rd</t>
        </is>
      </c>
      <c r="T138" t="inlineStr">
        <is>
          <t>25</t>
        </is>
      </c>
      <c r="U138" t="inlineStr">
        <is>
          <t>20</t>
        </is>
      </c>
      <c r="V138" t="inlineStr">
        <is>
          <t>30</t>
        </is>
      </c>
      <c r="W138" t="inlineStr">
        <is>
          <t>25</t>
        </is>
      </c>
      <c r="X138" t="inlineStr">
        <is>
          <t>Guild_real_estate_master.csv</t>
        </is>
      </c>
    </row>
    <row r="139">
      <c r="A139" t="n">
        <v>138</v>
      </c>
      <c r="B139" t="n">
        <v>138</v>
      </c>
      <c r="C139" t="inlineStr">
        <is>
          <t>Mudon Al Ranim Phase 8</t>
        </is>
      </c>
      <c r="D139" t="inlineStr">
        <is>
          <t>Dubai Properties</t>
        </is>
      </c>
      <c r="E139" t="inlineStr">
        <is>
          <t>Mudon</t>
        </is>
      </c>
      <c r="F139" t="inlineStr">
        <is>
          <t>Townhouses</t>
        </is>
      </c>
      <c r="G139" t="inlineStr">
        <is>
          <t>Park View</t>
        </is>
      </c>
      <c r="H139" t="inlineStr">
        <is>
          <t>2.8M</t>
        </is>
      </c>
      <c r="I139" t="inlineStr">
        <is>
          <t>1350</t>
        </is>
      </c>
      <c r="J139" t="inlineStr">
        <is>
          <t>12</t>
        </is>
      </c>
      <c r="K139" t="inlineStr">
        <is>
          <t>60/40</t>
        </is>
      </c>
      <c r="L139" t="inlineStr">
        <is>
          <t>2024</t>
        </is>
      </c>
      <c r="M139" t="inlineStr">
        <is>
          <t>6.0-6.5</t>
        </is>
      </c>
      <c r="N139" t="inlineStr">
        <is>
          <t>6-8</t>
        </is>
      </c>
      <c r="O139" t="inlineStr">
        <is>
          <t>12.0-14.5</t>
        </is>
      </c>
      <c r="P139" t="inlineStr">
        <is>
          <t>Jebel Ali School</t>
        </is>
      </c>
      <c r="Q139" t="inlineStr">
        <is>
          <t>Saudi German Hospital</t>
        </is>
      </c>
      <c r="R139" t="inlineStr">
        <is>
          <t>Mudon Community Ctr</t>
        </is>
      </c>
      <c r="S139" t="inlineStr">
        <is>
          <t>Al Qudra Rd</t>
        </is>
      </c>
      <c r="T139" t="inlineStr">
        <is>
          <t>25</t>
        </is>
      </c>
      <c r="U139" t="inlineStr">
        <is>
          <t>20</t>
        </is>
      </c>
      <c r="V139" t="inlineStr">
        <is>
          <t>30</t>
        </is>
      </c>
      <c r="W139" t="inlineStr">
        <is>
          <t>25</t>
        </is>
      </c>
      <c r="X139" t="inlineStr">
        <is>
          <t>Guild_real_estate_master.csv</t>
        </is>
      </c>
    </row>
    <row r="140">
      <c r="A140" t="n">
        <v>139</v>
      </c>
      <c r="B140" t="n">
        <v>139</v>
      </c>
      <c r="C140" t="inlineStr">
        <is>
          <t>Mudon Views</t>
        </is>
      </c>
      <c r="D140" t="inlineStr">
        <is>
          <t>Dubai Properties</t>
        </is>
      </c>
      <c r="E140" t="inlineStr">
        <is>
          <t>Mudon</t>
        </is>
      </c>
      <c r="F140" t="inlineStr">
        <is>
          <t>Apartments</t>
        </is>
      </c>
      <c r="G140" t="inlineStr">
        <is>
          <t>Golf / Park</t>
        </is>
      </c>
      <c r="H140" t="inlineStr">
        <is>
          <t>Resale (1.2M+)</t>
        </is>
      </c>
      <c r="I140" t="inlineStr">
        <is>
          <t>1100</t>
        </is>
      </c>
      <c r="J140" t="inlineStr">
        <is>
          <t>15</t>
        </is>
      </c>
      <c r="K140" t="inlineStr">
        <is>
          <t>Completed</t>
        </is>
      </c>
      <c r="L140" t="inlineStr">
        <is>
          <t>2017</t>
        </is>
      </c>
      <c r="M140" t="inlineStr">
        <is>
          <t>7.0-7.5</t>
        </is>
      </c>
      <c r="N140" t="inlineStr">
        <is>
          <t>4-6</t>
        </is>
      </c>
      <c r="O140" t="inlineStr">
        <is>
          <t>11.0-13.5</t>
        </is>
      </c>
      <c r="P140" t="inlineStr">
        <is>
          <t>Jebel Ali School</t>
        </is>
      </c>
      <c r="Q140" t="inlineStr">
        <is>
          <t>Saudi German Hospital</t>
        </is>
      </c>
      <c r="R140" t="inlineStr">
        <is>
          <t>Mudon Community Ctr</t>
        </is>
      </c>
      <c r="S140" t="inlineStr">
        <is>
          <t>Al Qudra Rd</t>
        </is>
      </c>
      <c r="T140" t="inlineStr">
        <is>
          <t>25</t>
        </is>
      </c>
      <c r="U140" t="inlineStr">
        <is>
          <t>20</t>
        </is>
      </c>
      <c r="V140" t="inlineStr">
        <is>
          <t>30</t>
        </is>
      </c>
      <c r="W140" t="inlineStr">
        <is>
          <t>25</t>
        </is>
      </c>
      <c r="X140" t="inlineStr">
        <is>
          <t>Guild_real_estate_master.csv</t>
        </is>
      </c>
    </row>
    <row r="141">
      <c r="A141" t="n">
        <v>140</v>
      </c>
      <c r="B141" t="n">
        <v>140</v>
      </c>
      <c r="C141" t="inlineStr">
        <is>
          <t>Rahat</t>
        </is>
      </c>
      <c r="D141" t="inlineStr">
        <is>
          <t>Dubai Properties</t>
        </is>
      </c>
      <c r="E141" t="inlineStr">
        <is>
          <t>Mudon</t>
        </is>
      </c>
      <c r="F141" t="inlineStr">
        <is>
          <t>Villas</t>
        </is>
      </c>
      <c r="G141" t="inlineStr">
        <is>
          <t>Gated</t>
        </is>
      </c>
      <c r="H141" t="inlineStr">
        <is>
          <t>Resale (4M+)</t>
        </is>
      </c>
      <c r="I141" t="inlineStr">
        <is>
          <t>1000</t>
        </is>
      </c>
      <c r="J141" t="inlineStr">
        <is>
          <t>12</t>
        </is>
      </c>
      <c r="K141" t="inlineStr">
        <is>
          <t>Completed</t>
        </is>
      </c>
      <c r="L141" t="inlineStr">
        <is>
          <t>2015</t>
        </is>
      </c>
      <c r="M141" t="inlineStr">
        <is>
          <t>5.5-6.0</t>
        </is>
      </c>
      <c r="N141" t="inlineStr">
        <is>
          <t>5-7</t>
        </is>
      </c>
      <c r="O141" t="inlineStr">
        <is>
          <t>10.5-13.0</t>
        </is>
      </c>
      <c r="P141" t="inlineStr">
        <is>
          <t>Jebel Ali School</t>
        </is>
      </c>
      <c r="Q141" t="inlineStr">
        <is>
          <t>Saudi German Hospital</t>
        </is>
      </c>
      <c r="R141" t="inlineStr">
        <is>
          <t>Mudon Community Ctr</t>
        </is>
      </c>
      <c r="S141" t="inlineStr">
        <is>
          <t>Al Qudra Rd</t>
        </is>
      </c>
      <c r="T141" t="inlineStr">
        <is>
          <t>25</t>
        </is>
      </c>
      <c r="U141" t="inlineStr">
        <is>
          <t>20</t>
        </is>
      </c>
      <c r="V141" t="inlineStr">
        <is>
          <t>30</t>
        </is>
      </c>
      <c r="W141" t="inlineStr">
        <is>
          <t>25</t>
        </is>
      </c>
      <c r="X141" t="inlineStr">
        <is>
          <t>Guild_real_estate_master.csv</t>
        </is>
      </c>
    </row>
    <row r="142">
      <c r="A142" t="n">
        <v>141</v>
      </c>
      <c r="B142" t="n">
        <v>141</v>
      </c>
      <c r="C142" t="inlineStr">
        <is>
          <t>Naseem</t>
        </is>
      </c>
      <c r="D142" t="inlineStr">
        <is>
          <t>Dubai Properties</t>
        </is>
      </c>
      <c r="E142" t="inlineStr">
        <is>
          <t>Mudon</t>
        </is>
      </c>
      <c r="F142" t="inlineStr">
        <is>
          <t>Townhouses</t>
        </is>
      </c>
      <c r="G142" t="inlineStr">
        <is>
          <t>Gated</t>
        </is>
      </c>
      <c r="H142" t="inlineStr">
        <is>
          <t>Resale (2.5M+)</t>
        </is>
      </c>
      <c r="I142" t="inlineStr">
        <is>
          <t>1000</t>
        </is>
      </c>
      <c r="J142" t="inlineStr">
        <is>
          <t>12</t>
        </is>
      </c>
      <c r="K142" t="inlineStr">
        <is>
          <t>Completed</t>
        </is>
      </c>
      <c r="L142" t="inlineStr">
        <is>
          <t>2016</t>
        </is>
      </c>
      <c r="M142" t="inlineStr">
        <is>
          <t>6.0-6.5</t>
        </is>
      </c>
      <c r="N142" t="inlineStr">
        <is>
          <t>5-7</t>
        </is>
      </c>
      <c r="O142" t="inlineStr">
        <is>
          <t>11.0-13.5</t>
        </is>
      </c>
      <c r="P142" t="inlineStr">
        <is>
          <t>Jebel Ali School</t>
        </is>
      </c>
      <c r="Q142" t="inlineStr">
        <is>
          <t>Saudi German Hospital</t>
        </is>
      </c>
      <c r="R142" t="inlineStr">
        <is>
          <t>Mudon Community Ctr</t>
        </is>
      </c>
      <c r="S142" t="inlineStr">
        <is>
          <t>Al Qudra Rd</t>
        </is>
      </c>
      <c r="T142" t="inlineStr">
        <is>
          <t>25</t>
        </is>
      </c>
      <c r="U142" t="inlineStr">
        <is>
          <t>20</t>
        </is>
      </c>
      <c r="V142" t="inlineStr">
        <is>
          <t>30</t>
        </is>
      </c>
      <c r="W142" t="inlineStr">
        <is>
          <t>25</t>
        </is>
      </c>
      <c r="X142" t="inlineStr">
        <is>
          <t>Guild_real_estate_master.csv</t>
        </is>
      </c>
    </row>
    <row r="143">
      <c r="A143" t="n">
        <v>142</v>
      </c>
      <c r="B143" t="n">
        <v>142</v>
      </c>
      <c r="C143" t="inlineStr">
        <is>
          <t>Villanova (Master Community)</t>
        </is>
      </c>
      <c r="D143" t="inlineStr">
        <is>
          <t>Dubai Properties</t>
        </is>
      </c>
      <c r="E143" t="inlineStr">
        <is>
          <t>Dubailand</t>
        </is>
      </c>
      <c r="F143" t="inlineStr">
        <is>
          <t>Townhouses &amp; Villas</t>
        </is>
      </c>
      <c r="G143" t="inlineStr">
        <is>
          <t>Family / Gated</t>
        </is>
      </c>
      <c r="J143" t="inlineStr">
        <is>
          <t>12</t>
        </is>
      </c>
      <c r="K143" t="inlineStr">
        <is>
          <t>Varies</t>
        </is>
      </c>
      <c r="L143" t="inlineStr">
        <is>
          <t>Ongoing</t>
        </is>
      </c>
      <c r="M143" t="inlineStr">
        <is>
          <t>6.0-6.5</t>
        </is>
      </c>
      <c r="N143" t="inlineStr">
        <is>
          <t>5-7</t>
        </is>
      </c>
      <c r="O143" t="inlineStr">
        <is>
          <t>11.0-13.5</t>
        </is>
      </c>
      <c r="P143" t="inlineStr">
        <is>
          <t>GEMS FirstPoint</t>
        </is>
      </c>
      <c r="Q143" t="inlineStr">
        <is>
          <t>Saudi German Hospital</t>
        </is>
      </c>
      <c r="R143" t="inlineStr">
        <is>
          <t>Villanova Marketplace</t>
        </is>
      </c>
      <c r="S143" t="inlineStr">
        <is>
          <t>Al Ain Rd / E611</t>
        </is>
      </c>
      <c r="T143" t="inlineStr">
        <is>
          <t>25</t>
        </is>
      </c>
      <c r="U143" t="inlineStr">
        <is>
          <t>30</t>
        </is>
      </c>
      <c r="V143" t="inlineStr">
        <is>
          <t>25</t>
        </is>
      </c>
      <c r="W143" t="inlineStr">
        <is>
          <t>30</t>
        </is>
      </c>
      <c r="X143" t="inlineStr">
        <is>
          <t>Guild_real_estate_master.csv</t>
        </is>
      </c>
    </row>
    <row r="144">
      <c r="A144" t="n">
        <v>143</v>
      </c>
      <c r="B144" t="n">
        <v>143</v>
      </c>
      <c r="C144" t="inlineStr">
        <is>
          <t>La Violeta</t>
        </is>
      </c>
      <c r="D144" t="inlineStr">
        <is>
          <t>Dubai Properties</t>
        </is>
      </c>
      <c r="E144" t="inlineStr">
        <is>
          <t>Villanova</t>
        </is>
      </c>
      <c r="F144" t="inlineStr">
        <is>
          <t>Townhouses</t>
        </is>
      </c>
      <c r="G144" t="inlineStr">
        <is>
          <t>Family</t>
        </is>
      </c>
      <c r="H144" t="inlineStr">
        <is>
          <t>1.8M</t>
        </is>
      </c>
      <c r="I144" t="inlineStr">
        <is>
          <t>1100</t>
        </is>
      </c>
      <c r="J144" t="inlineStr">
        <is>
          <t>12</t>
        </is>
      </c>
      <c r="K144" t="inlineStr">
        <is>
          <t>60/40</t>
        </is>
      </c>
      <c r="L144" t="inlineStr">
        <is>
          <t>2022</t>
        </is>
      </c>
      <c r="M144" t="inlineStr">
        <is>
          <t>6.0-6.5</t>
        </is>
      </c>
      <c r="N144" t="inlineStr">
        <is>
          <t>6-8</t>
        </is>
      </c>
      <c r="O144" t="inlineStr">
        <is>
          <t>12.0-14.5</t>
        </is>
      </c>
      <c r="P144" t="inlineStr">
        <is>
          <t>GEMS FirstPoint</t>
        </is>
      </c>
      <c r="Q144" t="inlineStr">
        <is>
          <t>Saudi German Hospital</t>
        </is>
      </c>
      <c r="R144" t="inlineStr">
        <is>
          <t>Villanova Marketplace</t>
        </is>
      </c>
      <c r="S144" t="inlineStr">
        <is>
          <t>Al Ain Rd / E611</t>
        </is>
      </c>
      <c r="T144" t="inlineStr">
        <is>
          <t>25</t>
        </is>
      </c>
      <c r="U144" t="inlineStr">
        <is>
          <t>30</t>
        </is>
      </c>
      <c r="V144" t="inlineStr">
        <is>
          <t>25</t>
        </is>
      </c>
      <c r="W144" t="inlineStr">
        <is>
          <t>30</t>
        </is>
      </c>
      <c r="X144" t="inlineStr">
        <is>
          <t>Guild_real_estate_master.csv</t>
        </is>
      </c>
    </row>
    <row r="145">
      <c r="A145" t="n">
        <v>144</v>
      </c>
      <c r="B145" t="n">
        <v>144</v>
      </c>
      <c r="C145" t="inlineStr">
        <is>
          <t>Amaranta</t>
        </is>
      </c>
      <c r="D145" t="inlineStr">
        <is>
          <t>Dubai Properties</t>
        </is>
      </c>
      <c r="E145" t="inlineStr">
        <is>
          <t>Villanova</t>
        </is>
      </c>
      <c r="F145" t="inlineStr">
        <is>
          <t>Townhouses</t>
        </is>
      </c>
      <c r="G145" t="inlineStr">
        <is>
          <t>Family</t>
        </is>
      </c>
      <c r="H145" t="inlineStr">
        <is>
          <t>Resale (1.6M+)</t>
        </is>
      </c>
      <c r="I145" t="inlineStr">
        <is>
          <t>1000</t>
        </is>
      </c>
      <c r="J145" t="inlineStr">
        <is>
          <t>12</t>
        </is>
      </c>
      <c r="K145" t="inlineStr">
        <is>
          <t>Completed</t>
        </is>
      </c>
      <c r="L145" t="inlineStr">
        <is>
          <t>2017</t>
        </is>
      </c>
      <c r="M145" t="inlineStr">
        <is>
          <t>6.5-7.0</t>
        </is>
      </c>
      <c r="N145" t="inlineStr">
        <is>
          <t>5-7</t>
        </is>
      </c>
      <c r="O145" t="inlineStr">
        <is>
          <t>11.5-14.0</t>
        </is>
      </c>
      <c r="P145" t="inlineStr">
        <is>
          <t>GEMS FirstPoint</t>
        </is>
      </c>
      <c r="Q145" t="inlineStr">
        <is>
          <t>Saudi German Hospital</t>
        </is>
      </c>
      <c r="R145" t="inlineStr">
        <is>
          <t>Villanova Marketplace</t>
        </is>
      </c>
      <c r="S145" t="inlineStr">
        <is>
          <t>Al Ain Rd / E611</t>
        </is>
      </c>
      <c r="T145" t="inlineStr">
        <is>
          <t>25</t>
        </is>
      </c>
      <c r="U145" t="inlineStr">
        <is>
          <t>30</t>
        </is>
      </c>
      <c r="V145" t="inlineStr">
        <is>
          <t>25</t>
        </is>
      </c>
      <c r="W145" t="inlineStr">
        <is>
          <t>30</t>
        </is>
      </c>
      <c r="X145" t="inlineStr">
        <is>
          <t>Guild_real_estate_master.csv</t>
        </is>
      </c>
    </row>
    <row r="146">
      <c r="A146" t="n">
        <v>145</v>
      </c>
      <c r="B146" t="n">
        <v>145</v>
      </c>
      <c r="C146" t="inlineStr">
        <is>
          <t>La Rosa Phase 1</t>
        </is>
      </c>
      <c r="D146" t="inlineStr">
        <is>
          <t>Dubai Properties</t>
        </is>
      </c>
      <c r="E146" t="inlineStr">
        <is>
          <t>Villanova</t>
        </is>
      </c>
      <c r="F146" t="inlineStr">
        <is>
          <t>Townhouses</t>
        </is>
      </c>
      <c r="G146" t="inlineStr">
        <is>
          <t>Family</t>
        </is>
      </c>
      <c r="H146" t="inlineStr">
        <is>
          <t>Resale (1.7M+)</t>
        </is>
      </c>
      <c r="I146" t="inlineStr">
        <is>
          <t>1050</t>
        </is>
      </c>
      <c r="J146" t="inlineStr">
        <is>
          <t>12</t>
        </is>
      </c>
      <c r="K146" t="inlineStr">
        <is>
          <t>Completed</t>
        </is>
      </c>
      <c r="L146" t="inlineStr">
        <is>
          <t>2019</t>
        </is>
      </c>
      <c r="M146" t="inlineStr">
        <is>
          <t>6.5-7.0</t>
        </is>
      </c>
      <c r="N146" t="inlineStr">
        <is>
          <t>5-7</t>
        </is>
      </c>
      <c r="O146" t="inlineStr">
        <is>
          <t>11.5-14.0</t>
        </is>
      </c>
      <c r="P146" t="inlineStr">
        <is>
          <t>GEMS FirstPoint</t>
        </is>
      </c>
      <c r="Q146" t="inlineStr">
        <is>
          <t>Saudi German Hospital</t>
        </is>
      </c>
      <c r="R146" t="inlineStr">
        <is>
          <t>Villanova Marketplace</t>
        </is>
      </c>
      <c r="S146" t="inlineStr">
        <is>
          <t>Al Ain Rd / E611</t>
        </is>
      </c>
      <c r="T146" t="inlineStr">
        <is>
          <t>25</t>
        </is>
      </c>
      <c r="U146" t="inlineStr">
        <is>
          <t>30</t>
        </is>
      </c>
      <c r="V146" t="inlineStr">
        <is>
          <t>25</t>
        </is>
      </c>
      <c r="W146" t="inlineStr">
        <is>
          <t>30</t>
        </is>
      </c>
      <c r="X146" t="inlineStr">
        <is>
          <t>Guild_real_estate_master.csv</t>
        </is>
      </c>
    </row>
    <row r="147">
      <c r="A147" t="n">
        <v>146</v>
      </c>
      <c r="B147" t="n">
        <v>146</v>
      </c>
      <c r="C147" t="inlineStr">
        <is>
          <t>La Rosa Phase 2</t>
        </is>
      </c>
      <c r="D147" t="inlineStr">
        <is>
          <t>Dubai Properties</t>
        </is>
      </c>
      <c r="E147" t="inlineStr">
        <is>
          <t>Villanova</t>
        </is>
      </c>
      <c r="F147" t="inlineStr">
        <is>
          <t>Townhouses</t>
        </is>
      </c>
      <c r="G147" t="inlineStr">
        <is>
          <t>Family</t>
        </is>
      </c>
      <c r="H147" t="inlineStr">
        <is>
          <t>Resale (1.75M+)</t>
        </is>
      </c>
      <c r="I147" t="inlineStr">
        <is>
          <t>1050</t>
        </is>
      </c>
      <c r="J147" t="inlineStr">
        <is>
          <t>12</t>
        </is>
      </c>
      <c r="K147" t="inlineStr">
        <is>
          <t>Completed</t>
        </is>
      </c>
      <c r="L147" t="inlineStr">
        <is>
          <t>2019</t>
        </is>
      </c>
      <c r="M147" t="inlineStr">
        <is>
          <t>6.5-7.0</t>
        </is>
      </c>
      <c r="N147" t="inlineStr">
        <is>
          <t>5-7</t>
        </is>
      </c>
      <c r="O147" t="inlineStr">
        <is>
          <t>11.5-14.0</t>
        </is>
      </c>
      <c r="P147" t="inlineStr">
        <is>
          <t>GEMS FirstPoint</t>
        </is>
      </c>
      <c r="Q147" t="inlineStr">
        <is>
          <t>Saudi German Hospital</t>
        </is>
      </c>
      <c r="R147" t="inlineStr">
        <is>
          <t>Villanova Marketplace</t>
        </is>
      </c>
      <c r="S147" t="inlineStr">
        <is>
          <t>Al Ain Rd / E611</t>
        </is>
      </c>
      <c r="T147" t="inlineStr">
        <is>
          <t>25</t>
        </is>
      </c>
      <c r="U147" t="inlineStr">
        <is>
          <t>30</t>
        </is>
      </c>
      <c r="V147" t="inlineStr">
        <is>
          <t>25</t>
        </is>
      </c>
      <c r="W147" t="inlineStr">
        <is>
          <t>30</t>
        </is>
      </c>
      <c r="X147" t="inlineStr">
        <is>
          <t>Guild_real_estate_master.csv</t>
        </is>
      </c>
    </row>
    <row r="148">
      <c r="A148" t="n">
        <v>147</v>
      </c>
      <c r="B148" t="n">
        <v>147</v>
      </c>
      <c r="C148" t="inlineStr">
        <is>
          <t>La Rosa Phase 3</t>
        </is>
      </c>
      <c r="D148" t="inlineStr">
        <is>
          <t>Dubai Properties</t>
        </is>
      </c>
      <c r="E148" t="inlineStr">
        <is>
          <t>Villanova</t>
        </is>
      </c>
      <c r="F148" t="inlineStr">
        <is>
          <t>Townhouses</t>
        </is>
      </c>
      <c r="G148" t="inlineStr">
        <is>
          <t>Family</t>
        </is>
      </c>
      <c r="H148" t="inlineStr">
        <is>
          <t>Resale (1.8M+)</t>
        </is>
      </c>
      <c r="I148" t="inlineStr">
        <is>
          <t>1050</t>
        </is>
      </c>
      <c r="J148" t="inlineStr">
        <is>
          <t>12</t>
        </is>
      </c>
      <c r="K148" t="inlineStr">
        <is>
          <t>Completed</t>
        </is>
      </c>
      <c r="L148" t="inlineStr">
        <is>
          <t>2020</t>
        </is>
      </c>
      <c r="M148" t="inlineStr">
        <is>
          <t>6.5-7.0</t>
        </is>
      </c>
      <c r="N148" t="inlineStr">
        <is>
          <t>5-7</t>
        </is>
      </c>
      <c r="O148" t="inlineStr">
        <is>
          <t>11.5-14.0</t>
        </is>
      </c>
      <c r="P148" t="inlineStr">
        <is>
          <t>GEMS FirstPoint</t>
        </is>
      </c>
      <c r="Q148" t="inlineStr">
        <is>
          <t>Saudi German Hospital</t>
        </is>
      </c>
      <c r="R148" t="inlineStr">
        <is>
          <t>Villanova Marketplace</t>
        </is>
      </c>
      <c r="S148" t="inlineStr">
        <is>
          <t>Al Ain Rd / E611</t>
        </is>
      </c>
      <c r="T148" t="inlineStr">
        <is>
          <t>25</t>
        </is>
      </c>
      <c r="U148" t="inlineStr">
        <is>
          <t>30</t>
        </is>
      </c>
      <c r="V148" t="inlineStr">
        <is>
          <t>25</t>
        </is>
      </c>
      <c r="W148" t="inlineStr">
        <is>
          <t>30</t>
        </is>
      </c>
      <c r="X148" t="inlineStr">
        <is>
          <t>Guild_real_estate_master.csv</t>
        </is>
      </c>
    </row>
    <row r="149">
      <c r="A149" t="n">
        <v>148</v>
      </c>
      <c r="B149" t="n">
        <v>148</v>
      </c>
      <c r="C149" t="inlineStr">
        <is>
          <t>La Rosa Phase 4</t>
        </is>
      </c>
      <c r="D149" t="inlineStr">
        <is>
          <t>Dubai Properties</t>
        </is>
      </c>
      <c r="E149" t="inlineStr">
        <is>
          <t>Villanova</t>
        </is>
      </c>
      <c r="F149" t="inlineStr">
        <is>
          <t>Townhouses</t>
        </is>
      </c>
      <c r="G149" t="inlineStr">
        <is>
          <t>Family</t>
        </is>
      </c>
      <c r="H149" t="inlineStr">
        <is>
          <t>Resale (1.85M+)</t>
        </is>
      </c>
      <c r="I149" t="inlineStr">
        <is>
          <t>1100</t>
        </is>
      </c>
      <c r="J149" t="inlineStr">
        <is>
          <t>12</t>
        </is>
      </c>
      <c r="K149" t="inlineStr">
        <is>
          <t>Completed</t>
        </is>
      </c>
      <c r="L149" t="inlineStr">
        <is>
          <t>2021</t>
        </is>
      </c>
      <c r="M149" t="inlineStr">
        <is>
          <t>6.5-7.0</t>
        </is>
      </c>
      <c r="N149" t="inlineStr">
        <is>
          <t>5-7</t>
        </is>
      </c>
      <c r="O149" t="inlineStr">
        <is>
          <t>11.5-14.0</t>
        </is>
      </c>
      <c r="P149" t="inlineStr">
        <is>
          <t>GEMS FirstPoint</t>
        </is>
      </c>
      <c r="Q149" t="inlineStr">
        <is>
          <t>Saudi German Hospital</t>
        </is>
      </c>
      <c r="R149" t="inlineStr">
        <is>
          <t>Villanova Marketplace</t>
        </is>
      </c>
      <c r="S149" t="inlineStr">
        <is>
          <t>Al Ain Rd / E611</t>
        </is>
      </c>
      <c r="T149" t="inlineStr">
        <is>
          <t>25</t>
        </is>
      </c>
      <c r="U149" t="inlineStr">
        <is>
          <t>30</t>
        </is>
      </c>
      <c r="V149" t="inlineStr">
        <is>
          <t>25</t>
        </is>
      </c>
      <c r="W149" t="inlineStr">
        <is>
          <t>30</t>
        </is>
      </c>
      <c r="X149" t="inlineStr">
        <is>
          <t>Guild_real_estate_master.csv</t>
        </is>
      </c>
    </row>
    <row r="150">
      <c r="A150" t="n">
        <v>149</v>
      </c>
      <c r="B150" t="n">
        <v>149</v>
      </c>
      <c r="C150" t="inlineStr">
        <is>
          <t>La Rosa Phase 5</t>
        </is>
      </c>
      <c r="D150" t="inlineStr">
        <is>
          <t>Dubai Properties</t>
        </is>
      </c>
      <c r="E150" t="inlineStr">
        <is>
          <t>Villanova</t>
        </is>
      </c>
      <c r="F150" t="inlineStr">
        <is>
          <t>Townhouses</t>
        </is>
      </c>
      <c r="G150" t="inlineStr">
        <is>
          <t>Family</t>
        </is>
      </c>
      <c r="H150" t="inlineStr">
        <is>
          <t>Resale (1.9M+)</t>
        </is>
      </c>
      <c r="I150" t="inlineStr">
        <is>
          <t>1100</t>
        </is>
      </c>
      <c r="J150" t="inlineStr">
        <is>
          <t>12</t>
        </is>
      </c>
      <c r="K150" t="inlineStr">
        <is>
          <t>Completed</t>
        </is>
      </c>
      <c r="L150" t="inlineStr">
        <is>
          <t>2021</t>
        </is>
      </c>
      <c r="M150" t="inlineStr">
        <is>
          <t>6.5-7.0</t>
        </is>
      </c>
      <c r="N150" t="inlineStr">
        <is>
          <t>5-7</t>
        </is>
      </c>
      <c r="O150" t="inlineStr">
        <is>
          <t>11.5-14.0</t>
        </is>
      </c>
      <c r="P150" t="inlineStr">
        <is>
          <t>GEMS FirstPoint</t>
        </is>
      </c>
      <c r="Q150" t="inlineStr">
        <is>
          <t>Saudi German Hospital</t>
        </is>
      </c>
      <c r="R150" t="inlineStr">
        <is>
          <t>Villanova Marketplace</t>
        </is>
      </c>
      <c r="S150" t="inlineStr">
        <is>
          <t>Al Ain Rd / E611</t>
        </is>
      </c>
      <c r="T150" t="inlineStr">
        <is>
          <t>25</t>
        </is>
      </c>
      <c r="U150" t="inlineStr">
        <is>
          <t>30</t>
        </is>
      </c>
      <c r="V150" t="inlineStr">
        <is>
          <t>25</t>
        </is>
      </c>
      <c r="W150" t="inlineStr">
        <is>
          <t>30</t>
        </is>
      </c>
      <c r="X150" t="inlineStr">
        <is>
          <t>Guild_real_estate_master.csv</t>
        </is>
      </c>
    </row>
    <row r="151">
      <c r="A151" t="n">
        <v>150</v>
      </c>
      <c r="B151" t="n">
        <v>150</v>
      </c>
      <c r="C151" t="inlineStr">
        <is>
          <t>La Rosa Phase 6</t>
        </is>
      </c>
      <c r="D151" t="inlineStr">
        <is>
          <t>Dubai Properties</t>
        </is>
      </c>
      <c r="E151" t="inlineStr">
        <is>
          <t>Villanova</t>
        </is>
      </c>
      <c r="F151" t="inlineStr">
        <is>
          <t>Townhouses</t>
        </is>
      </c>
      <c r="G151" t="inlineStr">
        <is>
          <t>Family</t>
        </is>
      </c>
      <c r="H151" t="inlineStr">
        <is>
          <t>2.0M</t>
        </is>
      </c>
      <c r="I151" t="inlineStr">
        <is>
          <t>1150</t>
        </is>
      </c>
      <c r="J151" t="inlineStr">
        <is>
          <t>12</t>
        </is>
      </c>
      <c r="K151" t="inlineStr">
        <is>
          <t>50/50</t>
        </is>
      </c>
      <c r="L151" t="inlineStr">
        <is>
          <t>2022</t>
        </is>
      </c>
      <c r="M151" t="inlineStr">
        <is>
          <t>6.0-6.5</t>
        </is>
      </c>
      <c r="N151" t="inlineStr">
        <is>
          <t>5-7</t>
        </is>
      </c>
      <c r="O151" t="inlineStr">
        <is>
          <t>11.0-13.5</t>
        </is>
      </c>
      <c r="P151" t="inlineStr">
        <is>
          <t>GEMS FirstPoint</t>
        </is>
      </c>
      <c r="Q151" t="inlineStr">
        <is>
          <t>Saudi German Hospital</t>
        </is>
      </c>
      <c r="R151" t="inlineStr">
        <is>
          <t>Villanova Marketplace</t>
        </is>
      </c>
      <c r="S151" t="inlineStr">
        <is>
          <t>Al Ain Rd / E611</t>
        </is>
      </c>
      <c r="T151" t="inlineStr">
        <is>
          <t>25</t>
        </is>
      </c>
      <c r="U151" t="inlineStr">
        <is>
          <t>30</t>
        </is>
      </c>
      <c r="V151" t="inlineStr">
        <is>
          <t>25</t>
        </is>
      </c>
      <c r="W151" t="inlineStr">
        <is>
          <t>30</t>
        </is>
      </c>
      <c r="X151" t="inlineStr">
        <is>
          <t>Guild_real_estate_master.csv</t>
        </is>
      </c>
    </row>
    <row r="152">
      <c r="A152" t="n">
        <v>151</v>
      </c>
      <c r="B152" t="n">
        <v>151</v>
      </c>
      <c r="C152" t="inlineStr">
        <is>
          <t>Jumeirah Beach Residence (JBR)</t>
        </is>
      </c>
      <c r="D152" t="inlineStr">
        <is>
          <t>Dubai Properties</t>
        </is>
      </c>
      <c r="E152" t="inlineStr">
        <is>
          <t>Marina/Beach</t>
        </is>
      </c>
      <c r="F152" t="inlineStr">
        <is>
          <t>Apartments</t>
        </is>
      </c>
      <c r="G152" t="inlineStr">
        <is>
          <t>Beachfront / High-Rise</t>
        </is>
      </c>
      <c r="J152" t="inlineStr">
        <is>
          <t>25</t>
        </is>
      </c>
      <c r="K152" t="inlineStr">
        <is>
          <t>Completed</t>
        </is>
      </c>
      <c r="L152" t="inlineStr">
        <is>
          <t>2007</t>
        </is>
      </c>
      <c r="M152" t="inlineStr">
        <is>
          <t>5.5-6.5</t>
        </is>
      </c>
      <c r="N152" t="inlineStr">
        <is>
          <t>5-7</t>
        </is>
      </c>
      <c r="O152" t="inlineStr">
        <is>
          <t>10.5-13.5</t>
        </is>
      </c>
      <c r="P152" t="inlineStr">
        <is>
          <t>Emirates Intl School</t>
        </is>
      </c>
      <c r="Q152" t="inlineStr">
        <is>
          <t>Emirates Hospital</t>
        </is>
      </c>
      <c r="R152" t="inlineStr">
        <is>
          <t>Dubai Marina Mall</t>
        </is>
      </c>
      <c r="S152" t="inlineStr">
        <is>
          <t>Sheikh Zayed E11</t>
        </is>
      </c>
      <c r="T152" t="inlineStr">
        <is>
          <t>20</t>
        </is>
      </c>
      <c r="U152" t="inlineStr">
        <is>
          <t>2</t>
        </is>
      </c>
      <c r="V152" t="inlineStr">
        <is>
          <t>25</t>
        </is>
      </c>
      <c r="W152" t="inlineStr">
        <is>
          <t>30</t>
        </is>
      </c>
      <c r="X152" t="inlineStr">
        <is>
          <t>Guild_real_estate_master.csv</t>
        </is>
      </c>
    </row>
    <row r="153">
      <c r="A153" t="n">
        <v>152</v>
      </c>
      <c r="B153" t="n">
        <v>152</v>
      </c>
      <c r="C153" t="inlineStr">
        <is>
          <t>1/JBR</t>
        </is>
      </c>
      <c r="D153" t="inlineStr">
        <is>
          <t>Dubai Properties</t>
        </is>
      </c>
      <c r="E153" t="inlineStr">
        <is>
          <t>JBR</t>
        </is>
      </c>
      <c r="F153" t="inlineStr">
        <is>
          <t>Luxury Apts</t>
        </is>
      </c>
      <c r="G153" t="inlineStr">
        <is>
          <t>Ultra-Luxury / Beach</t>
        </is>
      </c>
      <c r="H153" t="inlineStr">
        <is>
          <t>Resale (6M+)</t>
        </is>
      </c>
      <c r="I153" t="inlineStr">
        <is>
          <t>3500</t>
        </is>
      </c>
      <c r="J153" t="inlineStr">
        <is>
          <t>30</t>
        </is>
      </c>
      <c r="K153" t="inlineStr">
        <is>
          <t>Completed</t>
        </is>
      </c>
      <c r="L153" t="inlineStr">
        <is>
          <t>2019</t>
        </is>
      </c>
      <c r="M153" t="inlineStr">
        <is>
          <t>4.5-5.0</t>
        </is>
      </c>
      <c r="N153" t="inlineStr">
        <is>
          <t>6-8</t>
        </is>
      </c>
      <c r="O153" t="inlineStr">
        <is>
          <t>10.5-13.0</t>
        </is>
      </c>
      <c r="P153" t="inlineStr">
        <is>
          <t>Emirates Intl School</t>
        </is>
      </c>
      <c r="Q153" t="inlineStr">
        <is>
          <t>Emirates Hospital</t>
        </is>
      </c>
      <c r="R153" t="inlineStr">
        <is>
          <t>Dubai Marina Mall</t>
        </is>
      </c>
      <c r="S153" t="inlineStr">
        <is>
          <t>Sheikh Zayed E11</t>
        </is>
      </c>
      <c r="T153" t="inlineStr">
        <is>
          <t>20</t>
        </is>
      </c>
      <c r="U153" t="inlineStr">
        <is>
          <t>2</t>
        </is>
      </c>
      <c r="V153" t="inlineStr">
        <is>
          <t>25</t>
        </is>
      </c>
      <c r="W153" t="inlineStr">
        <is>
          <t>30</t>
        </is>
      </c>
      <c r="X153" t="inlineStr">
        <is>
          <t>Guild_real_estate_master.csv</t>
        </is>
      </c>
    </row>
    <row r="154">
      <c r="A154" t="n">
        <v>153</v>
      </c>
      <c r="B154" t="n">
        <v>153</v>
      </c>
      <c r="C154" t="inlineStr">
        <is>
          <t>La Vie</t>
        </is>
      </c>
      <c r="D154" t="inlineStr">
        <is>
          <t>Dubai Properties</t>
        </is>
      </c>
      <c r="E154" t="inlineStr">
        <is>
          <t>JBR</t>
        </is>
      </c>
      <c r="F154" t="inlineStr">
        <is>
          <t>Apartments</t>
        </is>
      </c>
      <c r="G154" t="inlineStr">
        <is>
          <t>Beachfront</t>
        </is>
      </c>
      <c r="H154" t="inlineStr">
        <is>
          <t>Resale (3M+)</t>
        </is>
      </c>
      <c r="I154" t="inlineStr">
        <is>
          <t>3200</t>
        </is>
      </c>
      <c r="J154" t="inlineStr">
        <is>
          <t>25</t>
        </is>
      </c>
      <c r="K154" t="inlineStr">
        <is>
          <t>Completed</t>
        </is>
      </c>
      <c r="L154" t="inlineStr">
        <is>
          <t>2019</t>
        </is>
      </c>
      <c r="M154" t="inlineStr">
        <is>
          <t>5.0-5.5</t>
        </is>
      </c>
      <c r="N154" t="inlineStr">
        <is>
          <t>6-8</t>
        </is>
      </c>
      <c r="O154" t="inlineStr">
        <is>
          <t>11.0-13.5</t>
        </is>
      </c>
      <c r="P154" t="inlineStr">
        <is>
          <t>Emirates Intl School</t>
        </is>
      </c>
      <c r="Q154" t="inlineStr">
        <is>
          <t>Emirates Hospital</t>
        </is>
      </c>
      <c r="R154" t="inlineStr">
        <is>
          <t>Dubai Marina Mall</t>
        </is>
      </c>
      <c r="S154" t="inlineStr">
        <is>
          <t>Sheikh Zayed E11</t>
        </is>
      </c>
      <c r="T154" t="inlineStr">
        <is>
          <t>20</t>
        </is>
      </c>
      <c r="U154" t="inlineStr">
        <is>
          <t>2</t>
        </is>
      </c>
      <c r="V154" t="inlineStr">
        <is>
          <t>25</t>
        </is>
      </c>
      <c r="W154" t="inlineStr">
        <is>
          <t>30</t>
        </is>
      </c>
      <c r="X154" t="inlineStr">
        <is>
          <t>Guild_real_estate_master.csv</t>
        </is>
      </c>
    </row>
    <row r="155">
      <c r="A155" t="n">
        <v>154</v>
      </c>
      <c r="B155" t="n">
        <v>154</v>
      </c>
      <c r="C155" t="inlineStr">
        <is>
          <t>Riverside (Marasi Business Bay)</t>
        </is>
      </c>
      <c r="D155" t="inlineStr">
        <is>
          <t>Dubai Properties</t>
        </is>
      </c>
      <c r="E155" t="inlineStr">
        <is>
          <t>Business Bay</t>
        </is>
      </c>
      <c r="F155" t="inlineStr">
        <is>
          <t>Apartments</t>
        </is>
      </c>
      <c r="G155" t="inlineStr">
        <is>
          <t>Canal / City</t>
        </is>
      </c>
      <c r="H155" t="inlineStr">
        <is>
          <t>Resale (2M+)</t>
        </is>
      </c>
      <c r="I155" t="inlineStr">
        <is>
          <t>2000</t>
        </is>
      </c>
      <c r="J155" t="inlineStr">
        <is>
          <t>25</t>
        </is>
      </c>
      <c r="K155" t="inlineStr">
        <is>
          <t>Completed</t>
        </is>
      </c>
      <c r="L155" t="inlineStr">
        <is>
          <t>2017</t>
        </is>
      </c>
      <c r="M155" t="inlineStr">
        <is>
          <t>6.0-6.5</t>
        </is>
      </c>
      <c r="N155" t="inlineStr">
        <is>
          <t>5-7</t>
        </is>
      </c>
      <c r="O155" t="inlineStr">
        <is>
          <t>11.0-13.5</t>
        </is>
      </c>
      <c r="P155" t="inlineStr">
        <is>
          <t>Hartland Intl</t>
        </is>
      </c>
      <c r="Q155" t="inlineStr">
        <is>
          <t>Emirates Hospital BB</t>
        </is>
      </c>
      <c r="R155" t="inlineStr">
        <is>
          <t>Dubai Mall</t>
        </is>
      </c>
      <c r="S155" t="inlineStr">
        <is>
          <t>Al Khail E44</t>
        </is>
      </c>
      <c r="T155" t="inlineStr">
        <is>
          <t>5</t>
        </is>
      </c>
      <c r="U155" t="inlineStr">
        <is>
          <t>20</t>
        </is>
      </c>
      <c r="V155" t="inlineStr">
        <is>
          <t>15</t>
        </is>
      </c>
      <c r="W155" t="inlineStr">
        <is>
          <t>35</t>
        </is>
      </c>
      <c r="X155" t="inlineStr">
        <is>
          <t>Guild_real_estate_master.csv</t>
        </is>
      </c>
    </row>
    <row r="156">
      <c r="A156" t="n">
        <v>155</v>
      </c>
      <c r="B156" t="n">
        <v>155</v>
      </c>
      <c r="C156" t="inlineStr">
        <is>
          <t>Bellevue Towers</t>
        </is>
      </c>
      <c r="D156" t="inlineStr">
        <is>
          <t>Dubai Properties</t>
        </is>
      </c>
      <c r="E156" t="inlineStr">
        <is>
          <t>Downtown Dubai</t>
        </is>
      </c>
      <c r="F156" t="inlineStr">
        <is>
          <t>Apartments</t>
        </is>
      </c>
      <c r="G156" t="inlineStr">
        <is>
          <t>City Centre</t>
        </is>
      </c>
      <c r="H156" t="inlineStr">
        <is>
          <t>Resale (1.8M+)</t>
        </is>
      </c>
      <c r="I156" t="inlineStr">
        <is>
          <t>1800</t>
        </is>
      </c>
      <c r="J156" t="inlineStr">
        <is>
          <t>22</t>
        </is>
      </c>
      <c r="K156" t="inlineStr">
        <is>
          <t>Completed</t>
        </is>
      </c>
      <c r="L156" t="inlineStr">
        <is>
          <t>2019</t>
        </is>
      </c>
      <c r="M156" t="inlineStr">
        <is>
          <t>6.0-6.5</t>
        </is>
      </c>
      <c r="N156" t="inlineStr">
        <is>
          <t>5-7</t>
        </is>
      </c>
      <c r="O156" t="inlineStr">
        <is>
          <t>11.0-13.5</t>
        </is>
      </c>
      <c r="P156" t="inlineStr">
        <is>
          <t>Hartland Intl</t>
        </is>
      </c>
      <c r="Q156" t="inlineStr">
        <is>
          <t>Emirates Hospital BB</t>
        </is>
      </c>
      <c r="R156" t="inlineStr">
        <is>
          <t>Dubai Mall</t>
        </is>
      </c>
      <c r="S156" t="inlineStr">
        <is>
          <t>Financial Ctr Rd</t>
        </is>
      </c>
      <c r="T156" t="inlineStr">
        <is>
          <t>5</t>
        </is>
      </c>
      <c r="U156" t="inlineStr">
        <is>
          <t>20</t>
        </is>
      </c>
      <c r="V156" t="inlineStr">
        <is>
          <t>15</t>
        </is>
      </c>
      <c r="W156" t="inlineStr">
        <is>
          <t>35</t>
        </is>
      </c>
      <c r="X156" t="inlineStr">
        <is>
          <t>Guild_real_estate_master.csv</t>
        </is>
      </c>
    </row>
    <row r="157">
      <c r="A157" t="n">
        <v>156</v>
      </c>
      <c r="B157" t="n">
        <v>156</v>
      </c>
      <c r="C157" t="inlineStr">
        <is>
          <t>Executive Towers</t>
        </is>
      </c>
      <c r="D157" t="inlineStr">
        <is>
          <t>Dubai Properties</t>
        </is>
      </c>
      <c r="E157" t="inlineStr">
        <is>
          <t>Business Bay</t>
        </is>
      </c>
      <c r="F157" t="inlineStr">
        <is>
          <t>Apartments</t>
        </is>
      </c>
      <c r="G157" t="inlineStr">
        <is>
          <t>City / Commercial</t>
        </is>
      </c>
      <c r="H157" t="inlineStr">
        <is>
          <t>Resale (1.5M+)</t>
        </is>
      </c>
      <c r="I157" t="inlineStr">
        <is>
          <t>1200</t>
        </is>
      </c>
      <c r="J157" t="inlineStr">
        <is>
          <t>20</t>
        </is>
      </c>
      <c r="K157" t="inlineStr">
        <is>
          <t>Completed</t>
        </is>
      </c>
      <c r="L157" t="inlineStr">
        <is>
          <t>2008</t>
        </is>
      </c>
      <c r="M157" t="inlineStr">
        <is>
          <t>6.5-7.5</t>
        </is>
      </c>
      <c r="N157" t="inlineStr">
        <is>
          <t>4-6</t>
        </is>
      </c>
      <c r="O157" t="inlineStr">
        <is>
          <t>10.5-13.5</t>
        </is>
      </c>
      <c r="P157" t="inlineStr">
        <is>
          <t>Hartland Intl</t>
        </is>
      </c>
      <c r="Q157" t="inlineStr">
        <is>
          <t>Emirates Hospital BB</t>
        </is>
      </c>
      <c r="R157" t="inlineStr">
        <is>
          <t>Bay Avenue</t>
        </is>
      </c>
      <c r="S157" t="inlineStr">
        <is>
          <t>Sheikh Zayed E11</t>
        </is>
      </c>
      <c r="T157" t="inlineStr">
        <is>
          <t>5</t>
        </is>
      </c>
      <c r="U157" t="inlineStr">
        <is>
          <t>20</t>
        </is>
      </c>
      <c r="V157" t="inlineStr">
        <is>
          <t>15</t>
        </is>
      </c>
      <c r="W157" t="inlineStr">
        <is>
          <t>35</t>
        </is>
      </c>
      <c r="X157" t="inlineStr">
        <is>
          <t>Guild_real_estate_master.csv</t>
        </is>
      </c>
    </row>
    <row r="158">
      <c r="A158" t="n">
        <v>157</v>
      </c>
      <c r="B158" t="n">
        <v>157</v>
      </c>
      <c r="C158" t="inlineStr">
        <is>
          <t>Bay Square</t>
        </is>
      </c>
      <c r="D158" t="inlineStr">
        <is>
          <t>Dubai Properties</t>
        </is>
      </c>
      <c r="E158" t="inlineStr">
        <is>
          <t>Business Bay</t>
        </is>
      </c>
      <c r="F158" t="inlineStr">
        <is>
          <t>Mixed Use</t>
        </is>
      </c>
      <c r="G158" t="inlineStr">
        <is>
          <t>City / Office</t>
        </is>
      </c>
      <c r="H158" t="inlineStr">
        <is>
          <t>Resale</t>
        </is>
      </c>
      <c r="I158" t="inlineStr">
        <is>
          <t>1300</t>
        </is>
      </c>
      <c r="J158" t="inlineStr">
        <is>
          <t>22</t>
        </is>
      </c>
      <c r="K158" t="inlineStr">
        <is>
          <t>Completed</t>
        </is>
      </c>
      <c r="L158" t="inlineStr">
        <is>
          <t>2010</t>
        </is>
      </c>
      <c r="M158" t="inlineStr">
        <is>
          <t>7.0-7.5</t>
        </is>
      </c>
      <c r="N158" t="inlineStr">
        <is>
          <t>4-6</t>
        </is>
      </c>
      <c r="O158" t="inlineStr">
        <is>
          <t>11.0-13.5</t>
        </is>
      </c>
      <c r="P158" t="inlineStr">
        <is>
          <t>Hartland Intl</t>
        </is>
      </c>
      <c r="Q158" t="inlineStr">
        <is>
          <t>Emirates Hospital BB</t>
        </is>
      </c>
      <c r="R158" t="inlineStr">
        <is>
          <t>Dubai Mall</t>
        </is>
      </c>
      <c r="S158" t="inlineStr">
        <is>
          <t>Al Khail E44</t>
        </is>
      </c>
      <c r="T158" t="inlineStr">
        <is>
          <t>5</t>
        </is>
      </c>
      <c r="U158" t="inlineStr">
        <is>
          <t>20</t>
        </is>
      </c>
      <c r="V158" t="inlineStr">
        <is>
          <t>15</t>
        </is>
      </c>
      <c r="W158" t="inlineStr">
        <is>
          <t>35</t>
        </is>
      </c>
      <c r="X158" t="inlineStr">
        <is>
          <t>Guild_real_estate_master.csv</t>
        </is>
      </c>
    </row>
    <row r="159">
      <c r="A159" t="n">
        <v>158</v>
      </c>
      <c r="B159" t="n">
        <v>158</v>
      </c>
      <c r="C159" t="inlineStr">
        <is>
          <t>Serena: Bella Casa</t>
        </is>
      </c>
      <c r="D159" t="inlineStr">
        <is>
          <t>Dubai Properties</t>
        </is>
      </c>
      <c r="E159" t="inlineStr">
        <is>
          <t>Dubailand</t>
        </is>
      </c>
      <c r="F159" t="inlineStr">
        <is>
          <t>Townhouses</t>
        </is>
      </c>
      <c r="G159" t="inlineStr">
        <is>
          <t>Budget / Family</t>
        </is>
      </c>
      <c r="H159" t="inlineStr">
        <is>
          <t>Resale (1.6M+)</t>
        </is>
      </c>
      <c r="I159" t="inlineStr">
        <is>
          <t>950</t>
        </is>
      </c>
      <c r="J159" t="inlineStr">
        <is>
          <t>10</t>
        </is>
      </c>
      <c r="K159" t="inlineStr">
        <is>
          <t>Completed</t>
        </is>
      </c>
      <c r="L159" t="inlineStr">
        <is>
          <t>2016</t>
        </is>
      </c>
      <c r="M159" t="inlineStr">
        <is>
          <t>6.5-7.0</t>
        </is>
      </c>
      <c r="N159" t="inlineStr">
        <is>
          <t>5-7</t>
        </is>
      </c>
      <c r="O159" t="inlineStr">
        <is>
          <t>11.5-14.0</t>
        </is>
      </c>
      <c r="P159" t="inlineStr">
        <is>
          <t>Ranches Primary</t>
        </is>
      </c>
      <c r="Q159" t="inlineStr">
        <is>
          <t>Saudi German Hospital</t>
        </is>
      </c>
      <c r="R159" t="inlineStr">
        <is>
          <t>Serena Marketplace</t>
        </is>
      </c>
      <c r="S159" t="inlineStr">
        <is>
          <t>Al Qudra Rd</t>
        </is>
      </c>
      <c r="T159" t="inlineStr">
        <is>
          <t>25</t>
        </is>
      </c>
      <c r="U159" t="inlineStr">
        <is>
          <t>25</t>
        </is>
      </c>
      <c r="V159" t="inlineStr">
        <is>
          <t>30</t>
        </is>
      </c>
      <c r="W159" t="inlineStr">
        <is>
          <t>25</t>
        </is>
      </c>
      <c r="X159" t="inlineStr">
        <is>
          <t>Guild_real_estate_master.csv</t>
        </is>
      </c>
    </row>
    <row r="160">
      <c r="A160" t="n">
        <v>159</v>
      </c>
      <c r="B160" t="n">
        <v>159</v>
      </c>
      <c r="C160" t="inlineStr">
        <is>
          <t>Serena: Casa Dora</t>
        </is>
      </c>
      <c r="D160" t="inlineStr">
        <is>
          <t>Dubai Properties</t>
        </is>
      </c>
      <c r="E160" t="inlineStr">
        <is>
          <t>Dubailand</t>
        </is>
      </c>
      <c r="F160" t="inlineStr">
        <is>
          <t>Townhouses</t>
        </is>
      </c>
      <c r="G160" t="inlineStr">
        <is>
          <t>Budget / Family</t>
        </is>
      </c>
      <c r="H160" t="inlineStr">
        <is>
          <t>Resale (1.6M+)</t>
        </is>
      </c>
      <c r="I160" t="inlineStr">
        <is>
          <t>950</t>
        </is>
      </c>
      <c r="J160" t="inlineStr">
        <is>
          <t>10</t>
        </is>
      </c>
      <c r="K160" t="inlineStr">
        <is>
          <t>Completed</t>
        </is>
      </c>
      <c r="L160" t="inlineStr">
        <is>
          <t>2016</t>
        </is>
      </c>
      <c r="M160" t="inlineStr">
        <is>
          <t>6.5-7.0</t>
        </is>
      </c>
      <c r="N160" t="inlineStr">
        <is>
          <t>5-7</t>
        </is>
      </c>
      <c r="O160" t="inlineStr">
        <is>
          <t>11.5-14.0</t>
        </is>
      </c>
      <c r="P160" t="inlineStr">
        <is>
          <t>Ranches Primary</t>
        </is>
      </c>
      <c r="Q160" t="inlineStr">
        <is>
          <t>Saudi German Hospital</t>
        </is>
      </c>
      <c r="R160" t="inlineStr">
        <is>
          <t>Serena Marketplace</t>
        </is>
      </c>
      <c r="S160" t="inlineStr">
        <is>
          <t>Al Qudra Rd</t>
        </is>
      </c>
      <c r="T160" t="inlineStr">
        <is>
          <t>25</t>
        </is>
      </c>
      <c r="U160" t="inlineStr">
        <is>
          <t>25</t>
        </is>
      </c>
      <c r="V160" t="inlineStr">
        <is>
          <t>30</t>
        </is>
      </c>
      <c r="W160" t="inlineStr">
        <is>
          <t>25</t>
        </is>
      </c>
      <c r="X160" t="inlineStr">
        <is>
          <t>Guild_real_estate_master.csv</t>
        </is>
      </c>
    </row>
    <row r="161">
      <c r="A161" t="n">
        <v>160</v>
      </c>
      <c r="B161" t="n">
        <v>160</v>
      </c>
      <c r="C161" t="inlineStr">
        <is>
          <t>Serena: Casa Viva</t>
        </is>
      </c>
      <c r="D161" t="inlineStr">
        <is>
          <t>Dubai Properties</t>
        </is>
      </c>
      <c r="E161" t="inlineStr">
        <is>
          <t>Dubailand</t>
        </is>
      </c>
      <c r="F161" t="inlineStr">
        <is>
          <t>Townhouses</t>
        </is>
      </c>
      <c r="G161" t="inlineStr">
        <is>
          <t>Budget / Family</t>
        </is>
      </c>
      <c r="H161" t="inlineStr">
        <is>
          <t>Resale (1.7M+)</t>
        </is>
      </c>
      <c r="I161" t="inlineStr">
        <is>
          <t>950</t>
        </is>
      </c>
      <c r="J161" t="inlineStr">
        <is>
          <t>10</t>
        </is>
      </c>
      <c r="K161" t="inlineStr">
        <is>
          <t>Completed</t>
        </is>
      </c>
      <c r="L161" t="inlineStr">
        <is>
          <t>2017</t>
        </is>
      </c>
      <c r="M161" t="inlineStr">
        <is>
          <t>6.5-7.0</t>
        </is>
      </c>
      <c r="N161" t="inlineStr">
        <is>
          <t>5-7</t>
        </is>
      </c>
      <c r="O161" t="inlineStr">
        <is>
          <t>11.5-14.0</t>
        </is>
      </c>
      <c r="P161" t="inlineStr">
        <is>
          <t>Ranches Primary</t>
        </is>
      </c>
      <c r="Q161" t="inlineStr">
        <is>
          <t>Saudi German Hospital</t>
        </is>
      </c>
      <c r="R161" t="inlineStr">
        <is>
          <t>Serena Marketplace</t>
        </is>
      </c>
      <c r="S161" t="inlineStr">
        <is>
          <t>Al Qudra Rd</t>
        </is>
      </c>
      <c r="T161" t="inlineStr">
        <is>
          <t>25</t>
        </is>
      </c>
      <c r="U161" t="inlineStr">
        <is>
          <t>25</t>
        </is>
      </c>
      <c r="V161" t="inlineStr">
        <is>
          <t>30</t>
        </is>
      </c>
      <c r="W161" t="inlineStr">
        <is>
          <t>25</t>
        </is>
      </c>
      <c r="X161" t="inlineStr">
        <is>
          <t>Guild_real_estate_master.csv</t>
        </is>
      </c>
    </row>
    <row r="162">
      <c r="A162" t="n">
        <v>161</v>
      </c>
      <c r="B162" t="n">
        <v>161</v>
      </c>
      <c r="C162" t="inlineStr">
        <is>
          <t>Remraam</t>
        </is>
      </c>
      <c r="D162" t="inlineStr">
        <is>
          <t>Dubai Properties</t>
        </is>
      </c>
      <c r="E162" t="inlineStr">
        <is>
          <t>Dubailand</t>
        </is>
      </c>
      <c r="F162" t="inlineStr">
        <is>
          <t>Apartments</t>
        </is>
      </c>
      <c r="G162" t="inlineStr">
        <is>
          <t>Budget / Community</t>
        </is>
      </c>
      <c r="H162" t="inlineStr">
        <is>
          <t>Resale (600k+)</t>
        </is>
      </c>
      <c r="I162" t="inlineStr">
        <is>
          <t>700</t>
        </is>
      </c>
      <c r="J162" t="inlineStr">
        <is>
          <t>12</t>
        </is>
      </c>
      <c r="K162" t="inlineStr">
        <is>
          <t>Completed</t>
        </is>
      </c>
      <c r="L162" t="inlineStr">
        <is>
          <t>2009</t>
        </is>
      </c>
      <c r="M162" t="inlineStr">
        <is>
          <t>7.5-8.0</t>
        </is>
      </c>
      <c r="N162" t="inlineStr">
        <is>
          <t>4-6</t>
        </is>
      </c>
      <c r="O162" t="inlineStr">
        <is>
          <t>11.5-14.0</t>
        </is>
      </c>
      <c r="P162" t="inlineStr">
        <is>
          <t>South View School</t>
        </is>
      </c>
      <c r="Q162" t="inlineStr">
        <is>
          <t>NMC Royal DIP</t>
        </is>
      </c>
      <c r="R162" t="inlineStr">
        <is>
          <t>Remraam Centre</t>
        </is>
      </c>
      <c r="S162" t="inlineStr">
        <is>
          <t>Hessa St / E611</t>
        </is>
      </c>
      <c r="T162" t="inlineStr">
        <is>
          <t>30</t>
        </is>
      </c>
      <c r="U162" t="inlineStr">
        <is>
          <t>20</t>
        </is>
      </c>
      <c r="V162" t="inlineStr">
        <is>
          <t>35</t>
        </is>
      </c>
      <c r="W162" t="inlineStr">
        <is>
          <t>20</t>
        </is>
      </c>
      <c r="X162" t="inlineStr">
        <is>
          <t>Guild_real_estate_master.csv</t>
        </is>
      </c>
    </row>
    <row r="163">
      <c r="A163" t="n">
        <v>162</v>
      </c>
      <c r="B163" t="n">
        <v>162</v>
      </c>
      <c r="C163" t="inlineStr">
        <is>
          <t>Layan</t>
        </is>
      </c>
      <c r="D163" t="inlineStr">
        <is>
          <t>Dubai Properties</t>
        </is>
      </c>
      <c r="E163" t="inlineStr">
        <is>
          <t>Dubailand</t>
        </is>
      </c>
      <c r="F163" t="inlineStr">
        <is>
          <t>Villas &amp; Apts</t>
        </is>
      </c>
      <c r="G163" t="inlineStr">
        <is>
          <t>Gated / Quiet</t>
        </is>
      </c>
      <c r="H163" t="inlineStr">
        <is>
          <t>Resale (2.5M+)</t>
        </is>
      </c>
      <c r="I163" t="inlineStr">
        <is>
          <t>850</t>
        </is>
      </c>
      <c r="J163" t="inlineStr">
        <is>
          <t>12</t>
        </is>
      </c>
      <c r="K163" t="inlineStr">
        <is>
          <t>Completed</t>
        </is>
      </c>
      <c r="L163" t="inlineStr">
        <is>
          <t>2008</t>
        </is>
      </c>
      <c r="M163" t="inlineStr">
        <is>
          <t>6.0-6.5</t>
        </is>
      </c>
      <c r="N163" t="inlineStr">
        <is>
          <t>4-6</t>
        </is>
      </c>
      <c r="O163" t="inlineStr">
        <is>
          <t>10.0-12.5</t>
        </is>
      </c>
      <c r="P163" t="inlineStr">
        <is>
          <t>Ranches Primary</t>
        </is>
      </c>
      <c r="Q163" t="inlineStr">
        <is>
          <t>Saudi German Hospital</t>
        </is>
      </c>
      <c r="R163" t="inlineStr">
        <is>
          <t>The Ranches Souk</t>
        </is>
      </c>
      <c r="S163" t="inlineStr">
        <is>
          <t>Al Qudra Rd</t>
        </is>
      </c>
      <c r="T163" t="inlineStr">
        <is>
          <t>25</t>
        </is>
      </c>
      <c r="U163" t="inlineStr">
        <is>
          <t>25</t>
        </is>
      </c>
      <c r="V163" t="inlineStr">
        <is>
          <t>30</t>
        </is>
      </c>
      <c r="W163" t="inlineStr">
        <is>
          <t>25</t>
        </is>
      </c>
      <c r="X163" t="inlineStr">
        <is>
          <t>Guild_real_estate_master.csv</t>
        </is>
      </c>
    </row>
    <row r="164">
      <c r="A164" t="n">
        <v>163</v>
      </c>
      <c r="B164" t="n">
        <v>163</v>
      </c>
      <c r="C164" t="inlineStr">
        <is>
          <t>The Villa</t>
        </is>
      </c>
      <c r="D164" t="inlineStr">
        <is>
          <t>Dubai Properties</t>
        </is>
      </c>
      <c r="E164" t="inlineStr">
        <is>
          <t>Dubailand</t>
        </is>
      </c>
      <c r="F164" t="inlineStr">
        <is>
          <t>Villas</t>
        </is>
      </c>
      <c r="G164" t="inlineStr">
        <is>
          <t>Spanish Style</t>
        </is>
      </c>
      <c r="H164" t="inlineStr">
        <is>
          <t>Resale (4.5M+)</t>
        </is>
      </c>
      <c r="I164" t="inlineStr">
        <is>
          <t>900</t>
        </is>
      </c>
      <c r="J164" t="inlineStr">
        <is>
          <t>10</t>
        </is>
      </c>
      <c r="K164" t="inlineStr">
        <is>
          <t>Completed</t>
        </is>
      </c>
      <c r="L164" t="inlineStr">
        <is>
          <t>2009</t>
        </is>
      </c>
      <c r="M164" t="inlineStr">
        <is>
          <t>5.5-6.0</t>
        </is>
      </c>
      <c r="N164" t="inlineStr">
        <is>
          <t>5-7</t>
        </is>
      </c>
      <c r="O164" t="inlineStr">
        <is>
          <t>10.5-13.0</t>
        </is>
      </c>
      <c r="P164" t="inlineStr">
        <is>
          <t>GEMS FirstPoint</t>
        </is>
      </c>
      <c r="Q164" t="inlineStr">
        <is>
          <t>Fakeeh University Hosp</t>
        </is>
      </c>
      <c r="R164" t="inlineStr">
        <is>
          <t>The Villa Centro</t>
        </is>
      </c>
      <c r="S164" t="inlineStr">
        <is>
          <t>Al Ain Rd / E611</t>
        </is>
      </c>
      <c r="T164" t="inlineStr">
        <is>
          <t>25</t>
        </is>
      </c>
      <c r="U164" t="inlineStr">
        <is>
          <t>30</t>
        </is>
      </c>
      <c r="V164" t="inlineStr">
        <is>
          <t>25</t>
        </is>
      </c>
      <c r="W164" t="inlineStr">
        <is>
          <t>30</t>
        </is>
      </c>
      <c r="X164" t="inlineStr">
        <is>
          <t>Guild_real_estate_master.csv</t>
        </is>
      </c>
    </row>
    <row r="165">
      <c r="A165" t="n">
        <v>164</v>
      </c>
      <c r="B165" t="n">
        <v>164</v>
      </c>
      <c r="C165" t="inlineStr">
        <is>
          <t>Manazel Al Khor</t>
        </is>
      </c>
      <c r="D165" t="inlineStr">
        <is>
          <t>Dubai Properties</t>
        </is>
      </c>
      <c r="E165" t="inlineStr">
        <is>
          <t>Culture Village</t>
        </is>
      </c>
      <c r="F165" t="inlineStr">
        <is>
          <t>Apartments</t>
        </is>
      </c>
      <c r="G165" t="inlineStr">
        <is>
          <t>Creek / Traditional</t>
        </is>
      </c>
      <c r="H165" t="inlineStr">
        <is>
          <t>Resale (2M+)</t>
        </is>
      </c>
      <c r="I165" t="inlineStr">
        <is>
          <t>1500</t>
        </is>
      </c>
      <c r="J165" t="inlineStr">
        <is>
          <t>18</t>
        </is>
      </c>
      <c r="K165" t="inlineStr">
        <is>
          <t>Completed</t>
        </is>
      </c>
      <c r="L165" t="inlineStr">
        <is>
          <t>2016</t>
        </is>
      </c>
      <c r="M165" t="inlineStr">
        <is>
          <t>5.5-6.0</t>
        </is>
      </c>
      <c r="N165" t="inlineStr">
        <is>
          <t>5-7</t>
        </is>
      </c>
      <c r="O165" t="inlineStr">
        <is>
          <t>10.5-13.0</t>
        </is>
      </c>
      <c r="P165" t="inlineStr">
        <is>
          <t>Swiss Intl School</t>
        </is>
      </c>
      <c r="Q165" t="inlineStr">
        <is>
          <t>American Hospital</t>
        </is>
      </c>
      <c r="R165" t="inlineStr">
        <is>
          <t>Dubai Festival City</t>
        </is>
      </c>
      <c r="S165" t="inlineStr">
        <is>
          <t>Ras Al Khor / E44</t>
        </is>
      </c>
      <c r="T165" t="inlineStr">
        <is>
          <t>12</t>
        </is>
      </c>
      <c r="U165" t="inlineStr">
        <is>
          <t>25</t>
        </is>
      </c>
      <c r="V165" t="inlineStr">
        <is>
          <t>10</t>
        </is>
      </c>
      <c r="W165" t="inlineStr">
        <is>
          <t>40</t>
        </is>
      </c>
      <c r="X165" t="inlineStr">
        <is>
          <t>Guild_real_estate_master.csv</t>
        </is>
      </c>
    </row>
    <row r="166">
      <c r="A166" t="n">
        <v>165</v>
      </c>
      <c r="B166" t="n">
        <v>165</v>
      </c>
      <c r="C166" t="inlineStr">
        <is>
          <t>Dubai Wharf</t>
        </is>
      </c>
      <c r="D166" t="inlineStr">
        <is>
          <t>Dubai Properties</t>
        </is>
      </c>
      <c r="E166" t="inlineStr">
        <is>
          <t>Culture Village</t>
        </is>
      </c>
      <c r="F166" t="inlineStr">
        <is>
          <t>Apartments</t>
        </is>
      </c>
      <c r="G166" t="inlineStr">
        <is>
          <t>Creek / Modern</t>
        </is>
      </c>
      <c r="H166" t="inlineStr">
        <is>
          <t>Resale (1.5M+)</t>
        </is>
      </c>
      <c r="I166" t="inlineStr">
        <is>
          <t>1300</t>
        </is>
      </c>
      <c r="J166" t="inlineStr">
        <is>
          <t>18</t>
        </is>
      </c>
      <c r="K166" t="inlineStr">
        <is>
          <t>Completed</t>
        </is>
      </c>
      <c r="L166" t="inlineStr">
        <is>
          <t>2017</t>
        </is>
      </c>
      <c r="M166" t="inlineStr">
        <is>
          <t>6.0-6.5</t>
        </is>
      </c>
      <c r="N166" t="inlineStr">
        <is>
          <t>5-7</t>
        </is>
      </c>
      <c r="O166" t="inlineStr">
        <is>
          <t>11.0-13.5</t>
        </is>
      </c>
      <c r="P166" t="inlineStr">
        <is>
          <t>Swiss Intl School</t>
        </is>
      </c>
      <c r="Q166" t="inlineStr">
        <is>
          <t>American Hospital</t>
        </is>
      </c>
      <c r="R166" t="inlineStr">
        <is>
          <t>Dubai Festival City</t>
        </is>
      </c>
      <c r="S166" t="inlineStr">
        <is>
          <t>Ras Al Khor / E44</t>
        </is>
      </c>
      <c r="T166" t="inlineStr">
        <is>
          <t>12</t>
        </is>
      </c>
      <c r="U166" t="inlineStr">
        <is>
          <t>25</t>
        </is>
      </c>
      <c r="V166" t="inlineStr">
        <is>
          <t>10</t>
        </is>
      </c>
      <c r="W166" t="inlineStr">
        <is>
          <t>40</t>
        </is>
      </c>
      <c r="X166" t="inlineStr">
        <is>
          <t>Guild_real_estate_master.csv</t>
        </is>
      </c>
    </row>
    <row r="167">
      <c r="A167" t="n">
        <v>166</v>
      </c>
      <c r="B167" t="n">
        <v>166</v>
      </c>
      <c r="C167" t="inlineStr">
        <is>
          <t>Haven (Master Community)</t>
        </is>
      </c>
      <c r="D167" t="inlineStr">
        <is>
          <t>Aldar Properties</t>
        </is>
      </c>
      <c r="E167" t="inlineStr">
        <is>
          <t>Dubailand (Opp Al Habtoor)</t>
        </is>
      </c>
      <c r="F167" t="inlineStr">
        <is>
          <t>Villas &amp; Townhouses</t>
        </is>
      </c>
      <c r="G167" t="inlineStr">
        <is>
          <t>Wellness / Green</t>
        </is>
      </c>
      <c r="H167" t="inlineStr">
        <is>
          <t>2.5M</t>
        </is>
      </c>
      <c r="I167" t="inlineStr">
        <is>
          <t>1400</t>
        </is>
      </c>
      <c r="J167" t="inlineStr">
        <is>
          <t>15</t>
        </is>
      </c>
      <c r="K167" t="inlineStr">
        <is>
          <t>60/40</t>
        </is>
      </c>
      <c r="L167" t="inlineStr">
        <is>
          <t>2023</t>
        </is>
      </c>
      <c r="M167" t="inlineStr">
        <is>
          <t>6.0-6.5</t>
        </is>
      </c>
      <c r="N167" t="inlineStr">
        <is>
          <t>10-12</t>
        </is>
      </c>
      <c r="O167" t="inlineStr">
        <is>
          <t>16.0-18.5</t>
        </is>
      </c>
      <c r="P167" t="inlineStr">
        <is>
          <t>GEMS Metropole</t>
        </is>
      </c>
      <c r="Q167" t="inlineStr">
        <is>
          <t>Mediclinic Parkview</t>
        </is>
      </c>
      <c r="R167" t="inlineStr">
        <is>
          <t>Cityland Mall</t>
        </is>
      </c>
      <c r="S167" t="inlineStr">
        <is>
          <t>E611 / Al Ain Rd</t>
        </is>
      </c>
      <c r="T167" t="inlineStr">
        <is>
          <t>20</t>
        </is>
      </c>
      <c r="U167" t="inlineStr">
        <is>
          <t>25</t>
        </is>
      </c>
      <c r="V167" t="inlineStr">
        <is>
          <t>25</t>
        </is>
      </c>
      <c r="W167" t="inlineStr">
        <is>
          <t>30</t>
        </is>
      </c>
      <c r="X167" t="inlineStr">
        <is>
          <t>Guild_real_estate_master.csv</t>
        </is>
      </c>
    </row>
    <row r="168">
      <c r="A168" t="n">
        <v>167</v>
      </c>
      <c r="B168" t="n">
        <v>167</v>
      </c>
      <c r="C168" t="inlineStr">
        <is>
          <t>Verdes by Haven</t>
        </is>
      </c>
      <c r="D168" t="inlineStr">
        <is>
          <t>Aldar Properties</t>
        </is>
      </c>
      <c r="E168" t="inlineStr">
        <is>
          <t>Haven Community</t>
        </is>
      </c>
      <c r="F168" t="inlineStr">
        <is>
          <t>Apartments</t>
        </is>
      </c>
      <c r="G168" t="inlineStr">
        <is>
          <t>Wellness / Green</t>
        </is>
      </c>
      <c r="H168" t="inlineStr">
        <is>
          <t>1.6M</t>
        </is>
      </c>
      <c r="I168" t="inlineStr">
        <is>
          <t>1600</t>
        </is>
      </c>
      <c r="J168" t="inlineStr">
        <is>
          <t>18</t>
        </is>
      </c>
      <c r="K168" t="inlineStr">
        <is>
          <t>60/40</t>
        </is>
      </c>
      <c r="L168" t="inlineStr">
        <is>
          <t>2024</t>
        </is>
      </c>
      <c r="M168" t="inlineStr">
        <is>
          <t>6.5-7.0</t>
        </is>
      </c>
      <c r="N168" t="inlineStr">
        <is>
          <t>10-12</t>
        </is>
      </c>
      <c r="O168" t="inlineStr">
        <is>
          <t>16.5-19.0</t>
        </is>
      </c>
      <c r="P168" t="inlineStr">
        <is>
          <t>GEMS Metropole</t>
        </is>
      </c>
      <c r="Q168" t="inlineStr">
        <is>
          <t>Mediclinic Parkview</t>
        </is>
      </c>
      <c r="R168" t="inlineStr">
        <is>
          <t>Cityland Mall</t>
        </is>
      </c>
      <c r="S168" t="inlineStr">
        <is>
          <t>E611 / Al Ain Rd</t>
        </is>
      </c>
      <c r="T168" t="inlineStr">
        <is>
          <t>20</t>
        </is>
      </c>
      <c r="U168" t="inlineStr">
        <is>
          <t>25</t>
        </is>
      </c>
      <c r="V168" t="inlineStr">
        <is>
          <t>25</t>
        </is>
      </c>
      <c r="W168" t="inlineStr">
        <is>
          <t>30</t>
        </is>
      </c>
      <c r="X168" t="inlineStr">
        <is>
          <t>Guild_real_estate_master.csv</t>
        </is>
      </c>
    </row>
    <row r="169">
      <c r="A169" t="n">
        <v>168</v>
      </c>
      <c r="B169" t="n">
        <v>168</v>
      </c>
      <c r="C169" t="inlineStr">
        <is>
          <t>Athlon (Master Community)</t>
        </is>
      </c>
      <c r="D169" t="inlineStr">
        <is>
          <t>Aldar Properties</t>
        </is>
      </c>
      <c r="E169" t="inlineStr">
        <is>
          <t>Dubailand (Near Global Vill)</t>
        </is>
      </c>
      <c r="F169" t="inlineStr">
        <is>
          <t>Villas &amp; Townhouses</t>
        </is>
      </c>
      <c r="G169" t="inlineStr">
        <is>
          <t>Active / Sports</t>
        </is>
      </c>
      <c r="H169" t="inlineStr">
        <is>
          <t>2.8M (TH) / 4.6M (Villa)</t>
        </is>
      </c>
      <c r="I169" t="inlineStr">
        <is>
          <t>1300-1500</t>
        </is>
      </c>
      <c r="J169" t="inlineStr">
        <is>
          <t>15</t>
        </is>
      </c>
      <c r="K169" t="inlineStr">
        <is>
          <t>5/55/40</t>
        </is>
      </c>
      <c r="L169" t="inlineStr">
        <is>
          <t>2024</t>
        </is>
      </c>
      <c r="M169" t="inlineStr">
        <is>
          <t>6.0-6.5</t>
        </is>
      </c>
      <c r="N169" t="inlineStr">
        <is>
          <t>10-12</t>
        </is>
      </c>
      <c r="O169" t="inlineStr">
        <is>
          <t>16.0-18.5</t>
        </is>
      </c>
      <c r="P169" t="inlineStr">
        <is>
          <t>GEMS Winchester</t>
        </is>
      </c>
      <c r="Q169" t="inlineStr">
        <is>
          <t>Fakeeh University Hosp</t>
        </is>
      </c>
      <c r="R169" t="inlineStr">
        <is>
          <t>Global Village</t>
        </is>
      </c>
      <c r="S169" t="inlineStr">
        <is>
          <t>E611 / Sheikh Zayed Bin Hamdan</t>
        </is>
      </c>
      <c r="T169" t="inlineStr">
        <is>
          <t>20</t>
        </is>
      </c>
      <c r="U169" t="inlineStr">
        <is>
          <t>25</t>
        </is>
      </c>
      <c r="V169" t="inlineStr">
        <is>
          <t>25</t>
        </is>
      </c>
      <c r="W169" t="inlineStr">
        <is>
          <t>30</t>
        </is>
      </c>
      <c r="X169" t="inlineStr">
        <is>
          <t>Guild_real_estate_master.csv</t>
        </is>
      </c>
    </row>
    <row r="170">
      <c r="A170" t="n">
        <v>169</v>
      </c>
      <c r="B170" t="n">
        <v>169</v>
      </c>
      <c r="C170" t="inlineStr">
        <is>
          <t>Rise by Athlon</t>
        </is>
      </c>
      <c r="D170" t="inlineStr">
        <is>
          <t>Aldar Properties</t>
        </is>
      </c>
      <c r="E170" t="inlineStr">
        <is>
          <t>Athlon Community</t>
        </is>
      </c>
      <c r="F170" t="inlineStr">
        <is>
          <t>Apartments/TH</t>
        </is>
      </c>
      <c r="G170" t="inlineStr">
        <is>
          <t>Active / Sports</t>
        </is>
      </c>
      <c r="H170" t="inlineStr">
        <is>
          <t>1.35M</t>
        </is>
      </c>
      <c r="I170" t="inlineStr">
        <is>
          <t>1400</t>
        </is>
      </c>
      <c r="J170" t="inlineStr">
        <is>
          <t>15</t>
        </is>
      </c>
      <c r="K170" t="inlineStr">
        <is>
          <t>5/55/40</t>
        </is>
      </c>
      <c r="L170" t="inlineStr">
        <is>
          <t>2024</t>
        </is>
      </c>
      <c r="M170" t="inlineStr">
        <is>
          <t>6.5-7.0</t>
        </is>
      </c>
      <c r="N170" t="inlineStr">
        <is>
          <t>10-12</t>
        </is>
      </c>
      <c r="O170" t="inlineStr">
        <is>
          <t>16.5-19.0</t>
        </is>
      </c>
      <c r="P170" t="inlineStr">
        <is>
          <t>GEMS Winchester</t>
        </is>
      </c>
      <c r="Q170" t="inlineStr">
        <is>
          <t>Fakeeh University Hosp</t>
        </is>
      </c>
      <c r="R170" t="inlineStr">
        <is>
          <t>Global Village</t>
        </is>
      </c>
      <c r="S170" t="inlineStr">
        <is>
          <t>E611 / Sheikh Zayed Bin Hamdan</t>
        </is>
      </c>
      <c r="T170" t="inlineStr">
        <is>
          <t>20</t>
        </is>
      </c>
      <c r="U170" t="inlineStr">
        <is>
          <t>25</t>
        </is>
      </c>
      <c r="V170" t="inlineStr">
        <is>
          <t>25</t>
        </is>
      </c>
      <c r="W170" t="inlineStr">
        <is>
          <t>30</t>
        </is>
      </c>
      <c r="X170" t="inlineStr">
        <is>
          <t>Guild_real_estate_master.csv</t>
        </is>
      </c>
    </row>
    <row r="171">
      <c r="A171" t="n">
        <v>170</v>
      </c>
      <c r="B171" t="n">
        <v>170</v>
      </c>
      <c r="C171" t="inlineStr">
        <is>
          <t>The Wilds</t>
        </is>
      </c>
      <c r="D171" t="inlineStr">
        <is>
          <t>Aldar Properties</t>
        </is>
      </c>
      <c r="E171" t="inlineStr">
        <is>
          <t>Athlon Community</t>
        </is>
      </c>
      <c r="F171" t="inlineStr">
        <is>
          <t>Villas</t>
        </is>
      </c>
      <c r="G171" t="inlineStr">
        <is>
          <t>Nature / Sports</t>
        </is>
      </c>
      <c r="H171" t="inlineStr">
        <is>
          <t>3.9M</t>
        </is>
      </c>
      <c r="I171" t="inlineStr">
        <is>
          <t>1500</t>
        </is>
      </c>
      <c r="J171" t="inlineStr">
        <is>
          <t>15</t>
        </is>
      </c>
      <c r="K171" t="inlineStr">
        <is>
          <t>50/50</t>
        </is>
      </c>
      <c r="L171" t="inlineStr">
        <is>
          <t>2024</t>
        </is>
      </c>
      <c r="M171" t="inlineStr">
        <is>
          <t>6.0-6.5</t>
        </is>
      </c>
      <c r="N171" t="inlineStr">
        <is>
          <t>10-12</t>
        </is>
      </c>
      <c r="O171" t="inlineStr">
        <is>
          <t>16.0-18.5</t>
        </is>
      </c>
      <c r="P171" t="inlineStr">
        <is>
          <t>GEMS Winchester</t>
        </is>
      </c>
      <c r="Q171" t="inlineStr">
        <is>
          <t>Fakeeh University Hosp</t>
        </is>
      </c>
      <c r="R171" t="inlineStr">
        <is>
          <t>Global Village</t>
        </is>
      </c>
      <c r="S171" t="inlineStr">
        <is>
          <t>E611 / Sheikh Zayed Bin Hamdan</t>
        </is>
      </c>
      <c r="T171" t="inlineStr">
        <is>
          <t>20</t>
        </is>
      </c>
      <c r="U171" t="inlineStr">
        <is>
          <t>25</t>
        </is>
      </c>
      <c r="V171" t="inlineStr">
        <is>
          <t>25</t>
        </is>
      </c>
      <c r="W171" t="inlineStr">
        <is>
          <t>30</t>
        </is>
      </c>
      <c r="X171" t="inlineStr">
        <is>
          <t>Guild_real_estate_master.csv</t>
        </is>
      </c>
    </row>
    <row r="172">
      <c r="A172" t="n">
        <v>171</v>
      </c>
      <c r="B172" t="n">
        <v>171</v>
      </c>
      <c r="C172" t="inlineStr">
        <is>
          <t>Nikki Beach Residences RAK</t>
        </is>
      </c>
      <c r="D172" t="inlineStr">
        <is>
          <t>Aldar Properties</t>
        </is>
      </c>
      <c r="E172" t="inlineStr">
        <is>
          <t>Ras Al Khaimah (Marjan)</t>
        </is>
      </c>
      <c r="F172" t="inlineStr">
        <is>
          <t>Apartments</t>
        </is>
      </c>
      <c r="G172" t="inlineStr">
        <is>
          <t>Beach / Resort</t>
        </is>
      </c>
      <c r="H172" t="inlineStr">
        <is>
          <t>2.0M</t>
        </is>
      </c>
      <c r="I172" t="inlineStr">
        <is>
          <t>2200</t>
        </is>
      </c>
      <c r="J172" t="inlineStr">
        <is>
          <t>TBA</t>
        </is>
      </c>
      <c r="K172" t="inlineStr">
        <is>
          <t>60/40</t>
        </is>
      </c>
      <c r="L172" t="inlineStr">
        <is>
          <t>2023</t>
        </is>
      </c>
      <c r="M172" t="inlineStr">
        <is>
          <t>6.5-7.5</t>
        </is>
      </c>
      <c r="N172" t="inlineStr">
        <is>
          <t>10-15</t>
        </is>
      </c>
      <c r="O172" t="inlineStr">
        <is>
          <t>16.5-22.5</t>
        </is>
      </c>
      <c r="P172" t="inlineStr">
        <is>
          <t>RAK Academy</t>
        </is>
      </c>
      <c r="Q172" t="inlineStr">
        <is>
          <t>RAK Hospital</t>
        </is>
      </c>
      <c r="R172" t="inlineStr">
        <is>
          <t>Al Hamra Mall</t>
        </is>
      </c>
      <c r="S172" t="inlineStr">
        <is>
          <t>E11 (RAK)</t>
        </is>
      </c>
      <c r="T172" t="inlineStr">
        <is>
          <t>60+</t>
        </is>
      </c>
      <c r="U172" t="inlineStr">
        <is>
          <t>60+</t>
        </is>
      </c>
      <c r="V172" t="inlineStr">
        <is>
          <t>50</t>
        </is>
      </c>
      <c r="W172" t="inlineStr">
        <is>
          <t>60+</t>
        </is>
      </c>
      <c r="X172" t="inlineStr">
        <is>
          <t>Guild_real_estate_master.csv</t>
        </is>
      </c>
    </row>
    <row r="173">
      <c r="A173" t="n">
        <v>172</v>
      </c>
      <c r="B173" t="n">
        <v>172</v>
      </c>
      <c r="C173" t="inlineStr">
        <is>
          <t>Rosso Bay (Dubai Marketed)</t>
        </is>
      </c>
      <c r="D173" t="inlineStr">
        <is>
          <t>Aldar Properties</t>
        </is>
      </c>
      <c r="E173" t="inlineStr">
        <is>
          <t>Ras Al Khaimah (Marjan)</t>
        </is>
      </c>
      <c r="F173" t="inlineStr">
        <is>
          <t>Apartments</t>
        </is>
      </c>
      <c r="G173" t="inlineStr">
        <is>
          <t>Beach / Resort</t>
        </is>
      </c>
      <c r="H173" t="inlineStr">
        <is>
          <t>1.8M</t>
        </is>
      </c>
      <c r="I173" t="inlineStr">
        <is>
          <t>2000</t>
        </is>
      </c>
      <c r="J173" t="inlineStr">
        <is>
          <t>TBA</t>
        </is>
      </c>
      <c r="K173" t="inlineStr">
        <is>
          <t>60/40</t>
        </is>
      </c>
      <c r="L173" t="inlineStr">
        <is>
          <t>2023</t>
        </is>
      </c>
      <c r="M173" t="inlineStr">
        <is>
          <t>6.5-7.5</t>
        </is>
      </c>
      <c r="N173" t="inlineStr">
        <is>
          <t>10-15</t>
        </is>
      </c>
      <c r="O173" t="inlineStr">
        <is>
          <t>16.5-22.5</t>
        </is>
      </c>
      <c r="P173" t="inlineStr">
        <is>
          <t>RAK Academy</t>
        </is>
      </c>
      <c r="Q173" t="inlineStr">
        <is>
          <t>RAK Hospital</t>
        </is>
      </c>
      <c r="R173" t="inlineStr">
        <is>
          <t>Al Hamra Mall</t>
        </is>
      </c>
      <c r="S173" t="inlineStr">
        <is>
          <t>E11 (RAK)</t>
        </is>
      </c>
      <c r="T173" t="inlineStr">
        <is>
          <t>60+</t>
        </is>
      </c>
      <c r="U173" t="inlineStr">
        <is>
          <t>60+</t>
        </is>
      </c>
      <c r="V173" t="inlineStr">
        <is>
          <t>50</t>
        </is>
      </c>
      <c r="W173" t="inlineStr">
        <is>
          <t>60+</t>
        </is>
      </c>
      <c r="X173" t="inlineStr">
        <is>
          <t>Guild_real_estate_master.csv</t>
        </is>
      </c>
    </row>
    <row r="174">
      <c r="A174" t="n">
        <v>173</v>
      </c>
      <c r="B174" t="n">
        <v>173</v>
      </c>
      <c r="C174" t="inlineStr">
        <is>
          <t>Sun City (Master Community)</t>
        </is>
      </c>
      <c r="D174" t="inlineStr">
        <is>
          <t>DAMAC Properties</t>
        </is>
      </c>
      <c r="E174" t="inlineStr">
        <is>
          <t>Dubailand (Cherrywoods)</t>
        </is>
      </c>
      <c r="F174" t="inlineStr">
        <is>
          <t>Townhouses (4/5 Bed)</t>
        </is>
      </c>
      <c r="G174" t="inlineStr">
        <is>
          <t>Wellness / Nature</t>
        </is>
      </c>
      <c r="H174" t="inlineStr">
        <is>
          <t>2.25M</t>
        </is>
      </c>
      <c r="I174" t="inlineStr">
        <is>
          <t>1000</t>
        </is>
      </c>
      <c r="J174" t="inlineStr">
        <is>
          <t>TBA</t>
        </is>
      </c>
      <c r="K174" t="inlineStr">
        <is>
          <t>75/25</t>
        </is>
      </c>
      <c r="L174" t="inlineStr">
        <is>
          <t>2024</t>
        </is>
      </c>
      <c r="M174" t="inlineStr">
        <is>
          <t>6.5-7.0</t>
        </is>
      </c>
      <c r="N174" t="inlineStr">
        <is>
          <t>12-15</t>
        </is>
      </c>
      <c r="O174" t="inlineStr">
        <is>
          <t>18.5-22.0</t>
        </is>
      </c>
      <c r="P174" t="inlineStr">
        <is>
          <t>Ranches Primary</t>
        </is>
      </c>
      <c r="Q174" t="inlineStr">
        <is>
          <t>King's College Hospital</t>
        </is>
      </c>
      <c r="R174" t="inlineStr">
        <is>
          <t>Dubai Hills Mall</t>
        </is>
      </c>
      <c r="S174" t="inlineStr">
        <is>
          <t>Al Qudra Rd</t>
        </is>
      </c>
      <c r="T174" t="inlineStr">
        <is>
          <t>25</t>
        </is>
      </c>
      <c r="U174" t="inlineStr">
        <is>
          <t>20</t>
        </is>
      </c>
      <c r="V174" t="inlineStr">
        <is>
          <t>30</t>
        </is>
      </c>
      <c r="W174" t="inlineStr">
        <is>
          <t>25</t>
        </is>
      </c>
      <c r="X174" t="inlineStr">
        <is>
          <t>Guild_real_estate_master.csv</t>
        </is>
      </c>
    </row>
    <row r="175">
      <c r="A175" t="n">
        <v>174</v>
      </c>
      <c r="B175" t="n">
        <v>174</v>
      </c>
      <c r="C175" t="inlineStr">
        <is>
          <t>Cherrywoods District</t>
        </is>
      </c>
      <c r="D175" t="inlineStr">
        <is>
          <t>DAMAC Properties</t>
        </is>
      </c>
      <c r="E175" t="inlineStr">
        <is>
          <t>Dubailand</t>
        </is>
      </c>
      <c r="F175" t="inlineStr">
        <is>
          <t>Townhouses</t>
        </is>
      </c>
      <c r="G175" t="inlineStr">
        <is>
          <t>Gated</t>
        </is>
      </c>
      <c r="H175" t="inlineStr">
        <is>
          <t>Resale</t>
        </is>
      </c>
      <c r="I175" t="inlineStr">
        <is>
          <t>1100</t>
        </is>
      </c>
      <c r="J175" t="inlineStr">
        <is>
          <t>TBA</t>
        </is>
      </c>
      <c r="K175" t="inlineStr">
        <is>
          <t>Completed</t>
        </is>
      </c>
      <c r="L175" t="inlineStr">
        <is>
          <t>2021</t>
        </is>
      </c>
      <c r="M175" t="inlineStr">
        <is>
          <t>6.5-7.0</t>
        </is>
      </c>
      <c r="N175" t="inlineStr">
        <is>
          <t>6-8</t>
        </is>
      </c>
      <c r="O175" t="inlineStr">
        <is>
          <t>12.5-15.0</t>
        </is>
      </c>
      <c r="P175" t="inlineStr">
        <is>
          <t>Ranches Primary</t>
        </is>
      </c>
      <c r="Q175" t="inlineStr">
        <is>
          <t>King's College Hospital</t>
        </is>
      </c>
      <c r="R175" t="inlineStr">
        <is>
          <t>Dubai Hills Mall</t>
        </is>
      </c>
      <c r="S175" t="inlineStr">
        <is>
          <t>Al Qudra Rd</t>
        </is>
      </c>
      <c r="T175" t="inlineStr">
        <is>
          <t>25</t>
        </is>
      </c>
      <c r="U175" t="inlineStr">
        <is>
          <t>20</t>
        </is>
      </c>
      <c r="V175" t="inlineStr">
        <is>
          <t>30</t>
        </is>
      </c>
      <c r="W175" t="inlineStr">
        <is>
          <t>25</t>
        </is>
      </c>
      <c r="X175" t="inlineStr">
        <is>
          <t>Guild_real_estate_master.csv</t>
        </is>
      </c>
    </row>
    <row r="176">
      <c r="A176" t="n">
        <v>175</v>
      </c>
      <c r="B176" t="n">
        <v>175</v>
      </c>
      <c r="C176" t="inlineStr">
        <is>
          <t>DAMAC Lagoons (Master Community)</t>
        </is>
      </c>
      <c r="D176" t="inlineStr">
        <is>
          <t>DAMAC Properties</t>
        </is>
      </c>
      <c r="E176" t="inlineStr">
        <is>
          <t>Hessa Street</t>
        </is>
      </c>
      <c r="F176" t="inlineStr">
        <is>
          <t>Townhouses &amp; Villas</t>
        </is>
      </c>
      <c r="G176" t="inlineStr">
        <is>
          <t>Water / Lagoon</t>
        </is>
      </c>
      <c r="J176" t="inlineStr">
        <is>
          <t>12-15</t>
        </is>
      </c>
      <c r="K176" t="inlineStr">
        <is>
          <t>Varies</t>
        </is>
      </c>
      <c r="L176" t="inlineStr">
        <is>
          <t>2021-2025</t>
        </is>
      </c>
      <c r="M176" t="inlineStr">
        <is>
          <t>6.0-7.0</t>
        </is>
      </c>
      <c r="N176" t="inlineStr">
        <is>
          <t>8-12</t>
        </is>
      </c>
      <c r="O176" t="inlineStr">
        <is>
          <t>14.0-19.0</t>
        </is>
      </c>
      <c r="P176" t="inlineStr">
        <is>
          <t>Royal Grammar</t>
        </is>
      </c>
      <c r="Q176" t="inlineStr">
        <is>
          <t>Mediclinic Parkview</t>
        </is>
      </c>
      <c r="R176" t="inlineStr">
        <is>
          <t>First Avenue Mall</t>
        </is>
      </c>
      <c r="S176" t="inlineStr">
        <is>
          <t>Hessa St / E611</t>
        </is>
      </c>
      <c r="T176" t="inlineStr">
        <is>
          <t>25</t>
        </is>
      </c>
      <c r="U176" t="inlineStr">
        <is>
          <t>20</t>
        </is>
      </c>
      <c r="V176" t="inlineStr">
        <is>
          <t>30</t>
        </is>
      </c>
      <c r="W176" t="inlineStr">
        <is>
          <t>25</t>
        </is>
      </c>
      <c r="X176" t="inlineStr">
        <is>
          <t>Guild_real_estate_master.csv</t>
        </is>
      </c>
    </row>
    <row r="177">
      <c r="A177" t="n">
        <v>176</v>
      </c>
      <c r="B177" t="n">
        <v>176</v>
      </c>
      <c r="C177" t="inlineStr">
        <is>
          <t>Venice</t>
        </is>
      </c>
      <c r="D177" t="inlineStr">
        <is>
          <t>DAMAC Properties</t>
        </is>
      </c>
      <c r="E177" t="inlineStr">
        <is>
          <t>DAMAC Lagoons</t>
        </is>
      </c>
      <c r="F177" t="inlineStr">
        <is>
          <t>Villas (Large)</t>
        </is>
      </c>
      <c r="G177" t="inlineStr">
        <is>
          <t>Water / Luxury</t>
        </is>
      </c>
      <c r="H177" t="inlineStr">
        <is>
          <t>5.5M</t>
        </is>
      </c>
      <c r="I177" t="inlineStr">
        <is>
          <t>1400</t>
        </is>
      </c>
      <c r="J177" t="inlineStr">
        <is>
          <t>15</t>
        </is>
      </c>
      <c r="K177" t="inlineStr">
        <is>
          <t>80/20</t>
        </is>
      </c>
      <c r="L177" t="inlineStr">
        <is>
          <t>2022</t>
        </is>
      </c>
      <c r="M177" t="inlineStr">
        <is>
          <t>5.5-6.0</t>
        </is>
      </c>
      <c r="N177" t="inlineStr">
        <is>
          <t>8-12</t>
        </is>
      </c>
      <c r="O177" t="inlineStr">
        <is>
          <t>13.5-18.0</t>
        </is>
      </c>
      <c r="P177" t="inlineStr">
        <is>
          <t>Royal Grammar</t>
        </is>
      </c>
      <c r="Q177" t="inlineStr">
        <is>
          <t>Mediclinic Parkview</t>
        </is>
      </c>
      <c r="R177" t="inlineStr">
        <is>
          <t>First Avenue Mall</t>
        </is>
      </c>
      <c r="S177" t="inlineStr">
        <is>
          <t>Hessa St / E611</t>
        </is>
      </c>
      <c r="T177" t="inlineStr">
        <is>
          <t>25</t>
        </is>
      </c>
      <c r="U177" t="inlineStr">
        <is>
          <t>20</t>
        </is>
      </c>
      <c r="V177" t="inlineStr">
        <is>
          <t>30</t>
        </is>
      </c>
      <c r="W177" t="inlineStr">
        <is>
          <t>25</t>
        </is>
      </c>
      <c r="X177" t="inlineStr">
        <is>
          <t>Guild_real_estate_master.csv</t>
        </is>
      </c>
    </row>
    <row r="178">
      <c r="A178" t="n">
        <v>177</v>
      </c>
      <c r="B178" t="n">
        <v>177</v>
      </c>
      <c r="C178" t="inlineStr">
        <is>
          <t>Morocco</t>
        </is>
      </c>
      <c r="D178" t="inlineStr">
        <is>
          <t>DAMAC Properties</t>
        </is>
      </c>
      <c r="E178" t="inlineStr">
        <is>
          <t>DAMAC Lagoons</t>
        </is>
      </c>
      <c r="F178" t="inlineStr">
        <is>
          <t>Townhouses &amp; Villas</t>
        </is>
      </c>
      <c r="G178" t="inlineStr">
        <is>
          <t>Water / Style</t>
        </is>
      </c>
      <c r="H178" t="inlineStr">
        <is>
          <t>2.8M</t>
        </is>
      </c>
      <c r="I178" t="inlineStr">
        <is>
          <t>1200</t>
        </is>
      </c>
      <c r="J178" t="inlineStr">
        <is>
          <t>15</t>
        </is>
      </c>
      <c r="K178" t="inlineStr">
        <is>
          <t>80/20</t>
        </is>
      </c>
      <c r="L178" t="inlineStr">
        <is>
          <t>2023</t>
        </is>
      </c>
      <c r="M178" t="inlineStr">
        <is>
          <t>6.0-6.5</t>
        </is>
      </c>
      <c r="N178" t="inlineStr">
        <is>
          <t>8-12</t>
        </is>
      </c>
      <c r="O178" t="inlineStr">
        <is>
          <t>14.0-18.5</t>
        </is>
      </c>
      <c r="P178" t="inlineStr">
        <is>
          <t>Royal Grammar</t>
        </is>
      </c>
      <c r="Q178" t="inlineStr">
        <is>
          <t>Mediclinic Parkview</t>
        </is>
      </c>
      <c r="R178" t="inlineStr">
        <is>
          <t>First Avenue Mall</t>
        </is>
      </c>
      <c r="S178" t="inlineStr">
        <is>
          <t>Hessa St / E611</t>
        </is>
      </c>
      <c r="T178" t="inlineStr">
        <is>
          <t>25</t>
        </is>
      </c>
      <c r="U178" t="inlineStr">
        <is>
          <t>20</t>
        </is>
      </c>
      <c r="V178" t="inlineStr">
        <is>
          <t>30</t>
        </is>
      </c>
      <c r="W178" t="inlineStr">
        <is>
          <t>25</t>
        </is>
      </c>
      <c r="X178" t="inlineStr">
        <is>
          <t>Guild_real_estate_master.csv</t>
        </is>
      </c>
    </row>
    <row r="179">
      <c r="A179" t="n">
        <v>178</v>
      </c>
      <c r="B179" t="n">
        <v>178</v>
      </c>
      <c r="C179" t="inlineStr">
        <is>
          <t>Mykonos</t>
        </is>
      </c>
      <c r="D179" t="inlineStr">
        <is>
          <t>DAMAC Properties</t>
        </is>
      </c>
      <c r="E179" t="inlineStr">
        <is>
          <t>DAMAC Lagoons</t>
        </is>
      </c>
      <c r="F179" t="inlineStr">
        <is>
          <t>Townhouses</t>
        </is>
      </c>
      <c r="G179" t="inlineStr">
        <is>
          <t>Water / Style</t>
        </is>
      </c>
      <c r="H179" t="inlineStr">
        <is>
          <t>2.5M</t>
        </is>
      </c>
      <c r="I179" t="inlineStr">
        <is>
          <t>1150</t>
        </is>
      </c>
      <c r="J179" t="inlineStr">
        <is>
          <t>15</t>
        </is>
      </c>
      <c r="K179" t="inlineStr">
        <is>
          <t>80/20</t>
        </is>
      </c>
      <c r="L179" t="inlineStr">
        <is>
          <t>2023</t>
        </is>
      </c>
      <c r="M179" t="inlineStr">
        <is>
          <t>6.0-6.5</t>
        </is>
      </c>
      <c r="N179" t="inlineStr">
        <is>
          <t>8-12</t>
        </is>
      </c>
      <c r="O179" t="inlineStr">
        <is>
          <t>14.0-18.5</t>
        </is>
      </c>
      <c r="P179" t="inlineStr">
        <is>
          <t>Royal Grammar</t>
        </is>
      </c>
      <c r="Q179" t="inlineStr">
        <is>
          <t>Mediclinic Parkview</t>
        </is>
      </c>
      <c r="R179" t="inlineStr">
        <is>
          <t>First Avenue Mall</t>
        </is>
      </c>
      <c r="S179" t="inlineStr">
        <is>
          <t>Hessa St / E611</t>
        </is>
      </c>
      <c r="T179" t="inlineStr">
        <is>
          <t>25</t>
        </is>
      </c>
      <c r="U179" t="inlineStr">
        <is>
          <t>20</t>
        </is>
      </c>
      <c r="V179" t="inlineStr">
        <is>
          <t>30</t>
        </is>
      </c>
      <c r="W179" t="inlineStr">
        <is>
          <t>25</t>
        </is>
      </c>
      <c r="X179" t="inlineStr">
        <is>
          <t>Guild_real_estate_master.csv</t>
        </is>
      </c>
    </row>
    <row r="180">
      <c r="A180" t="n">
        <v>179</v>
      </c>
      <c r="B180" t="n">
        <v>179</v>
      </c>
      <c r="C180" t="inlineStr">
        <is>
          <t>Santorini</t>
        </is>
      </c>
      <c r="D180" t="inlineStr">
        <is>
          <t>DAMAC Properties</t>
        </is>
      </c>
      <c r="E180" t="inlineStr">
        <is>
          <t>DAMAC Lagoons</t>
        </is>
      </c>
      <c r="F180" t="inlineStr">
        <is>
          <t>Townhouses</t>
        </is>
      </c>
      <c r="G180" t="inlineStr">
        <is>
          <t>Water / Style</t>
        </is>
      </c>
      <c r="H180" t="inlineStr">
        <is>
          <t>2.2M</t>
        </is>
      </c>
      <c r="I180" t="inlineStr">
        <is>
          <t>1100</t>
        </is>
      </c>
      <c r="J180" t="inlineStr">
        <is>
          <t>15</t>
        </is>
      </c>
      <c r="K180" t="inlineStr">
        <is>
          <t>80/20</t>
        </is>
      </c>
      <c r="L180" t="inlineStr">
        <is>
          <t>2021</t>
        </is>
      </c>
      <c r="M180" t="inlineStr">
        <is>
          <t>6.5-7.0</t>
        </is>
      </c>
      <c r="N180" t="inlineStr">
        <is>
          <t>8-12</t>
        </is>
      </c>
      <c r="O180" t="inlineStr">
        <is>
          <t>14.5-19.0</t>
        </is>
      </c>
      <c r="P180" t="inlineStr">
        <is>
          <t>Royal Grammar</t>
        </is>
      </c>
      <c r="Q180" t="inlineStr">
        <is>
          <t>Mediclinic Parkview</t>
        </is>
      </c>
      <c r="R180" t="inlineStr">
        <is>
          <t>First Avenue Mall</t>
        </is>
      </c>
      <c r="S180" t="inlineStr">
        <is>
          <t>Hessa St / E611</t>
        </is>
      </c>
      <c r="T180" t="inlineStr">
        <is>
          <t>25</t>
        </is>
      </c>
      <c r="U180" t="inlineStr">
        <is>
          <t>20</t>
        </is>
      </c>
      <c r="V180" t="inlineStr">
        <is>
          <t>30</t>
        </is>
      </c>
      <c r="W180" t="inlineStr">
        <is>
          <t>25</t>
        </is>
      </c>
      <c r="X180" t="inlineStr">
        <is>
          <t>Guild_real_estate_master.csv</t>
        </is>
      </c>
    </row>
    <row r="181">
      <c r="A181" t="n">
        <v>180</v>
      </c>
      <c r="B181" t="n">
        <v>180</v>
      </c>
      <c r="C181" t="inlineStr">
        <is>
          <t>Costa Brava</t>
        </is>
      </c>
      <c r="D181" t="inlineStr">
        <is>
          <t>DAMAC Properties</t>
        </is>
      </c>
      <c r="E181" t="inlineStr">
        <is>
          <t>DAMAC Lagoons</t>
        </is>
      </c>
      <c r="F181" t="inlineStr">
        <is>
          <t>Townhouses &amp; Villas</t>
        </is>
      </c>
      <c r="G181" t="inlineStr">
        <is>
          <t>Water / Style</t>
        </is>
      </c>
      <c r="H181" t="inlineStr">
        <is>
          <t>2.3M</t>
        </is>
      </c>
      <c r="I181" t="inlineStr">
        <is>
          <t>1100</t>
        </is>
      </c>
      <c r="J181" t="inlineStr">
        <is>
          <t>15</t>
        </is>
      </c>
      <c r="K181" t="inlineStr">
        <is>
          <t>80/20</t>
        </is>
      </c>
      <c r="L181" t="inlineStr">
        <is>
          <t>2022</t>
        </is>
      </c>
      <c r="M181" t="inlineStr">
        <is>
          <t>6.5-7.0</t>
        </is>
      </c>
      <c r="N181" t="inlineStr">
        <is>
          <t>8-12</t>
        </is>
      </c>
      <c r="O181" t="inlineStr">
        <is>
          <t>14.5-19.0</t>
        </is>
      </c>
      <c r="P181" t="inlineStr">
        <is>
          <t>Royal Grammar</t>
        </is>
      </c>
      <c r="Q181" t="inlineStr">
        <is>
          <t>Mediclinic Parkview</t>
        </is>
      </c>
      <c r="R181" t="inlineStr">
        <is>
          <t>First Avenue Mall</t>
        </is>
      </c>
      <c r="S181" t="inlineStr">
        <is>
          <t>Hessa St / E611</t>
        </is>
      </c>
      <c r="T181" t="inlineStr">
        <is>
          <t>25</t>
        </is>
      </c>
      <c r="U181" t="inlineStr">
        <is>
          <t>20</t>
        </is>
      </c>
      <c r="V181" t="inlineStr">
        <is>
          <t>30</t>
        </is>
      </c>
      <c r="W181" t="inlineStr">
        <is>
          <t>25</t>
        </is>
      </c>
      <c r="X181" t="inlineStr">
        <is>
          <t>Guild_real_estate_master.csv</t>
        </is>
      </c>
    </row>
    <row r="182">
      <c r="A182" t="n">
        <v>181</v>
      </c>
      <c r="B182" t="n">
        <v>181</v>
      </c>
      <c r="C182" t="inlineStr">
        <is>
          <t>Nice</t>
        </is>
      </c>
      <c r="D182" t="inlineStr">
        <is>
          <t>DAMAC Properties</t>
        </is>
      </c>
      <c r="E182" t="inlineStr">
        <is>
          <t>DAMAC Lagoons</t>
        </is>
      </c>
      <c r="F182" t="inlineStr">
        <is>
          <t>Townhouses</t>
        </is>
      </c>
      <c r="G182" t="inlineStr">
        <is>
          <t>Water / Style</t>
        </is>
      </c>
      <c r="H182" t="inlineStr">
        <is>
          <t>2.3M</t>
        </is>
      </c>
      <c r="I182" t="inlineStr">
        <is>
          <t>1100</t>
        </is>
      </c>
      <c r="J182" t="inlineStr">
        <is>
          <t>15</t>
        </is>
      </c>
      <c r="K182" t="inlineStr">
        <is>
          <t>80/20</t>
        </is>
      </c>
      <c r="L182" t="inlineStr">
        <is>
          <t>2022</t>
        </is>
      </c>
      <c r="M182" t="inlineStr">
        <is>
          <t>6.5-7.0</t>
        </is>
      </c>
      <c r="N182" t="inlineStr">
        <is>
          <t>8-12</t>
        </is>
      </c>
      <c r="O182" t="inlineStr">
        <is>
          <t>14.5-19.0</t>
        </is>
      </c>
      <c r="P182" t="inlineStr">
        <is>
          <t>Royal Grammar</t>
        </is>
      </c>
      <c r="Q182" t="inlineStr">
        <is>
          <t>Mediclinic Parkview</t>
        </is>
      </c>
      <c r="R182" t="inlineStr">
        <is>
          <t>First Avenue Mall</t>
        </is>
      </c>
      <c r="S182" t="inlineStr">
        <is>
          <t>Hessa St / E611</t>
        </is>
      </c>
      <c r="T182" t="inlineStr">
        <is>
          <t>25</t>
        </is>
      </c>
      <c r="U182" t="inlineStr">
        <is>
          <t>20</t>
        </is>
      </c>
      <c r="V182" t="inlineStr">
        <is>
          <t>30</t>
        </is>
      </c>
      <c r="W182" t="inlineStr">
        <is>
          <t>25</t>
        </is>
      </c>
      <c r="X182" t="inlineStr">
        <is>
          <t>Guild_real_estate_master.csv</t>
        </is>
      </c>
    </row>
    <row r="183">
      <c r="A183" t="n">
        <v>182</v>
      </c>
      <c r="B183" t="n">
        <v>182</v>
      </c>
      <c r="C183" t="inlineStr">
        <is>
          <t>Malta</t>
        </is>
      </c>
      <c r="D183" t="inlineStr">
        <is>
          <t>DAMAC Properties</t>
        </is>
      </c>
      <c r="E183" t="inlineStr">
        <is>
          <t>DAMAC Lagoons</t>
        </is>
      </c>
      <c r="F183" t="inlineStr">
        <is>
          <t>Townhouses</t>
        </is>
      </c>
      <c r="G183" t="inlineStr">
        <is>
          <t>Water / Learning</t>
        </is>
      </c>
      <c r="H183" t="inlineStr">
        <is>
          <t>2.4M</t>
        </is>
      </c>
      <c r="I183" t="inlineStr">
        <is>
          <t>1100</t>
        </is>
      </c>
      <c r="J183" t="inlineStr">
        <is>
          <t>15</t>
        </is>
      </c>
      <c r="K183" t="inlineStr">
        <is>
          <t>80/20</t>
        </is>
      </c>
      <c r="L183" t="inlineStr">
        <is>
          <t>2022</t>
        </is>
      </c>
      <c r="M183" t="inlineStr">
        <is>
          <t>6.5-7.0</t>
        </is>
      </c>
      <c r="N183" t="inlineStr">
        <is>
          <t>8-12</t>
        </is>
      </c>
      <c r="O183" t="inlineStr">
        <is>
          <t>14.5-19.0</t>
        </is>
      </c>
      <c r="P183" t="inlineStr">
        <is>
          <t>Royal Grammar</t>
        </is>
      </c>
      <c r="Q183" t="inlineStr">
        <is>
          <t>Mediclinic Parkview</t>
        </is>
      </c>
      <c r="R183" t="inlineStr">
        <is>
          <t>First Avenue Mall</t>
        </is>
      </c>
      <c r="S183" t="inlineStr">
        <is>
          <t>Hessa St / E611</t>
        </is>
      </c>
      <c r="T183" t="inlineStr">
        <is>
          <t>25</t>
        </is>
      </c>
      <c r="U183" t="inlineStr">
        <is>
          <t>20</t>
        </is>
      </c>
      <c r="V183" t="inlineStr">
        <is>
          <t>30</t>
        </is>
      </c>
      <c r="W183" t="inlineStr">
        <is>
          <t>25</t>
        </is>
      </c>
      <c r="X183" t="inlineStr">
        <is>
          <t>Guild_real_estate_master.csv</t>
        </is>
      </c>
    </row>
    <row r="184">
      <c r="A184" t="n">
        <v>183</v>
      </c>
      <c r="B184" t="n">
        <v>183</v>
      </c>
      <c r="C184" t="inlineStr">
        <is>
          <t>Portofino</t>
        </is>
      </c>
      <c r="D184" t="inlineStr">
        <is>
          <t>DAMAC Properties</t>
        </is>
      </c>
      <c r="E184" t="inlineStr">
        <is>
          <t>DAMAC Lagoons</t>
        </is>
      </c>
      <c r="F184" t="inlineStr">
        <is>
          <t>Townhouses</t>
        </is>
      </c>
      <c r="G184" t="inlineStr">
        <is>
          <t>Water / Work</t>
        </is>
      </c>
      <c r="H184" t="inlineStr">
        <is>
          <t>2.4M</t>
        </is>
      </c>
      <c r="I184" t="inlineStr">
        <is>
          <t>1100</t>
        </is>
      </c>
      <c r="J184" t="inlineStr">
        <is>
          <t>15</t>
        </is>
      </c>
      <c r="K184" t="inlineStr">
        <is>
          <t>80/20</t>
        </is>
      </c>
      <c r="L184" t="inlineStr">
        <is>
          <t>2022</t>
        </is>
      </c>
      <c r="M184" t="inlineStr">
        <is>
          <t>6.5-7.0</t>
        </is>
      </c>
      <c r="N184" t="inlineStr">
        <is>
          <t>8-12</t>
        </is>
      </c>
      <c r="O184" t="inlineStr">
        <is>
          <t>14.5-19.0</t>
        </is>
      </c>
      <c r="P184" t="inlineStr">
        <is>
          <t>Royal Grammar</t>
        </is>
      </c>
      <c r="Q184" t="inlineStr">
        <is>
          <t>Mediclinic Parkview</t>
        </is>
      </c>
      <c r="R184" t="inlineStr">
        <is>
          <t>First Avenue Mall</t>
        </is>
      </c>
      <c r="S184" t="inlineStr">
        <is>
          <t>Hessa St / E611</t>
        </is>
      </c>
      <c r="T184" t="inlineStr">
        <is>
          <t>25</t>
        </is>
      </c>
      <c r="U184" t="inlineStr">
        <is>
          <t>20</t>
        </is>
      </c>
      <c r="V184" t="inlineStr">
        <is>
          <t>30</t>
        </is>
      </c>
      <c r="W184" t="inlineStr">
        <is>
          <t>25</t>
        </is>
      </c>
      <c r="X184" t="inlineStr">
        <is>
          <t>Guild_real_estate_master.csv</t>
        </is>
      </c>
    </row>
    <row r="185">
      <c r="A185" t="n">
        <v>184</v>
      </c>
      <c r="B185" t="n">
        <v>184</v>
      </c>
      <c r="C185" t="inlineStr">
        <is>
          <t>Ibiza</t>
        </is>
      </c>
      <c r="D185" t="inlineStr">
        <is>
          <t>DAMAC Properties</t>
        </is>
      </c>
      <c r="E185" t="inlineStr">
        <is>
          <t>DAMAC Lagoons</t>
        </is>
      </c>
      <c r="F185" t="inlineStr">
        <is>
          <t>Townhouses</t>
        </is>
      </c>
      <c r="G185" t="inlineStr">
        <is>
          <t>Water / Party</t>
        </is>
      </c>
      <c r="H185" t="inlineStr">
        <is>
          <t>2.5M</t>
        </is>
      </c>
      <c r="I185" t="inlineStr">
        <is>
          <t>1150</t>
        </is>
      </c>
      <c r="J185" t="inlineStr">
        <is>
          <t>15</t>
        </is>
      </c>
      <c r="K185" t="inlineStr">
        <is>
          <t>80/20</t>
        </is>
      </c>
      <c r="L185" t="inlineStr">
        <is>
          <t>2023</t>
        </is>
      </c>
      <c r="M185" t="inlineStr">
        <is>
          <t>6.0-6.5</t>
        </is>
      </c>
      <c r="N185" t="inlineStr">
        <is>
          <t>8-12</t>
        </is>
      </c>
      <c r="O185" t="inlineStr">
        <is>
          <t>14.0-18.5</t>
        </is>
      </c>
      <c r="P185" t="inlineStr">
        <is>
          <t>Royal Grammar</t>
        </is>
      </c>
      <c r="Q185" t="inlineStr">
        <is>
          <t>Mediclinic Parkview</t>
        </is>
      </c>
      <c r="R185" t="inlineStr">
        <is>
          <t>First Avenue Mall</t>
        </is>
      </c>
      <c r="S185" t="inlineStr">
        <is>
          <t>Hessa St / E611</t>
        </is>
      </c>
      <c r="T185" t="inlineStr">
        <is>
          <t>25</t>
        </is>
      </c>
      <c r="U185" t="inlineStr">
        <is>
          <t>20</t>
        </is>
      </c>
      <c r="V185" t="inlineStr">
        <is>
          <t>30</t>
        </is>
      </c>
      <c r="W185" t="inlineStr">
        <is>
          <t>25</t>
        </is>
      </c>
      <c r="X185" t="inlineStr">
        <is>
          <t>Guild_real_estate_master.csv</t>
        </is>
      </c>
    </row>
    <row r="186">
      <c r="A186" t="n">
        <v>185</v>
      </c>
      <c r="B186" t="n">
        <v>185</v>
      </c>
      <c r="C186" t="inlineStr">
        <is>
          <t>Monte Carlo</t>
        </is>
      </c>
      <c r="D186" t="inlineStr">
        <is>
          <t>DAMAC Properties</t>
        </is>
      </c>
      <c r="E186" t="inlineStr">
        <is>
          <t>DAMAC Lagoons</t>
        </is>
      </c>
      <c r="F186" t="inlineStr">
        <is>
          <t>Townhouses</t>
        </is>
      </c>
      <c r="G186" t="inlineStr">
        <is>
          <t>Water / Luxury</t>
        </is>
      </c>
      <c r="H186" t="inlineStr">
        <is>
          <t>2.6M</t>
        </is>
      </c>
      <c r="I186" t="inlineStr">
        <is>
          <t>1200</t>
        </is>
      </c>
      <c r="J186" t="inlineStr">
        <is>
          <t>15</t>
        </is>
      </c>
      <c r="K186" t="inlineStr">
        <is>
          <t>80/20</t>
        </is>
      </c>
      <c r="L186" t="inlineStr">
        <is>
          <t>2023</t>
        </is>
      </c>
      <c r="M186" t="inlineStr">
        <is>
          <t>6.0-6.5</t>
        </is>
      </c>
      <c r="N186" t="inlineStr">
        <is>
          <t>8-12</t>
        </is>
      </c>
      <c r="O186" t="inlineStr">
        <is>
          <t>14.0-18.5</t>
        </is>
      </c>
      <c r="P186" t="inlineStr">
        <is>
          <t>Royal Grammar</t>
        </is>
      </c>
      <c r="Q186" t="inlineStr">
        <is>
          <t>Mediclinic Parkview</t>
        </is>
      </c>
      <c r="R186" t="inlineStr">
        <is>
          <t>First Avenue Mall</t>
        </is>
      </c>
      <c r="S186" t="inlineStr">
        <is>
          <t>Hessa St / E611</t>
        </is>
      </c>
      <c r="T186" t="inlineStr">
        <is>
          <t>25</t>
        </is>
      </c>
      <c r="U186" t="inlineStr">
        <is>
          <t>20</t>
        </is>
      </c>
      <c r="V186" t="inlineStr">
        <is>
          <t>30</t>
        </is>
      </c>
      <c r="W186" t="inlineStr">
        <is>
          <t>25</t>
        </is>
      </c>
      <c r="X186" t="inlineStr">
        <is>
          <t>Guild_real_estate_master.csv</t>
        </is>
      </c>
    </row>
    <row r="187">
      <c r="A187" t="n">
        <v>186</v>
      </c>
      <c r="B187" t="n">
        <v>186</v>
      </c>
      <c r="C187" t="inlineStr">
        <is>
          <t>Marbella</t>
        </is>
      </c>
      <c r="D187" t="inlineStr">
        <is>
          <t>DAMAC Properties</t>
        </is>
      </c>
      <c r="E187" t="inlineStr">
        <is>
          <t>DAMAC Lagoons</t>
        </is>
      </c>
      <c r="F187" t="inlineStr">
        <is>
          <t>Townhouses</t>
        </is>
      </c>
      <c r="G187" t="inlineStr">
        <is>
          <t>Water / Luxury</t>
        </is>
      </c>
      <c r="H187" t="inlineStr">
        <is>
          <t>2.7M</t>
        </is>
      </c>
      <c r="I187" t="inlineStr">
        <is>
          <t>1200</t>
        </is>
      </c>
      <c r="J187" t="inlineStr">
        <is>
          <t>15</t>
        </is>
      </c>
      <c r="K187" t="inlineStr">
        <is>
          <t>80/20</t>
        </is>
      </c>
      <c r="L187" t="inlineStr">
        <is>
          <t>2023</t>
        </is>
      </c>
      <c r="M187" t="inlineStr">
        <is>
          <t>6.0-6.5</t>
        </is>
      </c>
      <c r="N187" t="inlineStr">
        <is>
          <t>8-12</t>
        </is>
      </c>
      <c r="O187" t="inlineStr">
        <is>
          <t>14.0-18.5</t>
        </is>
      </c>
      <c r="P187" t="inlineStr">
        <is>
          <t>Royal Grammar</t>
        </is>
      </c>
      <c r="Q187" t="inlineStr">
        <is>
          <t>Mediclinic Parkview</t>
        </is>
      </c>
      <c r="R187" t="inlineStr">
        <is>
          <t>First Avenue Mall</t>
        </is>
      </c>
      <c r="S187" t="inlineStr">
        <is>
          <t>Hessa St / E611</t>
        </is>
      </c>
      <c r="T187" t="inlineStr">
        <is>
          <t>25</t>
        </is>
      </c>
      <c r="U187" t="inlineStr">
        <is>
          <t>20</t>
        </is>
      </c>
      <c r="V187" t="inlineStr">
        <is>
          <t>30</t>
        </is>
      </c>
      <c r="W187" t="inlineStr">
        <is>
          <t>25</t>
        </is>
      </c>
      <c r="X187" t="inlineStr">
        <is>
          <t>Guild_real_estate_master.csv</t>
        </is>
      </c>
    </row>
    <row r="188">
      <c r="A188" t="n">
        <v>187</v>
      </c>
      <c r="B188" t="n">
        <v>187</v>
      </c>
      <c r="C188" t="inlineStr">
        <is>
          <t>DAMAC Hills 2 (Master Community)</t>
        </is>
      </c>
      <c r="D188" t="inlineStr">
        <is>
          <t>DAMAC Properties</t>
        </is>
      </c>
      <c r="E188" t="inlineStr">
        <is>
          <t>Al Qudra Road</t>
        </is>
      </c>
      <c r="F188" t="inlineStr">
        <is>
          <t>Mixed</t>
        </is>
      </c>
      <c r="G188" t="inlineStr">
        <is>
          <t>Budget / Family</t>
        </is>
      </c>
      <c r="J188" t="inlineStr">
        <is>
          <t>8-10</t>
        </is>
      </c>
      <c r="K188" t="inlineStr">
        <is>
          <t>Varies</t>
        </is>
      </c>
      <c r="L188" t="inlineStr">
        <is>
          <t>Ongoing</t>
        </is>
      </c>
      <c r="M188" t="inlineStr">
        <is>
          <t>7.0-8.0</t>
        </is>
      </c>
      <c r="N188" t="inlineStr">
        <is>
          <t>6-9</t>
        </is>
      </c>
      <c r="O188" t="inlineStr">
        <is>
          <t>13.0-17.0</t>
        </is>
      </c>
      <c r="P188" t="inlineStr">
        <is>
          <t>The Aquila School</t>
        </is>
      </c>
      <c r="Q188" t="inlineStr">
        <is>
          <t>Saudi German Hospital</t>
        </is>
      </c>
      <c r="R188" t="inlineStr">
        <is>
          <t>Dubai Outlet Mall</t>
        </is>
      </c>
      <c r="S188" t="inlineStr">
        <is>
          <t>Al Qudra / E77</t>
        </is>
      </c>
      <c r="T188" t="inlineStr">
        <is>
          <t>35</t>
        </is>
      </c>
      <c r="U188" t="inlineStr">
        <is>
          <t>40</t>
        </is>
      </c>
      <c r="V188" t="inlineStr">
        <is>
          <t>40</t>
        </is>
      </c>
      <c r="W188" t="inlineStr">
        <is>
          <t>35</t>
        </is>
      </c>
      <c r="X188" t="inlineStr">
        <is>
          <t>Guild_real_estate_master.csv</t>
        </is>
      </c>
    </row>
    <row r="189">
      <c r="A189" t="n">
        <v>188</v>
      </c>
      <c r="B189" t="n">
        <v>188</v>
      </c>
      <c r="C189" t="inlineStr">
        <is>
          <t>Violet Phase 1</t>
        </is>
      </c>
      <c r="D189" t="inlineStr">
        <is>
          <t>DAMAC Properties</t>
        </is>
      </c>
      <c r="E189" t="inlineStr">
        <is>
          <t>DAMAC Hills 2</t>
        </is>
      </c>
      <c r="F189" t="inlineStr">
        <is>
          <t>Townhouses</t>
        </is>
      </c>
      <c r="G189" t="inlineStr">
        <is>
          <t>Flower / Nature</t>
        </is>
      </c>
      <c r="H189" t="inlineStr">
        <is>
          <t>1.2M</t>
        </is>
      </c>
      <c r="I189" t="inlineStr">
        <is>
          <t>800</t>
        </is>
      </c>
      <c r="J189" t="inlineStr">
        <is>
          <t>10</t>
        </is>
      </c>
      <c r="K189" t="inlineStr">
        <is>
          <t>60/40</t>
        </is>
      </c>
      <c r="L189" t="inlineStr">
        <is>
          <t>2024</t>
        </is>
      </c>
      <c r="M189" t="inlineStr">
        <is>
          <t>7.0-7.5</t>
        </is>
      </c>
      <c r="N189" t="inlineStr">
        <is>
          <t>8-10</t>
        </is>
      </c>
      <c r="O189" t="inlineStr">
        <is>
          <t>15.0-17.5</t>
        </is>
      </c>
      <c r="P189" t="inlineStr">
        <is>
          <t>The Aquila School</t>
        </is>
      </c>
      <c r="Q189" t="inlineStr">
        <is>
          <t>Saudi German Hospital</t>
        </is>
      </c>
      <c r="R189" t="inlineStr">
        <is>
          <t>Dubai Outlet Mall</t>
        </is>
      </c>
      <c r="S189" t="inlineStr">
        <is>
          <t>Al Qudra / E77</t>
        </is>
      </c>
      <c r="T189" t="inlineStr">
        <is>
          <t>35</t>
        </is>
      </c>
      <c r="U189" t="inlineStr">
        <is>
          <t>40</t>
        </is>
      </c>
      <c r="V189" t="inlineStr">
        <is>
          <t>40</t>
        </is>
      </c>
      <c r="W189" t="inlineStr">
        <is>
          <t>35</t>
        </is>
      </c>
      <c r="X189" t="inlineStr">
        <is>
          <t>Guild_real_estate_master.csv</t>
        </is>
      </c>
    </row>
    <row r="190">
      <c r="A190" t="n">
        <v>189</v>
      </c>
      <c r="B190" t="n">
        <v>189</v>
      </c>
      <c r="C190" t="inlineStr">
        <is>
          <t>Violet Phase 2</t>
        </is>
      </c>
      <c r="D190" t="inlineStr">
        <is>
          <t>DAMAC Properties</t>
        </is>
      </c>
      <c r="E190" t="inlineStr">
        <is>
          <t>DAMAC Hills 2</t>
        </is>
      </c>
      <c r="F190" t="inlineStr">
        <is>
          <t>Townhouses</t>
        </is>
      </c>
      <c r="G190" t="inlineStr">
        <is>
          <t>Flower / Nature</t>
        </is>
      </c>
      <c r="H190" t="inlineStr">
        <is>
          <t>1.3M</t>
        </is>
      </c>
      <c r="I190" t="inlineStr">
        <is>
          <t>850</t>
        </is>
      </c>
      <c r="J190" t="inlineStr">
        <is>
          <t>10</t>
        </is>
      </c>
      <c r="K190" t="inlineStr">
        <is>
          <t>60/40</t>
        </is>
      </c>
      <c r="L190" t="inlineStr">
        <is>
          <t>2024</t>
        </is>
      </c>
      <c r="M190" t="inlineStr">
        <is>
          <t>7.0-7.5</t>
        </is>
      </c>
      <c r="N190" t="inlineStr">
        <is>
          <t>8-10</t>
        </is>
      </c>
      <c r="O190" t="inlineStr">
        <is>
          <t>15.0-17.5</t>
        </is>
      </c>
      <c r="P190" t="inlineStr">
        <is>
          <t>The Aquila School</t>
        </is>
      </c>
      <c r="Q190" t="inlineStr">
        <is>
          <t>Saudi German Hospital</t>
        </is>
      </c>
      <c r="R190" t="inlineStr">
        <is>
          <t>Dubai Outlet Mall</t>
        </is>
      </c>
      <c r="S190" t="inlineStr">
        <is>
          <t>Al Qudra / E77</t>
        </is>
      </c>
      <c r="T190" t="inlineStr">
        <is>
          <t>35</t>
        </is>
      </c>
      <c r="U190" t="inlineStr">
        <is>
          <t>40</t>
        </is>
      </c>
      <c r="V190" t="inlineStr">
        <is>
          <t>40</t>
        </is>
      </c>
      <c r="W190" t="inlineStr">
        <is>
          <t>35</t>
        </is>
      </c>
      <c r="X190" t="inlineStr">
        <is>
          <t>Guild_real_estate_master.csv</t>
        </is>
      </c>
    </row>
    <row r="191">
      <c r="A191" t="n">
        <v>190</v>
      </c>
      <c r="B191" t="n">
        <v>190</v>
      </c>
      <c r="C191" t="inlineStr">
        <is>
          <t>Violet Phase 3</t>
        </is>
      </c>
      <c r="D191" t="inlineStr">
        <is>
          <t>DAMAC Properties</t>
        </is>
      </c>
      <c r="E191" t="inlineStr">
        <is>
          <t>DAMAC Hills 2</t>
        </is>
      </c>
      <c r="F191" t="inlineStr">
        <is>
          <t>Townhouses</t>
        </is>
      </c>
      <c r="G191" t="inlineStr">
        <is>
          <t>Flower / Nature</t>
        </is>
      </c>
      <c r="H191" t="inlineStr">
        <is>
          <t>1.35M</t>
        </is>
      </c>
      <c r="I191" t="inlineStr">
        <is>
          <t>850</t>
        </is>
      </c>
      <c r="J191" t="inlineStr">
        <is>
          <t>10</t>
        </is>
      </c>
      <c r="K191" t="inlineStr">
        <is>
          <t>60/40</t>
        </is>
      </c>
      <c r="L191" t="inlineStr">
        <is>
          <t>2024</t>
        </is>
      </c>
      <c r="M191" t="inlineStr">
        <is>
          <t>7.0-7.5</t>
        </is>
      </c>
      <c r="N191" t="inlineStr">
        <is>
          <t>8-10</t>
        </is>
      </c>
      <c r="O191" t="inlineStr">
        <is>
          <t>15.0-17.5</t>
        </is>
      </c>
      <c r="P191" t="inlineStr">
        <is>
          <t>The Aquila School</t>
        </is>
      </c>
      <c r="Q191" t="inlineStr">
        <is>
          <t>Saudi German Hospital</t>
        </is>
      </c>
      <c r="R191" t="inlineStr">
        <is>
          <t>Dubai Outlet Mall</t>
        </is>
      </c>
      <c r="S191" t="inlineStr">
        <is>
          <t>Al Qudra / E77</t>
        </is>
      </c>
      <c r="T191" t="inlineStr">
        <is>
          <t>35</t>
        </is>
      </c>
      <c r="U191" t="inlineStr">
        <is>
          <t>40</t>
        </is>
      </c>
      <c r="V191" t="inlineStr">
        <is>
          <t>40</t>
        </is>
      </c>
      <c r="W191" t="inlineStr">
        <is>
          <t>35</t>
        </is>
      </c>
      <c r="X191" t="inlineStr">
        <is>
          <t>Guild_real_estate_master.csv</t>
        </is>
      </c>
    </row>
    <row r="192">
      <c r="A192" t="n">
        <v>191</v>
      </c>
      <c r="B192" t="n">
        <v>191</v>
      </c>
      <c r="C192" t="inlineStr">
        <is>
          <t>Elo 1</t>
        </is>
      </c>
      <c r="D192" t="inlineStr">
        <is>
          <t>DAMAC Properties</t>
        </is>
      </c>
      <c r="E192" t="inlineStr">
        <is>
          <t>DAMAC Hills 2</t>
        </is>
      </c>
      <c r="F192" t="inlineStr">
        <is>
          <t>Apartments</t>
        </is>
      </c>
      <c r="G192" t="inlineStr">
        <is>
          <t>Budget / High-Rise</t>
        </is>
      </c>
      <c r="H192" t="inlineStr">
        <is>
          <t>600k</t>
        </is>
      </c>
      <c r="I192" t="inlineStr">
        <is>
          <t>900</t>
        </is>
      </c>
      <c r="J192" t="inlineStr">
        <is>
          <t>12</t>
        </is>
      </c>
      <c r="K192" t="inlineStr">
        <is>
          <t>70/30</t>
        </is>
      </c>
      <c r="L192" t="inlineStr">
        <is>
          <t>2024</t>
        </is>
      </c>
      <c r="M192" t="inlineStr">
        <is>
          <t>8.0-8.5</t>
        </is>
      </c>
      <c r="N192" t="inlineStr">
        <is>
          <t>6-9</t>
        </is>
      </c>
      <c r="O192" t="inlineStr">
        <is>
          <t>14.0-17.5</t>
        </is>
      </c>
      <c r="P192" t="inlineStr">
        <is>
          <t>The Aquila School</t>
        </is>
      </c>
      <c r="Q192" t="inlineStr">
        <is>
          <t>Saudi German Hospital</t>
        </is>
      </c>
      <c r="R192" t="inlineStr">
        <is>
          <t>Dubai Outlet Mall</t>
        </is>
      </c>
      <c r="S192" t="inlineStr">
        <is>
          <t>Al Qudra / E77</t>
        </is>
      </c>
      <c r="T192" t="inlineStr">
        <is>
          <t>35</t>
        </is>
      </c>
      <c r="U192" t="inlineStr">
        <is>
          <t>40</t>
        </is>
      </c>
      <c r="V192" t="inlineStr">
        <is>
          <t>40</t>
        </is>
      </c>
      <c r="W192" t="inlineStr">
        <is>
          <t>35</t>
        </is>
      </c>
      <c r="X192" t="inlineStr">
        <is>
          <t>Guild_real_estate_master.csv</t>
        </is>
      </c>
    </row>
    <row r="193">
      <c r="A193" t="n">
        <v>192</v>
      </c>
      <c r="B193" t="n">
        <v>192</v>
      </c>
      <c r="C193" t="inlineStr">
        <is>
          <t>Elo 2</t>
        </is>
      </c>
      <c r="D193" t="inlineStr">
        <is>
          <t>DAMAC Properties</t>
        </is>
      </c>
      <c r="E193" t="inlineStr">
        <is>
          <t>DAMAC Hills 2</t>
        </is>
      </c>
      <c r="F193" t="inlineStr">
        <is>
          <t>Apartments</t>
        </is>
      </c>
      <c r="G193" t="inlineStr">
        <is>
          <t>Budget / High-Rise</t>
        </is>
      </c>
      <c r="H193" t="inlineStr">
        <is>
          <t>620k</t>
        </is>
      </c>
      <c r="I193" t="inlineStr">
        <is>
          <t>900</t>
        </is>
      </c>
      <c r="J193" t="inlineStr">
        <is>
          <t>12</t>
        </is>
      </c>
      <c r="K193" t="inlineStr">
        <is>
          <t>70/30</t>
        </is>
      </c>
      <c r="L193" t="inlineStr">
        <is>
          <t>2024</t>
        </is>
      </c>
      <c r="M193" t="inlineStr">
        <is>
          <t>8.0-8.5</t>
        </is>
      </c>
      <c r="N193" t="inlineStr">
        <is>
          <t>6-9</t>
        </is>
      </c>
      <c r="O193" t="inlineStr">
        <is>
          <t>14.0-17.5</t>
        </is>
      </c>
      <c r="P193" t="inlineStr">
        <is>
          <t>The Aquila School</t>
        </is>
      </c>
      <c r="Q193" t="inlineStr">
        <is>
          <t>Saudi German Hospital</t>
        </is>
      </c>
      <c r="R193" t="inlineStr">
        <is>
          <t>Dubai Outlet Mall</t>
        </is>
      </c>
      <c r="S193" t="inlineStr">
        <is>
          <t>Al Qudra / E77</t>
        </is>
      </c>
      <c r="T193" t="inlineStr">
        <is>
          <t>35</t>
        </is>
      </c>
      <c r="U193" t="inlineStr">
        <is>
          <t>40</t>
        </is>
      </c>
      <c r="V193" t="inlineStr">
        <is>
          <t>40</t>
        </is>
      </c>
      <c r="W193" t="inlineStr">
        <is>
          <t>35</t>
        </is>
      </c>
      <c r="X193" t="inlineStr">
        <is>
          <t>Guild_real_estate_master.csv</t>
        </is>
      </c>
    </row>
    <row r="194">
      <c r="A194" t="n">
        <v>193</v>
      </c>
      <c r="B194" t="n">
        <v>193</v>
      </c>
      <c r="C194" t="inlineStr">
        <is>
          <t>Elo 3</t>
        </is>
      </c>
      <c r="D194" t="inlineStr">
        <is>
          <t>DAMAC Properties</t>
        </is>
      </c>
      <c r="E194" t="inlineStr">
        <is>
          <t>DAMAC Hills 2</t>
        </is>
      </c>
      <c r="F194" t="inlineStr">
        <is>
          <t>Apartments</t>
        </is>
      </c>
      <c r="G194" t="inlineStr">
        <is>
          <t>Budget / High-Rise</t>
        </is>
      </c>
      <c r="H194" t="inlineStr">
        <is>
          <t>650k</t>
        </is>
      </c>
      <c r="I194" t="inlineStr">
        <is>
          <t>900</t>
        </is>
      </c>
      <c r="J194" t="inlineStr">
        <is>
          <t>12</t>
        </is>
      </c>
      <c r="K194" t="inlineStr">
        <is>
          <t>70/30</t>
        </is>
      </c>
      <c r="L194" t="inlineStr">
        <is>
          <t>2024</t>
        </is>
      </c>
      <c r="M194" t="inlineStr">
        <is>
          <t>8.0-8.5</t>
        </is>
      </c>
      <c r="N194" t="inlineStr">
        <is>
          <t>6-9</t>
        </is>
      </c>
      <c r="O194" t="inlineStr">
        <is>
          <t>14.0-17.5</t>
        </is>
      </c>
      <c r="P194" t="inlineStr">
        <is>
          <t>The Aquila School</t>
        </is>
      </c>
      <c r="Q194" t="inlineStr">
        <is>
          <t>Saudi German Hospital</t>
        </is>
      </c>
      <c r="R194" t="inlineStr">
        <is>
          <t>Dubai Outlet Mall</t>
        </is>
      </c>
      <c r="S194" t="inlineStr">
        <is>
          <t>Al Qudra / E77</t>
        </is>
      </c>
      <c r="T194" t="inlineStr">
        <is>
          <t>35</t>
        </is>
      </c>
      <c r="U194" t="inlineStr">
        <is>
          <t>40</t>
        </is>
      </c>
      <c r="V194" t="inlineStr">
        <is>
          <t>40</t>
        </is>
      </c>
      <c r="W194" t="inlineStr">
        <is>
          <t>35</t>
        </is>
      </c>
      <c r="X194" t="inlineStr">
        <is>
          <t>Guild_real_estate_master.csv</t>
        </is>
      </c>
    </row>
    <row r="195">
      <c r="A195" t="n">
        <v>194</v>
      </c>
      <c r="B195" t="n">
        <v>194</v>
      </c>
      <c r="C195" t="inlineStr">
        <is>
          <t>Park Greens</t>
        </is>
      </c>
      <c r="D195" t="inlineStr">
        <is>
          <t>DAMAC Properties</t>
        </is>
      </c>
      <c r="E195" t="inlineStr">
        <is>
          <t>DAMAC Hills 2</t>
        </is>
      </c>
      <c r="F195" t="inlineStr">
        <is>
          <t>Twin Villas</t>
        </is>
      </c>
      <c r="G195" t="inlineStr">
        <is>
          <t>Green / Park</t>
        </is>
      </c>
      <c r="H195" t="inlineStr">
        <is>
          <t>2.8M</t>
        </is>
      </c>
      <c r="I195" t="inlineStr">
        <is>
          <t>1100</t>
        </is>
      </c>
      <c r="J195" t="inlineStr">
        <is>
          <t>10</t>
        </is>
      </c>
      <c r="K195" t="inlineStr">
        <is>
          <t>70/30</t>
        </is>
      </c>
      <c r="L195" t="inlineStr">
        <is>
          <t>2023</t>
        </is>
      </c>
      <c r="M195" t="inlineStr">
        <is>
          <t>6.0-6.5</t>
        </is>
      </c>
      <c r="N195" t="inlineStr">
        <is>
          <t>8-10</t>
        </is>
      </c>
      <c r="O195" t="inlineStr">
        <is>
          <t>14.0-16.5</t>
        </is>
      </c>
      <c r="P195" t="inlineStr">
        <is>
          <t>The Aquila School</t>
        </is>
      </c>
      <c r="Q195" t="inlineStr">
        <is>
          <t>Saudi German Hospital</t>
        </is>
      </c>
      <c r="R195" t="inlineStr">
        <is>
          <t>Dubai Outlet Mall</t>
        </is>
      </c>
      <c r="S195" t="inlineStr">
        <is>
          <t>Al Qudra / E77</t>
        </is>
      </c>
      <c r="T195" t="inlineStr">
        <is>
          <t>35</t>
        </is>
      </c>
      <c r="U195" t="inlineStr">
        <is>
          <t>40</t>
        </is>
      </c>
      <c r="V195" t="inlineStr">
        <is>
          <t>40</t>
        </is>
      </c>
      <c r="W195" t="inlineStr">
        <is>
          <t>35</t>
        </is>
      </c>
      <c r="X195" t="inlineStr">
        <is>
          <t>Guild_real_estate_master.csv</t>
        </is>
      </c>
    </row>
    <row r="196">
      <c r="A196" t="n">
        <v>195</v>
      </c>
      <c r="B196" t="n">
        <v>195</v>
      </c>
      <c r="C196" t="inlineStr">
        <is>
          <t>Verona</t>
        </is>
      </c>
      <c r="D196" t="inlineStr">
        <is>
          <t>DAMAC Properties</t>
        </is>
      </c>
      <c r="E196" t="inlineStr">
        <is>
          <t>DAMAC Hills 2</t>
        </is>
      </c>
      <c r="F196" t="inlineStr">
        <is>
          <t>Townhouses</t>
        </is>
      </c>
      <c r="G196" t="inlineStr">
        <is>
          <t>Classic</t>
        </is>
      </c>
      <c r="H196" t="inlineStr">
        <is>
          <t>1.8M</t>
        </is>
      </c>
      <c r="I196" t="inlineStr">
        <is>
          <t>900</t>
        </is>
      </c>
      <c r="J196" t="inlineStr">
        <is>
          <t>10</t>
        </is>
      </c>
      <c r="K196" t="inlineStr">
        <is>
          <t>70/30</t>
        </is>
      </c>
      <c r="L196" t="inlineStr">
        <is>
          <t>2023</t>
        </is>
      </c>
      <c r="M196" t="inlineStr">
        <is>
          <t>6.5-7.0</t>
        </is>
      </c>
      <c r="N196" t="inlineStr">
        <is>
          <t>6-8</t>
        </is>
      </c>
      <c r="O196" t="inlineStr">
        <is>
          <t>12.5-15.0</t>
        </is>
      </c>
      <c r="P196" t="inlineStr">
        <is>
          <t>The Aquila School</t>
        </is>
      </c>
      <c r="Q196" t="inlineStr">
        <is>
          <t>Saudi German Hospital</t>
        </is>
      </c>
      <c r="R196" t="inlineStr">
        <is>
          <t>Dubai Outlet Mall</t>
        </is>
      </c>
      <c r="S196" t="inlineStr">
        <is>
          <t>Al Qudra / E77</t>
        </is>
      </c>
      <c r="T196" t="inlineStr">
        <is>
          <t>35</t>
        </is>
      </c>
      <c r="U196" t="inlineStr">
        <is>
          <t>40</t>
        </is>
      </c>
      <c r="V196" t="inlineStr">
        <is>
          <t>40</t>
        </is>
      </c>
      <c r="W196" t="inlineStr">
        <is>
          <t>35</t>
        </is>
      </c>
      <c r="X196" t="inlineStr">
        <is>
          <t>Guild_real_estate_master.csv</t>
        </is>
      </c>
    </row>
    <row r="197">
      <c r="A197" t="n">
        <v>196</v>
      </c>
      <c r="B197" t="n">
        <v>196</v>
      </c>
      <c r="C197" t="inlineStr">
        <is>
          <t>Natura</t>
        </is>
      </c>
      <c r="D197" t="inlineStr">
        <is>
          <t>DAMAC Properties</t>
        </is>
      </c>
      <c r="E197" t="inlineStr">
        <is>
          <t>DAMAC Hills 2</t>
        </is>
      </c>
      <c r="F197" t="inlineStr">
        <is>
          <t>Townhouses</t>
        </is>
      </c>
      <c r="G197" t="inlineStr">
        <is>
          <t>Nature</t>
        </is>
      </c>
      <c r="H197" t="inlineStr">
        <is>
          <t>1.9M</t>
        </is>
      </c>
      <c r="I197" t="inlineStr">
        <is>
          <t>950</t>
        </is>
      </c>
      <c r="J197" t="inlineStr">
        <is>
          <t>10</t>
        </is>
      </c>
      <c r="K197" t="inlineStr">
        <is>
          <t>70/30</t>
        </is>
      </c>
      <c r="L197" t="inlineStr">
        <is>
          <t>2024</t>
        </is>
      </c>
      <c r="M197" t="inlineStr">
        <is>
          <t>6.5-7.0</t>
        </is>
      </c>
      <c r="N197" t="inlineStr">
        <is>
          <t>8-10</t>
        </is>
      </c>
      <c r="O197" t="inlineStr">
        <is>
          <t>14.5-17.0</t>
        </is>
      </c>
      <c r="P197" t="inlineStr">
        <is>
          <t>The Aquila School</t>
        </is>
      </c>
      <c r="Q197" t="inlineStr">
        <is>
          <t>Saudi German Hospital</t>
        </is>
      </c>
      <c r="R197" t="inlineStr">
        <is>
          <t>Dubai Outlet Mall</t>
        </is>
      </c>
      <c r="S197" t="inlineStr">
        <is>
          <t>Al Qudra / E77</t>
        </is>
      </c>
      <c r="T197" t="inlineStr">
        <is>
          <t>35</t>
        </is>
      </c>
      <c r="U197" t="inlineStr">
        <is>
          <t>40</t>
        </is>
      </c>
      <c r="V197" t="inlineStr">
        <is>
          <t>40</t>
        </is>
      </c>
      <c r="W197" t="inlineStr">
        <is>
          <t>35</t>
        </is>
      </c>
      <c r="X197" t="inlineStr">
        <is>
          <t>Guild_real_estate_master.csv</t>
        </is>
      </c>
    </row>
    <row r="198">
      <c r="A198" t="n">
        <v>197</v>
      </c>
      <c r="B198" t="n">
        <v>197</v>
      </c>
      <c r="C198" t="inlineStr">
        <is>
          <t>DAMAC Riverside</t>
        </is>
      </c>
      <c r="D198" t="inlineStr">
        <is>
          <t>DAMAC Properties</t>
        </is>
      </c>
      <c r="E198" t="inlineStr">
        <is>
          <t>Dubai Investment Park</t>
        </is>
      </c>
      <c r="F198" t="inlineStr">
        <is>
          <t>Townhouses &amp; Villas</t>
        </is>
      </c>
      <c r="G198" t="inlineStr">
        <is>
          <t>Water / Serene</t>
        </is>
      </c>
      <c r="J198" t="inlineStr">
        <is>
          <t>TBA</t>
        </is>
      </c>
      <c r="K198" t="inlineStr">
        <is>
          <t>70/30</t>
        </is>
      </c>
      <c r="L198" t="inlineStr">
        <is>
          <t>2024</t>
        </is>
      </c>
      <c r="M198" t="inlineStr">
        <is>
          <t>6.0-6.5</t>
        </is>
      </c>
      <c r="N198" t="inlineStr">
        <is>
          <t>10-15</t>
        </is>
      </c>
      <c r="O198" t="inlineStr">
        <is>
          <t>16.0-21.5</t>
        </is>
      </c>
      <c r="P198" t="inlineStr">
        <is>
          <t>Greenfield Intl</t>
        </is>
      </c>
      <c r="Q198" t="inlineStr">
        <is>
          <t>NMC Royal DIP</t>
        </is>
      </c>
      <c r="R198" t="inlineStr">
        <is>
          <t>Damac Mall</t>
        </is>
      </c>
      <c r="S198" t="inlineStr">
        <is>
          <t>Yalayis St / E611</t>
        </is>
      </c>
      <c r="T198" t="inlineStr">
        <is>
          <t>25</t>
        </is>
      </c>
      <c r="U198" t="inlineStr">
        <is>
          <t>20</t>
        </is>
      </c>
      <c r="V198" t="inlineStr">
        <is>
          <t>35</t>
        </is>
      </c>
      <c r="W198" t="inlineStr">
        <is>
          <t>15</t>
        </is>
      </c>
      <c r="X198" t="inlineStr">
        <is>
          <t>Guild_real_estate_master.csv</t>
        </is>
      </c>
    </row>
    <row r="199">
      <c r="A199" t="n">
        <v>198</v>
      </c>
      <c r="B199" t="n">
        <v>198</v>
      </c>
      <c r="C199" t="inlineStr">
        <is>
          <t>Water Vein</t>
        </is>
      </c>
      <c r="D199" t="inlineStr">
        <is>
          <t>DAMAC Properties</t>
        </is>
      </c>
      <c r="E199" t="inlineStr">
        <is>
          <t>DAMAC Riverside</t>
        </is>
      </c>
      <c r="F199" t="inlineStr">
        <is>
          <t>Townhouses</t>
        </is>
      </c>
      <c r="G199" t="inlineStr">
        <is>
          <t>Waterfront</t>
        </is>
      </c>
      <c r="H199" t="inlineStr">
        <is>
          <t>2.5M</t>
        </is>
      </c>
      <c r="I199" t="inlineStr">
        <is>
          <t>1200</t>
        </is>
      </c>
      <c r="J199" t="inlineStr">
        <is>
          <t>TBA</t>
        </is>
      </c>
      <c r="K199" t="inlineStr">
        <is>
          <t>70/30</t>
        </is>
      </c>
      <c r="L199" t="inlineStr">
        <is>
          <t>2024</t>
        </is>
      </c>
      <c r="M199" t="inlineStr">
        <is>
          <t>6.0-6.5</t>
        </is>
      </c>
      <c r="N199" t="inlineStr">
        <is>
          <t>10-15</t>
        </is>
      </c>
      <c r="O199" t="inlineStr">
        <is>
          <t>16.0-21.5</t>
        </is>
      </c>
      <c r="P199" t="inlineStr">
        <is>
          <t>Greenfield Intl</t>
        </is>
      </c>
      <c r="Q199" t="inlineStr">
        <is>
          <t>NMC Royal DIP</t>
        </is>
      </c>
      <c r="R199" t="inlineStr">
        <is>
          <t>Damac Mall</t>
        </is>
      </c>
      <c r="S199" t="inlineStr">
        <is>
          <t>Yalayis St / E611</t>
        </is>
      </c>
      <c r="T199" t="inlineStr">
        <is>
          <t>25</t>
        </is>
      </c>
      <c r="U199" t="inlineStr">
        <is>
          <t>20</t>
        </is>
      </c>
      <c r="V199" t="inlineStr">
        <is>
          <t>35</t>
        </is>
      </c>
      <c r="W199" t="inlineStr">
        <is>
          <t>15</t>
        </is>
      </c>
      <c r="X199" t="inlineStr">
        <is>
          <t>Guild_real_estate_master.csv</t>
        </is>
      </c>
    </row>
    <row r="200">
      <c r="A200" t="n">
        <v>199</v>
      </c>
      <c r="B200" t="n">
        <v>199</v>
      </c>
      <c r="C200" t="inlineStr">
        <is>
          <t>Green Vein</t>
        </is>
      </c>
      <c r="D200" t="inlineStr">
        <is>
          <t>DAMAC Properties</t>
        </is>
      </c>
      <c r="E200" t="inlineStr">
        <is>
          <t>DAMAC Riverside</t>
        </is>
      </c>
      <c r="F200" t="inlineStr">
        <is>
          <t>Townhouses</t>
        </is>
      </c>
      <c r="G200" t="inlineStr">
        <is>
          <t>Green / Nature</t>
        </is>
      </c>
      <c r="H200" t="inlineStr">
        <is>
          <t>2.4M</t>
        </is>
      </c>
      <c r="I200" t="inlineStr">
        <is>
          <t>1150</t>
        </is>
      </c>
      <c r="J200" t="inlineStr">
        <is>
          <t>TBA</t>
        </is>
      </c>
      <c r="K200" t="inlineStr">
        <is>
          <t>70/30</t>
        </is>
      </c>
      <c r="L200" t="inlineStr">
        <is>
          <t>2024</t>
        </is>
      </c>
      <c r="M200" t="inlineStr">
        <is>
          <t>6.0-6.5</t>
        </is>
      </c>
      <c r="N200" t="inlineStr">
        <is>
          <t>10-15</t>
        </is>
      </c>
      <c r="O200" t="inlineStr">
        <is>
          <t>16.0-21.5</t>
        </is>
      </c>
      <c r="P200" t="inlineStr">
        <is>
          <t>Greenfield Intl</t>
        </is>
      </c>
      <c r="Q200" t="inlineStr">
        <is>
          <t>NMC Royal DIP</t>
        </is>
      </c>
      <c r="R200" t="inlineStr">
        <is>
          <t>Damac Mall</t>
        </is>
      </c>
      <c r="S200" t="inlineStr">
        <is>
          <t>Yalayis St / E611</t>
        </is>
      </c>
      <c r="T200" t="inlineStr">
        <is>
          <t>25</t>
        </is>
      </c>
      <c r="U200" t="inlineStr">
        <is>
          <t>20</t>
        </is>
      </c>
      <c r="V200" t="inlineStr">
        <is>
          <t>35</t>
        </is>
      </c>
      <c r="W200" t="inlineStr">
        <is>
          <t>15</t>
        </is>
      </c>
      <c r="X200" t="inlineStr">
        <is>
          <t>Guild_real_estate_master.csv</t>
        </is>
      </c>
    </row>
    <row r="201">
      <c r="A201" t="n">
        <v>200</v>
      </c>
      <c r="B201" t="n">
        <v>200</v>
      </c>
      <c r="C201" t="inlineStr">
        <is>
          <t>Safa One</t>
        </is>
      </c>
      <c r="D201" t="inlineStr">
        <is>
          <t>DAMAC Properties</t>
        </is>
      </c>
      <c r="E201" t="inlineStr">
        <is>
          <t>Safa Park</t>
        </is>
      </c>
      <c r="F201" t="inlineStr">
        <is>
          <t>Branded Apts (De Grisogono)</t>
        </is>
      </c>
      <c r="G201" t="inlineStr">
        <is>
          <t>Luxury / Park</t>
        </is>
      </c>
      <c r="H201" t="inlineStr">
        <is>
          <t>4.5M</t>
        </is>
      </c>
      <c r="I201" t="inlineStr">
        <is>
          <t>3000</t>
        </is>
      </c>
      <c r="J201" t="inlineStr">
        <is>
          <t>25+</t>
        </is>
      </c>
      <c r="K201" t="inlineStr">
        <is>
          <t>75/25</t>
        </is>
      </c>
      <c r="L201" t="inlineStr">
        <is>
          <t>2022</t>
        </is>
      </c>
      <c r="M201" t="inlineStr">
        <is>
          <t>5.0-5.5</t>
        </is>
      </c>
      <c r="N201" t="inlineStr">
        <is>
          <t>8-10</t>
        </is>
      </c>
      <c r="O201" t="inlineStr">
        <is>
          <t>13.0-15.5</t>
        </is>
      </c>
      <c r="P201" t="inlineStr">
        <is>
          <t>JESS Jumeirah</t>
        </is>
      </c>
      <c r="Q201" t="inlineStr">
        <is>
          <t>Medcare Hospital</t>
        </is>
      </c>
      <c r="R201" t="inlineStr">
        <is>
          <t>Dubai Mall</t>
        </is>
      </c>
      <c r="S201" t="inlineStr">
        <is>
          <t>Sheikh Zayed E11</t>
        </is>
      </c>
      <c r="T201" t="inlineStr">
        <is>
          <t>5</t>
        </is>
      </c>
      <c r="U201" t="inlineStr">
        <is>
          <t>15</t>
        </is>
      </c>
      <c r="V201" t="inlineStr">
        <is>
          <t>15</t>
        </is>
      </c>
      <c r="W201" t="inlineStr">
        <is>
          <t>35</t>
        </is>
      </c>
      <c r="X201" t="inlineStr">
        <is>
          <t>Guild_real_estate_master.csv</t>
        </is>
      </c>
    </row>
    <row r="202">
      <c r="A202" t="n">
        <v>201</v>
      </c>
      <c r="B202" t="n">
        <v>201</v>
      </c>
      <c r="C202" t="inlineStr">
        <is>
          <t>Safa Two</t>
        </is>
      </c>
      <c r="D202" t="inlineStr">
        <is>
          <t>DAMAC Properties</t>
        </is>
      </c>
      <c r="E202" t="inlineStr">
        <is>
          <t>Safa Park</t>
        </is>
      </c>
      <c r="F202" t="inlineStr">
        <is>
          <t>Branded Apts (De Grisogono)</t>
        </is>
      </c>
      <c r="G202" t="inlineStr">
        <is>
          <t>Luxury / Park</t>
        </is>
      </c>
      <c r="H202" t="inlineStr">
        <is>
          <t>3.8M</t>
        </is>
      </c>
      <c r="I202" t="inlineStr">
        <is>
          <t>2800</t>
        </is>
      </c>
      <c r="J202" t="inlineStr">
        <is>
          <t>25+</t>
        </is>
      </c>
      <c r="K202" t="inlineStr">
        <is>
          <t>75/25</t>
        </is>
      </c>
      <c r="L202" t="inlineStr">
        <is>
          <t>2022</t>
        </is>
      </c>
      <c r="M202" t="inlineStr">
        <is>
          <t>5.0-5.5</t>
        </is>
      </c>
      <c r="N202" t="inlineStr">
        <is>
          <t>8-10</t>
        </is>
      </c>
      <c r="O202" t="inlineStr">
        <is>
          <t>13.0-15.5</t>
        </is>
      </c>
      <c r="P202" t="inlineStr">
        <is>
          <t>JESS Jumeirah</t>
        </is>
      </c>
      <c r="Q202" t="inlineStr">
        <is>
          <t>Medcare Hospital</t>
        </is>
      </c>
      <c r="R202" t="inlineStr">
        <is>
          <t>Dubai Mall</t>
        </is>
      </c>
      <c r="S202" t="inlineStr">
        <is>
          <t>Sheikh Zayed E11</t>
        </is>
      </c>
      <c r="T202" t="inlineStr">
        <is>
          <t>5</t>
        </is>
      </c>
      <c r="U202" t="inlineStr">
        <is>
          <t>15</t>
        </is>
      </c>
      <c r="V202" t="inlineStr">
        <is>
          <t>15</t>
        </is>
      </c>
      <c r="W202" t="inlineStr">
        <is>
          <t>35</t>
        </is>
      </c>
      <c r="X202" t="inlineStr">
        <is>
          <t>Guild_real_estate_master.csv</t>
        </is>
      </c>
    </row>
    <row r="203">
      <c r="A203" t="n">
        <v>202</v>
      </c>
      <c r="B203" t="n">
        <v>202</v>
      </c>
      <c r="C203" t="inlineStr">
        <is>
          <t>Cavalli Tower</t>
        </is>
      </c>
      <c r="D203" t="inlineStr">
        <is>
          <t>DAMAC Properties</t>
        </is>
      </c>
      <c r="E203" t="inlineStr">
        <is>
          <t>Dubai Marina</t>
        </is>
      </c>
      <c r="F203" t="inlineStr">
        <is>
          <t>Branded Apts (Cavalli)</t>
        </is>
      </c>
      <c r="G203" t="inlineStr">
        <is>
          <t>Ultra-Luxury</t>
        </is>
      </c>
      <c r="H203" t="inlineStr">
        <is>
          <t>18M+</t>
        </is>
      </c>
      <c r="I203" t="inlineStr">
        <is>
          <t>4500</t>
        </is>
      </c>
      <c r="J203" t="inlineStr">
        <is>
          <t>35+</t>
        </is>
      </c>
      <c r="K203" t="inlineStr">
        <is>
          <t>80/20</t>
        </is>
      </c>
      <c r="L203" t="inlineStr">
        <is>
          <t>2021</t>
        </is>
      </c>
      <c r="M203" t="inlineStr">
        <is>
          <t>4.5-5.0</t>
        </is>
      </c>
      <c r="N203" t="inlineStr">
        <is>
          <t>8-12</t>
        </is>
      </c>
      <c r="O203" t="inlineStr">
        <is>
          <t>12.5-17.0</t>
        </is>
      </c>
      <c r="P203" t="inlineStr">
        <is>
          <t>American Univ. Dubai</t>
        </is>
      </c>
      <c r="Q203" t="inlineStr">
        <is>
          <t>Saudi German Hospital</t>
        </is>
      </c>
      <c r="R203" t="inlineStr">
        <is>
          <t>Dubai Marina Mall</t>
        </is>
      </c>
      <c r="S203" t="inlineStr">
        <is>
          <t>Sheikh Zayed E11</t>
        </is>
      </c>
      <c r="T203" t="inlineStr">
        <is>
          <t>20</t>
        </is>
      </c>
      <c r="U203" t="inlineStr">
        <is>
          <t>5</t>
        </is>
      </c>
      <c r="V203" t="inlineStr">
        <is>
          <t>25</t>
        </is>
      </c>
      <c r="W203" t="inlineStr">
        <is>
          <t>30</t>
        </is>
      </c>
      <c r="X203" t="inlineStr">
        <is>
          <t>Guild_real_estate_master.csv</t>
        </is>
      </c>
    </row>
    <row r="204">
      <c r="A204" t="n">
        <v>203</v>
      </c>
      <c r="B204" t="n">
        <v>203</v>
      </c>
      <c r="C204" t="inlineStr">
        <is>
          <t>DAMAC Bay 1</t>
        </is>
      </c>
      <c r="D204" t="inlineStr">
        <is>
          <t>DAMAC Properties</t>
        </is>
      </c>
      <c r="E204" t="inlineStr">
        <is>
          <t>Dubai Harbour</t>
        </is>
      </c>
      <c r="F204" t="inlineStr">
        <is>
          <t>Branded Apts</t>
        </is>
      </c>
      <c r="G204" t="inlineStr">
        <is>
          <t>Beachfront</t>
        </is>
      </c>
      <c r="H204" t="inlineStr">
        <is>
          <t>4.5M</t>
        </is>
      </c>
      <c r="I204" t="inlineStr">
        <is>
          <t>3500</t>
        </is>
      </c>
      <c r="J204" t="inlineStr">
        <is>
          <t>30+</t>
        </is>
      </c>
      <c r="K204" t="inlineStr">
        <is>
          <t>80/20</t>
        </is>
      </c>
      <c r="L204" t="inlineStr">
        <is>
          <t>2023</t>
        </is>
      </c>
      <c r="M204" t="inlineStr">
        <is>
          <t>5.0-5.5</t>
        </is>
      </c>
      <c r="N204" t="inlineStr">
        <is>
          <t>10-15</t>
        </is>
      </c>
      <c r="O204" t="inlineStr">
        <is>
          <t>15.0-20.5</t>
        </is>
      </c>
      <c r="P204" t="inlineStr">
        <is>
          <t>American Univ. Dubai</t>
        </is>
      </c>
      <c r="Q204" t="inlineStr">
        <is>
          <t>Saudi German Hospital</t>
        </is>
      </c>
      <c r="R204" t="inlineStr">
        <is>
          <t>Dubai Marina Mall</t>
        </is>
      </c>
      <c r="S204" t="inlineStr">
        <is>
          <t>Sheikh Zayed E11</t>
        </is>
      </c>
      <c r="T204" t="inlineStr">
        <is>
          <t>20</t>
        </is>
      </c>
      <c r="U204" t="inlineStr">
        <is>
          <t>5</t>
        </is>
      </c>
      <c r="V204" t="inlineStr">
        <is>
          <t>25</t>
        </is>
      </c>
      <c r="W204" t="inlineStr">
        <is>
          <t>30</t>
        </is>
      </c>
      <c r="X204" t="inlineStr">
        <is>
          <t>Guild_real_estate_master.csv</t>
        </is>
      </c>
    </row>
    <row r="205">
      <c r="A205" t="n">
        <v>204</v>
      </c>
      <c r="B205" t="n">
        <v>204</v>
      </c>
      <c r="C205" t="inlineStr">
        <is>
          <t>DAMAC Bay 2</t>
        </is>
      </c>
      <c r="D205" t="inlineStr">
        <is>
          <t>DAMAC Properties</t>
        </is>
      </c>
      <c r="E205" t="inlineStr">
        <is>
          <t>Dubai Harbour</t>
        </is>
      </c>
      <c r="F205" t="inlineStr">
        <is>
          <t>Branded Apts</t>
        </is>
      </c>
      <c r="G205" t="inlineStr">
        <is>
          <t>Beachfront</t>
        </is>
      </c>
      <c r="H205" t="inlineStr">
        <is>
          <t>5.0M</t>
        </is>
      </c>
      <c r="I205" t="inlineStr">
        <is>
          <t>3600</t>
        </is>
      </c>
      <c r="J205" t="inlineStr">
        <is>
          <t>30+</t>
        </is>
      </c>
      <c r="K205" t="inlineStr">
        <is>
          <t>80/20</t>
        </is>
      </c>
      <c r="L205" t="inlineStr">
        <is>
          <t>2023</t>
        </is>
      </c>
      <c r="M205" t="inlineStr">
        <is>
          <t>5.0-5.5</t>
        </is>
      </c>
      <c r="N205" t="inlineStr">
        <is>
          <t>10-15</t>
        </is>
      </c>
      <c r="O205" t="inlineStr">
        <is>
          <t>15.0-20.5</t>
        </is>
      </c>
      <c r="P205" t="inlineStr">
        <is>
          <t>American Univ. Dubai</t>
        </is>
      </c>
      <c r="Q205" t="inlineStr">
        <is>
          <t>Saudi German Hospital</t>
        </is>
      </c>
      <c r="R205" t="inlineStr">
        <is>
          <t>Dubai Marina Mall</t>
        </is>
      </c>
      <c r="S205" t="inlineStr">
        <is>
          <t>Sheikh Zayed E11</t>
        </is>
      </c>
      <c r="T205" t="inlineStr">
        <is>
          <t>20</t>
        </is>
      </c>
      <c r="U205" t="inlineStr">
        <is>
          <t>5</t>
        </is>
      </c>
      <c r="V205" t="inlineStr">
        <is>
          <t>25</t>
        </is>
      </c>
      <c r="W205" t="inlineStr">
        <is>
          <t>30</t>
        </is>
      </c>
      <c r="X205" t="inlineStr">
        <is>
          <t>Guild_real_estate_master.csv</t>
        </is>
      </c>
    </row>
    <row r="206">
      <c r="A206" t="n">
        <v>205</v>
      </c>
      <c r="B206" t="n">
        <v>205</v>
      </c>
      <c r="C206" t="inlineStr">
        <is>
          <t>Canal Crown</t>
        </is>
      </c>
      <c r="D206" t="inlineStr">
        <is>
          <t>DAMAC Properties</t>
        </is>
      </c>
      <c r="E206" t="inlineStr">
        <is>
          <t>Business Bay</t>
        </is>
      </c>
      <c r="F206" t="inlineStr">
        <is>
          <t>Branded Apts</t>
        </is>
      </c>
      <c r="G206" t="inlineStr">
        <is>
          <t>Canal View</t>
        </is>
      </c>
      <c r="H206" t="inlineStr">
        <is>
          <t>2.8M</t>
        </is>
      </c>
      <c r="I206" t="inlineStr">
        <is>
          <t>2500</t>
        </is>
      </c>
      <c r="J206" t="inlineStr">
        <is>
          <t>25</t>
        </is>
      </c>
      <c r="K206" t="inlineStr">
        <is>
          <t>80/20</t>
        </is>
      </c>
      <c r="L206" t="inlineStr">
        <is>
          <t>2023</t>
        </is>
      </c>
      <c r="M206" t="inlineStr">
        <is>
          <t>5.5-6.0</t>
        </is>
      </c>
      <c r="N206" t="inlineStr">
        <is>
          <t>8-10</t>
        </is>
      </c>
      <c r="O206" t="inlineStr">
        <is>
          <t>13.5-16.0</t>
        </is>
      </c>
      <c r="P206" t="inlineStr">
        <is>
          <t>Hartland Intl</t>
        </is>
      </c>
      <c r="Q206" t="inlineStr">
        <is>
          <t>Emirates Hospital BB</t>
        </is>
      </c>
      <c r="R206" t="inlineStr">
        <is>
          <t>Dubai Mall</t>
        </is>
      </c>
      <c r="S206" t="inlineStr">
        <is>
          <t>Al Khail E44</t>
        </is>
      </c>
      <c r="T206" t="inlineStr">
        <is>
          <t>5</t>
        </is>
      </c>
      <c r="U206" t="inlineStr">
        <is>
          <t>20</t>
        </is>
      </c>
      <c r="V206" t="inlineStr">
        <is>
          <t>15</t>
        </is>
      </c>
      <c r="W206" t="inlineStr">
        <is>
          <t>35</t>
        </is>
      </c>
      <c r="X206" t="inlineStr">
        <is>
          <t>Guild_real_estate_master.csv</t>
        </is>
      </c>
    </row>
    <row r="207">
      <c r="A207" t="n">
        <v>206</v>
      </c>
      <c r="B207" t="n">
        <v>206</v>
      </c>
      <c r="C207" t="inlineStr">
        <is>
          <t>Volta</t>
        </is>
      </c>
      <c r="D207" t="inlineStr">
        <is>
          <t>DAMAC Properties</t>
        </is>
      </c>
      <c r="E207" t="inlineStr">
        <is>
          <t>Sheikh Zayed Road</t>
        </is>
      </c>
      <c r="F207" t="inlineStr">
        <is>
          <t>Apartments</t>
        </is>
      </c>
      <c r="G207" t="inlineStr">
        <is>
          <t>Fitness / High-Rise</t>
        </is>
      </c>
      <c r="H207" t="inlineStr">
        <is>
          <t>2.5M</t>
        </is>
      </c>
      <c r="I207" t="inlineStr">
        <is>
          <t>2400</t>
        </is>
      </c>
      <c r="J207" t="inlineStr">
        <is>
          <t>25</t>
        </is>
      </c>
      <c r="K207" t="inlineStr">
        <is>
          <t>80/20</t>
        </is>
      </c>
      <c r="L207" t="inlineStr">
        <is>
          <t>2023</t>
        </is>
      </c>
      <c r="M207" t="inlineStr">
        <is>
          <t>5.5-6.0</t>
        </is>
      </c>
      <c r="N207" t="inlineStr">
        <is>
          <t>7-9</t>
        </is>
      </c>
      <c r="O207" t="inlineStr">
        <is>
          <t>12.5-15.0</t>
        </is>
      </c>
      <c r="P207" t="inlineStr">
        <is>
          <t>Hartland Intl</t>
        </is>
      </c>
      <c r="Q207" t="inlineStr">
        <is>
          <t>Mediclinic Dubai Mall</t>
        </is>
      </c>
      <c r="R207" t="inlineStr">
        <is>
          <t>Dubai Mall</t>
        </is>
      </c>
      <c r="S207" t="inlineStr">
        <is>
          <t>Sheikh Zayed E11</t>
        </is>
      </c>
      <c r="T207" t="inlineStr">
        <is>
          <t>5</t>
        </is>
      </c>
      <c r="U207" t="inlineStr">
        <is>
          <t>20</t>
        </is>
      </c>
      <c r="V207" t="inlineStr">
        <is>
          <t>15</t>
        </is>
      </c>
      <c r="W207" t="inlineStr">
        <is>
          <t>35</t>
        </is>
      </c>
      <c r="X207" t="inlineStr">
        <is>
          <t>Guild_real_estate_master.csv</t>
        </is>
      </c>
    </row>
    <row r="208">
      <c r="A208" t="n">
        <v>207</v>
      </c>
      <c r="B208" t="n">
        <v>207</v>
      </c>
      <c r="C208" t="inlineStr">
        <is>
          <t>Chic Tower</t>
        </is>
      </c>
      <c r="D208" t="inlineStr">
        <is>
          <t>DAMAC Properties</t>
        </is>
      </c>
      <c r="E208" t="inlineStr">
        <is>
          <t>Business Bay</t>
        </is>
      </c>
      <c r="F208" t="inlineStr">
        <is>
          <t>Branded Apts</t>
        </is>
      </c>
      <c r="G208" t="inlineStr">
        <is>
          <t>Design / Canal</t>
        </is>
      </c>
      <c r="H208" t="inlineStr">
        <is>
          <t>3.0M</t>
        </is>
      </c>
      <c r="I208" t="inlineStr">
        <is>
          <t>2600</t>
        </is>
      </c>
      <c r="J208" t="inlineStr">
        <is>
          <t>25</t>
        </is>
      </c>
      <c r="K208" t="inlineStr">
        <is>
          <t>80/20</t>
        </is>
      </c>
      <c r="L208" t="inlineStr">
        <is>
          <t>2022</t>
        </is>
      </c>
      <c r="M208" t="inlineStr">
        <is>
          <t>5.5-6.0</t>
        </is>
      </c>
      <c r="N208" t="inlineStr">
        <is>
          <t>7-9</t>
        </is>
      </c>
      <c r="O208" t="inlineStr">
        <is>
          <t>12.5-15.0</t>
        </is>
      </c>
      <c r="P208" t="inlineStr">
        <is>
          <t>Hartland Intl</t>
        </is>
      </c>
      <c r="Q208" t="inlineStr">
        <is>
          <t>Emirates Hospital BB</t>
        </is>
      </c>
      <c r="R208" t="inlineStr">
        <is>
          <t>Dubai Mall</t>
        </is>
      </c>
      <c r="S208" t="inlineStr">
        <is>
          <t>Al Khail E44</t>
        </is>
      </c>
      <c r="T208" t="inlineStr">
        <is>
          <t>5</t>
        </is>
      </c>
      <c r="U208" t="inlineStr">
        <is>
          <t>20</t>
        </is>
      </c>
      <c r="V208" t="inlineStr">
        <is>
          <t>15</t>
        </is>
      </c>
      <c r="W208" t="inlineStr">
        <is>
          <t>35</t>
        </is>
      </c>
      <c r="X208" t="inlineStr">
        <is>
          <t>Guild_real_estate_master.csv</t>
        </is>
      </c>
    </row>
    <row r="209">
      <c r="A209" t="n">
        <v>208</v>
      </c>
      <c r="B209" t="n">
        <v>208</v>
      </c>
      <c r="C209" t="inlineStr">
        <is>
          <t>Elegance Tower</t>
        </is>
      </c>
      <c r="D209" t="inlineStr">
        <is>
          <t>DAMAC Properties</t>
        </is>
      </c>
      <c r="E209" t="inlineStr">
        <is>
          <t>Downtown Dubai</t>
        </is>
      </c>
      <c r="F209" t="inlineStr">
        <is>
          <t>Branded Apts</t>
        </is>
      </c>
      <c r="G209" t="inlineStr">
        <is>
          <t>Luxury / City</t>
        </is>
      </c>
      <c r="H209" t="inlineStr">
        <is>
          <t>2.8M</t>
        </is>
      </c>
      <c r="I209" t="inlineStr">
        <is>
          <t>2800</t>
        </is>
      </c>
      <c r="J209" t="inlineStr">
        <is>
          <t>28</t>
        </is>
      </c>
      <c r="K209" t="inlineStr">
        <is>
          <t>80/20</t>
        </is>
      </c>
      <c r="L209" t="inlineStr">
        <is>
          <t>2022</t>
        </is>
      </c>
      <c r="M209" t="inlineStr">
        <is>
          <t>5.5-6.0</t>
        </is>
      </c>
      <c r="N209" t="inlineStr">
        <is>
          <t>7-9</t>
        </is>
      </c>
      <c r="O209" t="inlineStr">
        <is>
          <t>12.5-15.0</t>
        </is>
      </c>
      <c r="P209" t="inlineStr">
        <is>
          <t>Hartland Intl</t>
        </is>
      </c>
      <c r="Q209" t="inlineStr">
        <is>
          <t>Mediclinic Dubai Mall</t>
        </is>
      </c>
      <c r="R209" t="inlineStr">
        <is>
          <t>Dubai Mall</t>
        </is>
      </c>
      <c r="S209" t="inlineStr">
        <is>
          <t>Financial Ctr Rd</t>
        </is>
      </c>
      <c r="T209" t="inlineStr">
        <is>
          <t>5</t>
        </is>
      </c>
      <c r="U209" t="inlineStr">
        <is>
          <t>20</t>
        </is>
      </c>
      <c r="V209" t="inlineStr">
        <is>
          <t>15</t>
        </is>
      </c>
      <c r="W209" t="inlineStr">
        <is>
          <t>35</t>
        </is>
      </c>
      <c r="X209" t="inlineStr">
        <is>
          <t>Guild_real_estate_master.csv</t>
        </is>
      </c>
    </row>
    <row r="210">
      <c r="A210" t="n">
        <v>209</v>
      </c>
      <c r="B210" t="n">
        <v>209</v>
      </c>
      <c r="C210" t="inlineStr">
        <is>
          <t>Coral Reef</t>
        </is>
      </c>
      <c r="D210" t="inlineStr">
        <is>
          <t>DAMAC Properties</t>
        </is>
      </c>
      <c r="E210" t="inlineStr">
        <is>
          <t>Dubai Maritime City</t>
        </is>
      </c>
      <c r="F210" t="inlineStr">
        <is>
          <t>Apartments</t>
        </is>
      </c>
      <c r="G210" t="inlineStr">
        <is>
          <t>Art / Sea View</t>
        </is>
      </c>
      <c r="H210" t="inlineStr">
        <is>
          <t>1.8M</t>
        </is>
      </c>
      <c r="I210" t="inlineStr">
        <is>
          <t>2200</t>
        </is>
      </c>
      <c r="J210" t="inlineStr">
        <is>
          <t>25</t>
        </is>
      </c>
      <c r="K210" t="inlineStr">
        <is>
          <t>70/30</t>
        </is>
      </c>
      <c r="L210" t="inlineStr">
        <is>
          <t>2023</t>
        </is>
      </c>
      <c r="M210" t="inlineStr">
        <is>
          <t>6.0-6.5</t>
        </is>
      </c>
      <c r="N210" t="inlineStr">
        <is>
          <t>8-12</t>
        </is>
      </c>
      <c r="O210" t="inlineStr">
        <is>
          <t>14.0-18.5</t>
        </is>
      </c>
      <c r="P210" t="inlineStr">
        <is>
          <t>New Academy School</t>
        </is>
      </c>
      <c r="Q210" t="inlineStr">
        <is>
          <t>Aster Hospital Mankhool</t>
        </is>
      </c>
      <c r="R210" t="inlineStr">
        <is>
          <t>Dubai Mall</t>
        </is>
      </c>
      <c r="S210" t="inlineStr">
        <is>
          <t>Al Khaleej / E11</t>
        </is>
      </c>
      <c r="T210" t="inlineStr">
        <is>
          <t>15</t>
        </is>
      </c>
      <c r="U210" t="inlineStr">
        <is>
          <t>25</t>
        </is>
      </c>
      <c r="V210" t="inlineStr">
        <is>
          <t>15</t>
        </is>
      </c>
      <c r="W210" t="inlineStr">
        <is>
          <t>45</t>
        </is>
      </c>
      <c r="X210" t="inlineStr">
        <is>
          <t>Guild_real_estate_master.csv</t>
        </is>
      </c>
    </row>
    <row r="211">
      <c r="A211" t="n">
        <v>210</v>
      </c>
      <c r="B211" t="n">
        <v>210</v>
      </c>
      <c r="C211" t="inlineStr">
        <is>
          <t>Sapphire</t>
        </is>
      </c>
      <c r="D211" t="inlineStr">
        <is>
          <t>DAMAC Properties</t>
        </is>
      </c>
      <c r="E211" t="inlineStr">
        <is>
          <t>Sheikh Zayed Road</t>
        </is>
      </c>
      <c r="F211" t="inlineStr">
        <is>
          <t>Apartments</t>
        </is>
      </c>
      <c r="G211" t="inlineStr">
        <is>
          <t>Luxury / City</t>
        </is>
      </c>
      <c r="H211" t="inlineStr">
        <is>
          <t>2.2M</t>
        </is>
      </c>
      <c r="I211" t="inlineStr">
        <is>
          <t>2300</t>
        </is>
      </c>
      <c r="J211" t="inlineStr">
        <is>
          <t>25</t>
        </is>
      </c>
      <c r="K211" t="inlineStr">
        <is>
          <t>70/30</t>
        </is>
      </c>
      <c r="L211" t="inlineStr">
        <is>
          <t>2024</t>
        </is>
      </c>
      <c r="M211" t="inlineStr">
        <is>
          <t>5.5-6.0</t>
        </is>
      </c>
      <c r="N211" t="inlineStr">
        <is>
          <t>7-9</t>
        </is>
      </c>
      <c r="O211" t="inlineStr">
        <is>
          <t>12.5-15.0</t>
        </is>
      </c>
      <c r="P211" t="inlineStr">
        <is>
          <t>JESS Jumeirah</t>
        </is>
      </c>
      <c r="Q211" t="inlineStr">
        <is>
          <t>Medcare Hospital</t>
        </is>
      </c>
      <c r="R211" t="inlineStr">
        <is>
          <t>Dubai Mall</t>
        </is>
      </c>
      <c r="S211" t="inlineStr">
        <is>
          <t>Sheikh Zayed E11</t>
        </is>
      </c>
      <c r="T211" t="inlineStr">
        <is>
          <t>5</t>
        </is>
      </c>
      <c r="U211" t="inlineStr">
        <is>
          <t>15</t>
        </is>
      </c>
      <c r="V211" t="inlineStr">
        <is>
          <t>15</t>
        </is>
      </c>
      <c r="W211" t="inlineStr">
        <is>
          <t>35</t>
        </is>
      </c>
      <c r="X211" t="inlineStr">
        <is>
          <t>Guild_real_estate_master.csv</t>
        </is>
      </c>
    </row>
    <row r="212">
      <c r="A212" t="n">
        <v>211</v>
      </c>
      <c r="B212" t="n">
        <v>211</v>
      </c>
      <c r="C212" t="inlineStr">
        <is>
          <t>Sobha Solis</t>
        </is>
      </c>
      <c r="D212" t="inlineStr">
        <is>
          <t>Sobha Realty</t>
        </is>
      </c>
      <c r="E212" t="inlineStr">
        <is>
          <t>Motor City</t>
        </is>
      </c>
      <c r="F212" t="inlineStr">
        <is>
          <t>Apartments</t>
        </is>
      </c>
      <c r="G212" t="inlineStr">
        <is>
          <t>Sport / Community</t>
        </is>
      </c>
      <c r="H212" t="inlineStr">
        <is>
          <t>1.0M</t>
        </is>
      </c>
      <c r="I212" t="inlineStr">
        <is>
          <t>1500</t>
        </is>
      </c>
      <c r="J212" t="inlineStr">
        <is>
          <t>15</t>
        </is>
      </c>
      <c r="K212" t="inlineStr">
        <is>
          <t>60/40</t>
        </is>
      </c>
      <c r="L212" t="inlineStr">
        <is>
          <t>Feb 2025</t>
        </is>
      </c>
      <c r="M212" t="inlineStr">
        <is>
          <t>7.0-7.5</t>
        </is>
      </c>
      <c r="N212" t="inlineStr">
        <is>
          <t>10-12</t>
        </is>
      </c>
      <c r="O212" t="inlineStr">
        <is>
          <t>17.0-19.5</t>
        </is>
      </c>
      <c r="P212" t="inlineStr">
        <is>
          <t>GEMS Metropole</t>
        </is>
      </c>
      <c r="Q212" t="inlineStr">
        <is>
          <t>Mediclinic Parkview</t>
        </is>
      </c>
      <c r="R212" t="inlineStr">
        <is>
          <t>First Avenue Mall</t>
        </is>
      </c>
      <c r="S212" t="inlineStr">
        <is>
          <t>Hessa St / E311</t>
        </is>
      </c>
      <c r="T212" t="inlineStr">
        <is>
          <t>20</t>
        </is>
      </c>
      <c r="U212" t="inlineStr">
        <is>
          <t>15</t>
        </is>
      </c>
      <c r="V212" t="inlineStr">
        <is>
          <t>25</t>
        </is>
      </c>
      <c r="W212" t="inlineStr">
        <is>
          <t>25</t>
        </is>
      </c>
      <c r="X212" t="inlineStr">
        <is>
          <t>Guild_real_estate_master.csv</t>
        </is>
      </c>
    </row>
    <row r="213">
      <c r="A213" t="n">
        <v>212</v>
      </c>
      <c r="B213" t="n">
        <v>212</v>
      </c>
      <c r="C213" t="inlineStr">
        <is>
          <t>Sobha Hartland II</t>
        </is>
      </c>
      <c r="D213" t="inlineStr">
        <is>
          <t>Sobha Realty</t>
        </is>
      </c>
      <c r="E213" t="inlineStr">
        <is>
          <t>MBR City (Ras Al Khor)</t>
        </is>
      </c>
      <c r="F213" t="inlineStr">
        <is>
          <t>Mixed</t>
        </is>
      </c>
      <c r="G213" t="inlineStr">
        <is>
          <t>Lagoon / Green</t>
        </is>
      </c>
      <c r="J213" t="inlineStr">
        <is>
          <t>18-20</t>
        </is>
      </c>
      <c r="K213" t="inlineStr">
        <is>
          <t>Varies</t>
        </is>
      </c>
      <c r="L213" t="inlineStr">
        <is>
          <t>Ongoing</t>
        </is>
      </c>
      <c r="M213" t="inlineStr">
        <is>
          <t>6.0-6.5</t>
        </is>
      </c>
      <c r="N213" t="inlineStr">
        <is>
          <t>9-12</t>
        </is>
      </c>
      <c r="O213" t="inlineStr">
        <is>
          <t>15.0-18.5</t>
        </is>
      </c>
      <c r="P213" t="inlineStr">
        <is>
          <t>Hartland Intl</t>
        </is>
      </c>
      <c r="Q213" t="inlineStr">
        <is>
          <t>American Hospital</t>
        </is>
      </c>
      <c r="R213" t="inlineStr">
        <is>
          <t>Dubai Mall</t>
        </is>
      </c>
      <c r="S213" t="inlineStr">
        <is>
          <t>Ras Al Khor / E44</t>
        </is>
      </c>
      <c r="T213" t="inlineStr">
        <is>
          <t>12</t>
        </is>
      </c>
      <c r="U213" t="inlineStr">
        <is>
          <t>25</t>
        </is>
      </c>
      <c r="V213" t="inlineStr">
        <is>
          <t>15</t>
        </is>
      </c>
      <c r="W213" t="inlineStr">
        <is>
          <t>40</t>
        </is>
      </c>
      <c r="X213" t="inlineStr">
        <is>
          <t>Guild_real_estate_master.csv</t>
        </is>
      </c>
    </row>
    <row r="214">
      <c r="A214" t="n">
        <v>213</v>
      </c>
      <c r="B214" t="n">
        <v>213</v>
      </c>
      <c r="C214" t="inlineStr">
        <is>
          <t>Skyscape Avenue</t>
        </is>
      </c>
      <c r="D214" t="inlineStr">
        <is>
          <t>Sobha Realty</t>
        </is>
      </c>
      <c r="E214" t="inlineStr">
        <is>
          <t>Sobha Hartland II</t>
        </is>
      </c>
      <c r="F214" t="inlineStr">
        <is>
          <t>Apartments</t>
        </is>
      </c>
      <c r="G214" t="inlineStr">
        <is>
          <t>Lagoon / View</t>
        </is>
      </c>
      <c r="H214" t="inlineStr">
        <is>
          <t>1.6M</t>
        </is>
      </c>
      <c r="I214" t="inlineStr">
        <is>
          <t>2100</t>
        </is>
      </c>
      <c r="J214" t="inlineStr">
        <is>
          <t>20</t>
        </is>
      </c>
      <c r="K214" t="inlineStr">
        <is>
          <t>60/40</t>
        </is>
      </c>
      <c r="L214" t="inlineStr">
        <is>
          <t>2024</t>
        </is>
      </c>
      <c r="M214" t="inlineStr">
        <is>
          <t>6.0-6.5</t>
        </is>
      </c>
      <c r="N214" t="inlineStr">
        <is>
          <t>9-12</t>
        </is>
      </c>
      <c r="O214" t="inlineStr">
        <is>
          <t>15.0-18.5</t>
        </is>
      </c>
      <c r="P214" t="inlineStr">
        <is>
          <t>Hartland Intl</t>
        </is>
      </c>
      <c r="Q214" t="inlineStr">
        <is>
          <t>American Hospital</t>
        </is>
      </c>
      <c r="R214" t="inlineStr">
        <is>
          <t>Dubai Mall</t>
        </is>
      </c>
      <c r="S214" t="inlineStr">
        <is>
          <t>Ras Al Khor / E44</t>
        </is>
      </c>
      <c r="T214" t="inlineStr">
        <is>
          <t>12</t>
        </is>
      </c>
      <c r="U214" t="inlineStr">
        <is>
          <t>25</t>
        </is>
      </c>
      <c r="V214" t="inlineStr">
        <is>
          <t>15</t>
        </is>
      </c>
      <c r="W214" t="inlineStr">
        <is>
          <t>40</t>
        </is>
      </c>
      <c r="X214" t="inlineStr">
        <is>
          <t>Guild_real_estate_master.csv</t>
        </is>
      </c>
    </row>
    <row r="215">
      <c r="A215" t="n">
        <v>214</v>
      </c>
      <c r="B215" t="n">
        <v>214</v>
      </c>
      <c r="C215" t="inlineStr">
        <is>
          <t>Skyscape Aura</t>
        </is>
      </c>
      <c r="D215" t="inlineStr">
        <is>
          <t>Sobha Realty</t>
        </is>
      </c>
      <c r="E215" t="inlineStr">
        <is>
          <t>Sobha Hartland II</t>
        </is>
      </c>
      <c r="F215" t="inlineStr">
        <is>
          <t>Apartments</t>
        </is>
      </c>
      <c r="G215" t="inlineStr">
        <is>
          <t>Lagoon / View</t>
        </is>
      </c>
      <c r="H215" t="inlineStr">
        <is>
          <t>1.7M</t>
        </is>
      </c>
      <c r="I215" t="inlineStr">
        <is>
          <t>2150</t>
        </is>
      </c>
      <c r="J215" t="inlineStr">
        <is>
          <t>20</t>
        </is>
      </c>
      <c r="K215" t="inlineStr">
        <is>
          <t>60/40</t>
        </is>
      </c>
      <c r="L215" t="inlineStr">
        <is>
          <t>2024</t>
        </is>
      </c>
      <c r="M215" t="inlineStr">
        <is>
          <t>6.0-6.5</t>
        </is>
      </c>
      <c r="N215" t="inlineStr">
        <is>
          <t>9-12</t>
        </is>
      </c>
      <c r="O215" t="inlineStr">
        <is>
          <t>15.0-18.5</t>
        </is>
      </c>
      <c r="P215" t="inlineStr">
        <is>
          <t>Hartland Intl</t>
        </is>
      </c>
      <c r="Q215" t="inlineStr">
        <is>
          <t>American Hospital</t>
        </is>
      </c>
      <c r="R215" t="inlineStr">
        <is>
          <t>Dubai Mall</t>
        </is>
      </c>
      <c r="S215" t="inlineStr">
        <is>
          <t>Ras Al Khor / E44</t>
        </is>
      </c>
      <c r="T215" t="inlineStr">
        <is>
          <t>12</t>
        </is>
      </c>
      <c r="U215" t="inlineStr">
        <is>
          <t>25</t>
        </is>
      </c>
      <c r="V215" t="inlineStr">
        <is>
          <t>15</t>
        </is>
      </c>
      <c r="W215" t="inlineStr">
        <is>
          <t>40</t>
        </is>
      </c>
      <c r="X215" t="inlineStr">
        <is>
          <t>Guild_real_estate_master.csv</t>
        </is>
      </c>
    </row>
    <row r="216">
      <c r="A216" t="n">
        <v>215</v>
      </c>
      <c r="B216" t="n">
        <v>215</v>
      </c>
      <c r="C216" t="inlineStr">
        <is>
          <t>320 Riverside Crescent</t>
        </is>
      </c>
      <c r="D216" t="inlineStr">
        <is>
          <t>Sobha Realty</t>
        </is>
      </c>
      <c r="E216" t="inlineStr">
        <is>
          <t>Sobha Hartland II</t>
        </is>
      </c>
      <c r="F216" t="inlineStr">
        <is>
          <t>Apartments</t>
        </is>
      </c>
      <c r="G216" t="inlineStr">
        <is>
          <t>Waterfront</t>
        </is>
      </c>
      <c r="H216" t="inlineStr">
        <is>
          <t>1.45M</t>
        </is>
      </c>
      <c r="I216" t="inlineStr">
        <is>
          <t>1900</t>
        </is>
      </c>
      <c r="J216" t="inlineStr">
        <is>
          <t>20</t>
        </is>
      </c>
      <c r="K216" t="inlineStr">
        <is>
          <t>60/40</t>
        </is>
      </c>
      <c r="L216" t="inlineStr">
        <is>
          <t>2023</t>
        </is>
      </c>
      <c r="M216" t="inlineStr">
        <is>
          <t>6.5-7.0</t>
        </is>
      </c>
      <c r="N216" t="inlineStr">
        <is>
          <t>8-10</t>
        </is>
      </c>
      <c r="O216" t="inlineStr">
        <is>
          <t>14.5-17.0</t>
        </is>
      </c>
      <c r="P216" t="inlineStr">
        <is>
          <t>Hartland Intl</t>
        </is>
      </c>
      <c r="Q216" t="inlineStr">
        <is>
          <t>American Hospital</t>
        </is>
      </c>
      <c r="R216" t="inlineStr">
        <is>
          <t>Dubai Mall</t>
        </is>
      </c>
      <c r="S216" t="inlineStr">
        <is>
          <t>Ras Al Khor / E44</t>
        </is>
      </c>
      <c r="T216" t="inlineStr">
        <is>
          <t>12</t>
        </is>
      </c>
      <c r="U216" t="inlineStr">
        <is>
          <t>25</t>
        </is>
      </c>
      <c r="V216" t="inlineStr">
        <is>
          <t>15</t>
        </is>
      </c>
      <c r="W216" t="inlineStr">
        <is>
          <t>40</t>
        </is>
      </c>
      <c r="X216" t="inlineStr">
        <is>
          <t>Guild_real_estate_master.csv</t>
        </is>
      </c>
    </row>
    <row r="217">
      <c r="A217" t="n">
        <v>216</v>
      </c>
      <c r="B217" t="n">
        <v>216</v>
      </c>
      <c r="C217" t="inlineStr">
        <is>
          <t>350 Riverside Crescent</t>
        </is>
      </c>
      <c r="D217" t="inlineStr">
        <is>
          <t>Sobha Realty</t>
        </is>
      </c>
      <c r="E217" t="inlineStr">
        <is>
          <t>Sobha Hartland II</t>
        </is>
      </c>
      <c r="F217" t="inlineStr">
        <is>
          <t>Apartments</t>
        </is>
      </c>
      <c r="G217" t="inlineStr">
        <is>
          <t>Waterfront</t>
        </is>
      </c>
      <c r="H217" t="inlineStr">
        <is>
          <t>1.5M</t>
        </is>
      </c>
      <c r="I217" t="inlineStr">
        <is>
          <t>1950</t>
        </is>
      </c>
      <c r="J217" t="inlineStr">
        <is>
          <t>20</t>
        </is>
      </c>
      <c r="K217" t="inlineStr">
        <is>
          <t>60/40</t>
        </is>
      </c>
      <c r="L217" t="inlineStr">
        <is>
          <t>2023</t>
        </is>
      </c>
      <c r="M217" t="inlineStr">
        <is>
          <t>6.5-7.0</t>
        </is>
      </c>
      <c r="N217" t="inlineStr">
        <is>
          <t>8-10</t>
        </is>
      </c>
      <c r="O217" t="inlineStr">
        <is>
          <t>14.5-17.0</t>
        </is>
      </c>
      <c r="P217" t="inlineStr">
        <is>
          <t>Hartland Intl</t>
        </is>
      </c>
      <c r="Q217" t="inlineStr">
        <is>
          <t>American Hospital</t>
        </is>
      </c>
      <c r="R217" t="inlineStr">
        <is>
          <t>Dubai Mall</t>
        </is>
      </c>
      <c r="S217" t="inlineStr">
        <is>
          <t>Ras Al Khor / E44</t>
        </is>
      </c>
      <c r="T217" t="inlineStr">
        <is>
          <t>12</t>
        </is>
      </c>
      <c r="U217" t="inlineStr">
        <is>
          <t>25</t>
        </is>
      </c>
      <c r="V217" t="inlineStr">
        <is>
          <t>15</t>
        </is>
      </c>
      <c r="W217" t="inlineStr">
        <is>
          <t>40</t>
        </is>
      </c>
      <c r="X217" t="inlineStr">
        <is>
          <t>Guild_real_estate_master.csv</t>
        </is>
      </c>
    </row>
    <row r="218">
      <c r="A218" t="n">
        <v>217</v>
      </c>
      <c r="B218" t="n">
        <v>217</v>
      </c>
      <c r="C218" t="inlineStr">
        <is>
          <t>310 Riverside Crescent</t>
        </is>
      </c>
      <c r="D218" t="inlineStr">
        <is>
          <t>Sobha Realty</t>
        </is>
      </c>
      <c r="E218" t="inlineStr">
        <is>
          <t>Sobha Hartland II</t>
        </is>
      </c>
      <c r="F218" t="inlineStr">
        <is>
          <t>Apartments</t>
        </is>
      </c>
      <c r="G218" t="inlineStr">
        <is>
          <t>Waterfront</t>
        </is>
      </c>
      <c r="H218" t="inlineStr">
        <is>
          <t>1.55M</t>
        </is>
      </c>
      <c r="I218" t="inlineStr">
        <is>
          <t>2000</t>
        </is>
      </c>
      <c r="J218" t="inlineStr">
        <is>
          <t>20</t>
        </is>
      </c>
      <c r="K218" t="inlineStr">
        <is>
          <t>60/40</t>
        </is>
      </c>
      <c r="L218" t="inlineStr">
        <is>
          <t>2024</t>
        </is>
      </c>
      <c r="M218" t="inlineStr">
        <is>
          <t>6.0-6.5</t>
        </is>
      </c>
      <c r="N218" t="inlineStr">
        <is>
          <t>8-10</t>
        </is>
      </c>
      <c r="O218" t="inlineStr">
        <is>
          <t>14.0-16.5</t>
        </is>
      </c>
      <c r="P218" t="inlineStr">
        <is>
          <t>Hartland Intl</t>
        </is>
      </c>
      <c r="Q218" t="inlineStr">
        <is>
          <t>American Hospital</t>
        </is>
      </c>
      <c r="R218" t="inlineStr">
        <is>
          <t>Dubai Mall</t>
        </is>
      </c>
      <c r="S218" t="inlineStr">
        <is>
          <t>Ras Al Khor / E44</t>
        </is>
      </c>
      <c r="T218" t="inlineStr">
        <is>
          <t>12</t>
        </is>
      </c>
      <c r="U218" t="inlineStr">
        <is>
          <t>25</t>
        </is>
      </c>
      <c r="V218" t="inlineStr">
        <is>
          <t>15</t>
        </is>
      </c>
      <c r="W218" t="inlineStr">
        <is>
          <t>40</t>
        </is>
      </c>
      <c r="X218" t="inlineStr">
        <is>
          <t>Guild_real_estate_master.csv</t>
        </is>
      </c>
    </row>
    <row r="219">
      <c r="A219" t="n">
        <v>218</v>
      </c>
      <c r="B219" t="n">
        <v>218</v>
      </c>
      <c r="C219" t="inlineStr">
        <is>
          <t>340 Riverside Crescent</t>
        </is>
      </c>
      <c r="D219" t="inlineStr">
        <is>
          <t>Sobha Realty</t>
        </is>
      </c>
      <c r="E219" t="inlineStr">
        <is>
          <t>Sobha Hartland II</t>
        </is>
      </c>
      <c r="F219" t="inlineStr">
        <is>
          <t>Apartments</t>
        </is>
      </c>
      <c r="G219" t="inlineStr">
        <is>
          <t>Waterfront</t>
        </is>
      </c>
      <c r="H219" t="inlineStr">
        <is>
          <t>1.5M</t>
        </is>
      </c>
      <c r="I219" t="inlineStr">
        <is>
          <t>1950</t>
        </is>
      </c>
      <c r="J219" t="inlineStr">
        <is>
          <t>20</t>
        </is>
      </c>
      <c r="K219" t="inlineStr">
        <is>
          <t>60/40</t>
        </is>
      </c>
      <c r="L219" t="inlineStr">
        <is>
          <t>2024</t>
        </is>
      </c>
      <c r="M219" t="inlineStr">
        <is>
          <t>6.5-7.0</t>
        </is>
      </c>
      <c r="N219" t="inlineStr">
        <is>
          <t>8-10</t>
        </is>
      </c>
      <c r="O219" t="inlineStr">
        <is>
          <t>14.5-17.0</t>
        </is>
      </c>
      <c r="P219" t="inlineStr">
        <is>
          <t>Hartland Intl</t>
        </is>
      </c>
      <c r="Q219" t="inlineStr">
        <is>
          <t>American Hospital</t>
        </is>
      </c>
      <c r="R219" t="inlineStr">
        <is>
          <t>Dubai Mall</t>
        </is>
      </c>
      <c r="S219" t="inlineStr">
        <is>
          <t>Ras Al Khor / E44</t>
        </is>
      </c>
      <c r="T219" t="inlineStr">
        <is>
          <t>12</t>
        </is>
      </c>
      <c r="U219" t="inlineStr">
        <is>
          <t>25</t>
        </is>
      </c>
      <c r="V219" t="inlineStr">
        <is>
          <t>15</t>
        </is>
      </c>
      <c r="W219" t="inlineStr">
        <is>
          <t>40</t>
        </is>
      </c>
      <c r="X219" t="inlineStr">
        <is>
          <t>Guild_real_estate_master.csv</t>
        </is>
      </c>
    </row>
    <row r="220">
      <c r="A220" t="n">
        <v>219</v>
      </c>
      <c r="B220" t="n">
        <v>219</v>
      </c>
      <c r="C220" t="inlineStr">
        <is>
          <t>Sobha Estates</t>
        </is>
      </c>
      <c r="D220" t="inlineStr">
        <is>
          <t>Sobha Realty</t>
        </is>
      </c>
      <c r="E220" t="inlineStr">
        <is>
          <t>Sobha Hartland II</t>
        </is>
      </c>
      <c r="F220" t="inlineStr">
        <is>
          <t>Villas (5+ Beds)</t>
        </is>
      </c>
      <c r="G220" t="inlineStr">
        <is>
          <t>Gated / Forest</t>
        </is>
      </c>
      <c r="H220" t="inlineStr">
        <is>
          <t>22.8M</t>
        </is>
      </c>
      <c r="I220" t="inlineStr">
        <is>
          <t>2500</t>
        </is>
      </c>
      <c r="J220" t="inlineStr">
        <is>
          <t>18</t>
        </is>
      </c>
      <c r="K220" t="inlineStr">
        <is>
          <t>60/40</t>
        </is>
      </c>
      <c r="L220" t="inlineStr">
        <is>
          <t>2023</t>
        </is>
      </c>
      <c r="M220" t="inlineStr">
        <is>
          <t>4.5-5.0</t>
        </is>
      </c>
      <c r="N220" t="inlineStr">
        <is>
          <t>8-10</t>
        </is>
      </c>
      <c r="O220" t="inlineStr">
        <is>
          <t>12.5-15.0</t>
        </is>
      </c>
      <c r="P220" t="inlineStr">
        <is>
          <t>Hartland Intl</t>
        </is>
      </c>
      <c r="Q220" t="inlineStr">
        <is>
          <t>American Hospital</t>
        </is>
      </c>
      <c r="R220" t="inlineStr">
        <is>
          <t>Dubai Mall</t>
        </is>
      </c>
      <c r="S220" t="inlineStr">
        <is>
          <t>Ras Al Khor / E44</t>
        </is>
      </c>
      <c r="T220" t="inlineStr">
        <is>
          <t>12</t>
        </is>
      </c>
      <c r="U220" t="inlineStr">
        <is>
          <t>25</t>
        </is>
      </c>
      <c r="V220" t="inlineStr">
        <is>
          <t>15</t>
        </is>
      </c>
      <c r="W220" t="inlineStr">
        <is>
          <t>40</t>
        </is>
      </c>
      <c r="X220" t="inlineStr">
        <is>
          <t>Guild_real_estate_master.csv</t>
        </is>
      </c>
    </row>
    <row r="221">
      <c r="A221" t="n">
        <v>220</v>
      </c>
      <c r="B221" t="n">
        <v>220</v>
      </c>
      <c r="C221" t="inlineStr">
        <is>
          <t>Sobha Hartland I</t>
        </is>
      </c>
      <c r="D221" t="inlineStr">
        <is>
          <t>Sobha Realty</t>
        </is>
      </c>
      <c r="E221" t="inlineStr">
        <is>
          <t>MBR City</t>
        </is>
      </c>
      <c r="F221" t="inlineStr">
        <is>
          <t>Mixed</t>
        </is>
      </c>
      <c r="G221" t="inlineStr">
        <is>
          <t>City / Green</t>
        </is>
      </c>
      <c r="J221" t="inlineStr">
        <is>
          <t>18</t>
        </is>
      </c>
      <c r="K221" t="inlineStr">
        <is>
          <t>Varies</t>
        </is>
      </c>
      <c r="L221" t="inlineStr">
        <is>
          <t>Ongoing</t>
        </is>
      </c>
      <c r="M221" t="inlineStr">
        <is>
          <t>5.5-6.5</t>
        </is>
      </c>
      <c r="N221" t="inlineStr">
        <is>
          <t>5-8</t>
        </is>
      </c>
      <c r="O221" t="inlineStr">
        <is>
          <t>10.5-14.5</t>
        </is>
      </c>
      <c r="P221" t="inlineStr">
        <is>
          <t>Hartland Intl</t>
        </is>
      </c>
      <c r="Q221" t="inlineStr">
        <is>
          <t>American Hospital</t>
        </is>
      </c>
      <c r="R221" t="inlineStr">
        <is>
          <t>Dubai Mall</t>
        </is>
      </c>
      <c r="S221" t="inlineStr">
        <is>
          <t>Ras Al Khor / E44</t>
        </is>
      </c>
      <c r="T221" t="inlineStr">
        <is>
          <t>10</t>
        </is>
      </c>
      <c r="U221" t="inlineStr">
        <is>
          <t>25</t>
        </is>
      </c>
      <c r="V221" t="inlineStr">
        <is>
          <t>15</t>
        </is>
      </c>
      <c r="W221" t="inlineStr">
        <is>
          <t>40</t>
        </is>
      </c>
      <c r="X221" t="inlineStr">
        <is>
          <t>Guild_real_estate_master.csv</t>
        </is>
      </c>
    </row>
    <row r="222">
      <c r="A222" t="n">
        <v>221</v>
      </c>
      <c r="B222" t="n">
        <v>221</v>
      </c>
      <c r="C222" t="inlineStr">
        <is>
          <t>Creek Vistas Heights</t>
        </is>
      </c>
      <c r="D222" t="inlineStr">
        <is>
          <t>Sobha Realty</t>
        </is>
      </c>
      <c r="E222" t="inlineStr">
        <is>
          <t>Sobha Hartland I</t>
        </is>
      </c>
      <c r="F222" t="inlineStr">
        <is>
          <t>Apartments</t>
        </is>
      </c>
      <c r="G222" t="inlineStr">
        <is>
          <t>High-Rise / View</t>
        </is>
      </c>
      <c r="H222" t="inlineStr">
        <is>
          <t>1.6M</t>
        </is>
      </c>
      <c r="I222" t="inlineStr">
        <is>
          <t>1800</t>
        </is>
      </c>
      <c r="J222" t="inlineStr">
        <is>
          <t>20</t>
        </is>
      </c>
      <c r="K222" t="inlineStr">
        <is>
          <t>60/40</t>
        </is>
      </c>
      <c r="L222" t="inlineStr">
        <is>
          <t>2022</t>
        </is>
      </c>
      <c r="M222" t="inlineStr">
        <is>
          <t>6.0-6.5</t>
        </is>
      </c>
      <c r="N222" t="inlineStr">
        <is>
          <t>6-8</t>
        </is>
      </c>
      <c r="O222" t="inlineStr">
        <is>
          <t>12.0-14.5</t>
        </is>
      </c>
      <c r="P222" t="inlineStr">
        <is>
          <t>Hartland Intl</t>
        </is>
      </c>
      <c r="Q222" t="inlineStr">
        <is>
          <t>American Hospital</t>
        </is>
      </c>
      <c r="R222" t="inlineStr">
        <is>
          <t>Dubai Mall</t>
        </is>
      </c>
      <c r="S222" t="inlineStr">
        <is>
          <t>Ras Al Khor / E44</t>
        </is>
      </c>
      <c r="T222" t="inlineStr">
        <is>
          <t>10</t>
        </is>
      </c>
      <c r="U222" t="inlineStr">
        <is>
          <t>25</t>
        </is>
      </c>
      <c r="V222" t="inlineStr">
        <is>
          <t>15</t>
        </is>
      </c>
      <c r="W222" t="inlineStr">
        <is>
          <t>40</t>
        </is>
      </c>
      <c r="X222" t="inlineStr">
        <is>
          <t>Guild_real_estate_master.csv</t>
        </is>
      </c>
    </row>
    <row r="223">
      <c r="A223" t="n">
        <v>222</v>
      </c>
      <c r="B223" t="n">
        <v>222</v>
      </c>
      <c r="C223" t="inlineStr">
        <is>
          <t>Creek Vistas Reserve</t>
        </is>
      </c>
      <c r="D223" t="inlineStr">
        <is>
          <t>Sobha Realty</t>
        </is>
      </c>
      <c r="E223" t="inlineStr">
        <is>
          <t>Sobha Hartland I</t>
        </is>
      </c>
      <c r="F223" t="inlineStr">
        <is>
          <t>Apartments</t>
        </is>
      </c>
      <c r="G223" t="inlineStr">
        <is>
          <t>High-Rise / View</t>
        </is>
      </c>
      <c r="H223" t="inlineStr">
        <is>
          <t>Resale</t>
        </is>
      </c>
      <c r="I223" t="inlineStr">
        <is>
          <t>1700</t>
        </is>
      </c>
      <c r="J223" t="inlineStr">
        <is>
          <t>20</t>
        </is>
      </c>
      <c r="K223" t="inlineStr">
        <is>
          <t>Completed</t>
        </is>
      </c>
      <c r="L223" t="inlineStr">
        <is>
          <t>2021</t>
        </is>
      </c>
      <c r="M223" t="inlineStr">
        <is>
          <t>6.5-7.0</t>
        </is>
      </c>
      <c r="N223" t="inlineStr">
        <is>
          <t>5-7</t>
        </is>
      </c>
      <c r="O223" t="inlineStr">
        <is>
          <t>11.5-14.0</t>
        </is>
      </c>
      <c r="P223" t="inlineStr">
        <is>
          <t>Hartland Intl</t>
        </is>
      </c>
      <c r="Q223" t="inlineStr">
        <is>
          <t>American Hospital</t>
        </is>
      </c>
      <c r="R223" t="inlineStr">
        <is>
          <t>Dubai Mall</t>
        </is>
      </c>
      <c r="S223" t="inlineStr">
        <is>
          <t>Ras Al Khor / E44</t>
        </is>
      </c>
      <c r="T223" t="inlineStr">
        <is>
          <t>10</t>
        </is>
      </c>
      <c r="U223" t="inlineStr">
        <is>
          <t>25</t>
        </is>
      </c>
      <c r="V223" t="inlineStr">
        <is>
          <t>15</t>
        </is>
      </c>
      <c r="W223" t="inlineStr">
        <is>
          <t>40</t>
        </is>
      </c>
      <c r="X223" t="inlineStr">
        <is>
          <t>Guild_real_estate_master.csv</t>
        </is>
      </c>
    </row>
    <row r="224">
      <c r="A224" t="n">
        <v>223</v>
      </c>
      <c r="B224" t="n">
        <v>223</v>
      </c>
      <c r="C224" t="inlineStr">
        <is>
          <t>Creek Vistas Grande</t>
        </is>
      </c>
      <c r="D224" t="inlineStr">
        <is>
          <t>Sobha Realty</t>
        </is>
      </c>
      <c r="E224" t="inlineStr">
        <is>
          <t>Sobha Hartland I</t>
        </is>
      </c>
      <c r="F224" t="inlineStr">
        <is>
          <t>Apartments</t>
        </is>
      </c>
      <c r="G224" t="inlineStr">
        <is>
          <t>High-Rise / View</t>
        </is>
      </c>
      <c r="H224" t="inlineStr">
        <is>
          <t>Resale</t>
        </is>
      </c>
      <c r="I224" t="inlineStr">
        <is>
          <t>1800</t>
        </is>
      </c>
      <c r="J224" t="inlineStr">
        <is>
          <t>20</t>
        </is>
      </c>
      <c r="K224" t="inlineStr">
        <is>
          <t>Completed</t>
        </is>
      </c>
      <c r="L224" t="inlineStr">
        <is>
          <t>2022</t>
        </is>
      </c>
      <c r="M224" t="inlineStr">
        <is>
          <t>6.5-7.0</t>
        </is>
      </c>
      <c r="N224" t="inlineStr">
        <is>
          <t>5-7</t>
        </is>
      </c>
      <c r="O224" t="inlineStr">
        <is>
          <t>11.5-14.0</t>
        </is>
      </c>
      <c r="P224" t="inlineStr">
        <is>
          <t>Hartland Intl</t>
        </is>
      </c>
      <c r="Q224" t="inlineStr">
        <is>
          <t>American Hospital</t>
        </is>
      </c>
      <c r="R224" t="inlineStr">
        <is>
          <t>Dubai Mall</t>
        </is>
      </c>
      <c r="S224" t="inlineStr">
        <is>
          <t>Ras Al Khor / E44</t>
        </is>
      </c>
      <c r="T224" t="inlineStr">
        <is>
          <t>10</t>
        </is>
      </c>
      <c r="U224" t="inlineStr">
        <is>
          <t>25</t>
        </is>
      </c>
      <c r="V224" t="inlineStr">
        <is>
          <t>15</t>
        </is>
      </c>
      <c r="W224" t="inlineStr">
        <is>
          <t>40</t>
        </is>
      </c>
      <c r="X224" t="inlineStr">
        <is>
          <t>Guild_real_estate_master.csv</t>
        </is>
      </c>
    </row>
    <row r="225">
      <c r="A225" t="n">
        <v>224</v>
      </c>
      <c r="B225" t="n">
        <v>224</v>
      </c>
      <c r="C225" t="inlineStr">
        <is>
          <t>Hartland Greens</t>
        </is>
      </c>
      <c r="D225" t="inlineStr">
        <is>
          <t>Sobha Realty</t>
        </is>
      </c>
      <c r="E225" t="inlineStr">
        <is>
          <t>Sobha Hartland I</t>
        </is>
      </c>
      <c r="F225" t="inlineStr">
        <is>
          <t>Apartments</t>
        </is>
      </c>
      <c r="G225" t="inlineStr">
        <is>
          <t>Low-Rise / Park</t>
        </is>
      </c>
      <c r="H225" t="inlineStr">
        <is>
          <t>Resale</t>
        </is>
      </c>
      <c r="I225" t="inlineStr">
        <is>
          <t>1600</t>
        </is>
      </c>
      <c r="J225" t="inlineStr">
        <is>
          <t>18</t>
        </is>
      </c>
      <c r="K225" t="inlineStr">
        <is>
          <t>Completed</t>
        </is>
      </c>
      <c r="L225" t="inlineStr">
        <is>
          <t>2018</t>
        </is>
      </c>
      <c r="M225" t="inlineStr">
        <is>
          <t>6.0-6.5</t>
        </is>
      </c>
      <c r="N225" t="inlineStr">
        <is>
          <t>5-7</t>
        </is>
      </c>
      <c r="O225" t="inlineStr">
        <is>
          <t>11.0-13.5</t>
        </is>
      </c>
      <c r="P225" t="inlineStr">
        <is>
          <t>Hartland Intl</t>
        </is>
      </c>
      <c r="Q225" t="inlineStr">
        <is>
          <t>American Hospital</t>
        </is>
      </c>
      <c r="R225" t="inlineStr">
        <is>
          <t>Dubai Mall</t>
        </is>
      </c>
      <c r="S225" t="inlineStr">
        <is>
          <t>Ras Al Khor / E44</t>
        </is>
      </c>
      <c r="T225" t="inlineStr">
        <is>
          <t>10</t>
        </is>
      </c>
      <c r="U225" t="inlineStr">
        <is>
          <t>25</t>
        </is>
      </c>
      <c r="V225" t="inlineStr">
        <is>
          <t>15</t>
        </is>
      </c>
      <c r="W225" t="inlineStr">
        <is>
          <t>40</t>
        </is>
      </c>
      <c r="X225" t="inlineStr">
        <is>
          <t>Guild_real_estate_master.csv</t>
        </is>
      </c>
    </row>
    <row r="226">
      <c r="A226" t="n">
        <v>225</v>
      </c>
      <c r="B226" t="n">
        <v>225</v>
      </c>
      <c r="C226" t="inlineStr">
        <is>
          <t>One Park Avenue</t>
        </is>
      </c>
      <c r="D226" t="inlineStr">
        <is>
          <t>Sobha Realty</t>
        </is>
      </c>
      <c r="E226" t="inlineStr">
        <is>
          <t>Sobha Hartland I</t>
        </is>
      </c>
      <c r="F226" t="inlineStr">
        <is>
          <t>Apartments</t>
        </is>
      </c>
      <c r="G226" t="inlineStr">
        <is>
          <t>High-Rise / View</t>
        </is>
      </c>
      <c r="H226" t="inlineStr">
        <is>
          <t>Resale</t>
        </is>
      </c>
      <c r="I226" t="inlineStr">
        <is>
          <t>1900</t>
        </is>
      </c>
      <c r="J226" t="inlineStr">
        <is>
          <t>20</t>
        </is>
      </c>
      <c r="K226" t="inlineStr">
        <is>
          <t>Completed</t>
        </is>
      </c>
      <c r="L226" t="inlineStr">
        <is>
          <t>2021</t>
        </is>
      </c>
      <c r="M226" t="inlineStr">
        <is>
          <t>6.0-6.5</t>
        </is>
      </c>
      <c r="N226" t="inlineStr">
        <is>
          <t>5-7</t>
        </is>
      </c>
      <c r="O226" t="inlineStr">
        <is>
          <t>11.0-13.5</t>
        </is>
      </c>
      <c r="P226" t="inlineStr">
        <is>
          <t>Hartland Intl</t>
        </is>
      </c>
      <c r="Q226" t="inlineStr">
        <is>
          <t>American Hospital</t>
        </is>
      </c>
      <c r="R226" t="inlineStr">
        <is>
          <t>Dubai Mall</t>
        </is>
      </c>
      <c r="S226" t="inlineStr">
        <is>
          <t>Ras Al Khor / E44</t>
        </is>
      </c>
      <c r="T226" t="inlineStr">
        <is>
          <t>10</t>
        </is>
      </c>
      <c r="U226" t="inlineStr">
        <is>
          <t>25</t>
        </is>
      </c>
      <c r="V226" t="inlineStr">
        <is>
          <t>15</t>
        </is>
      </c>
      <c r="W226" t="inlineStr">
        <is>
          <t>40</t>
        </is>
      </c>
      <c r="X226" t="inlineStr">
        <is>
          <t>Guild_real_estate_master.csv</t>
        </is>
      </c>
    </row>
    <row r="227">
      <c r="A227" t="n">
        <v>226</v>
      </c>
      <c r="B227" t="n">
        <v>226</v>
      </c>
      <c r="C227" t="inlineStr">
        <is>
          <t>Waves</t>
        </is>
      </c>
      <c r="D227" t="inlineStr">
        <is>
          <t>Sobha Realty</t>
        </is>
      </c>
      <c r="E227" t="inlineStr">
        <is>
          <t>Sobha Hartland I</t>
        </is>
      </c>
      <c r="F227" t="inlineStr">
        <is>
          <t>Apartments</t>
        </is>
      </c>
      <c r="G227" t="inlineStr">
        <is>
          <t>Waterfront</t>
        </is>
      </c>
      <c r="H227" t="inlineStr">
        <is>
          <t>Resale</t>
        </is>
      </c>
      <c r="I227" t="inlineStr">
        <is>
          <t>1800</t>
        </is>
      </c>
      <c r="J227" t="inlineStr">
        <is>
          <t>20</t>
        </is>
      </c>
      <c r="K227" t="inlineStr">
        <is>
          <t>Completed</t>
        </is>
      </c>
      <c r="L227" t="inlineStr">
        <is>
          <t>2022</t>
        </is>
      </c>
      <c r="M227" t="inlineStr">
        <is>
          <t>6.0-6.5</t>
        </is>
      </c>
      <c r="N227" t="inlineStr">
        <is>
          <t>6-8</t>
        </is>
      </c>
      <c r="O227" t="inlineStr">
        <is>
          <t>12.0-14.5</t>
        </is>
      </c>
      <c r="P227" t="inlineStr">
        <is>
          <t>Hartland Intl</t>
        </is>
      </c>
      <c r="Q227" t="inlineStr">
        <is>
          <t>American Hospital</t>
        </is>
      </c>
      <c r="R227" t="inlineStr">
        <is>
          <t>Dubai Mall</t>
        </is>
      </c>
      <c r="S227" t="inlineStr">
        <is>
          <t>Ras Al Khor / E44</t>
        </is>
      </c>
      <c r="T227" t="inlineStr">
        <is>
          <t>10</t>
        </is>
      </c>
      <c r="U227" t="inlineStr">
        <is>
          <t>25</t>
        </is>
      </c>
      <c r="V227" t="inlineStr">
        <is>
          <t>15</t>
        </is>
      </c>
      <c r="W227" t="inlineStr">
        <is>
          <t>40</t>
        </is>
      </c>
      <c r="X227" t="inlineStr">
        <is>
          <t>Guild_real_estate_master.csv</t>
        </is>
      </c>
    </row>
    <row r="228">
      <c r="A228" t="n">
        <v>227</v>
      </c>
      <c r="B228" t="n">
        <v>227</v>
      </c>
      <c r="C228" t="inlineStr">
        <is>
          <t>Waves Grande</t>
        </is>
      </c>
      <c r="D228" t="inlineStr">
        <is>
          <t>Sobha Realty</t>
        </is>
      </c>
      <c r="E228" t="inlineStr">
        <is>
          <t>Sobha Hartland I</t>
        </is>
      </c>
      <c r="F228" t="inlineStr">
        <is>
          <t>Apartments</t>
        </is>
      </c>
      <c r="G228" t="inlineStr">
        <is>
          <t>Waterfront</t>
        </is>
      </c>
      <c r="H228" t="inlineStr">
        <is>
          <t>Resale</t>
        </is>
      </c>
      <c r="I228" t="inlineStr">
        <is>
          <t>1900</t>
        </is>
      </c>
      <c r="J228" t="inlineStr">
        <is>
          <t>20</t>
        </is>
      </c>
      <c r="K228" t="inlineStr">
        <is>
          <t>Completed</t>
        </is>
      </c>
      <c r="L228" t="inlineStr">
        <is>
          <t>2023</t>
        </is>
      </c>
      <c r="M228" t="inlineStr">
        <is>
          <t>6.0-6.5</t>
        </is>
      </c>
      <c r="N228" t="inlineStr">
        <is>
          <t>6-8</t>
        </is>
      </c>
      <c r="O228" t="inlineStr">
        <is>
          <t>12.0-14.5</t>
        </is>
      </c>
      <c r="P228" t="inlineStr">
        <is>
          <t>Hartland Intl</t>
        </is>
      </c>
      <c r="Q228" t="inlineStr">
        <is>
          <t>American Hospital</t>
        </is>
      </c>
      <c r="R228" t="inlineStr">
        <is>
          <t>Dubai Mall</t>
        </is>
      </c>
      <c r="S228" t="inlineStr">
        <is>
          <t>Ras Al Khor / E44</t>
        </is>
      </c>
      <c r="T228" t="inlineStr">
        <is>
          <t>10</t>
        </is>
      </c>
      <c r="U228" t="inlineStr">
        <is>
          <t>25</t>
        </is>
      </c>
      <c r="V228" t="inlineStr">
        <is>
          <t>15</t>
        </is>
      </c>
      <c r="W228" t="inlineStr">
        <is>
          <t>40</t>
        </is>
      </c>
      <c r="X228" t="inlineStr">
        <is>
          <t>Guild_real_estate_master.csv</t>
        </is>
      </c>
    </row>
    <row r="229">
      <c r="A229" t="n">
        <v>228</v>
      </c>
      <c r="B229" t="n">
        <v>228</v>
      </c>
      <c r="C229" t="inlineStr">
        <is>
          <t>Forest Villas</t>
        </is>
      </c>
      <c r="D229" t="inlineStr">
        <is>
          <t>Sobha Realty</t>
        </is>
      </c>
      <c r="E229" t="inlineStr">
        <is>
          <t>Sobha Hartland I</t>
        </is>
      </c>
      <c r="F229" t="inlineStr">
        <is>
          <t>Villas</t>
        </is>
      </c>
      <c r="G229" t="inlineStr">
        <is>
          <t>Luxury / Green</t>
        </is>
      </c>
      <c r="H229" t="inlineStr">
        <is>
          <t>Resale (15M+)</t>
        </is>
      </c>
      <c r="I229" t="inlineStr">
        <is>
          <t>2200</t>
        </is>
      </c>
      <c r="J229" t="inlineStr">
        <is>
          <t>15</t>
        </is>
      </c>
      <c r="K229" t="inlineStr">
        <is>
          <t>Completed</t>
        </is>
      </c>
      <c r="L229" t="inlineStr">
        <is>
          <t>2020</t>
        </is>
      </c>
      <c r="M229" t="inlineStr">
        <is>
          <t>4.5-5.0</t>
        </is>
      </c>
      <c r="N229" t="inlineStr">
        <is>
          <t>6-8</t>
        </is>
      </c>
      <c r="O229" t="inlineStr">
        <is>
          <t>10.5-13.0</t>
        </is>
      </c>
      <c r="P229" t="inlineStr">
        <is>
          <t>Hartland Intl</t>
        </is>
      </c>
      <c r="Q229" t="inlineStr">
        <is>
          <t>American Hospital</t>
        </is>
      </c>
      <c r="R229" t="inlineStr">
        <is>
          <t>Dubai Mall</t>
        </is>
      </c>
      <c r="S229" t="inlineStr">
        <is>
          <t>Ras Al Khor / E44</t>
        </is>
      </c>
      <c r="T229" t="inlineStr">
        <is>
          <t>10</t>
        </is>
      </c>
      <c r="U229" t="inlineStr">
        <is>
          <t>25</t>
        </is>
      </c>
      <c r="V229" t="inlineStr">
        <is>
          <t>15</t>
        </is>
      </c>
      <c r="W229" t="inlineStr">
        <is>
          <t>40</t>
        </is>
      </c>
      <c r="X229" t="inlineStr">
        <is>
          <t>Guild_real_estate_master.csv</t>
        </is>
      </c>
    </row>
    <row r="230">
      <c r="A230" t="n">
        <v>229</v>
      </c>
      <c r="B230" t="n">
        <v>229</v>
      </c>
      <c r="C230" t="inlineStr">
        <is>
          <t>Sobha Elwood</t>
        </is>
      </c>
      <c r="D230" t="inlineStr">
        <is>
          <t>Sobha Realty</t>
        </is>
      </c>
      <c r="E230" t="inlineStr">
        <is>
          <t>Dubailand</t>
        </is>
      </c>
      <c r="F230" t="inlineStr">
        <is>
          <t>Villas</t>
        </is>
      </c>
      <c r="G230" t="inlineStr">
        <is>
          <t>Green / Nature</t>
        </is>
      </c>
      <c r="H230" t="inlineStr">
        <is>
          <t>4.5M</t>
        </is>
      </c>
      <c r="I230" t="inlineStr">
        <is>
          <t>1400</t>
        </is>
      </c>
      <c r="J230" t="inlineStr">
        <is>
          <t>15</t>
        </is>
      </c>
      <c r="K230" t="inlineStr">
        <is>
          <t>60/40</t>
        </is>
      </c>
      <c r="L230" t="inlineStr">
        <is>
          <t>2024</t>
        </is>
      </c>
      <c r="M230" t="inlineStr">
        <is>
          <t>6.0-6.5</t>
        </is>
      </c>
      <c r="N230" t="inlineStr">
        <is>
          <t>10-12</t>
        </is>
      </c>
      <c r="O230" t="inlineStr">
        <is>
          <t>16.0-18.5</t>
        </is>
      </c>
      <c r="P230" t="inlineStr">
        <is>
          <t>GEMS Winchester</t>
        </is>
      </c>
      <c r="Q230" t="inlineStr">
        <is>
          <t>Fakeeh University Hosp</t>
        </is>
      </c>
      <c r="R230" t="inlineStr">
        <is>
          <t>Dubai Outlet Mall</t>
        </is>
      </c>
      <c r="S230" t="inlineStr">
        <is>
          <t>E611 / Al Ain Rd</t>
        </is>
      </c>
      <c r="T230" t="inlineStr">
        <is>
          <t>20</t>
        </is>
      </c>
      <c r="U230" t="inlineStr">
        <is>
          <t>25</t>
        </is>
      </c>
      <c r="V230" t="inlineStr">
        <is>
          <t>25</t>
        </is>
      </c>
      <c r="W230" t="inlineStr">
        <is>
          <t>30</t>
        </is>
      </c>
      <c r="X230" t="inlineStr">
        <is>
          <t>Guild_real_estate_master.csv</t>
        </is>
      </c>
    </row>
    <row r="231">
      <c r="A231" t="n">
        <v>230</v>
      </c>
      <c r="B231" t="n">
        <v>230</v>
      </c>
      <c r="C231" t="inlineStr">
        <is>
          <t>Sobha Reserve</t>
        </is>
      </c>
      <c r="D231" t="inlineStr">
        <is>
          <t>Sobha Realty</t>
        </is>
      </c>
      <c r="E231" t="inlineStr">
        <is>
          <t>Wadi Al Safa 2</t>
        </is>
      </c>
      <c r="F231" t="inlineStr">
        <is>
          <t>Villas</t>
        </is>
      </c>
      <c r="G231" t="inlineStr">
        <is>
          <t>Forest / Gated</t>
        </is>
      </c>
      <c r="H231" t="inlineStr">
        <is>
          <t>7.5M</t>
        </is>
      </c>
      <c r="I231" t="inlineStr">
        <is>
          <t>1600</t>
        </is>
      </c>
      <c r="J231" t="inlineStr">
        <is>
          <t>15</t>
        </is>
      </c>
      <c r="K231" t="inlineStr">
        <is>
          <t>60/40</t>
        </is>
      </c>
      <c r="L231" t="inlineStr">
        <is>
          <t>2023</t>
        </is>
      </c>
      <c r="M231" t="inlineStr">
        <is>
          <t>5.0-5.5</t>
        </is>
      </c>
      <c r="N231" t="inlineStr">
        <is>
          <t>10-12</t>
        </is>
      </c>
      <c r="O231" t="inlineStr">
        <is>
          <t>15.0-17.5</t>
        </is>
      </c>
      <c r="P231" t="inlineStr">
        <is>
          <t>GEMS Winchester</t>
        </is>
      </c>
      <c r="Q231" t="inlineStr">
        <is>
          <t>Fakeeh University Hosp</t>
        </is>
      </c>
      <c r="R231" t="inlineStr">
        <is>
          <t>Dubai Outlet Mall</t>
        </is>
      </c>
      <c r="S231" t="inlineStr">
        <is>
          <t>E611 / Al Ain Rd</t>
        </is>
      </c>
      <c r="T231" t="inlineStr">
        <is>
          <t>20</t>
        </is>
      </c>
      <c r="U231" t="inlineStr">
        <is>
          <t>25</t>
        </is>
      </c>
      <c r="V231" t="inlineStr">
        <is>
          <t>25</t>
        </is>
      </c>
      <c r="W231" t="inlineStr">
        <is>
          <t>30</t>
        </is>
      </c>
      <c r="X231" t="inlineStr">
        <is>
          <t>Guild_real_estate_master.csv</t>
        </is>
      </c>
    </row>
    <row r="232">
      <c r="A232" t="n">
        <v>231</v>
      </c>
      <c r="B232" t="n">
        <v>231</v>
      </c>
      <c r="C232" t="inlineStr">
        <is>
          <t>Sobha Seahaven</t>
        </is>
      </c>
      <c r="D232" t="inlineStr">
        <is>
          <t>Sobha Realty</t>
        </is>
      </c>
      <c r="E232" t="inlineStr">
        <is>
          <t>Dubai Harbour</t>
        </is>
      </c>
      <c r="F232" t="inlineStr">
        <is>
          <t>Apartments</t>
        </is>
      </c>
      <c r="G232" t="inlineStr">
        <is>
          <t>Marina / Sea View</t>
        </is>
      </c>
      <c r="H232" t="inlineStr">
        <is>
          <t>3.8M</t>
        </is>
      </c>
      <c r="I232" t="inlineStr">
        <is>
          <t>3500</t>
        </is>
      </c>
      <c r="J232" t="inlineStr">
        <is>
          <t>30</t>
        </is>
      </c>
      <c r="K232" t="inlineStr">
        <is>
          <t>60/40</t>
        </is>
      </c>
      <c r="L232" t="inlineStr">
        <is>
          <t>2023</t>
        </is>
      </c>
      <c r="M232" t="inlineStr">
        <is>
          <t>5.0-5.5</t>
        </is>
      </c>
      <c r="N232" t="inlineStr">
        <is>
          <t>10-15</t>
        </is>
      </c>
      <c r="O232" t="inlineStr">
        <is>
          <t>15.0-20.5</t>
        </is>
      </c>
      <c r="P232" t="inlineStr">
        <is>
          <t>American Univ. Dubai</t>
        </is>
      </c>
      <c r="Q232" t="inlineStr">
        <is>
          <t>Saudi German Hospital</t>
        </is>
      </c>
      <c r="R232" t="inlineStr">
        <is>
          <t>Dubai Marina Mall</t>
        </is>
      </c>
      <c r="S232" t="inlineStr">
        <is>
          <t>Sheikh Zayed E11</t>
        </is>
      </c>
      <c r="T232" t="inlineStr">
        <is>
          <t>20</t>
        </is>
      </c>
      <c r="U232" t="inlineStr">
        <is>
          <t>5</t>
        </is>
      </c>
      <c r="V232" t="inlineStr">
        <is>
          <t>25</t>
        </is>
      </c>
      <c r="W232" t="inlineStr">
        <is>
          <t>30</t>
        </is>
      </c>
      <c r="X232" t="inlineStr">
        <is>
          <t>Guild_real_estate_master.csv</t>
        </is>
      </c>
    </row>
    <row r="233">
      <c r="A233" t="n">
        <v>232</v>
      </c>
      <c r="B233" t="n">
        <v>232</v>
      </c>
      <c r="C233" t="inlineStr">
        <is>
          <t>Sky Edition (Seahaven)</t>
        </is>
      </c>
      <c r="D233" t="inlineStr">
        <is>
          <t>Sobha Realty</t>
        </is>
      </c>
      <c r="E233" t="inlineStr">
        <is>
          <t>Dubai Harbour</t>
        </is>
      </c>
      <c r="F233" t="inlineStr">
        <is>
          <t>Luxury Apts</t>
        </is>
      </c>
      <c r="G233" t="inlineStr">
        <is>
          <t>High Floor / Sea</t>
        </is>
      </c>
      <c r="H233" t="inlineStr">
        <is>
          <t>5.5M</t>
        </is>
      </c>
      <c r="I233" t="inlineStr">
        <is>
          <t>4000</t>
        </is>
      </c>
      <c r="J233" t="inlineStr">
        <is>
          <t>30</t>
        </is>
      </c>
      <c r="K233" t="inlineStr">
        <is>
          <t>60/40</t>
        </is>
      </c>
      <c r="L233" t="inlineStr">
        <is>
          <t>2023</t>
        </is>
      </c>
      <c r="M233" t="inlineStr">
        <is>
          <t>4.5-5.0</t>
        </is>
      </c>
      <c r="N233" t="inlineStr">
        <is>
          <t>10-15</t>
        </is>
      </c>
      <c r="O233" t="inlineStr">
        <is>
          <t>14.5-20.0</t>
        </is>
      </c>
      <c r="P233" t="inlineStr">
        <is>
          <t>American Univ. Dubai</t>
        </is>
      </c>
      <c r="Q233" t="inlineStr">
        <is>
          <t>Saudi German Hospital</t>
        </is>
      </c>
      <c r="R233" t="inlineStr">
        <is>
          <t>Dubai Marina Mall</t>
        </is>
      </c>
      <c r="S233" t="inlineStr">
        <is>
          <t>Sheikh Zayed E11</t>
        </is>
      </c>
      <c r="T233" t="inlineStr">
        <is>
          <t>20</t>
        </is>
      </c>
      <c r="U233" t="inlineStr">
        <is>
          <t>5</t>
        </is>
      </c>
      <c r="V233" t="inlineStr">
        <is>
          <t>25</t>
        </is>
      </c>
      <c r="W233" t="inlineStr">
        <is>
          <t>30</t>
        </is>
      </c>
      <c r="X233" t="inlineStr">
        <is>
          <t>Guild_real_estate_master.csv</t>
        </is>
      </c>
    </row>
    <row r="234">
      <c r="A234" t="n">
        <v>233</v>
      </c>
      <c r="B234" t="n">
        <v>233</v>
      </c>
      <c r="C234" t="inlineStr">
        <is>
          <t>Verde by Sobha</t>
        </is>
      </c>
      <c r="D234" t="inlineStr">
        <is>
          <t>Sobha Realty</t>
        </is>
      </c>
      <c r="E234" t="inlineStr">
        <is>
          <t>JLT</t>
        </is>
      </c>
      <c r="F234" t="inlineStr">
        <is>
          <t>Apartments</t>
        </is>
      </c>
      <c r="G234" t="inlineStr">
        <is>
          <t>Golf View / City</t>
        </is>
      </c>
      <c r="H234" t="inlineStr">
        <is>
          <t>2.0M</t>
        </is>
      </c>
      <c r="I234" t="inlineStr">
        <is>
          <t>2200</t>
        </is>
      </c>
      <c r="J234" t="inlineStr">
        <is>
          <t>22</t>
        </is>
      </c>
      <c r="K234" t="inlineStr">
        <is>
          <t>60/40</t>
        </is>
      </c>
      <c r="L234" t="inlineStr">
        <is>
          <t>2023</t>
        </is>
      </c>
      <c r="M234" t="inlineStr">
        <is>
          <t>6.0-6.5</t>
        </is>
      </c>
      <c r="N234" t="inlineStr">
        <is>
          <t>8-10</t>
        </is>
      </c>
      <c r="O234" t="inlineStr">
        <is>
          <t>14.0-16.5</t>
        </is>
      </c>
      <c r="P234" t="inlineStr">
        <is>
          <t>Emirates Intl School</t>
        </is>
      </c>
      <c r="Q234" t="inlineStr">
        <is>
          <t>Saudi German Hospital</t>
        </is>
      </c>
      <c r="R234" t="inlineStr">
        <is>
          <t>Dubai Marina Mall</t>
        </is>
      </c>
      <c r="S234" t="inlineStr">
        <is>
          <t>Sheikh Zayed E11</t>
        </is>
      </c>
      <c r="T234" t="inlineStr">
        <is>
          <t>20</t>
        </is>
      </c>
      <c r="U234" t="inlineStr">
        <is>
          <t>5</t>
        </is>
      </c>
      <c r="V234" t="inlineStr">
        <is>
          <t>25</t>
        </is>
      </c>
      <c r="W234" t="inlineStr">
        <is>
          <t>30</t>
        </is>
      </c>
      <c r="X234" t="inlineStr">
        <is>
          <t>Guild_real_estate_master.csv</t>
        </is>
      </c>
    </row>
    <row r="235">
      <c r="A235" t="n">
        <v>234</v>
      </c>
      <c r="B235" t="n">
        <v>234</v>
      </c>
      <c r="C235" t="inlineStr">
        <is>
          <t>Sobha Orbis</t>
        </is>
      </c>
      <c r="D235" t="inlineStr">
        <is>
          <t>Sobha Realty</t>
        </is>
      </c>
      <c r="E235" t="inlineStr">
        <is>
          <t>Motor City</t>
        </is>
      </c>
      <c r="F235" t="inlineStr">
        <is>
          <t>Apartments</t>
        </is>
      </c>
      <c r="G235" t="inlineStr">
        <is>
          <t>High-Rise / City</t>
        </is>
      </c>
      <c r="H235" t="inlineStr">
        <is>
          <t>985k</t>
        </is>
      </c>
      <c r="I235" t="inlineStr">
        <is>
          <t>1400</t>
        </is>
      </c>
      <c r="J235" t="inlineStr">
        <is>
          <t>15</t>
        </is>
      </c>
      <c r="K235" t="inlineStr">
        <is>
          <t>60/40</t>
        </is>
      </c>
      <c r="L235" t="inlineStr">
        <is>
          <t>2024</t>
        </is>
      </c>
      <c r="M235" t="inlineStr">
        <is>
          <t>7.0-7.5</t>
        </is>
      </c>
      <c r="N235" t="inlineStr">
        <is>
          <t>8-10</t>
        </is>
      </c>
      <c r="O235" t="inlineStr">
        <is>
          <t>15.0-17.5</t>
        </is>
      </c>
      <c r="P235" t="inlineStr">
        <is>
          <t>GEMS Metropole</t>
        </is>
      </c>
      <c r="Q235" t="inlineStr">
        <is>
          <t>Mediclinic Parkview</t>
        </is>
      </c>
      <c r="R235" t="inlineStr">
        <is>
          <t>First Avenue Mall</t>
        </is>
      </c>
      <c r="S235" t="inlineStr">
        <is>
          <t>Hessa St / E311</t>
        </is>
      </c>
      <c r="T235" t="inlineStr">
        <is>
          <t>20</t>
        </is>
      </c>
      <c r="U235" t="inlineStr">
        <is>
          <t>15</t>
        </is>
      </c>
      <c r="V235" t="inlineStr">
        <is>
          <t>25</t>
        </is>
      </c>
      <c r="W235" t="inlineStr">
        <is>
          <t>25</t>
        </is>
      </c>
      <c r="X235" t="inlineStr">
        <is>
          <t>Guild_real_estate_master.csv</t>
        </is>
      </c>
    </row>
    <row r="236">
      <c r="A236" t="n">
        <v>235</v>
      </c>
      <c r="B236" t="n">
        <v>235</v>
      </c>
      <c r="C236" t="inlineStr">
        <is>
          <t>Ghaf Woods (Master Community)</t>
        </is>
      </c>
      <c r="D236" t="inlineStr">
        <is>
          <t>Majid Al Futtaim</t>
        </is>
      </c>
      <c r="E236" t="inlineStr">
        <is>
          <t>Dubailand (Near Global Vill)</t>
        </is>
      </c>
      <c r="F236" t="inlineStr">
        <is>
          <t>Apartments</t>
        </is>
      </c>
      <c r="G236" t="inlineStr">
        <is>
          <t>Forest / Eco</t>
        </is>
      </c>
      <c r="H236" t="inlineStr">
        <is>
          <t>1.5M</t>
        </is>
      </c>
      <c r="I236" t="inlineStr">
        <is>
          <t>1600</t>
        </is>
      </c>
      <c r="J236" t="inlineStr">
        <is>
          <t>18</t>
        </is>
      </c>
      <c r="K236" t="inlineStr">
        <is>
          <t>60/40</t>
        </is>
      </c>
      <c r="L236" t="inlineStr">
        <is>
          <t>2024</t>
        </is>
      </c>
      <c r="M236" t="inlineStr">
        <is>
          <t>6.0-6.5</t>
        </is>
      </c>
      <c r="N236" t="inlineStr">
        <is>
          <t>10-12</t>
        </is>
      </c>
      <c r="O236" t="inlineStr">
        <is>
          <t>16.0-18.5</t>
        </is>
      </c>
      <c r="P236" t="inlineStr">
        <is>
          <t>GEMS Winchester</t>
        </is>
      </c>
      <c r="Q236" t="inlineStr">
        <is>
          <t>Fakeeh University Hosp</t>
        </is>
      </c>
      <c r="R236" t="inlineStr">
        <is>
          <t>Global Village</t>
        </is>
      </c>
      <c r="S236" t="inlineStr">
        <is>
          <t>E611 / Sheikh Zayed Bin Hamdan</t>
        </is>
      </c>
      <c r="T236" t="inlineStr">
        <is>
          <t>20</t>
        </is>
      </c>
      <c r="U236" t="inlineStr">
        <is>
          <t>25</t>
        </is>
      </c>
      <c r="V236" t="inlineStr">
        <is>
          <t>25</t>
        </is>
      </c>
      <c r="W236" t="inlineStr">
        <is>
          <t>30</t>
        </is>
      </c>
      <c r="X236" t="inlineStr">
        <is>
          <t>Guild_real_estate_master.csv</t>
        </is>
      </c>
    </row>
    <row r="237">
      <c r="A237" t="n">
        <v>236</v>
      </c>
      <c r="B237" t="n">
        <v>236</v>
      </c>
      <c r="C237" t="inlineStr">
        <is>
          <t>Plagette</t>
        </is>
      </c>
      <c r="D237" t="inlineStr">
        <is>
          <t>Majid Al Futtaim</t>
        </is>
      </c>
      <c r="E237" t="inlineStr">
        <is>
          <t>Tilal Al Ghaf</t>
        </is>
      </c>
      <c r="F237" t="inlineStr">
        <is>
          <t>Villas</t>
        </is>
      </c>
      <c r="G237" t="inlineStr">
        <is>
          <t>Lagoon / Luxury</t>
        </is>
      </c>
      <c r="H237" t="inlineStr">
        <is>
          <t>8.0M</t>
        </is>
      </c>
      <c r="I237" t="inlineStr">
        <is>
          <t>2000</t>
        </is>
      </c>
      <c r="J237" t="inlineStr">
        <is>
          <t>20</t>
        </is>
      </c>
      <c r="K237" t="inlineStr">
        <is>
          <t>50/50</t>
        </is>
      </c>
      <c r="L237" t="inlineStr">
        <is>
          <t>2023</t>
        </is>
      </c>
      <c r="M237" t="inlineStr">
        <is>
          <t>5.0-5.5</t>
        </is>
      </c>
      <c r="N237" t="inlineStr">
        <is>
          <t>10-12</t>
        </is>
      </c>
      <c r="O237" t="inlineStr">
        <is>
          <t>15.0-17.5</t>
        </is>
      </c>
      <c r="P237" t="inlineStr">
        <is>
          <t>Royal Grammar</t>
        </is>
      </c>
      <c r="Q237" t="inlineStr">
        <is>
          <t>Mediclinic Parkview</t>
        </is>
      </c>
      <c r="R237" t="inlineStr">
        <is>
          <t>First Avenue Mall</t>
        </is>
      </c>
      <c r="S237" t="inlineStr">
        <is>
          <t>Hessa St / E611</t>
        </is>
      </c>
      <c r="T237" t="inlineStr">
        <is>
          <t>20</t>
        </is>
      </c>
      <c r="U237" t="inlineStr">
        <is>
          <t>20</t>
        </is>
      </c>
      <c r="V237" t="inlineStr">
        <is>
          <t>25</t>
        </is>
      </c>
      <c r="W237" t="inlineStr">
        <is>
          <t>25</t>
        </is>
      </c>
      <c r="X237" t="inlineStr">
        <is>
          <t>Guild_real_estate_master.csv</t>
        </is>
      </c>
    </row>
    <row r="238">
      <c r="A238" t="n">
        <v>237</v>
      </c>
      <c r="B238" t="n">
        <v>237</v>
      </c>
      <c r="C238" t="inlineStr">
        <is>
          <t>Sierra</t>
        </is>
      </c>
      <c r="D238" t="inlineStr">
        <is>
          <t>Majid Al Futtaim</t>
        </is>
      </c>
      <c r="E238" t="inlineStr">
        <is>
          <t>Ghaf Woods</t>
        </is>
      </c>
      <c r="F238" t="inlineStr">
        <is>
          <t>Apartments</t>
        </is>
      </c>
      <c r="G238" t="inlineStr">
        <is>
          <t>Forest</t>
        </is>
      </c>
      <c r="H238" t="inlineStr">
        <is>
          <t>1.6M</t>
        </is>
      </c>
      <c r="I238" t="inlineStr">
        <is>
          <t>1650</t>
        </is>
      </c>
      <c r="J238" t="inlineStr">
        <is>
          <t>18</t>
        </is>
      </c>
      <c r="K238" t="inlineStr">
        <is>
          <t>60/40</t>
        </is>
      </c>
      <c r="L238" t="inlineStr">
        <is>
          <t>2024</t>
        </is>
      </c>
      <c r="M238" t="inlineStr">
        <is>
          <t>6.0-6.5</t>
        </is>
      </c>
      <c r="N238" t="inlineStr">
        <is>
          <t>10-12</t>
        </is>
      </c>
      <c r="O238" t="inlineStr">
        <is>
          <t>16.0-18.5</t>
        </is>
      </c>
      <c r="P238" t="inlineStr">
        <is>
          <t>GEMS Winchester</t>
        </is>
      </c>
      <c r="Q238" t="inlineStr">
        <is>
          <t>Fakeeh University Hosp</t>
        </is>
      </c>
      <c r="R238" t="inlineStr">
        <is>
          <t>Global Village</t>
        </is>
      </c>
      <c r="S238" t="inlineStr">
        <is>
          <t>E611 / Sheikh Zayed Bin Hamdan</t>
        </is>
      </c>
      <c r="T238" t="inlineStr">
        <is>
          <t>20</t>
        </is>
      </c>
      <c r="U238" t="inlineStr">
        <is>
          <t>25</t>
        </is>
      </c>
      <c r="V238" t="inlineStr">
        <is>
          <t>25</t>
        </is>
      </c>
      <c r="W238" t="inlineStr">
        <is>
          <t>30</t>
        </is>
      </c>
      <c r="X238" t="inlineStr">
        <is>
          <t>Guild_real_estate_master.csv</t>
        </is>
      </c>
    </row>
    <row r="239">
      <c r="A239" t="n">
        <v>238</v>
      </c>
      <c r="B239" t="n">
        <v>238</v>
      </c>
      <c r="C239" t="inlineStr">
        <is>
          <t>Tilal Al Ghaf (Master Community)</t>
        </is>
      </c>
      <c r="D239" t="inlineStr">
        <is>
          <t>Majid Al Futtaim</t>
        </is>
      </c>
      <c r="E239" t="inlineStr">
        <is>
          <t>Hessa Street</t>
        </is>
      </c>
      <c r="F239" t="inlineStr">
        <is>
          <t>Mixed</t>
        </is>
      </c>
      <c r="G239" t="inlineStr">
        <is>
          <t>Lagoon / Resort</t>
        </is>
      </c>
      <c r="J239" t="inlineStr">
        <is>
          <t>15-18</t>
        </is>
      </c>
      <c r="K239" t="inlineStr">
        <is>
          <t>Varies</t>
        </is>
      </c>
      <c r="L239" t="inlineStr">
        <is>
          <t>Ongoing</t>
        </is>
      </c>
      <c r="M239" t="inlineStr">
        <is>
          <t>6.0-7.0</t>
        </is>
      </c>
      <c r="N239" t="inlineStr">
        <is>
          <t>8-12</t>
        </is>
      </c>
      <c r="O239" t="inlineStr">
        <is>
          <t>14.0-19.0</t>
        </is>
      </c>
      <c r="P239" t="inlineStr">
        <is>
          <t>Royal Grammar</t>
        </is>
      </c>
      <c r="Q239" t="inlineStr">
        <is>
          <t>Mediclinic Parkview</t>
        </is>
      </c>
      <c r="R239" t="inlineStr">
        <is>
          <t>First Avenue Mall</t>
        </is>
      </c>
      <c r="S239" t="inlineStr">
        <is>
          <t>Hessa St / E611</t>
        </is>
      </c>
      <c r="T239" t="inlineStr">
        <is>
          <t>20</t>
        </is>
      </c>
      <c r="U239" t="inlineStr">
        <is>
          <t>20</t>
        </is>
      </c>
      <c r="V239" t="inlineStr">
        <is>
          <t>25</t>
        </is>
      </c>
      <c r="W239" t="inlineStr">
        <is>
          <t>25</t>
        </is>
      </c>
      <c r="X239" t="inlineStr">
        <is>
          <t>Guild_real_estate_master.csv</t>
        </is>
      </c>
    </row>
    <row r="240">
      <c r="A240" t="n">
        <v>239</v>
      </c>
      <c r="B240" t="n">
        <v>239</v>
      </c>
      <c r="C240" t="inlineStr">
        <is>
          <t>Serenity Mansions</t>
        </is>
      </c>
      <c r="D240" t="inlineStr">
        <is>
          <t>Majid Al Futtaim</t>
        </is>
      </c>
      <c r="E240" t="inlineStr">
        <is>
          <t>Tilal Al Ghaf</t>
        </is>
      </c>
      <c r="F240" t="inlineStr">
        <is>
          <t>Mansions</t>
        </is>
      </c>
      <c r="G240" t="inlineStr">
        <is>
          <t>Ultra-Luxury</t>
        </is>
      </c>
      <c r="H240" t="inlineStr">
        <is>
          <t>25M+</t>
        </is>
      </c>
      <c r="I240" t="inlineStr">
        <is>
          <t>3000</t>
        </is>
      </c>
      <c r="J240" t="inlineStr">
        <is>
          <t>TBA</t>
        </is>
      </c>
      <c r="K240" t="inlineStr">
        <is>
          <t>50/50</t>
        </is>
      </c>
      <c r="L240" t="inlineStr">
        <is>
          <t>2023</t>
        </is>
      </c>
      <c r="M240" t="inlineStr">
        <is>
          <t>4.0-4.5</t>
        </is>
      </c>
      <c r="N240" t="inlineStr">
        <is>
          <t>10-15</t>
        </is>
      </c>
      <c r="O240" t="inlineStr">
        <is>
          <t>14.0-19.5</t>
        </is>
      </c>
      <c r="P240" t="inlineStr">
        <is>
          <t>Royal Grammar</t>
        </is>
      </c>
      <c r="Q240" t="inlineStr">
        <is>
          <t>Mediclinic Parkview</t>
        </is>
      </c>
      <c r="R240" t="inlineStr">
        <is>
          <t>First Avenue Mall</t>
        </is>
      </c>
      <c r="S240" t="inlineStr">
        <is>
          <t>Hessa St / E611</t>
        </is>
      </c>
      <c r="T240" t="inlineStr">
        <is>
          <t>20</t>
        </is>
      </c>
      <c r="U240" t="inlineStr">
        <is>
          <t>20</t>
        </is>
      </c>
      <c r="V240" t="inlineStr">
        <is>
          <t>25</t>
        </is>
      </c>
      <c r="W240" t="inlineStr">
        <is>
          <t>25</t>
        </is>
      </c>
      <c r="X240" t="inlineStr">
        <is>
          <t>Guild_real_estate_master.csv</t>
        </is>
      </c>
    </row>
    <row r="241">
      <c r="A241" t="n">
        <v>240</v>
      </c>
      <c r="B241" t="n">
        <v>240</v>
      </c>
      <c r="C241" t="inlineStr">
        <is>
          <t>Lanai Islands</t>
        </is>
      </c>
      <c r="D241" t="inlineStr">
        <is>
          <t>Majid Al Futtaim</t>
        </is>
      </c>
      <c r="E241" t="inlineStr">
        <is>
          <t>Tilal Al Ghaf</t>
        </is>
      </c>
      <c r="F241" t="inlineStr">
        <is>
          <t>Mansions</t>
        </is>
      </c>
      <c r="G241" t="inlineStr">
        <is>
          <t>Island / Ultra</t>
        </is>
      </c>
      <c r="H241" t="inlineStr">
        <is>
          <t>60M+</t>
        </is>
      </c>
      <c r="I241" t="inlineStr">
        <is>
          <t>4000</t>
        </is>
      </c>
      <c r="J241" t="inlineStr">
        <is>
          <t>TBA</t>
        </is>
      </c>
      <c r="K241" t="inlineStr">
        <is>
          <t>50/50</t>
        </is>
      </c>
      <c r="L241" t="inlineStr">
        <is>
          <t>2023</t>
        </is>
      </c>
      <c r="M241" t="inlineStr">
        <is>
          <t>3.5-4.0</t>
        </is>
      </c>
      <c r="N241" t="inlineStr">
        <is>
          <t>10-15</t>
        </is>
      </c>
      <c r="O241" t="inlineStr">
        <is>
          <t>13.5-19.0</t>
        </is>
      </c>
      <c r="P241" t="inlineStr">
        <is>
          <t>Royal Grammar</t>
        </is>
      </c>
      <c r="Q241" t="inlineStr">
        <is>
          <t>Mediclinic Parkview</t>
        </is>
      </c>
      <c r="R241" t="inlineStr">
        <is>
          <t>First Avenue Mall</t>
        </is>
      </c>
      <c r="S241" t="inlineStr">
        <is>
          <t>Hessa St / E611</t>
        </is>
      </c>
      <c r="T241" t="inlineStr">
        <is>
          <t>20</t>
        </is>
      </c>
      <c r="U241" t="inlineStr">
        <is>
          <t>20</t>
        </is>
      </c>
      <c r="V241" t="inlineStr">
        <is>
          <t>25</t>
        </is>
      </c>
      <c r="W241" t="inlineStr">
        <is>
          <t>25</t>
        </is>
      </c>
      <c r="X241" t="inlineStr">
        <is>
          <t>Guild_real_estate_master.csv</t>
        </is>
      </c>
    </row>
    <row r="242">
      <c r="A242" t="n">
        <v>241</v>
      </c>
      <c r="B242" t="n">
        <v>241</v>
      </c>
      <c r="C242" t="inlineStr">
        <is>
          <t>Plagette 32</t>
        </is>
      </c>
      <c r="D242" t="inlineStr">
        <is>
          <t>Majid Al Futtaim</t>
        </is>
      </c>
      <c r="E242" t="inlineStr">
        <is>
          <t>Tilal Al Ghaf</t>
        </is>
      </c>
      <c r="F242" t="inlineStr">
        <is>
          <t>Villas</t>
        </is>
      </c>
      <c r="G242" t="inlineStr">
        <is>
          <t>Water / Luxury</t>
        </is>
      </c>
      <c r="H242" t="inlineStr">
        <is>
          <t>8.5M</t>
        </is>
      </c>
      <c r="I242" t="inlineStr">
        <is>
          <t>2100</t>
        </is>
      </c>
      <c r="J242" t="inlineStr">
        <is>
          <t>20</t>
        </is>
      </c>
      <c r="K242" t="inlineStr">
        <is>
          <t>50/50</t>
        </is>
      </c>
      <c r="L242" t="inlineStr">
        <is>
          <t>2024</t>
        </is>
      </c>
      <c r="M242" t="inlineStr">
        <is>
          <t>5.0-5.5</t>
        </is>
      </c>
      <c r="N242" t="inlineStr">
        <is>
          <t>10-12</t>
        </is>
      </c>
      <c r="O242" t="inlineStr">
        <is>
          <t>15.0-17.5</t>
        </is>
      </c>
      <c r="P242" t="inlineStr">
        <is>
          <t>Royal Grammar</t>
        </is>
      </c>
      <c r="Q242" t="inlineStr">
        <is>
          <t>Mediclinic Parkview</t>
        </is>
      </c>
      <c r="R242" t="inlineStr">
        <is>
          <t>First Avenue Mall</t>
        </is>
      </c>
      <c r="S242" t="inlineStr">
        <is>
          <t>Hessa St / E611</t>
        </is>
      </c>
      <c r="T242" t="inlineStr">
        <is>
          <t>20</t>
        </is>
      </c>
      <c r="U242" t="inlineStr">
        <is>
          <t>20</t>
        </is>
      </c>
      <c r="V242" t="inlineStr">
        <is>
          <t>25</t>
        </is>
      </c>
      <c r="W242" t="inlineStr">
        <is>
          <t>25</t>
        </is>
      </c>
      <c r="X242" t="inlineStr">
        <is>
          <t>Guild_real_estate_master.csv</t>
        </is>
      </c>
    </row>
    <row r="243">
      <c r="A243" t="n">
        <v>242</v>
      </c>
      <c r="B243" t="n">
        <v>242</v>
      </c>
      <c r="C243" t="inlineStr">
        <is>
          <t>Amara</t>
        </is>
      </c>
      <c r="D243" t="inlineStr">
        <is>
          <t>Majid Al Futtaim</t>
        </is>
      </c>
      <c r="E243" t="inlineStr">
        <is>
          <t>Tilal Al Ghaf</t>
        </is>
      </c>
      <c r="F243" t="inlineStr">
        <is>
          <t>Twin Villas</t>
        </is>
      </c>
      <c r="G243" t="inlineStr">
        <is>
          <t>Modern / Hill</t>
        </is>
      </c>
      <c r="H243" t="inlineStr">
        <is>
          <t>6.5M</t>
        </is>
      </c>
      <c r="I243" t="inlineStr">
        <is>
          <t>1800</t>
        </is>
      </c>
      <c r="J243" t="inlineStr">
        <is>
          <t>18</t>
        </is>
      </c>
      <c r="K243" t="inlineStr">
        <is>
          <t>60/40</t>
        </is>
      </c>
      <c r="L243" t="inlineStr">
        <is>
          <t>2023</t>
        </is>
      </c>
      <c r="M243" t="inlineStr">
        <is>
          <t>5.5-6.0</t>
        </is>
      </c>
      <c r="N243" t="inlineStr">
        <is>
          <t>8-10</t>
        </is>
      </c>
      <c r="O243" t="inlineStr">
        <is>
          <t>13.5-16.0</t>
        </is>
      </c>
      <c r="P243" t="inlineStr">
        <is>
          <t>Royal Grammar</t>
        </is>
      </c>
      <c r="Q243" t="inlineStr">
        <is>
          <t>Mediclinic Parkview</t>
        </is>
      </c>
      <c r="R243" t="inlineStr">
        <is>
          <t>First Avenue Mall</t>
        </is>
      </c>
      <c r="S243" t="inlineStr">
        <is>
          <t>Hessa St / E611</t>
        </is>
      </c>
      <c r="T243" t="inlineStr">
        <is>
          <t>20</t>
        </is>
      </c>
      <c r="U243" t="inlineStr">
        <is>
          <t>20</t>
        </is>
      </c>
      <c r="V243" t="inlineStr">
        <is>
          <t>25</t>
        </is>
      </c>
      <c r="W243" t="inlineStr">
        <is>
          <t>25</t>
        </is>
      </c>
      <c r="X243" t="inlineStr">
        <is>
          <t>Guild_real_estate_master.csv</t>
        </is>
      </c>
    </row>
    <row r="244">
      <c r="A244" t="n">
        <v>243</v>
      </c>
      <c r="B244" t="n">
        <v>243</v>
      </c>
      <c r="C244" t="inlineStr">
        <is>
          <t>Alaya</t>
        </is>
      </c>
      <c r="D244" t="inlineStr">
        <is>
          <t>Majid Al Futtaim</t>
        </is>
      </c>
      <c r="E244" t="inlineStr">
        <is>
          <t>Tilal Al Ghaf</t>
        </is>
      </c>
      <c r="F244" t="inlineStr">
        <is>
          <t>Villas</t>
        </is>
      </c>
      <c r="G244" t="inlineStr">
        <is>
          <t>Luxury / Zen</t>
        </is>
      </c>
      <c r="H244" t="inlineStr">
        <is>
          <t>9.0M</t>
        </is>
      </c>
      <c r="I244" t="inlineStr">
        <is>
          <t>1900</t>
        </is>
      </c>
      <c r="J244" t="inlineStr">
        <is>
          <t>18</t>
        </is>
      </c>
      <c r="K244" t="inlineStr">
        <is>
          <t>50/50</t>
        </is>
      </c>
      <c r="L244" t="inlineStr">
        <is>
          <t>2022</t>
        </is>
      </c>
      <c r="M244" t="inlineStr">
        <is>
          <t>5.0-5.5</t>
        </is>
      </c>
      <c r="N244" t="inlineStr">
        <is>
          <t>8-10</t>
        </is>
      </c>
      <c r="O244" t="inlineStr">
        <is>
          <t>13.0-15.5</t>
        </is>
      </c>
      <c r="P244" t="inlineStr">
        <is>
          <t>Royal Grammar</t>
        </is>
      </c>
      <c r="Q244" t="inlineStr">
        <is>
          <t>Mediclinic Parkview</t>
        </is>
      </c>
      <c r="R244" t="inlineStr">
        <is>
          <t>First Avenue Mall</t>
        </is>
      </c>
      <c r="S244" t="inlineStr">
        <is>
          <t>Hessa St / E611</t>
        </is>
      </c>
      <c r="T244" t="inlineStr">
        <is>
          <t>20</t>
        </is>
      </c>
      <c r="U244" t="inlineStr">
        <is>
          <t>20</t>
        </is>
      </c>
      <c r="V244" t="inlineStr">
        <is>
          <t>25</t>
        </is>
      </c>
      <c r="W244" t="inlineStr">
        <is>
          <t>25</t>
        </is>
      </c>
      <c r="X244" t="inlineStr">
        <is>
          <t>Guild_real_estate_master.csv</t>
        </is>
      </c>
    </row>
    <row r="245">
      <c r="A245" t="n">
        <v>244</v>
      </c>
      <c r="B245" t="n">
        <v>244</v>
      </c>
      <c r="C245" t="inlineStr">
        <is>
          <t>Alaya Beach</t>
        </is>
      </c>
      <c r="D245" t="inlineStr">
        <is>
          <t>Majid Al Futtaim</t>
        </is>
      </c>
      <c r="E245" t="inlineStr">
        <is>
          <t>Tilal Al Ghaf</t>
        </is>
      </c>
      <c r="F245" t="inlineStr">
        <is>
          <t>Villas</t>
        </is>
      </c>
      <c r="G245" t="inlineStr">
        <is>
          <t>Beachfront</t>
        </is>
      </c>
      <c r="H245" t="inlineStr">
        <is>
          <t>12M+</t>
        </is>
      </c>
      <c r="I245" t="inlineStr">
        <is>
          <t>2200</t>
        </is>
      </c>
      <c r="J245" t="inlineStr">
        <is>
          <t>20</t>
        </is>
      </c>
      <c r="K245" t="inlineStr">
        <is>
          <t>50/50</t>
        </is>
      </c>
      <c r="L245" t="inlineStr">
        <is>
          <t>2022</t>
        </is>
      </c>
      <c r="M245" t="inlineStr">
        <is>
          <t>5.0-5.5</t>
        </is>
      </c>
      <c r="N245" t="inlineStr">
        <is>
          <t>8-10</t>
        </is>
      </c>
      <c r="O245" t="inlineStr">
        <is>
          <t>13.0-15.5</t>
        </is>
      </c>
      <c r="P245" t="inlineStr">
        <is>
          <t>Royal Grammar</t>
        </is>
      </c>
      <c r="Q245" t="inlineStr">
        <is>
          <t>Mediclinic Parkview</t>
        </is>
      </c>
      <c r="R245" t="inlineStr">
        <is>
          <t>First Avenue Mall</t>
        </is>
      </c>
      <c r="S245" t="inlineStr">
        <is>
          <t>Hessa St / E611</t>
        </is>
      </c>
      <c r="T245" t="inlineStr">
        <is>
          <t>20</t>
        </is>
      </c>
      <c r="U245" t="inlineStr">
        <is>
          <t>20</t>
        </is>
      </c>
      <c r="V245" t="inlineStr">
        <is>
          <t>25</t>
        </is>
      </c>
      <c r="W245" t="inlineStr">
        <is>
          <t>25</t>
        </is>
      </c>
      <c r="X245" t="inlineStr">
        <is>
          <t>Guild_real_estate_master.csv</t>
        </is>
      </c>
    </row>
    <row r="246">
      <c r="A246" t="n">
        <v>245</v>
      </c>
      <c r="B246" t="n">
        <v>245</v>
      </c>
      <c r="C246" t="inlineStr">
        <is>
          <t>Elysian Mansions</t>
        </is>
      </c>
      <c r="D246" t="inlineStr">
        <is>
          <t>Majid Al Futtaim</t>
        </is>
      </c>
      <c r="E246" t="inlineStr">
        <is>
          <t>Tilal Al Ghaf</t>
        </is>
      </c>
      <c r="F246" t="inlineStr">
        <is>
          <t>Mansions</t>
        </is>
      </c>
      <c r="G246" t="inlineStr">
        <is>
          <t>Smart / Luxury</t>
        </is>
      </c>
      <c r="H246" t="inlineStr">
        <is>
          <t>18M+</t>
        </is>
      </c>
      <c r="I246" t="inlineStr">
        <is>
          <t>2500</t>
        </is>
      </c>
      <c r="J246" t="inlineStr">
        <is>
          <t>TBA</t>
        </is>
      </c>
      <c r="K246" t="inlineStr">
        <is>
          <t>50/50</t>
        </is>
      </c>
      <c r="L246" t="inlineStr">
        <is>
          <t>2022</t>
        </is>
      </c>
      <c r="M246" t="inlineStr">
        <is>
          <t>4.5-5.0</t>
        </is>
      </c>
      <c r="N246" t="inlineStr">
        <is>
          <t>8-10</t>
        </is>
      </c>
      <c r="O246" t="inlineStr">
        <is>
          <t>12.5-15.0</t>
        </is>
      </c>
      <c r="P246" t="inlineStr">
        <is>
          <t>Royal Grammar</t>
        </is>
      </c>
      <c r="Q246" t="inlineStr">
        <is>
          <t>Mediclinic Parkview</t>
        </is>
      </c>
      <c r="R246" t="inlineStr">
        <is>
          <t>First Avenue Mall</t>
        </is>
      </c>
      <c r="S246" t="inlineStr">
        <is>
          <t>Hessa St / E611</t>
        </is>
      </c>
      <c r="T246" t="inlineStr">
        <is>
          <t>20</t>
        </is>
      </c>
      <c r="U246" t="inlineStr">
        <is>
          <t>20</t>
        </is>
      </c>
      <c r="V246" t="inlineStr">
        <is>
          <t>25</t>
        </is>
      </c>
      <c r="W246" t="inlineStr">
        <is>
          <t>25</t>
        </is>
      </c>
      <c r="X246" t="inlineStr">
        <is>
          <t>Guild_real_estate_master.csv</t>
        </is>
      </c>
    </row>
    <row r="247">
      <c r="A247" t="n">
        <v>246</v>
      </c>
      <c r="B247" t="n">
        <v>246</v>
      </c>
      <c r="C247" t="inlineStr">
        <is>
          <t>Harmony 1</t>
        </is>
      </c>
      <c r="D247" t="inlineStr">
        <is>
          <t>Majid Al Futtaim</t>
        </is>
      </c>
      <c r="E247" t="inlineStr">
        <is>
          <t>Tilal Al Ghaf</t>
        </is>
      </c>
      <c r="F247" t="inlineStr">
        <is>
          <t>Villas</t>
        </is>
      </c>
      <c r="G247" t="inlineStr">
        <is>
          <t>Family / Gated</t>
        </is>
      </c>
      <c r="H247" t="inlineStr">
        <is>
          <t>Resale (4.5M+)</t>
        </is>
      </c>
      <c r="I247" t="inlineStr">
        <is>
          <t>1400</t>
        </is>
      </c>
      <c r="J247" t="inlineStr">
        <is>
          <t>15</t>
        </is>
      </c>
      <c r="K247" t="inlineStr">
        <is>
          <t>Completed</t>
        </is>
      </c>
      <c r="L247" t="inlineStr">
        <is>
          <t>2023</t>
        </is>
      </c>
      <c r="M247" t="inlineStr">
        <is>
          <t>5.5-6.0</t>
        </is>
      </c>
      <c r="N247" t="inlineStr">
        <is>
          <t>6-8</t>
        </is>
      </c>
      <c r="O247" t="inlineStr">
        <is>
          <t>11.5-14.0</t>
        </is>
      </c>
      <c r="P247" t="inlineStr">
        <is>
          <t>Royal Grammar</t>
        </is>
      </c>
      <c r="Q247" t="inlineStr">
        <is>
          <t>Mediclinic Parkview</t>
        </is>
      </c>
      <c r="R247" t="inlineStr">
        <is>
          <t>First Avenue Mall</t>
        </is>
      </c>
      <c r="S247" t="inlineStr">
        <is>
          <t>Hessa St / E611</t>
        </is>
      </c>
      <c r="T247" t="inlineStr">
        <is>
          <t>20</t>
        </is>
      </c>
      <c r="U247" t="inlineStr">
        <is>
          <t>20</t>
        </is>
      </c>
      <c r="V247" t="inlineStr">
        <is>
          <t>25</t>
        </is>
      </c>
      <c r="W247" t="inlineStr">
        <is>
          <t>25</t>
        </is>
      </c>
      <c r="X247" t="inlineStr">
        <is>
          <t>Guild_real_estate_master.csv</t>
        </is>
      </c>
    </row>
    <row r="248">
      <c r="A248" t="n">
        <v>247</v>
      </c>
      <c r="B248" t="n">
        <v>247</v>
      </c>
      <c r="C248" t="inlineStr">
        <is>
          <t>Harmony 2</t>
        </is>
      </c>
      <c r="D248" t="inlineStr">
        <is>
          <t>Majid Al Futtaim</t>
        </is>
      </c>
      <c r="E248" t="inlineStr">
        <is>
          <t>Tilal Al Ghaf</t>
        </is>
      </c>
      <c r="F248" t="inlineStr">
        <is>
          <t>Villas</t>
        </is>
      </c>
      <c r="G248" t="inlineStr">
        <is>
          <t>Family / Gated</t>
        </is>
      </c>
      <c r="H248" t="inlineStr">
        <is>
          <t>Resale (4.6M+)</t>
        </is>
      </c>
      <c r="I248" t="inlineStr">
        <is>
          <t>1450</t>
        </is>
      </c>
      <c r="J248" t="inlineStr">
        <is>
          <t>15</t>
        </is>
      </c>
      <c r="K248" t="inlineStr">
        <is>
          <t>Completed</t>
        </is>
      </c>
      <c r="L248" t="inlineStr">
        <is>
          <t>2023</t>
        </is>
      </c>
      <c r="M248" t="inlineStr">
        <is>
          <t>5.5-6.0</t>
        </is>
      </c>
      <c r="N248" t="inlineStr">
        <is>
          <t>6-8</t>
        </is>
      </c>
      <c r="O248" t="inlineStr">
        <is>
          <t>11.5-14.0</t>
        </is>
      </c>
      <c r="P248" t="inlineStr">
        <is>
          <t>Royal Grammar</t>
        </is>
      </c>
      <c r="Q248" t="inlineStr">
        <is>
          <t>Mediclinic Parkview</t>
        </is>
      </c>
      <c r="R248" t="inlineStr">
        <is>
          <t>First Avenue Mall</t>
        </is>
      </c>
      <c r="S248" t="inlineStr">
        <is>
          <t>Hessa St / E611</t>
        </is>
      </c>
      <c r="T248" t="inlineStr">
        <is>
          <t>20</t>
        </is>
      </c>
      <c r="U248" t="inlineStr">
        <is>
          <t>20</t>
        </is>
      </c>
      <c r="V248" t="inlineStr">
        <is>
          <t>25</t>
        </is>
      </c>
      <c r="W248" t="inlineStr">
        <is>
          <t>25</t>
        </is>
      </c>
      <c r="X248" t="inlineStr">
        <is>
          <t>Guild_real_estate_master.csv</t>
        </is>
      </c>
    </row>
    <row r="249">
      <c r="A249" t="n">
        <v>248</v>
      </c>
      <c r="B249" t="n">
        <v>248</v>
      </c>
      <c r="C249" t="inlineStr">
        <is>
          <t>Harmony 3</t>
        </is>
      </c>
      <c r="D249" t="inlineStr">
        <is>
          <t>Majid Al Futtaim</t>
        </is>
      </c>
      <c r="E249" t="inlineStr">
        <is>
          <t>Tilal Al Ghaf</t>
        </is>
      </c>
      <c r="F249" t="inlineStr">
        <is>
          <t>Villas</t>
        </is>
      </c>
      <c r="G249" t="inlineStr">
        <is>
          <t>Family / Gated</t>
        </is>
      </c>
      <c r="H249" t="inlineStr">
        <is>
          <t>Resale (4.8M+)</t>
        </is>
      </c>
      <c r="I249" t="inlineStr">
        <is>
          <t>1500</t>
        </is>
      </c>
      <c r="J249" t="inlineStr">
        <is>
          <t>15</t>
        </is>
      </c>
      <c r="K249" t="inlineStr">
        <is>
          <t>Completed</t>
        </is>
      </c>
      <c r="L249" t="inlineStr">
        <is>
          <t>2023</t>
        </is>
      </c>
      <c r="M249" t="inlineStr">
        <is>
          <t>5.5-6.0</t>
        </is>
      </c>
      <c r="N249" t="inlineStr">
        <is>
          <t>6-8</t>
        </is>
      </c>
      <c r="O249" t="inlineStr">
        <is>
          <t>11.5-14.0</t>
        </is>
      </c>
      <c r="P249" t="inlineStr">
        <is>
          <t>Royal Grammar</t>
        </is>
      </c>
      <c r="Q249" t="inlineStr">
        <is>
          <t>Mediclinic Parkview</t>
        </is>
      </c>
      <c r="R249" t="inlineStr">
        <is>
          <t>First Avenue Mall</t>
        </is>
      </c>
      <c r="S249" t="inlineStr">
        <is>
          <t>Hessa St / E611</t>
        </is>
      </c>
      <c r="T249" t="inlineStr">
        <is>
          <t>20</t>
        </is>
      </c>
      <c r="U249" t="inlineStr">
        <is>
          <t>20</t>
        </is>
      </c>
      <c r="V249" t="inlineStr">
        <is>
          <t>25</t>
        </is>
      </c>
      <c r="W249" t="inlineStr">
        <is>
          <t>25</t>
        </is>
      </c>
      <c r="X249" t="inlineStr">
        <is>
          <t>Guild_real_estate_master.csv</t>
        </is>
      </c>
    </row>
    <row r="250">
      <c r="A250" t="n">
        <v>249</v>
      </c>
      <c r="B250" t="n">
        <v>249</v>
      </c>
      <c r="C250" t="inlineStr">
        <is>
          <t>Elan</t>
        </is>
      </c>
      <c r="D250" t="inlineStr">
        <is>
          <t>Majid Al Futtaim</t>
        </is>
      </c>
      <c r="E250" t="inlineStr">
        <is>
          <t>Tilal Al Ghaf</t>
        </is>
      </c>
      <c r="F250" t="inlineStr">
        <is>
          <t>Townhouses</t>
        </is>
      </c>
      <c r="G250" t="inlineStr">
        <is>
          <t>Gated / Starter</t>
        </is>
      </c>
      <c r="H250" t="inlineStr">
        <is>
          <t>Resale (2.5M+)</t>
        </is>
      </c>
      <c r="I250" t="inlineStr">
        <is>
          <t>1300</t>
        </is>
      </c>
      <c r="J250" t="inlineStr">
        <is>
          <t>15</t>
        </is>
      </c>
      <c r="K250" t="inlineStr">
        <is>
          <t>Completed</t>
        </is>
      </c>
      <c r="L250" t="inlineStr">
        <is>
          <t>2022</t>
        </is>
      </c>
      <c r="M250" t="inlineStr">
        <is>
          <t>6.5-7.0</t>
        </is>
      </c>
      <c r="N250" t="inlineStr">
        <is>
          <t>6-8</t>
        </is>
      </c>
      <c r="O250" t="inlineStr">
        <is>
          <t>12.5-15.0</t>
        </is>
      </c>
      <c r="P250" t="inlineStr">
        <is>
          <t>Royal Grammar</t>
        </is>
      </c>
      <c r="Q250" t="inlineStr">
        <is>
          <t>Mediclinic Parkview</t>
        </is>
      </c>
      <c r="R250" t="inlineStr">
        <is>
          <t>First Avenue Mall</t>
        </is>
      </c>
      <c r="S250" t="inlineStr">
        <is>
          <t>Hessa St / E611</t>
        </is>
      </c>
      <c r="T250" t="inlineStr">
        <is>
          <t>20</t>
        </is>
      </c>
      <c r="U250" t="inlineStr">
        <is>
          <t>20</t>
        </is>
      </c>
      <c r="V250" t="inlineStr">
        <is>
          <t>25</t>
        </is>
      </c>
      <c r="W250" t="inlineStr">
        <is>
          <t>25</t>
        </is>
      </c>
      <c r="X250" t="inlineStr">
        <is>
          <t>Guild_real_estate_master.csv</t>
        </is>
      </c>
    </row>
    <row r="251">
      <c r="A251" t="n">
        <v>250</v>
      </c>
      <c r="B251" t="n">
        <v>250</v>
      </c>
      <c r="C251" t="inlineStr">
        <is>
          <t>Aura</t>
        </is>
      </c>
      <c r="D251" t="inlineStr">
        <is>
          <t>Majid Al Futtaim</t>
        </is>
      </c>
      <c r="E251" t="inlineStr">
        <is>
          <t>Tilal Al Ghaf</t>
        </is>
      </c>
      <c r="F251" t="inlineStr">
        <is>
          <t>Twin Villas</t>
        </is>
      </c>
      <c r="G251" t="inlineStr">
        <is>
          <t>Gated / Modern</t>
        </is>
      </c>
      <c r="H251" t="inlineStr">
        <is>
          <t>Resale (3.5M+)</t>
        </is>
      </c>
      <c r="I251" t="inlineStr">
        <is>
          <t>1400</t>
        </is>
      </c>
      <c r="J251" t="inlineStr">
        <is>
          <t>15</t>
        </is>
      </c>
      <c r="K251" t="inlineStr">
        <is>
          <t>Completed</t>
        </is>
      </c>
      <c r="L251" t="inlineStr">
        <is>
          <t>2023</t>
        </is>
      </c>
      <c r="M251" t="inlineStr">
        <is>
          <t>6.0-6.5</t>
        </is>
      </c>
      <c r="N251" t="inlineStr">
        <is>
          <t>6-8</t>
        </is>
      </c>
      <c r="O251" t="inlineStr">
        <is>
          <t>12.0-14.5</t>
        </is>
      </c>
      <c r="P251" t="inlineStr">
        <is>
          <t>Royal Grammar</t>
        </is>
      </c>
      <c r="Q251" t="inlineStr">
        <is>
          <t>Mediclinic Parkview</t>
        </is>
      </c>
      <c r="R251" t="inlineStr">
        <is>
          <t>First Avenue Mall</t>
        </is>
      </c>
      <c r="S251" t="inlineStr">
        <is>
          <t>Hessa St / E611</t>
        </is>
      </c>
      <c r="T251" t="inlineStr">
        <is>
          <t>20</t>
        </is>
      </c>
      <c r="U251" t="inlineStr">
        <is>
          <t>20</t>
        </is>
      </c>
      <c r="V251" t="inlineStr">
        <is>
          <t>25</t>
        </is>
      </c>
      <c r="W251" t="inlineStr">
        <is>
          <t>25</t>
        </is>
      </c>
      <c r="X251" t="inlineStr">
        <is>
          <t>Guild_real_estate_master.csv</t>
        </is>
      </c>
    </row>
    <row r="252">
      <c r="A252" t="n">
        <v>251</v>
      </c>
      <c r="B252" t="n">
        <v>251</v>
      </c>
      <c r="C252" t="inlineStr">
        <is>
          <t>The Highgrove</t>
        </is>
      </c>
      <c r="D252" t="inlineStr">
        <is>
          <t>Ellington Properties</t>
        </is>
      </c>
      <c r="E252" t="inlineStr">
        <is>
          <t>MBR City</t>
        </is>
      </c>
      <c r="F252" t="inlineStr">
        <is>
          <t>Apartments</t>
        </is>
      </c>
      <c r="G252" t="inlineStr">
        <is>
          <t>Design / Boutique</t>
        </is>
      </c>
      <c r="H252" t="inlineStr">
        <is>
          <t>1.8M</t>
        </is>
      </c>
      <c r="I252" t="inlineStr">
        <is>
          <t>2000</t>
        </is>
      </c>
      <c r="J252" t="inlineStr">
        <is>
          <t>18</t>
        </is>
      </c>
      <c r="K252" t="inlineStr">
        <is>
          <t>70/30</t>
        </is>
      </c>
      <c r="L252" t="inlineStr">
        <is>
          <t>2024</t>
        </is>
      </c>
      <c r="M252" t="inlineStr">
        <is>
          <t>6.0-6.5</t>
        </is>
      </c>
      <c r="N252" t="inlineStr">
        <is>
          <t>8-10</t>
        </is>
      </c>
      <c r="O252" t="inlineStr">
        <is>
          <t>14.0-16.5</t>
        </is>
      </c>
      <c r="P252" t="inlineStr">
        <is>
          <t>Hartland Intl</t>
        </is>
      </c>
      <c r="Q252" t="inlineStr">
        <is>
          <t>American Hospital</t>
        </is>
      </c>
      <c r="R252" t="inlineStr">
        <is>
          <t>Dubai Mall</t>
        </is>
      </c>
      <c r="S252" t="inlineStr">
        <is>
          <t>Ras Al Khor / E44</t>
        </is>
      </c>
      <c r="T252" t="inlineStr">
        <is>
          <t>12</t>
        </is>
      </c>
      <c r="U252" t="inlineStr">
        <is>
          <t>25</t>
        </is>
      </c>
      <c r="V252" t="inlineStr">
        <is>
          <t>15</t>
        </is>
      </c>
      <c r="W252" t="inlineStr">
        <is>
          <t>40</t>
        </is>
      </c>
      <c r="X252" t="inlineStr">
        <is>
          <t>Guild_real_estate_master.csv</t>
        </is>
      </c>
    </row>
    <row r="253">
      <c r="A253" t="n">
        <v>252</v>
      </c>
      <c r="B253" t="n">
        <v>252</v>
      </c>
      <c r="C253" t="inlineStr">
        <is>
          <t>Claydon House</t>
        </is>
      </c>
      <c r="D253" t="inlineStr">
        <is>
          <t>Ellington Properties</t>
        </is>
      </c>
      <c r="E253" t="inlineStr">
        <is>
          <t>MBR City</t>
        </is>
      </c>
      <c r="F253" t="inlineStr">
        <is>
          <t>Apartments</t>
        </is>
      </c>
      <c r="G253" t="inlineStr">
        <is>
          <t>Design / Boutique</t>
        </is>
      </c>
      <c r="H253" t="inlineStr">
        <is>
          <t>1.9M</t>
        </is>
      </c>
      <c r="I253" t="inlineStr">
        <is>
          <t>2000</t>
        </is>
      </c>
      <c r="J253" t="inlineStr">
        <is>
          <t>18</t>
        </is>
      </c>
      <c r="K253" t="inlineStr">
        <is>
          <t>70/30</t>
        </is>
      </c>
      <c r="L253" t="inlineStr">
        <is>
          <t>2024</t>
        </is>
      </c>
      <c r="M253" t="inlineStr">
        <is>
          <t>6.0-6.5</t>
        </is>
      </c>
      <c r="N253" t="inlineStr">
        <is>
          <t>8-10</t>
        </is>
      </c>
      <c r="O253" t="inlineStr">
        <is>
          <t>14.0-16.5</t>
        </is>
      </c>
      <c r="P253" t="inlineStr">
        <is>
          <t>Hartland Intl</t>
        </is>
      </c>
      <c r="Q253" t="inlineStr">
        <is>
          <t>American Hospital</t>
        </is>
      </c>
      <c r="R253" t="inlineStr">
        <is>
          <t>Dubai Mall</t>
        </is>
      </c>
      <c r="S253" t="inlineStr">
        <is>
          <t>Ras Al Khor / E44</t>
        </is>
      </c>
      <c r="T253" t="inlineStr">
        <is>
          <t>12</t>
        </is>
      </c>
      <c r="U253" t="inlineStr">
        <is>
          <t>25</t>
        </is>
      </c>
      <c r="V253" t="inlineStr">
        <is>
          <t>15</t>
        </is>
      </c>
      <c r="W253" t="inlineStr">
        <is>
          <t>40</t>
        </is>
      </c>
      <c r="X253" t="inlineStr">
        <is>
          <t>Guild_real_estate_master.csv</t>
        </is>
      </c>
    </row>
    <row r="254">
      <c r="A254" t="n">
        <v>253</v>
      </c>
      <c r="B254" t="n">
        <v>253</v>
      </c>
      <c r="C254" t="inlineStr">
        <is>
          <t>Wilton Terraces 1</t>
        </is>
      </c>
      <c r="D254" t="inlineStr">
        <is>
          <t>Ellington Properties</t>
        </is>
      </c>
      <c r="E254" t="inlineStr">
        <is>
          <t>MBR City</t>
        </is>
      </c>
      <c r="F254" t="inlineStr">
        <is>
          <t>Apartments</t>
        </is>
      </c>
      <c r="G254" t="inlineStr">
        <is>
          <t>Design / Garden</t>
        </is>
      </c>
      <c r="H254" t="inlineStr">
        <is>
          <t>Resale (1.6M+)</t>
        </is>
      </c>
      <c r="I254" t="inlineStr">
        <is>
          <t>1700</t>
        </is>
      </c>
      <c r="J254" t="inlineStr">
        <is>
          <t>18</t>
        </is>
      </c>
      <c r="K254" t="inlineStr">
        <is>
          <t>Completed</t>
        </is>
      </c>
      <c r="L254" t="inlineStr">
        <is>
          <t>2019</t>
        </is>
      </c>
      <c r="M254" t="inlineStr">
        <is>
          <t>6.5-7.0</t>
        </is>
      </c>
      <c r="N254" t="inlineStr">
        <is>
          <t>5-7</t>
        </is>
      </c>
      <c r="O254" t="inlineStr">
        <is>
          <t>11.5-14.0</t>
        </is>
      </c>
      <c r="P254" t="inlineStr">
        <is>
          <t>Hartland Intl</t>
        </is>
      </c>
      <c r="Q254" t="inlineStr">
        <is>
          <t>American Hospital</t>
        </is>
      </c>
      <c r="R254" t="inlineStr">
        <is>
          <t>Dubai Mall</t>
        </is>
      </c>
      <c r="S254" t="inlineStr">
        <is>
          <t>Ras Al Khor / E44</t>
        </is>
      </c>
      <c r="T254" t="inlineStr">
        <is>
          <t>12</t>
        </is>
      </c>
      <c r="U254" t="inlineStr">
        <is>
          <t>25</t>
        </is>
      </c>
      <c r="V254" t="inlineStr">
        <is>
          <t>15</t>
        </is>
      </c>
      <c r="W254" t="inlineStr">
        <is>
          <t>40</t>
        </is>
      </c>
      <c r="X254" t="inlineStr">
        <is>
          <t>Guild_real_estate_master.csv</t>
        </is>
      </c>
    </row>
    <row r="255">
      <c r="A255" t="n">
        <v>254</v>
      </c>
      <c r="B255" t="n">
        <v>254</v>
      </c>
      <c r="C255" t="inlineStr">
        <is>
          <t>Wilton Terraces 2</t>
        </is>
      </c>
      <c r="D255" t="inlineStr">
        <is>
          <t>Ellington Properties</t>
        </is>
      </c>
      <c r="E255" t="inlineStr">
        <is>
          <t>MBR City</t>
        </is>
      </c>
      <c r="F255" t="inlineStr">
        <is>
          <t>Apartments</t>
        </is>
      </c>
      <c r="G255" t="inlineStr">
        <is>
          <t>Design / Garden</t>
        </is>
      </c>
      <c r="H255" t="inlineStr">
        <is>
          <t>Resale (1.6M+)</t>
        </is>
      </c>
      <c r="I255" t="inlineStr">
        <is>
          <t>1700</t>
        </is>
      </c>
      <c r="J255" t="inlineStr">
        <is>
          <t>18</t>
        </is>
      </c>
      <c r="K255" t="inlineStr">
        <is>
          <t>Completed</t>
        </is>
      </c>
      <c r="L255" t="inlineStr">
        <is>
          <t>2019</t>
        </is>
      </c>
      <c r="M255" t="inlineStr">
        <is>
          <t>6.5-7.0</t>
        </is>
      </c>
      <c r="N255" t="inlineStr">
        <is>
          <t>5-7</t>
        </is>
      </c>
      <c r="O255" t="inlineStr">
        <is>
          <t>11.5-14.0</t>
        </is>
      </c>
      <c r="P255" t="inlineStr">
        <is>
          <t>Hartland Intl</t>
        </is>
      </c>
      <c r="Q255" t="inlineStr">
        <is>
          <t>American Hospital</t>
        </is>
      </c>
      <c r="R255" t="inlineStr">
        <is>
          <t>Dubai Mall</t>
        </is>
      </c>
      <c r="S255" t="inlineStr">
        <is>
          <t>Ras Al Khor / E44</t>
        </is>
      </c>
      <c r="T255" t="inlineStr">
        <is>
          <t>12</t>
        </is>
      </c>
      <c r="U255" t="inlineStr">
        <is>
          <t>25</t>
        </is>
      </c>
      <c r="V255" t="inlineStr">
        <is>
          <t>15</t>
        </is>
      </c>
      <c r="W255" t="inlineStr">
        <is>
          <t>40</t>
        </is>
      </c>
      <c r="X255" t="inlineStr">
        <is>
          <t>Guild_real_estate_master.csv</t>
        </is>
      </c>
    </row>
    <row r="256">
      <c r="A256" t="n">
        <v>255</v>
      </c>
      <c r="B256" t="n">
        <v>255</v>
      </c>
      <c r="C256" t="inlineStr">
        <is>
          <t>Wilton Park Residences</t>
        </is>
      </c>
      <c r="D256" t="inlineStr">
        <is>
          <t>Ellington Properties</t>
        </is>
      </c>
      <c r="E256" t="inlineStr">
        <is>
          <t>MBR City</t>
        </is>
      </c>
      <c r="F256" t="inlineStr">
        <is>
          <t>Apartments</t>
        </is>
      </c>
      <c r="G256" t="inlineStr">
        <is>
          <t>Park / Modern</t>
        </is>
      </c>
      <c r="H256" t="inlineStr">
        <is>
          <t>Resale (1.5M+)</t>
        </is>
      </c>
      <c r="I256" t="inlineStr">
        <is>
          <t>1600</t>
        </is>
      </c>
      <c r="J256" t="inlineStr">
        <is>
          <t>18</t>
        </is>
      </c>
      <c r="K256" t="inlineStr">
        <is>
          <t>Completed</t>
        </is>
      </c>
      <c r="L256" t="inlineStr">
        <is>
          <t>2021</t>
        </is>
      </c>
      <c r="M256" t="inlineStr">
        <is>
          <t>6.5-7.0</t>
        </is>
      </c>
      <c r="N256" t="inlineStr">
        <is>
          <t>5-7</t>
        </is>
      </c>
      <c r="O256" t="inlineStr">
        <is>
          <t>11.5-14.0</t>
        </is>
      </c>
      <c r="P256" t="inlineStr">
        <is>
          <t>Hartland Intl</t>
        </is>
      </c>
      <c r="Q256" t="inlineStr">
        <is>
          <t>American Hospital</t>
        </is>
      </c>
      <c r="R256" t="inlineStr">
        <is>
          <t>Dubai Mall</t>
        </is>
      </c>
      <c r="S256" t="inlineStr">
        <is>
          <t>Ras Al Khor / E44</t>
        </is>
      </c>
      <c r="T256" t="inlineStr">
        <is>
          <t>12</t>
        </is>
      </c>
      <c r="U256" t="inlineStr">
        <is>
          <t>25</t>
        </is>
      </c>
      <c r="V256" t="inlineStr">
        <is>
          <t>15</t>
        </is>
      </c>
      <c r="W256" t="inlineStr">
        <is>
          <t>40</t>
        </is>
      </c>
      <c r="X256" t="inlineStr">
        <is>
          <t>Guild_real_estate_master.csv</t>
        </is>
      </c>
    </row>
    <row r="257">
      <c r="A257" t="n">
        <v>256</v>
      </c>
      <c r="B257" t="n">
        <v>256</v>
      </c>
      <c r="C257" t="inlineStr">
        <is>
          <t>The Sanctuary</t>
        </is>
      </c>
      <c r="D257" t="inlineStr">
        <is>
          <t>Ellington Properties</t>
        </is>
      </c>
      <c r="E257" t="inlineStr">
        <is>
          <t>MBR City (District 11)</t>
        </is>
      </c>
      <c r="F257" t="inlineStr">
        <is>
          <t>Villas</t>
        </is>
      </c>
      <c r="G257" t="inlineStr">
        <is>
          <t>Gated / Water</t>
        </is>
      </c>
      <c r="H257" t="inlineStr">
        <is>
          <t>15M+</t>
        </is>
      </c>
      <c r="I257" t="inlineStr">
        <is>
          <t>2200</t>
        </is>
      </c>
      <c r="J257" t="inlineStr">
        <is>
          <t>20</t>
        </is>
      </c>
      <c r="K257" t="inlineStr">
        <is>
          <t>60/40</t>
        </is>
      </c>
      <c r="L257" t="inlineStr">
        <is>
          <t>2023</t>
        </is>
      </c>
      <c r="M257" t="inlineStr">
        <is>
          <t>5.0-5.5</t>
        </is>
      </c>
      <c r="N257" t="inlineStr">
        <is>
          <t>8-10</t>
        </is>
      </c>
      <c r="O257" t="inlineStr">
        <is>
          <t>13.0-15.5</t>
        </is>
      </c>
      <c r="P257" t="inlineStr">
        <is>
          <t>Repton School</t>
        </is>
      </c>
      <c r="Q257" t="inlineStr">
        <is>
          <t>Nad Al Sheba Health</t>
        </is>
      </c>
      <c r="R257" t="inlineStr">
        <is>
          <t>Meydan One (Planned)</t>
        </is>
      </c>
      <c r="S257" t="inlineStr">
        <is>
          <t>Al Ain Rd E66</t>
        </is>
      </c>
      <c r="T257" t="inlineStr">
        <is>
          <t>15</t>
        </is>
      </c>
      <c r="U257" t="inlineStr">
        <is>
          <t>20</t>
        </is>
      </c>
      <c r="V257" t="inlineStr">
        <is>
          <t>20</t>
        </is>
      </c>
      <c r="W257" t="inlineStr">
        <is>
          <t>30</t>
        </is>
      </c>
      <c r="X257" t="inlineStr">
        <is>
          <t>Guild_real_estate_master.csv</t>
        </is>
      </c>
    </row>
    <row r="258">
      <c r="A258" t="n">
        <v>257</v>
      </c>
      <c r="B258" t="n">
        <v>257</v>
      </c>
      <c r="C258" t="inlineStr">
        <is>
          <t>Ellington Sands</t>
        </is>
      </c>
      <c r="D258" t="inlineStr">
        <is>
          <t>Ellington Properties</t>
        </is>
      </c>
      <c r="E258" t="inlineStr">
        <is>
          <t>Al Marjan Is. (RAK)</t>
        </is>
      </c>
      <c r="F258" t="inlineStr">
        <is>
          <t>Apartments</t>
        </is>
      </c>
      <c r="G258" t="inlineStr">
        <is>
          <t>Beach / Resort</t>
        </is>
      </c>
      <c r="H258" t="inlineStr">
        <is>
          <t>2.2M</t>
        </is>
      </c>
      <c r="I258" t="inlineStr">
        <is>
          <t>2100</t>
        </is>
      </c>
      <c r="J258" t="inlineStr">
        <is>
          <t>20</t>
        </is>
      </c>
      <c r="K258" t="inlineStr">
        <is>
          <t>60/40</t>
        </is>
      </c>
      <c r="L258" t="inlineStr">
        <is>
          <t>2024</t>
        </is>
      </c>
      <c r="M258" t="inlineStr">
        <is>
          <t>6.5-7.5</t>
        </is>
      </c>
      <c r="N258" t="inlineStr">
        <is>
          <t>10-15</t>
        </is>
      </c>
      <c r="O258" t="inlineStr">
        <is>
          <t>16.5-22.5</t>
        </is>
      </c>
      <c r="P258" t="inlineStr">
        <is>
          <t>RAK Academy</t>
        </is>
      </c>
      <c r="Q258" t="inlineStr">
        <is>
          <t>RAK Hospital</t>
        </is>
      </c>
      <c r="R258" t="inlineStr">
        <is>
          <t>Al Hamra Mall</t>
        </is>
      </c>
      <c r="S258" t="inlineStr">
        <is>
          <t>E11 (RAK)</t>
        </is>
      </c>
      <c r="T258" t="inlineStr">
        <is>
          <t>60+</t>
        </is>
      </c>
      <c r="U258" t="inlineStr">
        <is>
          <t>60+</t>
        </is>
      </c>
      <c r="V258" t="inlineStr">
        <is>
          <t>50</t>
        </is>
      </c>
      <c r="W258" t="inlineStr">
        <is>
          <t>60+</t>
        </is>
      </c>
      <c r="X258" t="inlineStr">
        <is>
          <t>Guild_real_estate_master.csv</t>
        </is>
      </c>
    </row>
    <row r="259">
      <c r="A259" t="n">
        <v>258</v>
      </c>
      <c r="B259" t="n">
        <v>258</v>
      </c>
      <c r="C259" t="inlineStr">
        <is>
          <t>One River Point</t>
        </is>
      </c>
      <c r="D259" t="inlineStr">
        <is>
          <t>Ellington Properties</t>
        </is>
      </c>
      <c r="E259" t="inlineStr">
        <is>
          <t>Business Bay</t>
        </is>
      </c>
      <c r="F259" t="inlineStr">
        <is>
          <t>Apartments</t>
        </is>
      </c>
      <c r="G259" t="inlineStr">
        <is>
          <t>Canal / Luxury</t>
        </is>
      </c>
      <c r="H259" t="inlineStr">
        <is>
          <t>2.5M</t>
        </is>
      </c>
      <c r="I259" t="inlineStr">
        <is>
          <t>2500</t>
        </is>
      </c>
      <c r="J259" t="inlineStr">
        <is>
          <t>22</t>
        </is>
      </c>
      <c r="K259" t="inlineStr">
        <is>
          <t>70/30</t>
        </is>
      </c>
      <c r="L259" t="inlineStr">
        <is>
          <t>2023</t>
        </is>
      </c>
      <c r="M259" t="inlineStr">
        <is>
          <t>6.0-6.5</t>
        </is>
      </c>
      <c r="N259" t="inlineStr">
        <is>
          <t>8-10</t>
        </is>
      </c>
      <c r="O259" t="inlineStr">
        <is>
          <t>14.0-16.5</t>
        </is>
      </c>
      <c r="P259" t="inlineStr">
        <is>
          <t>Hartland Intl</t>
        </is>
      </c>
      <c r="Q259" t="inlineStr">
        <is>
          <t>Emirates Hospital BB</t>
        </is>
      </c>
      <c r="R259" t="inlineStr">
        <is>
          <t>Dubai Mall</t>
        </is>
      </c>
      <c r="S259" t="inlineStr">
        <is>
          <t>Al Khail E44</t>
        </is>
      </c>
      <c r="T259" t="inlineStr">
        <is>
          <t>5</t>
        </is>
      </c>
      <c r="U259" t="inlineStr">
        <is>
          <t>20</t>
        </is>
      </c>
      <c r="V259" t="inlineStr">
        <is>
          <t>15</t>
        </is>
      </c>
      <c r="W259" t="inlineStr">
        <is>
          <t>35</t>
        </is>
      </c>
      <c r="X259" t="inlineStr">
        <is>
          <t>Guild_real_estate_master.csv</t>
        </is>
      </c>
    </row>
    <row r="260">
      <c r="A260" t="n">
        <v>259</v>
      </c>
      <c r="B260" t="n">
        <v>259</v>
      </c>
      <c r="C260" t="inlineStr">
        <is>
          <t>The Crestmark</t>
        </is>
      </c>
      <c r="D260" t="inlineStr">
        <is>
          <t>Ellington Properties</t>
        </is>
      </c>
      <c r="E260" t="inlineStr">
        <is>
          <t>Business Bay</t>
        </is>
      </c>
      <c r="F260" t="inlineStr">
        <is>
          <t>Apartments</t>
        </is>
      </c>
      <c r="G260" t="inlineStr">
        <is>
          <t>Canal / Design</t>
        </is>
      </c>
      <c r="H260" t="inlineStr">
        <is>
          <t>2.6M</t>
        </is>
      </c>
      <c r="I260" t="inlineStr">
        <is>
          <t>2600</t>
        </is>
      </c>
      <c r="J260" t="inlineStr">
        <is>
          <t>22</t>
        </is>
      </c>
      <c r="K260" t="inlineStr">
        <is>
          <t>70/30</t>
        </is>
      </c>
      <c r="L260" t="inlineStr">
        <is>
          <t>2023</t>
        </is>
      </c>
      <c r="M260" t="inlineStr">
        <is>
          <t>6.0-6.5</t>
        </is>
      </c>
      <c r="N260" t="inlineStr">
        <is>
          <t>8-10</t>
        </is>
      </c>
      <c r="O260" t="inlineStr">
        <is>
          <t>14.0-16.5</t>
        </is>
      </c>
      <c r="P260" t="inlineStr">
        <is>
          <t>Hartland Intl</t>
        </is>
      </c>
      <c r="Q260" t="inlineStr">
        <is>
          <t>Emirates Hospital BB</t>
        </is>
      </c>
      <c r="R260" t="inlineStr">
        <is>
          <t>Dubai Mall</t>
        </is>
      </c>
      <c r="S260" t="inlineStr">
        <is>
          <t>Al Khail E44</t>
        </is>
      </c>
      <c r="T260" t="inlineStr">
        <is>
          <t>5</t>
        </is>
      </c>
      <c r="U260" t="inlineStr">
        <is>
          <t>20</t>
        </is>
      </c>
      <c r="V260" t="inlineStr">
        <is>
          <t>15</t>
        </is>
      </c>
      <c r="W260" t="inlineStr">
        <is>
          <t>35</t>
        </is>
      </c>
      <c r="X260" t="inlineStr">
        <is>
          <t>Guild_real_estate_master.csv</t>
        </is>
      </c>
    </row>
    <row r="261">
      <c r="A261" t="n">
        <v>260</v>
      </c>
      <c r="B261" t="n">
        <v>260</v>
      </c>
      <c r="C261" t="inlineStr">
        <is>
          <t>DT1</t>
        </is>
      </c>
      <c r="D261" t="inlineStr">
        <is>
          <t>Ellington Properties</t>
        </is>
      </c>
      <c r="E261" t="inlineStr">
        <is>
          <t>Downtown Dubai</t>
        </is>
      </c>
      <c r="F261" t="inlineStr">
        <is>
          <t>Apartments</t>
        </is>
      </c>
      <c r="G261" t="inlineStr">
        <is>
          <t>Luxury / City</t>
        </is>
      </c>
      <c r="H261" t="inlineStr">
        <is>
          <t>Resale (2.5M+)</t>
        </is>
      </c>
      <c r="I261" t="inlineStr">
        <is>
          <t>2800</t>
        </is>
      </c>
      <c r="J261" t="inlineStr">
        <is>
          <t>25</t>
        </is>
      </c>
      <c r="K261" t="inlineStr">
        <is>
          <t>Completed</t>
        </is>
      </c>
      <c r="L261" t="inlineStr">
        <is>
          <t>2019</t>
        </is>
      </c>
      <c r="M261" t="inlineStr">
        <is>
          <t>6.0-6.5</t>
        </is>
      </c>
      <c r="N261" t="inlineStr">
        <is>
          <t>5-7</t>
        </is>
      </c>
      <c r="O261" t="inlineStr">
        <is>
          <t>11.0-13.5</t>
        </is>
      </c>
      <c r="P261" t="inlineStr">
        <is>
          <t>Hartland Intl</t>
        </is>
      </c>
      <c r="Q261" t="inlineStr">
        <is>
          <t>Mediclinic Dubai Mall</t>
        </is>
      </c>
      <c r="R261" t="inlineStr">
        <is>
          <t>Dubai Mall</t>
        </is>
      </c>
      <c r="S261" t="inlineStr">
        <is>
          <t>Financial Ctr Rd</t>
        </is>
      </c>
      <c r="T261" t="inlineStr">
        <is>
          <t>5</t>
        </is>
      </c>
      <c r="U261" t="inlineStr">
        <is>
          <t>20</t>
        </is>
      </c>
      <c r="V261" t="inlineStr">
        <is>
          <t>15</t>
        </is>
      </c>
      <c r="W261" t="inlineStr">
        <is>
          <t>35</t>
        </is>
      </c>
      <c r="X261" t="inlineStr">
        <is>
          <t>Guild_real_estate_master.csv</t>
        </is>
      </c>
    </row>
    <row r="262">
      <c r="A262" t="n">
        <v>261</v>
      </c>
      <c r="B262" t="n">
        <v>261</v>
      </c>
      <c r="C262" t="inlineStr">
        <is>
          <t>Mercer House</t>
        </is>
      </c>
      <c r="D262" t="inlineStr">
        <is>
          <t>Ellington Properties</t>
        </is>
      </c>
      <c r="E262" t="inlineStr">
        <is>
          <t>JLT</t>
        </is>
      </c>
      <c r="F262" t="inlineStr">
        <is>
          <t>Apartments</t>
        </is>
      </c>
      <c r="G262" t="inlineStr">
        <is>
          <t>High-Rise / View</t>
        </is>
      </c>
      <c r="H262" t="inlineStr">
        <is>
          <t>1.8M</t>
        </is>
      </c>
      <c r="I262" t="inlineStr">
        <is>
          <t>2000</t>
        </is>
      </c>
      <c r="J262" t="inlineStr">
        <is>
          <t>20</t>
        </is>
      </c>
      <c r="K262" t="inlineStr">
        <is>
          <t>70/30</t>
        </is>
      </c>
      <c r="L262" t="inlineStr">
        <is>
          <t>2023</t>
        </is>
      </c>
      <c r="M262" t="inlineStr">
        <is>
          <t>6.5-7.0</t>
        </is>
      </c>
      <c r="N262" t="inlineStr">
        <is>
          <t>8-10</t>
        </is>
      </c>
      <c r="O262" t="inlineStr">
        <is>
          <t>14.5-17.0</t>
        </is>
      </c>
      <c r="P262" t="inlineStr">
        <is>
          <t>Emirates Intl School</t>
        </is>
      </c>
      <c r="Q262" t="inlineStr">
        <is>
          <t>Saudi German Hospital</t>
        </is>
      </c>
      <c r="R262" t="inlineStr">
        <is>
          <t>Dubai Marina Mall</t>
        </is>
      </c>
      <c r="S262" t="inlineStr">
        <is>
          <t>Sheikh Zayed E11</t>
        </is>
      </c>
      <c r="T262" t="inlineStr">
        <is>
          <t>20</t>
        </is>
      </c>
      <c r="U262" t="inlineStr">
        <is>
          <t>5</t>
        </is>
      </c>
      <c r="V262" t="inlineStr">
        <is>
          <t>25</t>
        </is>
      </c>
      <c r="W262" t="inlineStr">
        <is>
          <t>30</t>
        </is>
      </c>
      <c r="X262" t="inlineStr">
        <is>
          <t>Guild_real_estate_master.csv</t>
        </is>
      </c>
    </row>
    <row r="263">
      <c r="A263" t="n">
        <v>262</v>
      </c>
      <c r="B263" t="n">
        <v>262</v>
      </c>
      <c r="C263" t="inlineStr">
        <is>
          <t>Upper House</t>
        </is>
      </c>
      <c r="D263" t="inlineStr">
        <is>
          <t>Ellington Properties</t>
        </is>
      </c>
      <c r="E263" t="inlineStr">
        <is>
          <t>JLT</t>
        </is>
      </c>
      <c r="F263" t="inlineStr">
        <is>
          <t>Apartments</t>
        </is>
      </c>
      <c r="G263" t="inlineStr">
        <is>
          <t>High-Rise / View</t>
        </is>
      </c>
      <c r="H263" t="inlineStr">
        <is>
          <t>1.6M</t>
        </is>
      </c>
      <c r="I263" t="inlineStr">
        <is>
          <t>1900</t>
        </is>
      </c>
      <c r="J263" t="inlineStr">
        <is>
          <t>20</t>
        </is>
      </c>
      <c r="K263" t="inlineStr">
        <is>
          <t>70/30</t>
        </is>
      </c>
      <c r="L263" t="inlineStr">
        <is>
          <t>2023</t>
        </is>
      </c>
      <c r="M263" t="inlineStr">
        <is>
          <t>6.5-7.0</t>
        </is>
      </c>
      <c r="N263" t="inlineStr">
        <is>
          <t>8-10</t>
        </is>
      </c>
      <c r="O263" t="inlineStr">
        <is>
          <t>14.5-17.0</t>
        </is>
      </c>
      <c r="P263" t="inlineStr">
        <is>
          <t>Emirates Intl School</t>
        </is>
      </c>
      <c r="Q263" t="inlineStr">
        <is>
          <t>Saudi German Hospital</t>
        </is>
      </c>
      <c r="R263" t="inlineStr">
        <is>
          <t>Dubai Marina Mall</t>
        </is>
      </c>
      <c r="S263" t="inlineStr">
        <is>
          <t>Sheikh Zayed E11</t>
        </is>
      </c>
      <c r="T263" t="inlineStr">
        <is>
          <t>20</t>
        </is>
      </c>
      <c r="U263" t="inlineStr">
        <is>
          <t>5</t>
        </is>
      </c>
      <c r="V263" t="inlineStr">
        <is>
          <t>25</t>
        </is>
      </c>
      <c r="W263" t="inlineStr">
        <is>
          <t>30</t>
        </is>
      </c>
      <c r="X263" t="inlineStr">
        <is>
          <t>Guild_real_estate_master.csv</t>
        </is>
      </c>
    </row>
    <row r="264">
      <c r="A264" t="n">
        <v>263</v>
      </c>
      <c r="B264" t="n">
        <v>263</v>
      </c>
      <c r="C264" t="inlineStr">
        <is>
          <t>Ocean House</t>
        </is>
      </c>
      <c r="D264" t="inlineStr">
        <is>
          <t>Ellington Properties</t>
        </is>
      </c>
      <c r="E264" t="inlineStr">
        <is>
          <t>Palm Jumeirah</t>
        </is>
      </c>
      <c r="F264" t="inlineStr">
        <is>
          <t>Apartments</t>
        </is>
      </c>
      <c r="G264" t="inlineStr">
        <is>
          <t>Luxury / Beach</t>
        </is>
      </c>
      <c r="H264" t="inlineStr">
        <is>
          <t>8.0M+</t>
        </is>
      </c>
      <c r="I264" t="inlineStr">
        <is>
          <t>4000</t>
        </is>
      </c>
      <c r="J264" t="inlineStr">
        <is>
          <t>30</t>
        </is>
      </c>
      <c r="K264" t="inlineStr">
        <is>
          <t>60/40</t>
        </is>
      </c>
      <c r="L264" t="inlineStr">
        <is>
          <t>2022</t>
        </is>
      </c>
      <c r="M264" t="inlineStr">
        <is>
          <t>4.5-5.0</t>
        </is>
      </c>
      <c r="N264" t="inlineStr">
        <is>
          <t>8-12</t>
        </is>
      </c>
      <c r="O264" t="inlineStr">
        <is>
          <t>12.5-17.0</t>
        </is>
      </c>
      <c r="P264" t="inlineStr">
        <is>
          <t>Chevalier College</t>
        </is>
      </c>
      <c r="Q264" t="inlineStr">
        <is>
          <t>Emirates Hospital</t>
        </is>
      </c>
      <c r="R264" t="inlineStr">
        <is>
          <t>Nakheel Mall</t>
        </is>
      </c>
      <c r="S264" t="inlineStr">
        <is>
          <t>Sheikh Zayed E11</t>
        </is>
      </c>
      <c r="T264" t="inlineStr">
        <is>
          <t>20</t>
        </is>
      </c>
      <c r="U264" t="inlineStr">
        <is>
          <t>10</t>
        </is>
      </c>
      <c r="V264" t="inlineStr">
        <is>
          <t>25</t>
        </is>
      </c>
      <c r="W264" t="inlineStr">
        <is>
          <t>35</t>
        </is>
      </c>
      <c r="X264" t="inlineStr">
        <is>
          <t>Guild_real_estate_master.csv</t>
        </is>
      </c>
    </row>
    <row r="265">
      <c r="A265" t="n">
        <v>264</v>
      </c>
      <c r="B265" t="n">
        <v>264</v>
      </c>
      <c r="C265" t="inlineStr">
        <is>
          <t>Ellington Beach House</t>
        </is>
      </c>
      <c r="D265" t="inlineStr">
        <is>
          <t>Ellington Properties</t>
        </is>
      </c>
      <c r="E265" t="inlineStr">
        <is>
          <t>Palm Jumeirah</t>
        </is>
      </c>
      <c r="F265" t="inlineStr">
        <is>
          <t>Apartments</t>
        </is>
      </c>
      <c r="G265" t="inlineStr">
        <is>
          <t>Luxury / Beach</t>
        </is>
      </c>
      <c r="H265" t="inlineStr">
        <is>
          <t>7.5M+</t>
        </is>
      </c>
      <c r="I265" t="inlineStr">
        <is>
          <t>3800</t>
        </is>
      </c>
      <c r="J265" t="inlineStr">
        <is>
          <t>30</t>
        </is>
      </c>
      <c r="K265" t="inlineStr">
        <is>
          <t>60/40</t>
        </is>
      </c>
      <c r="L265" t="inlineStr">
        <is>
          <t>2022</t>
        </is>
      </c>
      <c r="M265" t="inlineStr">
        <is>
          <t>4.5-5.0</t>
        </is>
      </c>
      <c r="N265" t="inlineStr">
        <is>
          <t>8-12</t>
        </is>
      </c>
      <c r="O265" t="inlineStr">
        <is>
          <t>12.5-17.0</t>
        </is>
      </c>
      <c r="P265" t="inlineStr">
        <is>
          <t>Chevalier College</t>
        </is>
      </c>
      <c r="Q265" t="inlineStr">
        <is>
          <t>Emirates Hospital</t>
        </is>
      </c>
      <c r="R265" t="inlineStr">
        <is>
          <t>Nakheel Mall</t>
        </is>
      </c>
      <c r="S265" t="inlineStr">
        <is>
          <t>Sheikh Zayed E11</t>
        </is>
      </c>
      <c r="T265" t="inlineStr">
        <is>
          <t>20</t>
        </is>
      </c>
      <c r="U265" t="inlineStr">
        <is>
          <t>10</t>
        </is>
      </c>
      <c r="V265" t="inlineStr">
        <is>
          <t>25</t>
        </is>
      </c>
      <c r="W265" t="inlineStr">
        <is>
          <t>35</t>
        </is>
      </c>
      <c r="X265" t="inlineStr">
        <is>
          <t>Guild_real_estate_master.csv</t>
        </is>
      </c>
    </row>
    <row r="266">
      <c r="A266" t="n">
        <v>265</v>
      </c>
      <c r="B266" t="n">
        <v>265</v>
      </c>
      <c r="C266" t="inlineStr">
        <is>
          <t>The Sloane</t>
        </is>
      </c>
      <c r="D266" t="inlineStr">
        <is>
          <t>Ellington Properties</t>
        </is>
      </c>
      <c r="E266" t="inlineStr">
        <is>
          <t>JVC</t>
        </is>
      </c>
      <c r="F266" t="inlineStr">
        <is>
          <t>Apartments</t>
        </is>
      </c>
      <c r="G266" t="inlineStr">
        <is>
          <t>Boutique / Design</t>
        </is>
      </c>
      <c r="H266" t="inlineStr">
        <is>
          <t>Resale (1.2M+)</t>
        </is>
      </c>
      <c r="I266" t="inlineStr">
        <is>
          <t>1400</t>
        </is>
      </c>
      <c r="J266" t="inlineStr">
        <is>
          <t>15</t>
        </is>
      </c>
      <c r="K266" t="inlineStr">
        <is>
          <t>Completed</t>
        </is>
      </c>
      <c r="L266" t="inlineStr">
        <is>
          <t>2022</t>
        </is>
      </c>
      <c r="M266" t="inlineStr">
        <is>
          <t>7.0-7.5</t>
        </is>
      </c>
      <c r="N266" t="inlineStr">
        <is>
          <t>6-8</t>
        </is>
      </c>
      <c r="O266" t="inlineStr">
        <is>
          <t>13.0-15.5</t>
        </is>
      </c>
      <c r="P266" t="inlineStr">
        <is>
          <t>JSS International</t>
        </is>
      </c>
      <c r="Q266" t="inlineStr">
        <is>
          <t>Saudi German Hospital</t>
        </is>
      </c>
      <c r="R266" t="inlineStr">
        <is>
          <t>Circle Mall</t>
        </is>
      </c>
      <c r="S266" t="inlineStr">
        <is>
          <t>Hessa St / E44</t>
        </is>
      </c>
      <c r="T266" t="inlineStr">
        <is>
          <t>20</t>
        </is>
      </c>
      <c r="U266" t="inlineStr">
        <is>
          <t>15</t>
        </is>
      </c>
      <c r="V266" t="inlineStr">
        <is>
          <t>25</t>
        </is>
      </c>
      <c r="W266" t="inlineStr">
        <is>
          <t>30</t>
        </is>
      </c>
      <c r="X266" t="inlineStr">
        <is>
          <t>Guild_real_estate_master.csv</t>
        </is>
      </c>
    </row>
    <row r="267">
      <c r="A267" t="n">
        <v>266</v>
      </c>
      <c r="B267" t="n">
        <v>266</v>
      </c>
      <c r="C267" t="inlineStr">
        <is>
          <t>Belgravia 1</t>
        </is>
      </c>
      <c r="D267" t="inlineStr">
        <is>
          <t>Ellington Properties</t>
        </is>
      </c>
      <c r="E267" t="inlineStr">
        <is>
          <t>JVC</t>
        </is>
      </c>
      <c r="F267" t="inlineStr">
        <is>
          <t>Apartments</t>
        </is>
      </c>
      <c r="G267" t="inlineStr">
        <is>
          <t>Boutique / Family</t>
        </is>
      </c>
      <c r="H267" t="inlineStr">
        <is>
          <t>Resale (1.1M+)</t>
        </is>
      </c>
      <c r="I267" t="inlineStr">
        <is>
          <t>1300</t>
        </is>
      </c>
      <c r="J267" t="inlineStr">
        <is>
          <t>15</t>
        </is>
      </c>
      <c r="K267" t="inlineStr">
        <is>
          <t>Completed</t>
        </is>
      </c>
      <c r="L267" t="inlineStr">
        <is>
          <t>2016</t>
        </is>
      </c>
      <c r="M267" t="inlineStr">
        <is>
          <t>7.5-8.0</t>
        </is>
      </c>
      <c r="N267" t="inlineStr">
        <is>
          <t>5-7</t>
        </is>
      </c>
      <c r="O267" t="inlineStr">
        <is>
          <t>12.5-15.0</t>
        </is>
      </c>
      <c r="P267" t="inlineStr">
        <is>
          <t>JSS International</t>
        </is>
      </c>
      <c r="Q267" t="inlineStr">
        <is>
          <t>Saudi German Hospital</t>
        </is>
      </c>
      <c r="R267" t="inlineStr">
        <is>
          <t>Circle Mall</t>
        </is>
      </c>
      <c r="S267" t="inlineStr">
        <is>
          <t>Hessa St / E44</t>
        </is>
      </c>
      <c r="T267" t="inlineStr">
        <is>
          <t>20</t>
        </is>
      </c>
      <c r="U267" t="inlineStr">
        <is>
          <t>15</t>
        </is>
      </c>
      <c r="V267" t="inlineStr">
        <is>
          <t>25</t>
        </is>
      </c>
      <c r="W267" t="inlineStr">
        <is>
          <t>30</t>
        </is>
      </c>
      <c r="X267" t="inlineStr">
        <is>
          <t>Guild_real_estate_master.csv</t>
        </is>
      </c>
    </row>
    <row r="268">
      <c r="A268" t="n">
        <v>267</v>
      </c>
      <c r="B268" t="n">
        <v>267</v>
      </c>
      <c r="C268" t="inlineStr">
        <is>
          <t>Belgravia 2</t>
        </is>
      </c>
      <c r="D268" t="inlineStr">
        <is>
          <t>Ellington Properties</t>
        </is>
      </c>
      <c r="E268" t="inlineStr">
        <is>
          <t>JVC</t>
        </is>
      </c>
      <c r="F268" t="inlineStr">
        <is>
          <t>Apartments</t>
        </is>
      </c>
      <c r="G268" t="inlineStr">
        <is>
          <t>Boutique / Family</t>
        </is>
      </c>
      <c r="H268" t="inlineStr">
        <is>
          <t>Resale (1.1M+)</t>
        </is>
      </c>
      <c r="I268" t="inlineStr">
        <is>
          <t>1300</t>
        </is>
      </c>
      <c r="J268" t="inlineStr">
        <is>
          <t>15</t>
        </is>
      </c>
      <c r="K268" t="inlineStr">
        <is>
          <t>Completed</t>
        </is>
      </c>
      <c r="L268" t="inlineStr">
        <is>
          <t>2018</t>
        </is>
      </c>
      <c r="M268" t="inlineStr">
        <is>
          <t>7.5-8.0</t>
        </is>
      </c>
      <c r="N268" t="inlineStr">
        <is>
          <t>5-7</t>
        </is>
      </c>
      <c r="O268" t="inlineStr">
        <is>
          <t>12.5-15.0</t>
        </is>
      </c>
      <c r="P268" t="inlineStr">
        <is>
          <t>JSS International</t>
        </is>
      </c>
      <c r="Q268" t="inlineStr">
        <is>
          <t>Saudi German Hospital</t>
        </is>
      </c>
      <c r="R268" t="inlineStr">
        <is>
          <t>Circle Mall</t>
        </is>
      </c>
      <c r="S268" t="inlineStr">
        <is>
          <t>Hessa St / E44</t>
        </is>
      </c>
      <c r="T268" t="inlineStr">
        <is>
          <t>20</t>
        </is>
      </c>
      <c r="U268" t="inlineStr">
        <is>
          <t>15</t>
        </is>
      </c>
      <c r="V268" t="inlineStr">
        <is>
          <t>25</t>
        </is>
      </c>
      <c r="W268" t="inlineStr">
        <is>
          <t>30</t>
        </is>
      </c>
      <c r="X268" t="inlineStr">
        <is>
          <t>Guild_real_estate_master.csv</t>
        </is>
      </c>
    </row>
    <row r="269">
      <c r="A269" t="n">
        <v>268</v>
      </c>
      <c r="B269" t="n">
        <v>268</v>
      </c>
      <c r="C269" t="inlineStr">
        <is>
          <t>Belgravia 3</t>
        </is>
      </c>
      <c r="D269" t="inlineStr">
        <is>
          <t>Ellington Properties</t>
        </is>
      </c>
      <c r="E269" t="inlineStr">
        <is>
          <t>JVC</t>
        </is>
      </c>
      <c r="F269" t="inlineStr">
        <is>
          <t>Apartments</t>
        </is>
      </c>
      <c r="G269" t="inlineStr">
        <is>
          <t>Boutique / Family</t>
        </is>
      </c>
      <c r="H269" t="inlineStr">
        <is>
          <t>Resale (1.1M+)</t>
        </is>
      </c>
      <c r="I269" t="inlineStr">
        <is>
          <t>1300</t>
        </is>
      </c>
      <c r="J269" t="inlineStr">
        <is>
          <t>15</t>
        </is>
      </c>
      <c r="K269" t="inlineStr">
        <is>
          <t>Completed</t>
        </is>
      </c>
      <c r="L269" t="inlineStr">
        <is>
          <t>2020</t>
        </is>
      </c>
      <c r="M269" t="inlineStr">
        <is>
          <t>7.5-8.0</t>
        </is>
      </c>
      <c r="N269" t="inlineStr">
        <is>
          <t>5-7</t>
        </is>
      </c>
      <c r="O269" t="inlineStr">
        <is>
          <t>12.5-15.0</t>
        </is>
      </c>
      <c r="P269" t="inlineStr">
        <is>
          <t>JSS International</t>
        </is>
      </c>
      <c r="Q269" t="inlineStr">
        <is>
          <t>Saudi German Hospital</t>
        </is>
      </c>
      <c r="R269" t="inlineStr">
        <is>
          <t>Circle Mall</t>
        </is>
      </c>
      <c r="S269" t="inlineStr">
        <is>
          <t>Hessa St / E44</t>
        </is>
      </c>
      <c r="T269" t="inlineStr">
        <is>
          <t>20</t>
        </is>
      </c>
      <c r="U269" t="inlineStr">
        <is>
          <t>15</t>
        </is>
      </c>
      <c r="V269" t="inlineStr">
        <is>
          <t>25</t>
        </is>
      </c>
      <c r="W269" t="inlineStr">
        <is>
          <t>30</t>
        </is>
      </c>
      <c r="X269" t="inlineStr">
        <is>
          <t>Guild_real_estate_master.csv</t>
        </is>
      </c>
    </row>
    <row r="270">
      <c r="A270" t="n">
        <v>269</v>
      </c>
      <c r="B270" t="n">
        <v>269</v>
      </c>
      <c r="C270" t="inlineStr">
        <is>
          <t>Belgravia Square</t>
        </is>
      </c>
      <c r="D270" t="inlineStr">
        <is>
          <t>Ellington Properties</t>
        </is>
      </c>
      <c r="E270" t="inlineStr">
        <is>
          <t>JVC</t>
        </is>
      </c>
      <c r="F270" t="inlineStr">
        <is>
          <t>Apartments</t>
        </is>
      </c>
      <c r="G270" t="inlineStr">
        <is>
          <t>Boutique / Design</t>
        </is>
      </c>
      <c r="H270" t="inlineStr">
        <is>
          <t>Resale (1.2M+)</t>
        </is>
      </c>
      <c r="I270" t="inlineStr">
        <is>
          <t>1350</t>
        </is>
      </c>
      <c r="J270" t="inlineStr">
        <is>
          <t>15</t>
        </is>
      </c>
      <c r="K270" t="inlineStr">
        <is>
          <t>Completed</t>
        </is>
      </c>
      <c r="L270" t="inlineStr">
        <is>
          <t>2021</t>
        </is>
      </c>
      <c r="M270" t="inlineStr">
        <is>
          <t>7.5-8.0</t>
        </is>
      </c>
      <c r="N270" t="inlineStr">
        <is>
          <t>5-7</t>
        </is>
      </c>
      <c r="O270" t="inlineStr">
        <is>
          <t>12.5-15.0</t>
        </is>
      </c>
      <c r="P270" t="inlineStr">
        <is>
          <t>JSS International</t>
        </is>
      </c>
      <c r="Q270" t="inlineStr">
        <is>
          <t>Saudi German Hospital</t>
        </is>
      </c>
      <c r="R270" t="inlineStr">
        <is>
          <t>Circle Mall</t>
        </is>
      </c>
      <c r="S270" t="inlineStr">
        <is>
          <t>Hessa St / E44</t>
        </is>
      </c>
      <c r="T270" t="inlineStr">
        <is>
          <t>20</t>
        </is>
      </c>
      <c r="U270" t="inlineStr">
        <is>
          <t>15</t>
        </is>
      </c>
      <c r="V270" t="inlineStr">
        <is>
          <t>25</t>
        </is>
      </c>
      <c r="W270" t="inlineStr">
        <is>
          <t>30</t>
        </is>
      </c>
      <c r="X270" t="inlineStr">
        <is>
          <t>Guild_real_estate_master.csv</t>
        </is>
      </c>
    </row>
    <row r="271">
      <c r="A271" t="n">
        <v>270</v>
      </c>
      <c r="B271" t="n">
        <v>270</v>
      </c>
      <c r="C271" t="inlineStr">
        <is>
          <t>Belgravia Heights</t>
        </is>
      </c>
      <c r="D271" t="inlineStr">
        <is>
          <t>Ellington Properties</t>
        </is>
      </c>
      <c r="E271" t="inlineStr">
        <is>
          <t>JVC</t>
        </is>
      </c>
      <c r="F271" t="inlineStr">
        <is>
          <t>Apartments</t>
        </is>
      </c>
      <c r="G271" t="inlineStr">
        <is>
          <t>Boutique / View</t>
        </is>
      </c>
      <c r="H271" t="inlineStr">
        <is>
          <t>Resale (1.2M+)</t>
        </is>
      </c>
      <c r="I271" t="inlineStr">
        <is>
          <t>1350</t>
        </is>
      </c>
      <c r="J271" t="inlineStr">
        <is>
          <t>15</t>
        </is>
      </c>
      <c r="K271" t="inlineStr">
        <is>
          <t>Completed</t>
        </is>
      </c>
      <c r="L271" t="inlineStr">
        <is>
          <t>2021</t>
        </is>
      </c>
      <c r="M271" t="inlineStr">
        <is>
          <t>7.5-8.0</t>
        </is>
      </c>
      <c r="N271" t="inlineStr">
        <is>
          <t>5-7</t>
        </is>
      </c>
      <c r="O271" t="inlineStr">
        <is>
          <t>12.5-15.0</t>
        </is>
      </c>
      <c r="P271" t="inlineStr">
        <is>
          <t>JSS International</t>
        </is>
      </c>
      <c r="Q271" t="inlineStr">
        <is>
          <t>Saudi German Hospital</t>
        </is>
      </c>
      <c r="R271" t="inlineStr">
        <is>
          <t>Circle Mall</t>
        </is>
      </c>
      <c r="S271" t="inlineStr">
        <is>
          <t>Hessa St / E44</t>
        </is>
      </c>
      <c r="T271" t="inlineStr">
        <is>
          <t>20</t>
        </is>
      </c>
      <c r="U271" t="inlineStr">
        <is>
          <t>15</t>
        </is>
      </c>
      <c r="V271" t="inlineStr">
        <is>
          <t>25</t>
        </is>
      </c>
      <c r="W271" t="inlineStr">
        <is>
          <t>30</t>
        </is>
      </c>
      <c r="X271" t="inlineStr">
        <is>
          <t>Guild_real_estate_master.csv</t>
        </is>
      </c>
    </row>
    <row r="272">
      <c r="A272" t="n">
        <v>271</v>
      </c>
      <c r="B272" t="n">
        <v>271</v>
      </c>
      <c r="C272" t="inlineStr">
        <is>
          <t>Oakley Square</t>
        </is>
      </c>
      <c r="D272" t="inlineStr">
        <is>
          <t>Ellington Properties</t>
        </is>
      </c>
      <c r="E272" t="inlineStr">
        <is>
          <t>JVC</t>
        </is>
      </c>
      <c r="F272" t="inlineStr">
        <is>
          <t>Apartments</t>
        </is>
      </c>
      <c r="G272" t="inlineStr">
        <is>
          <t>Boutique / Park</t>
        </is>
      </c>
      <c r="H272" t="inlineStr">
        <is>
          <t>1.0M</t>
        </is>
      </c>
      <c r="I272" t="inlineStr">
        <is>
          <t>1400</t>
        </is>
      </c>
      <c r="J272" t="inlineStr">
        <is>
          <t>15</t>
        </is>
      </c>
      <c r="K272" t="inlineStr">
        <is>
          <t>70/30</t>
        </is>
      </c>
      <c r="L272" t="inlineStr">
        <is>
          <t>2022</t>
        </is>
      </c>
      <c r="M272" t="inlineStr">
        <is>
          <t>7.5-8.0</t>
        </is>
      </c>
      <c r="N272" t="inlineStr">
        <is>
          <t>6-8</t>
        </is>
      </c>
      <c r="O272" t="inlineStr">
        <is>
          <t>13.5-16.0</t>
        </is>
      </c>
      <c r="P272" t="inlineStr">
        <is>
          <t>JSS International</t>
        </is>
      </c>
      <c r="Q272" t="inlineStr">
        <is>
          <t>Saudi German Hospital</t>
        </is>
      </c>
      <c r="R272" t="inlineStr">
        <is>
          <t>Circle Mall</t>
        </is>
      </c>
      <c r="S272" t="inlineStr">
        <is>
          <t>Hessa St / E44</t>
        </is>
      </c>
      <c r="T272" t="inlineStr">
        <is>
          <t>20</t>
        </is>
      </c>
      <c r="U272" t="inlineStr">
        <is>
          <t>15</t>
        </is>
      </c>
      <c r="V272" t="inlineStr">
        <is>
          <t>25</t>
        </is>
      </c>
      <c r="W272" t="inlineStr">
        <is>
          <t>30</t>
        </is>
      </c>
      <c r="X272" t="inlineStr">
        <is>
          <t>Guild_real_estate_master.csv</t>
        </is>
      </c>
    </row>
    <row r="273">
      <c r="A273" t="n">
        <v>272</v>
      </c>
      <c r="B273" t="n">
        <v>272</v>
      </c>
      <c r="C273" t="inlineStr">
        <is>
          <t>Hamilton House</t>
        </is>
      </c>
      <c r="D273" t="inlineStr">
        <is>
          <t>Ellington Properties</t>
        </is>
      </c>
      <c r="E273" t="inlineStr">
        <is>
          <t>JVC</t>
        </is>
      </c>
      <c r="F273" t="inlineStr">
        <is>
          <t>Apartments</t>
        </is>
      </c>
      <c r="G273" t="inlineStr">
        <is>
          <t>Boutique / Design</t>
        </is>
      </c>
      <c r="H273" t="inlineStr">
        <is>
          <t>1.1M</t>
        </is>
      </c>
      <c r="I273" t="inlineStr">
        <is>
          <t>1450</t>
        </is>
      </c>
      <c r="J273" t="inlineStr">
        <is>
          <t>15</t>
        </is>
      </c>
      <c r="K273" t="inlineStr">
        <is>
          <t>70/30</t>
        </is>
      </c>
      <c r="L273" t="inlineStr">
        <is>
          <t>2022</t>
        </is>
      </c>
      <c r="M273" t="inlineStr">
        <is>
          <t>7.5-8.0</t>
        </is>
      </c>
      <c r="N273" t="inlineStr">
        <is>
          <t>6-8</t>
        </is>
      </c>
      <c r="O273" t="inlineStr">
        <is>
          <t>13.5-16.0</t>
        </is>
      </c>
      <c r="P273" t="inlineStr">
        <is>
          <t>JSS International</t>
        </is>
      </c>
      <c r="Q273" t="inlineStr">
        <is>
          <t>Saudi German Hospital</t>
        </is>
      </c>
      <c r="R273" t="inlineStr">
        <is>
          <t>Circle Mall</t>
        </is>
      </c>
      <c r="S273" t="inlineStr">
        <is>
          <t>Hessa St / E44</t>
        </is>
      </c>
      <c r="T273" t="inlineStr">
        <is>
          <t>20</t>
        </is>
      </c>
      <c r="U273" t="inlineStr">
        <is>
          <t>15</t>
        </is>
      </c>
      <c r="V273" t="inlineStr">
        <is>
          <t>25</t>
        </is>
      </c>
      <c r="W273" t="inlineStr">
        <is>
          <t>30</t>
        </is>
      </c>
      <c r="X273" t="inlineStr">
        <is>
          <t>Guild_real_estate_master.csv</t>
        </is>
      </c>
    </row>
    <row r="274">
      <c r="A274" t="n">
        <v>273</v>
      </c>
      <c r="B274" t="n">
        <v>273</v>
      </c>
      <c r="C274" t="inlineStr">
        <is>
          <t>The Portman</t>
        </is>
      </c>
      <c r="D274" t="inlineStr">
        <is>
          <t>Ellington Properties</t>
        </is>
      </c>
      <c r="E274" t="inlineStr">
        <is>
          <t>JVC</t>
        </is>
      </c>
      <c r="F274" t="inlineStr">
        <is>
          <t>Apartments</t>
        </is>
      </c>
      <c r="G274" t="inlineStr">
        <is>
          <t>Boutique / Design</t>
        </is>
      </c>
      <c r="H274" t="inlineStr">
        <is>
          <t>1.1M</t>
        </is>
      </c>
      <c r="I274" t="inlineStr">
        <is>
          <t>1450</t>
        </is>
      </c>
      <c r="J274" t="inlineStr">
        <is>
          <t>15</t>
        </is>
      </c>
      <c r="K274" t="inlineStr">
        <is>
          <t>70/30</t>
        </is>
      </c>
      <c r="L274" t="inlineStr">
        <is>
          <t>2022</t>
        </is>
      </c>
      <c r="M274" t="inlineStr">
        <is>
          <t>7.5-8.0</t>
        </is>
      </c>
      <c r="N274" t="inlineStr">
        <is>
          <t>6-8</t>
        </is>
      </c>
      <c r="O274" t="inlineStr">
        <is>
          <t>13.5-16.0</t>
        </is>
      </c>
      <c r="P274" t="inlineStr">
        <is>
          <t>JSS International</t>
        </is>
      </c>
      <c r="Q274" t="inlineStr">
        <is>
          <t>Saudi German Hospital</t>
        </is>
      </c>
      <c r="R274" t="inlineStr">
        <is>
          <t>Circle Mall</t>
        </is>
      </c>
      <c r="S274" t="inlineStr">
        <is>
          <t>Hessa St / E44</t>
        </is>
      </c>
      <c r="T274" t="inlineStr">
        <is>
          <t>20</t>
        </is>
      </c>
      <c r="U274" t="inlineStr">
        <is>
          <t>15</t>
        </is>
      </c>
      <c r="V274" t="inlineStr">
        <is>
          <t>25</t>
        </is>
      </c>
      <c r="W274" t="inlineStr">
        <is>
          <t>30</t>
        </is>
      </c>
      <c r="X274" t="inlineStr">
        <is>
          <t>Guild_real_estate_master.csv</t>
        </is>
      </c>
    </row>
    <row r="275">
      <c r="A275" t="n">
        <v>274</v>
      </c>
      <c r="B275" t="n">
        <v>274</v>
      </c>
      <c r="C275" t="inlineStr">
        <is>
          <t>Arbor View</t>
        </is>
      </c>
      <c r="D275" t="inlineStr">
        <is>
          <t>Ellington Properties</t>
        </is>
      </c>
      <c r="E275" t="inlineStr">
        <is>
          <t>Arjan</t>
        </is>
      </c>
      <c r="F275" t="inlineStr">
        <is>
          <t>Apartments</t>
        </is>
      </c>
      <c r="G275" t="inlineStr">
        <is>
          <t>Green / Family</t>
        </is>
      </c>
      <c r="H275" t="inlineStr">
        <is>
          <t>1.2M</t>
        </is>
      </c>
      <c r="I275" t="inlineStr">
        <is>
          <t>1300</t>
        </is>
      </c>
      <c r="J275" t="inlineStr">
        <is>
          <t>15</t>
        </is>
      </c>
      <c r="K275" t="inlineStr">
        <is>
          <t>70/30</t>
        </is>
      </c>
      <c r="L275" t="inlineStr">
        <is>
          <t>2023</t>
        </is>
      </c>
      <c r="M275" t="inlineStr">
        <is>
          <t>7.0-7.5</t>
        </is>
      </c>
      <c r="N275" t="inlineStr">
        <is>
          <t>7-9</t>
        </is>
      </c>
      <c r="O275" t="inlineStr">
        <is>
          <t>14.0-16.5</t>
        </is>
      </c>
      <c r="P275" t="inlineStr">
        <is>
          <t>Nord Anglia</t>
        </is>
      </c>
      <c r="Q275" t="inlineStr">
        <is>
          <t>Mediclinic Parkview</t>
        </is>
      </c>
      <c r="R275" t="inlineStr">
        <is>
          <t>Dubai Hills Mall</t>
        </is>
      </c>
      <c r="S275" t="inlineStr">
        <is>
          <t>Umm Suqeim / E311</t>
        </is>
      </c>
      <c r="T275" t="inlineStr">
        <is>
          <t>20</t>
        </is>
      </c>
      <c r="U275" t="inlineStr">
        <is>
          <t>20</t>
        </is>
      </c>
      <c r="V275" t="inlineStr">
        <is>
          <t>30</t>
        </is>
      </c>
      <c r="W275" t="inlineStr">
        <is>
          <t>25</t>
        </is>
      </c>
      <c r="X275" t="inlineStr">
        <is>
          <t>Guild_real_estate_master.csv</t>
        </is>
      </c>
    </row>
    <row r="276">
      <c r="A276" t="n">
        <v>275</v>
      </c>
      <c r="B276" t="n">
        <v>275</v>
      </c>
      <c r="C276" t="inlineStr">
        <is>
          <t>Art Bay</t>
        </is>
      </c>
      <c r="D276" t="inlineStr">
        <is>
          <t>Ellington Properties</t>
        </is>
      </c>
      <c r="E276" t="inlineStr">
        <is>
          <t>Jaddaf Waterfront</t>
        </is>
      </c>
      <c r="F276" t="inlineStr">
        <is>
          <t>Apartments</t>
        </is>
      </c>
      <c r="G276" t="inlineStr">
        <is>
          <t>Art / Creek</t>
        </is>
      </c>
      <c r="H276" t="inlineStr">
        <is>
          <t>1.6M</t>
        </is>
      </c>
      <c r="I276" t="inlineStr">
        <is>
          <t>1800</t>
        </is>
      </c>
      <c r="J276" t="inlineStr">
        <is>
          <t>18</t>
        </is>
      </c>
      <c r="K276" t="inlineStr">
        <is>
          <t>70/30</t>
        </is>
      </c>
      <c r="L276" t="inlineStr">
        <is>
          <t>2024</t>
        </is>
      </c>
      <c r="M276" t="inlineStr">
        <is>
          <t>6.0-6.5</t>
        </is>
      </c>
      <c r="N276" t="inlineStr">
        <is>
          <t>8-10</t>
        </is>
      </c>
      <c r="O276" t="inlineStr">
        <is>
          <t>14.0-16.5</t>
        </is>
      </c>
      <c r="P276" t="inlineStr">
        <is>
          <t>Swiss Intl School</t>
        </is>
      </c>
      <c r="Q276" t="inlineStr">
        <is>
          <t>American Hospital</t>
        </is>
      </c>
      <c r="R276" t="inlineStr">
        <is>
          <t>Dubai Festival City</t>
        </is>
      </c>
      <c r="S276" t="inlineStr">
        <is>
          <t>Al Khail E44</t>
        </is>
      </c>
      <c r="T276" t="inlineStr">
        <is>
          <t>10</t>
        </is>
      </c>
      <c r="U276" t="inlineStr">
        <is>
          <t>25</t>
        </is>
      </c>
      <c r="V276" t="inlineStr">
        <is>
          <t>10</t>
        </is>
      </c>
      <c r="W276" t="inlineStr">
        <is>
          <t>40</t>
        </is>
      </c>
      <c r="X276" t="inlineStr">
        <is>
          <t>Guild_real_estate_master.csv</t>
        </is>
      </c>
    </row>
    <row r="277">
      <c r="A277" t="n">
        <v>276</v>
      </c>
      <c r="B277" t="n">
        <v>276</v>
      </c>
      <c r="C277" t="inlineStr">
        <is>
          <t>Six Senses Residences Dubai Marina</t>
        </is>
      </c>
      <c r="D277" t="inlineStr">
        <is>
          <t>Select Group</t>
        </is>
      </c>
      <c r="E277" t="inlineStr">
        <is>
          <t>Dubai Marina</t>
        </is>
      </c>
      <c r="F277" t="inlineStr">
        <is>
          <t>Branded Apts</t>
        </is>
      </c>
      <c r="G277" t="inlineStr">
        <is>
          <t>Ultra-Luxury / Wellness</t>
        </is>
      </c>
      <c r="H277" t="inlineStr">
        <is>
          <t>5.8M</t>
        </is>
      </c>
      <c r="I277" t="inlineStr">
        <is>
          <t>4500</t>
        </is>
      </c>
      <c r="J277" t="inlineStr">
        <is>
          <t>40+</t>
        </is>
      </c>
      <c r="K277" t="inlineStr">
        <is>
          <t>60/40</t>
        </is>
      </c>
      <c r="L277" t="inlineStr">
        <is>
          <t>2024</t>
        </is>
      </c>
      <c r="M277" t="inlineStr">
        <is>
          <t>4.5-5.0</t>
        </is>
      </c>
      <c r="N277" t="inlineStr">
        <is>
          <t>10-12</t>
        </is>
      </c>
      <c r="O277" t="inlineStr">
        <is>
          <t>14.5-17.0</t>
        </is>
      </c>
      <c r="P277" t="inlineStr">
        <is>
          <t>American Univ. Dubai</t>
        </is>
      </c>
      <c r="Q277" t="inlineStr">
        <is>
          <t>Saudi German Hospital</t>
        </is>
      </c>
      <c r="R277" t="inlineStr">
        <is>
          <t>Dubai Marina Mall</t>
        </is>
      </c>
      <c r="S277" t="inlineStr">
        <is>
          <t>Sheikh Zayed E11</t>
        </is>
      </c>
      <c r="T277" t="inlineStr">
        <is>
          <t>20</t>
        </is>
      </c>
      <c r="U277" t="inlineStr">
        <is>
          <t>2</t>
        </is>
      </c>
      <c r="V277" t="inlineStr">
        <is>
          <t>25</t>
        </is>
      </c>
      <c r="W277" t="inlineStr">
        <is>
          <t>30</t>
        </is>
      </c>
      <c r="X277" t="inlineStr">
        <is>
          <t>Guild_real_estate_master.csv</t>
        </is>
      </c>
    </row>
    <row r="278">
      <c r="A278" t="n">
        <v>277</v>
      </c>
      <c r="B278" t="n">
        <v>277</v>
      </c>
      <c r="C278" t="inlineStr">
        <is>
          <t>Marina Gate 1</t>
        </is>
      </c>
      <c r="D278" t="inlineStr">
        <is>
          <t>Select Group</t>
        </is>
      </c>
      <c r="E278" t="inlineStr">
        <is>
          <t>Dubai Marina</t>
        </is>
      </c>
      <c r="F278" t="inlineStr">
        <is>
          <t>Apartments</t>
        </is>
      </c>
      <c r="G278" t="inlineStr">
        <is>
          <t>Marina / Prime</t>
        </is>
      </c>
      <c r="H278" t="inlineStr">
        <is>
          <t>Resale (2.5M+)</t>
        </is>
      </c>
      <c r="I278" t="inlineStr">
        <is>
          <t>2200</t>
        </is>
      </c>
      <c r="J278" t="inlineStr">
        <is>
          <t>25</t>
        </is>
      </c>
      <c r="K278" t="inlineStr">
        <is>
          <t>Completed</t>
        </is>
      </c>
      <c r="L278" t="inlineStr">
        <is>
          <t>2016</t>
        </is>
      </c>
      <c r="M278" t="inlineStr">
        <is>
          <t>6.0-6.5</t>
        </is>
      </c>
      <c r="N278" t="inlineStr">
        <is>
          <t>5-7</t>
        </is>
      </c>
      <c r="O278" t="inlineStr">
        <is>
          <t>11.0-13.5</t>
        </is>
      </c>
      <c r="P278" t="inlineStr">
        <is>
          <t>American Univ. Dubai</t>
        </is>
      </c>
      <c r="Q278" t="inlineStr">
        <is>
          <t>Saudi German Hospital</t>
        </is>
      </c>
      <c r="R278" t="inlineStr">
        <is>
          <t>Dubai Marina Mall</t>
        </is>
      </c>
      <c r="S278" t="inlineStr">
        <is>
          <t>Sheikh Zayed E11</t>
        </is>
      </c>
      <c r="T278" t="inlineStr">
        <is>
          <t>20</t>
        </is>
      </c>
      <c r="U278" t="inlineStr">
        <is>
          <t>2</t>
        </is>
      </c>
      <c r="V278" t="inlineStr">
        <is>
          <t>25</t>
        </is>
      </c>
      <c r="W278" t="inlineStr">
        <is>
          <t>30</t>
        </is>
      </c>
      <c r="X278" t="inlineStr">
        <is>
          <t>Guild_real_estate_master.csv</t>
        </is>
      </c>
    </row>
    <row r="279">
      <c r="A279" t="n">
        <v>278</v>
      </c>
      <c r="B279" t="n">
        <v>278</v>
      </c>
      <c r="C279" t="inlineStr">
        <is>
          <t>Marina Gate 2</t>
        </is>
      </c>
      <c r="D279" t="inlineStr">
        <is>
          <t>Select Group</t>
        </is>
      </c>
      <c r="E279" t="inlineStr">
        <is>
          <t>Dubai Marina</t>
        </is>
      </c>
      <c r="F279" t="inlineStr">
        <is>
          <t>Apartments</t>
        </is>
      </c>
      <c r="G279" t="inlineStr">
        <is>
          <t>Marina / Prime</t>
        </is>
      </c>
      <c r="H279" t="inlineStr">
        <is>
          <t>Resale (2.5M+)</t>
        </is>
      </c>
      <c r="I279" t="inlineStr">
        <is>
          <t>2200</t>
        </is>
      </c>
      <c r="J279" t="inlineStr">
        <is>
          <t>25</t>
        </is>
      </c>
      <c r="K279" t="inlineStr">
        <is>
          <t>Completed</t>
        </is>
      </c>
      <c r="L279" t="inlineStr">
        <is>
          <t>2018</t>
        </is>
      </c>
      <c r="M279" t="inlineStr">
        <is>
          <t>6.0-6.5</t>
        </is>
      </c>
      <c r="N279" t="inlineStr">
        <is>
          <t>5-7</t>
        </is>
      </c>
      <c r="O279" t="inlineStr">
        <is>
          <t>11.0-13.5</t>
        </is>
      </c>
      <c r="P279" t="inlineStr">
        <is>
          <t>American Univ. Dubai</t>
        </is>
      </c>
      <c r="Q279" t="inlineStr">
        <is>
          <t>Saudi German Hospital</t>
        </is>
      </c>
      <c r="R279" t="inlineStr">
        <is>
          <t>Dubai Marina Mall</t>
        </is>
      </c>
      <c r="S279" t="inlineStr">
        <is>
          <t>Sheikh Zayed E11</t>
        </is>
      </c>
      <c r="T279" t="inlineStr">
        <is>
          <t>20</t>
        </is>
      </c>
      <c r="U279" t="inlineStr">
        <is>
          <t>2</t>
        </is>
      </c>
      <c r="V279" t="inlineStr">
        <is>
          <t>25</t>
        </is>
      </c>
      <c r="W279" t="inlineStr">
        <is>
          <t>30</t>
        </is>
      </c>
      <c r="X279" t="inlineStr">
        <is>
          <t>Guild_real_estate_master.csv</t>
        </is>
      </c>
    </row>
    <row r="280">
      <c r="A280" t="n">
        <v>279</v>
      </c>
      <c r="B280" t="n">
        <v>279</v>
      </c>
      <c r="C280" t="inlineStr">
        <is>
          <t>Jumeirah Living Marina Gate</t>
        </is>
      </c>
      <c r="D280" t="inlineStr">
        <is>
          <t>Select Group</t>
        </is>
      </c>
      <c r="E280" t="inlineStr">
        <is>
          <t>Dubai Marina</t>
        </is>
      </c>
      <c r="F280" t="inlineStr">
        <is>
          <t>Branded Apts</t>
        </is>
      </c>
      <c r="G280" t="inlineStr">
        <is>
          <t>Luxury / Service</t>
        </is>
      </c>
      <c r="H280" t="inlineStr">
        <is>
          <t>Resale (3.5M+)</t>
        </is>
      </c>
      <c r="I280" t="inlineStr">
        <is>
          <t>3000</t>
        </is>
      </c>
      <c r="J280" t="inlineStr">
        <is>
          <t>30</t>
        </is>
      </c>
      <c r="K280" t="inlineStr">
        <is>
          <t>Completed</t>
        </is>
      </c>
      <c r="L280" t="inlineStr">
        <is>
          <t>2020</t>
        </is>
      </c>
      <c r="M280" t="inlineStr">
        <is>
          <t>5.5-6.0</t>
        </is>
      </c>
      <c r="N280" t="inlineStr">
        <is>
          <t>5-7</t>
        </is>
      </c>
      <c r="O280" t="inlineStr">
        <is>
          <t>10.5-13.0</t>
        </is>
      </c>
      <c r="P280" t="inlineStr">
        <is>
          <t>American Univ. Dubai</t>
        </is>
      </c>
      <c r="Q280" t="inlineStr">
        <is>
          <t>Saudi German Hospital</t>
        </is>
      </c>
      <c r="R280" t="inlineStr">
        <is>
          <t>Dubai Marina Mall</t>
        </is>
      </c>
      <c r="S280" t="inlineStr">
        <is>
          <t>Sheikh Zayed E11</t>
        </is>
      </c>
      <c r="T280" t="inlineStr">
        <is>
          <t>20</t>
        </is>
      </c>
      <c r="U280" t="inlineStr">
        <is>
          <t>2</t>
        </is>
      </c>
      <c r="V280" t="inlineStr">
        <is>
          <t>25</t>
        </is>
      </c>
      <c r="W280" t="inlineStr">
        <is>
          <t>30</t>
        </is>
      </c>
      <c r="X280" t="inlineStr">
        <is>
          <t>Guild_real_estate_master.csv</t>
        </is>
      </c>
    </row>
    <row r="281">
      <c r="A281" t="n">
        <v>280</v>
      </c>
      <c r="B281" t="n">
        <v>280</v>
      </c>
      <c r="C281" t="inlineStr">
        <is>
          <t>Studio One</t>
        </is>
      </c>
      <c r="D281" t="inlineStr">
        <is>
          <t>Select Group</t>
        </is>
      </c>
      <c r="E281" t="inlineStr">
        <is>
          <t>Dubai Marina</t>
        </is>
      </c>
      <c r="F281" t="inlineStr">
        <is>
          <t>Apartments</t>
        </is>
      </c>
      <c r="G281" t="inlineStr">
        <is>
          <t>Studio/1Bed Focus</t>
        </is>
      </c>
      <c r="H281" t="inlineStr">
        <is>
          <t>Resale (1.1M+)</t>
        </is>
      </c>
      <c r="I281" t="inlineStr">
        <is>
          <t>1800</t>
        </is>
      </c>
      <c r="J281" t="inlineStr">
        <is>
          <t>20</t>
        </is>
      </c>
      <c r="K281" t="inlineStr">
        <is>
          <t>Completed</t>
        </is>
      </c>
      <c r="L281" t="inlineStr">
        <is>
          <t>2019</t>
        </is>
      </c>
      <c r="M281" t="inlineStr">
        <is>
          <t>6.5-7.5</t>
        </is>
      </c>
      <c r="N281" t="inlineStr">
        <is>
          <t>5-7</t>
        </is>
      </c>
      <c r="O281" t="inlineStr">
        <is>
          <t>11.5-14.5</t>
        </is>
      </c>
      <c r="P281" t="inlineStr">
        <is>
          <t>American Univ. Dubai</t>
        </is>
      </c>
      <c r="Q281" t="inlineStr">
        <is>
          <t>Saudi German Hospital</t>
        </is>
      </c>
      <c r="R281" t="inlineStr">
        <is>
          <t>Dubai Marina Mall</t>
        </is>
      </c>
      <c r="S281" t="inlineStr">
        <is>
          <t>Sheikh Zayed E11</t>
        </is>
      </c>
      <c r="T281" t="inlineStr">
        <is>
          <t>20</t>
        </is>
      </c>
      <c r="U281" t="inlineStr">
        <is>
          <t>2</t>
        </is>
      </c>
      <c r="V281" t="inlineStr">
        <is>
          <t>25</t>
        </is>
      </c>
      <c r="W281" t="inlineStr">
        <is>
          <t>30</t>
        </is>
      </c>
      <c r="X281" t="inlineStr">
        <is>
          <t>Guild_real_estate_master.csv</t>
        </is>
      </c>
    </row>
    <row r="282">
      <c r="A282" t="n">
        <v>281</v>
      </c>
      <c r="B282" t="n">
        <v>281</v>
      </c>
      <c r="C282" t="inlineStr">
        <is>
          <t>The Torch</t>
        </is>
      </c>
      <c r="D282" t="inlineStr">
        <is>
          <t>Select Group</t>
        </is>
      </c>
      <c r="E282" t="inlineStr">
        <is>
          <t>Dubai Marina</t>
        </is>
      </c>
      <c r="F282" t="inlineStr">
        <is>
          <t>Apartments</t>
        </is>
      </c>
      <c r="G282" t="inlineStr">
        <is>
          <t>High-Rise</t>
        </is>
      </c>
      <c r="H282" t="inlineStr">
        <is>
          <t>Resale</t>
        </is>
      </c>
      <c r="I282" t="inlineStr">
        <is>
          <t>1400</t>
        </is>
      </c>
      <c r="J282" t="inlineStr">
        <is>
          <t>20</t>
        </is>
      </c>
      <c r="K282" t="inlineStr">
        <is>
          <t>Completed</t>
        </is>
      </c>
      <c r="L282" t="inlineStr">
        <is>
          <t>2011</t>
        </is>
      </c>
      <c r="M282" t="inlineStr">
        <is>
          <t>7.0-7.5</t>
        </is>
      </c>
      <c r="N282" t="inlineStr">
        <is>
          <t>4-6</t>
        </is>
      </c>
      <c r="O282" t="inlineStr">
        <is>
          <t>11.0-13.5</t>
        </is>
      </c>
      <c r="P282" t="inlineStr">
        <is>
          <t>American Univ. Dubai</t>
        </is>
      </c>
      <c r="Q282" t="inlineStr">
        <is>
          <t>Saudi German Hospital</t>
        </is>
      </c>
      <c r="R282" t="inlineStr">
        <is>
          <t>Dubai Marina Mall</t>
        </is>
      </c>
      <c r="S282" t="inlineStr">
        <is>
          <t>Sheikh Zayed E11</t>
        </is>
      </c>
      <c r="T282" t="inlineStr">
        <is>
          <t>20</t>
        </is>
      </c>
      <c r="U282" t="inlineStr">
        <is>
          <t>2</t>
        </is>
      </c>
      <c r="V282" t="inlineStr">
        <is>
          <t>25</t>
        </is>
      </c>
      <c r="W282" t="inlineStr">
        <is>
          <t>30</t>
        </is>
      </c>
      <c r="X282" t="inlineStr">
        <is>
          <t>Guild_real_estate_master.csv</t>
        </is>
      </c>
    </row>
    <row r="283">
      <c r="A283" t="n">
        <v>282</v>
      </c>
      <c r="B283" t="n">
        <v>282</v>
      </c>
      <c r="C283" t="inlineStr">
        <is>
          <t>No.9</t>
        </is>
      </c>
      <c r="D283" t="inlineStr">
        <is>
          <t>Select Group</t>
        </is>
      </c>
      <c r="E283" t="inlineStr">
        <is>
          <t>Dubai Marina</t>
        </is>
      </c>
      <c r="F283" t="inlineStr">
        <is>
          <t>Apartments</t>
        </is>
      </c>
      <c r="G283" t="inlineStr">
        <is>
          <t>Waterfront</t>
        </is>
      </c>
      <c r="H283" t="inlineStr">
        <is>
          <t>Resale</t>
        </is>
      </c>
      <c r="I283" t="inlineStr">
        <is>
          <t>1600</t>
        </is>
      </c>
      <c r="J283" t="inlineStr">
        <is>
          <t>20</t>
        </is>
      </c>
      <c r="K283" t="inlineStr">
        <is>
          <t>Completed</t>
        </is>
      </c>
      <c r="L283" t="inlineStr">
        <is>
          <t>2018</t>
        </is>
      </c>
      <c r="M283" t="inlineStr">
        <is>
          <t>6.5-7.0</t>
        </is>
      </c>
      <c r="N283" t="inlineStr">
        <is>
          <t>5-7</t>
        </is>
      </c>
      <c r="O283" t="inlineStr">
        <is>
          <t>11.5-14.0</t>
        </is>
      </c>
      <c r="P283" t="inlineStr">
        <is>
          <t>American Univ. Dubai</t>
        </is>
      </c>
      <c r="Q283" t="inlineStr">
        <is>
          <t>Saudi German Hospital</t>
        </is>
      </c>
      <c r="R283" t="inlineStr">
        <is>
          <t>Dubai Marina Mall</t>
        </is>
      </c>
      <c r="S283" t="inlineStr">
        <is>
          <t>Sheikh Zayed E11</t>
        </is>
      </c>
      <c r="T283" t="inlineStr">
        <is>
          <t>20</t>
        </is>
      </c>
      <c r="U283" t="inlineStr">
        <is>
          <t>2</t>
        </is>
      </c>
      <c r="V283" t="inlineStr">
        <is>
          <t>25</t>
        </is>
      </c>
      <c r="W283" t="inlineStr">
        <is>
          <t>30</t>
        </is>
      </c>
      <c r="X283" t="inlineStr">
        <is>
          <t>Guild_real_estate_master.csv</t>
        </is>
      </c>
    </row>
    <row r="284">
      <c r="A284" t="n">
        <v>283</v>
      </c>
      <c r="B284" t="n">
        <v>283</v>
      </c>
      <c r="C284" t="inlineStr">
        <is>
          <t>Botanica</t>
        </is>
      </c>
      <c r="D284" t="inlineStr">
        <is>
          <t>Select Group</t>
        </is>
      </c>
      <c r="E284" t="inlineStr">
        <is>
          <t>Dubai Marina</t>
        </is>
      </c>
      <c r="F284" t="inlineStr">
        <is>
          <t>Apartments</t>
        </is>
      </c>
      <c r="G284" t="inlineStr">
        <is>
          <t>Green / Tower</t>
        </is>
      </c>
      <c r="H284" t="inlineStr">
        <is>
          <t>Resale</t>
        </is>
      </c>
      <c r="I284" t="inlineStr">
        <is>
          <t>1500</t>
        </is>
      </c>
      <c r="J284" t="inlineStr">
        <is>
          <t>20</t>
        </is>
      </c>
      <c r="K284" t="inlineStr">
        <is>
          <t>Completed</t>
        </is>
      </c>
      <c r="L284" t="inlineStr">
        <is>
          <t>2011</t>
        </is>
      </c>
      <c r="M284" t="inlineStr">
        <is>
          <t>6.5-7.0</t>
        </is>
      </c>
      <c r="N284" t="inlineStr">
        <is>
          <t>4-6</t>
        </is>
      </c>
      <c r="O284" t="inlineStr">
        <is>
          <t>10.5-13.0</t>
        </is>
      </c>
      <c r="P284" t="inlineStr">
        <is>
          <t>American Univ. Dubai</t>
        </is>
      </c>
      <c r="Q284" t="inlineStr">
        <is>
          <t>Saudi German Hospital</t>
        </is>
      </c>
      <c r="R284" t="inlineStr">
        <is>
          <t>Dubai Marina Mall</t>
        </is>
      </c>
      <c r="S284" t="inlineStr">
        <is>
          <t>Sheikh Zayed E11</t>
        </is>
      </c>
      <c r="T284" t="inlineStr">
        <is>
          <t>20</t>
        </is>
      </c>
      <c r="U284" t="inlineStr">
        <is>
          <t>2</t>
        </is>
      </c>
      <c r="V284" t="inlineStr">
        <is>
          <t>25</t>
        </is>
      </c>
      <c r="W284" t="inlineStr">
        <is>
          <t>30</t>
        </is>
      </c>
      <c r="X284" t="inlineStr">
        <is>
          <t>Guild_real_estate_master.csv</t>
        </is>
      </c>
    </row>
    <row r="285">
      <c r="A285" t="n">
        <v>284</v>
      </c>
      <c r="B285" t="n">
        <v>284</v>
      </c>
      <c r="C285" t="inlineStr">
        <is>
          <t>Six Senses Residences The Palm</t>
        </is>
      </c>
      <c r="D285" t="inlineStr">
        <is>
          <t>Select Group</t>
        </is>
      </c>
      <c r="E285" t="inlineStr">
        <is>
          <t>Palm Jumeirah</t>
        </is>
      </c>
      <c r="F285" t="inlineStr">
        <is>
          <t>Branded Villas/Apts</t>
        </is>
      </c>
      <c r="G285" t="inlineStr">
        <is>
          <t>Ultra-Luxury / Wellness</t>
        </is>
      </c>
      <c r="H285" t="inlineStr">
        <is>
          <t>25M+</t>
        </is>
      </c>
      <c r="I285" t="inlineStr">
        <is>
          <t>5000</t>
        </is>
      </c>
      <c r="J285" t="inlineStr">
        <is>
          <t>40+</t>
        </is>
      </c>
      <c r="K285" t="inlineStr">
        <is>
          <t>60/40</t>
        </is>
      </c>
      <c r="L285" t="inlineStr">
        <is>
          <t>2022</t>
        </is>
      </c>
      <c r="M285" t="inlineStr">
        <is>
          <t>3.5-4.0</t>
        </is>
      </c>
      <c r="N285" t="inlineStr">
        <is>
          <t>8-12</t>
        </is>
      </c>
      <c r="O285" t="inlineStr">
        <is>
          <t>11.5-16.0</t>
        </is>
      </c>
      <c r="P285" t="inlineStr">
        <is>
          <t>Chevalier College</t>
        </is>
      </c>
      <c r="Q285" t="inlineStr">
        <is>
          <t>Emirates Hospital</t>
        </is>
      </c>
      <c r="R285" t="inlineStr">
        <is>
          <t>Nakheel Mall</t>
        </is>
      </c>
      <c r="S285" t="inlineStr">
        <is>
          <t>Sheikh Zayed E11</t>
        </is>
      </c>
      <c r="T285" t="inlineStr">
        <is>
          <t>20</t>
        </is>
      </c>
      <c r="U285" t="inlineStr">
        <is>
          <t>10</t>
        </is>
      </c>
      <c r="V285" t="inlineStr">
        <is>
          <t>25</t>
        </is>
      </c>
      <c r="W285" t="inlineStr">
        <is>
          <t>35</t>
        </is>
      </c>
      <c r="X285" t="inlineStr">
        <is>
          <t>Guild_real_estate_master.csv</t>
        </is>
      </c>
    </row>
    <row r="286">
      <c r="A286" t="n">
        <v>285</v>
      </c>
      <c r="B286" t="n">
        <v>285</v>
      </c>
      <c r="C286" t="inlineStr">
        <is>
          <t>Peninsula One</t>
        </is>
      </c>
      <c r="D286" t="inlineStr">
        <is>
          <t>Select Group</t>
        </is>
      </c>
      <c r="E286" t="inlineStr">
        <is>
          <t>Business Bay</t>
        </is>
      </c>
      <c r="F286" t="inlineStr">
        <is>
          <t>Apartments</t>
        </is>
      </c>
      <c r="G286" t="inlineStr">
        <is>
          <t>Canal / City</t>
        </is>
      </c>
      <c r="H286" t="inlineStr">
        <is>
          <t>1.8M</t>
        </is>
      </c>
      <c r="I286" t="inlineStr">
        <is>
          <t>2000</t>
        </is>
      </c>
      <c r="J286" t="inlineStr">
        <is>
          <t>22</t>
        </is>
      </c>
      <c r="K286" t="inlineStr">
        <is>
          <t>60/40</t>
        </is>
      </c>
      <c r="L286" t="inlineStr">
        <is>
          <t>2021</t>
        </is>
      </c>
      <c r="M286" t="inlineStr">
        <is>
          <t>6.5-7.0</t>
        </is>
      </c>
      <c r="N286" t="inlineStr">
        <is>
          <t>6-8</t>
        </is>
      </c>
      <c r="O286" t="inlineStr">
        <is>
          <t>12.5-15.0</t>
        </is>
      </c>
      <c r="P286" t="inlineStr">
        <is>
          <t>Hartland Intl</t>
        </is>
      </c>
      <c r="Q286" t="inlineStr">
        <is>
          <t>Emirates Hospital BB</t>
        </is>
      </c>
      <c r="R286" t="inlineStr">
        <is>
          <t>Dubai Mall</t>
        </is>
      </c>
      <c r="S286" t="inlineStr">
        <is>
          <t>Al Khail E44</t>
        </is>
      </c>
      <c r="T286" t="inlineStr">
        <is>
          <t>5</t>
        </is>
      </c>
      <c r="U286" t="inlineStr">
        <is>
          <t>20</t>
        </is>
      </c>
      <c r="V286" t="inlineStr">
        <is>
          <t>15</t>
        </is>
      </c>
      <c r="W286" t="inlineStr">
        <is>
          <t>35</t>
        </is>
      </c>
      <c r="X286" t="inlineStr">
        <is>
          <t>Guild_real_estate_master.csv</t>
        </is>
      </c>
    </row>
    <row r="287">
      <c r="A287" t="n">
        <v>286</v>
      </c>
      <c r="B287" t="n">
        <v>286</v>
      </c>
      <c r="C287" t="inlineStr">
        <is>
          <t>Peninsula Two</t>
        </is>
      </c>
      <c r="D287" t="inlineStr">
        <is>
          <t>Select Group</t>
        </is>
      </c>
      <c r="E287" t="inlineStr">
        <is>
          <t>Business Bay</t>
        </is>
      </c>
      <c r="F287" t="inlineStr">
        <is>
          <t>Apartments</t>
        </is>
      </c>
      <c r="G287" t="inlineStr">
        <is>
          <t>Canal / City</t>
        </is>
      </c>
      <c r="H287" t="inlineStr">
        <is>
          <t>1.8M</t>
        </is>
      </c>
      <c r="I287" t="inlineStr">
        <is>
          <t>2000</t>
        </is>
      </c>
      <c r="J287" t="inlineStr">
        <is>
          <t>22</t>
        </is>
      </c>
      <c r="K287" t="inlineStr">
        <is>
          <t>60/40</t>
        </is>
      </c>
      <c r="L287" t="inlineStr">
        <is>
          <t>2021</t>
        </is>
      </c>
      <c r="M287" t="inlineStr">
        <is>
          <t>6.5-7.0</t>
        </is>
      </c>
      <c r="N287" t="inlineStr">
        <is>
          <t>6-8</t>
        </is>
      </c>
      <c r="O287" t="inlineStr">
        <is>
          <t>12.5-15.0</t>
        </is>
      </c>
      <c r="P287" t="inlineStr">
        <is>
          <t>Hartland Intl</t>
        </is>
      </c>
      <c r="Q287" t="inlineStr">
        <is>
          <t>Emirates Hospital BB</t>
        </is>
      </c>
      <c r="R287" t="inlineStr">
        <is>
          <t>Dubai Mall</t>
        </is>
      </c>
      <c r="S287" t="inlineStr">
        <is>
          <t>Al Khail E44</t>
        </is>
      </c>
      <c r="T287" t="inlineStr">
        <is>
          <t>5</t>
        </is>
      </c>
      <c r="U287" t="inlineStr">
        <is>
          <t>20</t>
        </is>
      </c>
      <c r="V287" t="inlineStr">
        <is>
          <t>15</t>
        </is>
      </c>
      <c r="W287" t="inlineStr">
        <is>
          <t>35</t>
        </is>
      </c>
      <c r="X287" t="inlineStr">
        <is>
          <t>Guild_real_estate_master.csv</t>
        </is>
      </c>
    </row>
    <row r="288">
      <c r="A288" t="n">
        <v>287</v>
      </c>
      <c r="B288" t="n">
        <v>287</v>
      </c>
      <c r="C288" t="inlineStr">
        <is>
          <t>Peninsula Three</t>
        </is>
      </c>
      <c r="D288" t="inlineStr">
        <is>
          <t>Select Group</t>
        </is>
      </c>
      <c r="E288" t="inlineStr">
        <is>
          <t>Business Bay</t>
        </is>
      </c>
      <c r="F288" t="inlineStr">
        <is>
          <t>Apartments</t>
        </is>
      </c>
      <c r="G288" t="inlineStr">
        <is>
          <t>Canal / City</t>
        </is>
      </c>
      <c r="H288" t="inlineStr">
        <is>
          <t>1.9M</t>
        </is>
      </c>
      <c r="I288" t="inlineStr">
        <is>
          <t>2100</t>
        </is>
      </c>
      <c r="J288" t="inlineStr">
        <is>
          <t>22</t>
        </is>
      </c>
      <c r="K288" t="inlineStr">
        <is>
          <t>60/40</t>
        </is>
      </c>
      <c r="L288" t="inlineStr">
        <is>
          <t>2022</t>
        </is>
      </c>
      <c r="M288" t="inlineStr">
        <is>
          <t>6.5-7.0</t>
        </is>
      </c>
      <c r="N288" t="inlineStr">
        <is>
          <t>6-8</t>
        </is>
      </c>
      <c r="O288" t="inlineStr">
        <is>
          <t>12.5-15.0</t>
        </is>
      </c>
      <c r="P288" t="inlineStr">
        <is>
          <t>Hartland Intl</t>
        </is>
      </c>
      <c r="Q288" t="inlineStr">
        <is>
          <t>Emirates Hospital BB</t>
        </is>
      </c>
      <c r="R288" t="inlineStr">
        <is>
          <t>Dubai Mall</t>
        </is>
      </c>
      <c r="S288" t="inlineStr">
        <is>
          <t>Al Khail E44</t>
        </is>
      </c>
      <c r="T288" t="inlineStr">
        <is>
          <t>5</t>
        </is>
      </c>
      <c r="U288" t="inlineStr">
        <is>
          <t>20</t>
        </is>
      </c>
      <c r="V288" t="inlineStr">
        <is>
          <t>15</t>
        </is>
      </c>
      <c r="W288" t="inlineStr">
        <is>
          <t>35</t>
        </is>
      </c>
      <c r="X288" t="inlineStr">
        <is>
          <t>Guild_real_estate_master.csv</t>
        </is>
      </c>
    </row>
    <row r="289">
      <c r="A289" t="n">
        <v>288</v>
      </c>
      <c r="B289" t="n">
        <v>288</v>
      </c>
      <c r="C289" t="inlineStr">
        <is>
          <t>Peninsula Four (The Plaza)</t>
        </is>
      </c>
      <c r="D289" t="inlineStr">
        <is>
          <t>Select Group</t>
        </is>
      </c>
      <c r="E289" t="inlineStr">
        <is>
          <t>Business Bay</t>
        </is>
      </c>
      <c r="F289" t="inlineStr">
        <is>
          <t>Apartments</t>
        </is>
      </c>
      <c r="G289" t="inlineStr">
        <is>
          <t>Canal / Luxury</t>
        </is>
      </c>
      <c r="H289" t="inlineStr">
        <is>
          <t>2.2M</t>
        </is>
      </c>
      <c r="I289" t="inlineStr">
        <is>
          <t>2300</t>
        </is>
      </c>
      <c r="J289" t="inlineStr">
        <is>
          <t>22</t>
        </is>
      </c>
      <c r="K289" t="inlineStr">
        <is>
          <t>60/40</t>
        </is>
      </c>
      <c r="L289" t="inlineStr">
        <is>
          <t>2022</t>
        </is>
      </c>
      <c r="M289" t="inlineStr">
        <is>
          <t>6.0-6.5</t>
        </is>
      </c>
      <c r="N289" t="inlineStr">
        <is>
          <t>7-9</t>
        </is>
      </c>
      <c r="O289" t="inlineStr">
        <is>
          <t>13.0-15.5</t>
        </is>
      </c>
      <c r="P289" t="inlineStr">
        <is>
          <t>Hartland Intl</t>
        </is>
      </c>
      <c r="Q289" t="inlineStr">
        <is>
          <t>Emirates Hospital BB</t>
        </is>
      </c>
      <c r="R289" t="inlineStr">
        <is>
          <t>Dubai Mall</t>
        </is>
      </c>
      <c r="S289" t="inlineStr">
        <is>
          <t>Al Khail E44</t>
        </is>
      </c>
      <c r="T289" t="inlineStr">
        <is>
          <t>5</t>
        </is>
      </c>
      <c r="U289" t="inlineStr">
        <is>
          <t>20</t>
        </is>
      </c>
      <c r="V289" t="inlineStr">
        <is>
          <t>15</t>
        </is>
      </c>
      <c r="W289" t="inlineStr">
        <is>
          <t>35</t>
        </is>
      </c>
      <c r="X289" t="inlineStr">
        <is>
          <t>Guild_real_estate_master.csv</t>
        </is>
      </c>
    </row>
    <row r="290">
      <c r="A290" t="n">
        <v>289</v>
      </c>
      <c r="B290" t="n">
        <v>289</v>
      </c>
      <c r="C290" t="inlineStr">
        <is>
          <t>Peninsula Five</t>
        </is>
      </c>
      <c r="D290" t="inlineStr">
        <is>
          <t>Select Group</t>
        </is>
      </c>
      <c r="E290" t="inlineStr">
        <is>
          <t>Business Bay</t>
        </is>
      </c>
      <c r="F290" t="inlineStr">
        <is>
          <t>Apartments</t>
        </is>
      </c>
      <c r="G290" t="inlineStr">
        <is>
          <t>Canal / Premium</t>
        </is>
      </c>
      <c r="H290" t="inlineStr">
        <is>
          <t>2.4M</t>
        </is>
      </c>
      <c r="I290" t="inlineStr">
        <is>
          <t>2400</t>
        </is>
      </c>
      <c r="J290" t="inlineStr">
        <is>
          <t>22</t>
        </is>
      </c>
      <c r="K290" t="inlineStr">
        <is>
          <t>60/40</t>
        </is>
      </c>
      <c r="L290" t="inlineStr">
        <is>
          <t>2022</t>
        </is>
      </c>
      <c r="M290" t="inlineStr">
        <is>
          <t>6.0-6.5</t>
        </is>
      </c>
      <c r="N290" t="inlineStr">
        <is>
          <t>7-9</t>
        </is>
      </c>
      <c r="O290" t="inlineStr">
        <is>
          <t>13.0-15.5</t>
        </is>
      </c>
      <c r="P290" t="inlineStr">
        <is>
          <t>Hartland Intl</t>
        </is>
      </c>
      <c r="Q290" t="inlineStr">
        <is>
          <t>Emirates Hospital BB</t>
        </is>
      </c>
      <c r="R290" t="inlineStr">
        <is>
          <t>Dubai Mall</t>
        </is>
      </c>
      <c r="S290" t="inlineStr">
        <is>
          <t>Al Khail E44</t>
        </is>
      </c>
      <c r="T290" t="inlineStr">
        <is>
          <t>5</t>
        </is>
      </c>
      <c r="U290" t="inlineStr">
        <is>
          <t>20</t>
        </is>
      </c>
      <c r="V290" t="inlineStr">
        <is>
          <t>15</t>
        </is>
      </c>
      <c r="W290" t="inlineStr">
        <is>
          <t>35</t>
        </is>
      </c>
      <c r="X290" t="inlineStr">
        <is>
          <t>Guild_real_estate_master.csv</t>
        </is>
      </c>
    </row>
    <row r="291">
      <c r="A291" t="n">
        <v>290</v>
      </c>
      <c r="B291" t="n">
        <v>290</v>
      </c>
      <c r="C291" t="inlineStr">
        <is>
          <t>Jumeirah Living Business Bay</t>
        </is>
      </c>
      <c r="D291" t="inlineStr">
        <is>
          <t>Select Group</t>
        </is>
      </c>
      <c r="E291" t="inlineStr">
        <is>
          <t>Business Bay</t>
        </is>
      </c>
      <c r="F291" t="inlineStr">
        <is>
          <t>Branded Apts</t>
        </is>
      </c>
      <c r="G291" t="inlineStr">
        <is>
          <t>Luxury / Service</t>
        </is>
      </c>
      <c r="H291" t="inlineStr">
        <is>
          <t>3.5M</t>
        </is>
      </c>
      <c r="I291" t="inlineStr">
        <is>
          <t>3000</t>
        </is>
      </c>
      <c r="J291" t="inlineStr">
        <is>
          <t>30</t>
        </is>
      </c>
      <c r="K291" t="inlineStr">
        <is>
          <t>60/40</t>
        </is>
      </c>
      <c r="L291" t="inlineStr">
        <is>
          <t>2022</t>
        </is>
      </c>
      <c r="M291" t="inlineStr">
        <is>
          <t>5.0-5.5</t>
        </is>
      </c>
      <c r="N291" t="inlineStr">
        <is>
          <t>7-9</t>
        </is>
      </c>
      <c r="O291" t="inlineStr">
        <is>
          <t>12.0-14.5</t>
        </is>
      </c>
      <c r="P291" t="inlineStr">
        <is>
          <t>Hartland Intl</t>
        </is>
      </c>
      <c r="Q291" t="inlineStr">
        <is>
          <t>Emirates Hospital BB</t>
        </is>
      </c>
      <c r="R291" t="inlineStr">
        <is>
          <t>Dubai Mall</t>
        </is>
      </c>
      <c r="S291" t="inlineStr">
        <is>
          <t>Al Khail E44</t>
        </is>
      </c>
      <c r="T291" t="inlineStr">
        <is>
          <t>5</t>
        </is>
      </c>
      <c r="U291" t="inlineStr">
        <is>
          <t>20</t>
        </is>
      </c>
      <c r="V291" t="inlineStr">
        <is>
          <t>15</t>
        </is>
      </c>
      <c r="W291" t="inlineStr">
        <is>
          <t>35</t>
        </is>
      </c>
      <c r="X291" t="inlineStr">
        <is>
          <t>Guild_real_estate_master.csv</t>
        </is>
      </c>
    </row>
    <row r="292">
      <c r="A292" t="n">
        <v>291</v>
      </c>
      <c r="B292" t="n">
        <v>291</v>
      </c>
      <c r="C292" t="inlineStr">
        <is>
          <t>Nautica One</t>
        </is>
      </c>
      <c r="D292" t="inlineStr">
        <is>
          <t>Select Group</t>
        </is>
      </c>
      <c r="E292" t="inlineStr">
        <is>
          <t>Dubai Maritime City</t>
        </is>
      </c>
      <c r="F292" t="inlineStr">
        <is>
          <t>Apartments</t>
        </is>
      </c>
      <c r="G292" t="inlineStr">
        <is>
          <t>Sea View / Tower</t>
        </is>
      </c>
      <c r="H292" t="inlineStr">
        <is>
          <t>1.6M</t>
        </is>
      </c>
      <c r="I292" t="inlineStr">
        <is>
          <t>1900</t>
        </is>
      </c>
      <c r="J292" t="inlineStr">
        <is>
          <t>20</t>
        </is>
      </c>
      <c r="K292" t="inlineStr">
        <is>
          <t>60/40</t>
        </is>
      </c>
      <c r="L292" t="inlineStr">
        <is>
          <t>2023</t>
        </is>
      </c>
      <c r="M292" t="inlineStr">
        <is>
          <t>6.5-7.0</t>
        </is>
      </c>
      <c r="N292" t="inlineStr">
        <is>
          <t>8-10</t>
        </is>
      </c>
      <c r="O292" t="inlineStr">
        <is>
          <t>14.5-17.0</t>
        </is>
      </c>
      <c r="P292" t="inlineStr">
        <is>
          <t>New Academy School</t>
        </is>
      </c>
      <c r="Q292" t="inlineStr">
        <is>
          <t>Aster Hospital Mankhool</t>
        </is>
      </c>
      <c r="R292" t="inlineStr">
        <is>
          <t>Dubai Mall</t>
        </is>
      </c>
      <c r="S292" t="inlineStr">
        <is>
          <t>Al Khaleej / E11</t>
        </is>
      </c>
      <c r="T292" t="inlineStr">
        <is>
          <t>15</t>
        </is>
      </c>
      <c r="U292" t="inlineStr">
        <is>
          <t>25</t>
        </is>
      </c>
      <c r="V292" t="inlineStr">
        <is>
          <t>15</t>
        </is>
      </c>
      <c r="W292" t="inlineStr">
        <is>
          <t>45</t>
        </is>
      </c>
      <c r="X292" t="inlineStr">
        <is>
          <t>Guild_real_estate_master.csv</t>
        </is>
      </c>
    </row>
    <row r="293">
      <c r="A293" t="n">
        <v>292</v>
      </c>
      <c r="B293" t="n">
        <v>292</v>
      </c>
      <c r="C293" t="inlineStr">
        <is>
          <t>Nautica Two</t>
        </is>
      </c>
      <c r="D293" t="inlineStr">
        <is>
          <t>Select Group</t>
        </is>
      </c>
      <c r="E293" t="inlineStr">
        <is>
          <t>Dubai Maritime City</t>
        </is>
      </c>
      <c r="F293" t="inlineStr">
        <is>
          <t>Apartments</t>
        </is>
      </c>
      <c r="G293" t="inlineStr">
        <is>
          <t>Sea View / Tower</t>
        </is>
      </c>
      <c r="H293" t="inlineStr">
        <is>
          <t>1.6M</t>
        </is>
      </c>
      <c r="I293" t="inlineStr">
        <is>
          <t>1900</t>
        </is>
      </c>
      <c r="J293" t="inlineStr">
        <is>
          <t>20</t>
        </is>
      </c>
      <c r="K293" t="inlineStr">
        <is>
          <t>60/40</t>
        </is>
      </c>
      <c r="L293" t="inlineStr">
        <is>
          <t>2023</t>
        </is>
      </c>
      <c r="M293" t="inlineStr">
        <is>
          <t>6.5-7.0</t>
        </is>
      </c>
      <c r="N293" t="inlineStr">
        <is>
          <t>8-10</t>
        </is>
      </c>
      <c r="O293" t="inlineStr">
        <is>
          <t>14.5-17.0</t>
        </is>
      </c>
      <c r="P293" t="inlineStr">
        <is>
          <t>New Academy School</t>
        </is>
      </c>
      <c r="Q293" t="inlineStr">
        <is>
          <t>Aster Hospital Mankhool</t>
        </is>
      </c>
      <c r="R293" t="inlineStr">
        <is>
          <t>Dubai Mall</t>
        </is>
      </c>
      <c r="S293" t="inlineStr">
        <is>
          <t>Al Khaleej / E11</t>
        </is>
      </c>
      <c r="T293" t="inlineStr">
        <is>
          <t>15</t>
        </is>
      </c>
      <c r="U293" t="inlineStr">
        <is>
          <t>25</t>
        </is>
      </c>
      <c r="V293" t="inlineStr">
        <is>
          <t>15</t>
        </is>
      </c>
      <c r="W293" t="inlineStr">
        <is>
          <t>45</t>
        </is>
      </c>
      <c r="X293" t="inlineStr">
        <is>
          <t>Guild_real_estate_master.csv</t>
        </is>
      </c>
    </row>
    <row r="294">
      <c r="A294" t="n">
        <v>293</v>
      </c>
      <c r="B294" t="n">
        <v>293</v>
      </c>
      <c r="C294" t="inlineStr">
        <is>
          <t>Vela</t>
        </is>
      </c>
      <c r="D294" t="inlineStr">
        <is>
          <t>Omniyat</t>
        </is>
      </c>
      <c r="E294" t="inlineStr">
        <is>
          <t>Business Bay (Marasi)</t>
        </is>
      </c>
      <c r="F294" t="inlineStr">
        <is>
          <t>Ultra-Luxury Apts</t>
        </is>
      </c>
      <c r="G294" t="inlineStr">
        <is>
          <t>Dorchester Collection</t>
        </is>
      </c>
      <c r="H294" t="inlineStr">
        <is>
          <t>30M+</t>
        </is>
      </c>
      <c r="I294" t="inlineStr">
        <is>
          <t>5000+</t>
        </is>
      </c>
      <c r="J294" t="inlineStr">
        <is>
          <t>50+</t>
        </is>
      </c>
      <c r="K294" t="inlineStr">
        <is>
          <t>60/40</t>
        </is>
      </c>
      <c r="L294" t="inlineStr">
        <is>
          <t>2023</t>
        </is>
      </c>
      <c r="M294" t="inlineStr">
        <is>
          <t>3.5-4.5</t>
        </is>
      </c>
      <c r="N294" t="inlineStr">
        <is>
          <t>8-12</t>
        </is>
      </c>
      <c r="O294" t="inlineStr">
        <is>
          <t>11.5-16.5</t>
        </is>
      </c>
      <c r="P294" t="inlineStr">
        <is>
          <t>Hartland Intl</t>
        </is>
      </c>
      <c r="Q294" t="inlineStr">
        <is>
          <t>Emirates Hospital BB</t>
        </is>
      </c>
      <c r="R294" t="inlineStr">
        <is>
          <t>Dubai Mall</t>
        </is>
      </c>
      <c r="S294" t="inlineStr">
        <is>
          <t>Al Khail E44</t>
        </is>
      </c>
      <c r="T294" t="inlineStr">
        <is>
          <t>5</t>
        </is>
      </c>
      <c r="U294" t="inlineStr">
        <is>
          <t>20</t>
        </is>
      </c>
      <c r="V294" t="inlineStr">
        <is>
          <t>15</t>
        </is>
      </c>
      <c r="W294" t="inlineStr">
        <is>
          <t>35</t>
        </is>
      </c>
      <c r="X294" t="inlineStr">
        <is>
          <t>Guild_real_estate_master.csv</t>
        </is>
      </c>
    </row>
    <row r="295">
      <c r="A295" t="n">
        <v>294</v>
      </c>
      <c r="B295" t="n">
        <v>294</v>
      </c>
      <c r="C295" t="inlineStr">
        <is>
          <t>Vela Viento</t>
        </is>
      </c>
      <c r="D295" t="inlineStr">
        <is>
          <t>Omniyat</t>
        </is>
      </c>
      <c r="E295" t="inlineStr">
        <is>
          <t>Business Bay (Marasi)</t>
        </is>
      </c>
      <c r="F295" t="inlineStr">
        <is>
          <t>Ultra-Luxury Apts</t>
        </is>
      </c>
      <c r="G295" t="inlineStr">
        <is>
          <t>Dorchester Collection</t>
        </is>
      </c>
      <c r="H295" t="inlineStr">
        <is>
          <t>35M+</t>
        </is>
      </c>
      <c r="I295" t="inlineStr">
        <is>
          <t>5500+</t>
        </is>
      </c>
      <c r="J295" t="inlineStr">
        <is>
          <t>50+</t>
        </is>
      </c>
      <c r="K295" t="inlineStr">
        <is>
          <t>60/40</t>
        </is>
      </c>
      <c r="L295" t="inlineStr">
        <is>
          <t>2023</t>
        </is>
      </c>
      <c r="M295" t="inlineStr">
        <is>
          <t>3.5-4.5</t>
        </is>
      </c>
      <c r="N295" t="inlineStr">
        <is>
          <t>8-12</t>
        </is>
      </c>
      <c r="O295" t="inlineStr">
        <is>
          <t>11.5-16.5</t>
        </is>
      </c>
      <c r="P295" t="inlineStr">
        <is>
          <t>Hartland Intl</t>
        </is>
      </c>
      <c r="Q295" t="inlineStr">
        <is>
          <t>Emirates Hospital BB</t>
        </is>
      </c>
      <c r="R295" t="inlineStr">
        <is>
          <t>Dubai Mall</t>
        </is>
      </c>
      <c r="S295" t="inlineStr">
        <is>
          <t>Al Khail E44</t>
        </is>
      </c>
      <c r="T295" t="inlineStr">
        <is>
          <t>5</t>
        </is>
      </c>
      <c r="U295" t="inlineStr">
        <is>
          <t>20</t>
        </is>
      </c>
      <c r="V295" t="inlineStr">
        <is>
          <t>15</t>
        </is>
      </c>
      <c r="W295" t="inlineStr">
        <is>
          <t>35</t>
        </is>
      </c>
      <c r="X295" t="inlineStr">
        <is>
          <t>Guild_real_estate_master.csv</t>
        </is>
      </c>
    </row>
    <row r="296">
      <c r="A296" t="n">
        <v>295</v>
      </c>
      <c r="B296" t="n">
        <v>295</v>
      </c>
      <c r="C296" t="inlineStr">
        <is>
          <t>The Lana</t>
        </is>
      </c>
      <c r="D296" t="inlineStr">
        <is>
          <t>Omniyat</t>
        </is>
      </c>
      <c r="E296" t="inlineStr">
        <is>
          <t>Business Bay</t>
        </is>
      </c>
      <c r="F296" t="inlineStr">
        <is>
          <t>Hotel/Residences</t>
        </is>
      </c>
      <c r="G296" t="inlineStr">
        <is>
          <t>Dorchester / Icon</t>
        </is>
      </c>
      <c r="J296" t="inlineStr">
        <is>
          <t>50+</t>
        </is>
      </c>
      <c r="K296" t="inlineStr">
        <is>
          <t>Completed</t>
        </is>
      </c>
      <c r="L296" t="inlineStr">
        <is>
          <t>2023</t>
        </is>
      </c>
      <c r="M296" t="inlineStr">
        <is>
          <t>3.5-4.5</t>
        </is>
      </c>
      <c r="N296" t="inlineStr">
        <is>
          <t>5-8</t>
        </is>
      </c>
      <c r="O296" t="inlineStr">
        <is>
          <t>8.5-12.5</t>
        </is>
      </c>
      <c r="P296" t="inlineStr">
        <is>
          <t>Hartland Intl</t>
        </is>
      </c>
      <c r="Q296" t="inlineStr">
        <is>
          <t>Emirates Hospital BB</t>
        </is>
      </c>
      <c r="R296" t="inlineStr">
        <is>
          <t>Dubai Mall</t>
        </is>
      </c>
      <c r="S296" t="inlineStr">
        <is>
          <t>Al Khail E44</t>
        </is>
      </c>
      <c r="T296" t="inlineStr">
        <is>
          <t>5</t>
        </is>
      </c>
      <c r="U296" t="inlineStr">
        <is>
          <t>20</t>
        </is>
      </c>
      <c r="V296" t="inlineStr">
        <is>
          <t>15</t>
        </is>
      </c>
      <c r="W296" t="inlineStr">
        <is>
          <t>35</t>
        </is>
      </c>
      <c r="X296" t="inlineStr">
        <is>
          <t>Guild_real_estate_master.csv</t>
        </is>
      </c>
    </row>
    <row r="297">
      <c r="A297" t="n">
        <v>296</v>
      </c>
      <c r="B297" t="n">
        <v>296</v>
      </c>
      <c r="C297" t="inlineStr">
        <is>
          <t>The Opus</t>
        </is>
      </c>
      <c r="D297" t="inlineStr">
        <is>
          <t>Omniyat</t>
        </is>
      </c>
      <c r="E297" t="inlineStr">
        <is>
          <t>Business Bay</t>
        </is>
      </c>
      <c r="F297" t="inlineStr">
        <is>
          <t>Apartments/Office</t>
        </is>
      </c>
      <c r="G297" t="inlineStr">
        <is>
          <t>Zaha Hadid / Icon</t>
        </is>
      </c>
      <c r="H297" t="inlineStr">
        <is>
          <t>Resale (3M+)</t>
        </is>
      </c>
      <c r="I297" t="inlineStr">
        <is>
          <t>2500</t>
        </is>
      </c>
      <c r="J297" t="inlineStr">
        <is>
          <t>35</t>
        </is>
      </c>
      <c r="K297" t="inlineStr">
        <is>
          <t>Completed</t>
        </is>
      </c>
      <c r="L297" t="inlineStr">
        <is>
          <t>2018</t>
        </is>
      </c>
      <c r="M297" t="inlineStr">
        <is>
          <t>5.0-5.5</t>
        </is>
      </c>
      <c r="N297" t="inlineStr">
        <is>
          <t>5-7</t>
        </is>
      </c>
      <c r="O297" t="inlineStr">
        <is>
          <t>10.0-12.5</t>
        </is>
      </c>
      <c r="P297" t="inlineStr">
        <is>
          <t>Hartland Intl</t>
        </is>
      </c>
      <c r="Q297" t="inlineStr">
        <is>
          <t>Emirates Hospital BB</t>
        </is>
      </c>
      <c r="R297" t="inlineStr">
        <is>
          <t>Bay Avenue</t>
        </is>
      </c>
      <c r="S297" t="inlineStr">
        <is>
          <t>Sheikh Zayed E11</t>
        </is>
      </c>
      <c r="T297" t="inlineStr">
        <is>
          <t>5</t>
        </is>
      </c>
      <c r="U297" t="inlineStr">
        <is>
          <t>20</t>
        </is>
      </c>
      <c r="V297" t="inlineStr">
        <is>
          <t>15</t>
        </is>
      </c>
      <c r="W297" t="inlineStr">
        <is>
          <t>35</t>
        </is>
      </c>
      <c r="X297" t="inlineStr">
        <is>
          <t>Guild_real_estate_master.csv</t>
        </is>
      </c>
    </row>
    <row r="298">
      <c r="A298" t="n">
        <v>297</v>
      </c>
      <c r="B298" t="n">
        <v>297</v>
      </c>
      <c r="C298" t="inlineStr">
        <is>
          <t>Orla</t>
        </is>
      </c>
      <c r="D298" t="inlineStr">
        <is>
          <t>Omniyat</t>
        </is>
      </c>
      <c r="E298" t="inlineStr">
        <is>
          <t>Palm Jumeirah</t>
        </is>
      </c>
      <c r="F298" t="inlineStr">
        <is>
          <t>Ultra-Luxury Apts</t>
        </is>
      </c>
      <c r="G298" t="inlineStr">
        <is>
          <t>Dorchester / Beach</t>
        </is>
      </c>
      <c r="H298" t="inlineStr">
        <is>
          <t>25M+</t>
        </is>
      </c>
      <c r="I298" t="inlineStr">
        <is>
          <t>6000+</t>
        </is>
      </c>
      <c r="J298" t="inlineStr">
        <is>
          <t>50+</t>
        </is>
      </c>
      <c r="K298" t="inlineStr">
        <is>
          <t>60/40</t>
        </is>
      </c>
      <c r="L298" t="inlineStr">
        <is>
          <t>2022</t>
        </is>
      </c>
      <c r="M298" t="inlineStr">
        <is>
          <t>3.0-3.5</t>
        </is>
      </c>
      <c r="N298" t="inlineStr">
        <is>
          <t>8-12</t>
        </is>
      </c>
      <c r="O298" t="inlineStr">
        <is>
          <t>11.0-15.5</t>
        </is>
      </c>
      <c r="P298" t="inlineStr">
        <is>
          <t>Chevalier College</t>
        </is>
      </c>
      <c r="Q298" t="inlineStr">
        <is>
          <t>Emirates Hospital</t>
        </is>
      </c>
      <c r="R298" t="inlineStr">
        <is>
          <t>Nakheel Mall</t>
        </is>
      </c>
      <c r="S298" t="inlineStr">
        <is>
          <t>Sheikh Zayed E11</t>
        </is>
      </c>
      <c r="T298" t="inlineStr">
        <is>
          <t>20</t>
        </is>
      </c>
      <c r="U298" t="inlineStr">
        <is>
          <t>10</t>
        </is>
      </c>
      <c r="V298" t="inlineStr">
        <is>
          <t>25</t>
        </is>
      </c>
      <c r="W298" t="inlineStr">
        <is>
          <t>35</t>
        </is>
      </c>
      <c r="X298" t="inlineStr">
        <is>
          <t>Guild_real_estate_master.csv</t>
        </is>
      </c>
    </row>
    <row r="299">
      <c r="A299" t="n">
        <v>298</v>
      </c>
      <c r="B299" t="n">
        <v>298</v>
      </c>
      <c r="C299" t="inlineStr">
        <is>
          <t>Orla Infinity</t>
        </is>
      </c>
      <c r="D299" t="inlineStr">
        <is>
          <t>Omniyat</t>
        </is>
      </c>
      <c r="E299" t="inlineStr">
        <is>
          <t>Palm Jumeirah</t>
        </is>
      </c>
      <c r="F299" t="inlineStr">
        <is>
          <t>Ultra-Luxury Apts</t>
        </is>
      </c>
      <c r="G299" t="inlineStr">
        <is>
          <t>Dorchester / Beach</t>
        </is>
      </c>
      <c r="H299" t="inlineStr">
        <is>
          <t>30M+</t>
        </is>
      </c>
      <c r="I299" t="inlineStr">
        <is>
          <t>6500+</t>
        </is>
      </c>
      <c r="J299" t="inlineStr">
        <is>
          <t>50+</t>
        </is>
      </c>
      <c r="K299" t="inlineStr">
        <is>
          <t>60/40</t>
        </is>
      </c>
      <c r="L299" t="inlineStr">
        <is>
          <t>2023</t>
        </is>
      </c>
      <c r="M299" t="inlineStr">
        <is>
          <t>3.0-3.5</t>
        </is>
      </c>
      <c r="N299" t="inlineStr">
        <is>
          <t>8-12</t>
        </is>
      </c>
      <c r="O299" t="inlineStr">
        <is>
          <t>11.0-15.5</t>
        </is>
      </c>
      <c r="P299" t="inlineStr">
        <is>
          <t>Chevalier College</t>
        </is>
      </c>
      <c r="Q299" t="inlineStr">
        <is>
          <t>Emirates Hospital</t>
        </is>
      </c>
      <c r="R299" t="inlineStr">
        <is>
          <t>Nakheel Mall</t>
        </is>
      </c>
      <c r="S299" t="inlineStr">
        <is>
          <t>Sheikh Zayed E11</t>
        </is>
      </c>
      <c r="T299" t="inlineStr">
        <is>
          <t>20</t>
        </is>
      </c>
      <c r="U299" t="inlineStr">
        <is>
          <t>10</t>
        </is>
      </c>
      <c r="V299" t="inlineStr">
        <is>
          <t>25</t>
        </is>
      </c>
      <c r="W299" t="inlineStr">
        <is>
          <t>35</t>
        </is>
      </c>
      <c r="X299" t="inlineStr">
        <is>
          <t>Guild_real_estate_master.csv</t>
        </is>
      </c>
    </row>
    <row r="300">
      <c r="A300" t="n">
        <v>299</v>
      </c>
      <c r="B300" t="n">
        <v>299</v>
      </c>
      <c r="C300" t="inlineStr">
        <is>
          <t>One at Palm Jumeirah</t>
        </is>
      </c>
      <c r="D300" t="inlineStr">
        <is>
          <t>Omniyat</t>
        </is>
      </c>
      <c r="E300" t="inlineStr">
        <is>
          <t>Palm Jumeirah</t>
        </is>
      </c>
      <c r="F300" t="inlineStr">
        <is>
          <t>Ultra-Luxury Apts</t>
        </is>
      </c>
      <c r="G300" t="inlineStr">
        <is>
          <t>Dorchester / Beach</t>
        </is>
      </c>
      <c r="H300" t="inlineStr">
        <is>
          <t>Resale (20M+)</t>
        </is>
      </c>
      <c r="I300" t="inlineStr">
        <is>
          <t>5000+</t>
        </is>
      </c>
      <c r="J300" t="inlineStr">
        <is>
          <t>50+</t>
        </is>
      </c>
      <c r="K300" t="inlineStr">
        <is>
          <t>Completed</t>
        </is>
      </c>
      <c r="L300" t="inlineStr">
        <is>
          <t>2017</t>
        </is>
      </c>
      <c r="M300" t="inlineStr">
        <is>
          <t>4.0-4.5</t>
        </is>
      </c>
      <c r="N300" t="inlineStr">
        <is>
          <t>5-7</t>
        </is>
      </c>
      <c r="O300" t="inlineStr">
        <is>
          <t>9.0-11.5</t>
        </is>
      </c>
      <c r="P300" t="inlineStr">
        <is>
          <t>Chevalier College</t>
        </is>
      </c>
      <c r="Q300" t="inlineStr">
        <is>
          <t>Emirates Hospital</t>
        </is>
      </c>
      <c r="R300" t="inlineStr">
        <is>
          <t>Nakheel Mall</t>
        </is>
      </c>
      <c r="S300" t="inlineStr">
        <is>
          <t>Sheikh Zayed E11</t>
        </is>
      </c>
      <c r="T300" t="inlineStr">
        <is>
          <t>20</t>
        </is>
      </c>
      <c r="U300" t="inlineStr">
        <is>
          <t>10</t>
        </is>
      </c>
      <c r="V300" t="inlineStr">
        <is>
          <t>25</t>
        </is>
      </c>
      <c r="W300" t="inlineStr">
        <is>
          <t>35</t>
        </is>
      </c>
      <c r="X300" t="inlineStr">
        <is>
          <t>Guild_real_estate_master.csv</t>
        </is>
      </c>
    </row>
    <row r="301">
      <c r="A301" t="n">
        <v>300</v>
      </c>
      <c r="B301" t="n">
        <v>300</v>
      </c>
      <c r="C301" t="inlineStr">
        <is>
          <t>Ava at Palm Jumeirah</t>
        </is>
      </c>
      <c r="D301" t="inlineStr">
        <is>
          <t>Omniyat</t>
        </is>
      </c>
      <c r="E301" t="inlineStr">
        <is>
          <t>Palm Jumeirah</t>
        </is>
      </c>
      <c r="F301" t="inlineStr">
        <is>
          <t>Ultra-Luxury Apts</t>
        </is>
      </c>
      <c r="G301" t="inlineStr">
        <is>
          <t>Dorchester / Private</t>
        </is>
      </c>
      <c r="H301" t="inlineStr">
        <is>
          <t>40M+</t>
        </is>
      </c>
      <c r="I301" t="inlineStr">
        <is>
          <t>6000+</t>
        </is>
      </c>
      <c r="J301" t="inlineStr">
        <is>
          <t>50+</t>
        </is>
      </c>
      <c r="K301" t="inlineStr">
        <is>
          <t>60/40</t>
        </is>
      </c>
      <c r="L301" t="inlineStr">
        <is>
          <t>2022</t>
        </is>
      </c>
      <c r="M301" t="inlineStr">
        <is>
          <t>3.0-3.5</t>
        </is>
      </c>
      <c r="N301" t="inlineStr">
        <is>
          <t>8-12</t>
        </is>
      </c>
      <c r="O301" t="inlineStr">
        <is>
          <t>11.0-15.5</t>
        </is>
      </c>
      <c r="P301" t="inlineStr">
        <is>
          <t>Chevalier College</t>
        </is>
      </c>
      <c r="Q301" t="inlineStr">
        <is>
          <t>Emirates Hospital</t>
        </is>
      </c>
      <c r="R301" t="inlineStr">
        <is>
          <t>Nakheel Mall</t>
        </is>
      </c>
      <c r="S301" t="inlineStr">
        <is>
          <t>Sheikh Zayed E11</t>
        </is>
      </c>
      <c r="T301" t="inlineStr">
        <is>
          <t>20</t>
        </is>
      </c>
      <c r="U301" t="inlineStr">
        <is>
          <t>10</t>
        </is>
      </c>
      <c r="V301" t="inlineStr">
        <is>
          <t>25</t>
        </is>
      </c>
      <c r="W301" t="inlineStr">
        <is>
          <t>35</t>
        </is>
      </c>
      <c r="X301" t="inlineStr">
        <is>
          <t>Guild_real_estate_master.csv</t>
        </is>
      </c>
    </row>
    <row r="302">
      <c r="A302" t="n">
        <v>301</v>
      </c>
      <c r="B302" t="n">
        <v>301</v>
      </c>
      <c r="C302" t="inlineStr">
        <is>
          <t>Anwa</t>
        </is>
      </c>
      <c r="D302" t="inlineStr">
        <is>
          <t>Omniyat</t>
        </is>
      </c>
      <c r="E302" t="inlineStr">
        <is>
          <t>Dubai Maritime City</t>
        </is>
      </c>
      <c r="F302" t="inlineStr">
        <is>
          <t>Apartments</t>
        </is>
      </c>
      <c r="G302" t="inlineStr">
        <is>
          <t>Sea View / Luxury</t>
        </is>
      </c>
      <c r="H302" t="inlineStr">
        <is>
          <t>Resale (2M+)</t>
        </is>
      </c>
      <c r="I302" t="inlineStr">
        <is>
          <t>1800</t>
        </is>
      </c>
      <c r="J302" t="inlineStr">
        <is>
          <t>25</t>
        </is>
      </c>
      <c r="K302" t="inlineStr">
        <is>
          <t>Completed</t>
        </is>
      </c>
      <c r="L302" t="inlineStr">
        <is>
          <t>2021</t>
        </is>
      </c>
      <c r="M302" t="inlineStr">
        <is>
          <t>6.0-6.5</t>
        </is>
      </c>
      <c r="N302" t="inlineStr">
        <is>
          <t>6-8</t>
        </is>
      </c>
      <c r="O302" t="inlineStr">
        <is>
          <t>12.0-14.5</t>
        </is>
      </c>
      <c r="P302" t="inlineStr">
        <is>
          <t>New Academy School</t>
        </is>
      </c>
      <c r="Q302" t="inlineStr">
        <is>
          <t>Aster Hospital Mankhool</t>
        </is>
      </c>
      <c r="R302" t="inlineStr">
        <is>
          <t>Dubai Mall</t>
        </is>
      </c>
      <c r="S302" t="inlineStr">
        <is>
          <t>Al Khaleej / E11</t>
        </is>
      </c>
      <c r="T302" t="inlineStr">
        <is>
          <t>15</t>
        </is>
      </c>
      <c r="U302" t="inlineStr">
        <is>
          <t>25</t>
        </is>
      </c>
      <c r="V302" t="inlineStr">
        <is>
          <t>15</t>
        </is>
      </c>
      <c r="W302" t="inlineStr">
        <is>
          <t>45</t>
        </is>
      </c>
      <c r="X302" t="inlineStr">
        <is>
          <t>Guild_real_estate_master.csv</t>
        </is>
      </c>
    </row>
    <row r="303">
      <c r="A303" t="n">
        <v>302</v>
      </c>
      <c r="B303" t="n">
        <v>302</v>
      </c>
      <c r="C303" t="inlineStr">
        <is>
          <t>Anwa Aria</t>
        </is>
      </c>
      <c r="D303" t="inlineStr">
        <is>
          <t>Omniyat</t>
        </is>
      </c>
      <c r="E303" t="inlineStr">
        <is>
          <t>Dubai Maritime City</t>
        </is>
      </c>
      <c r="F303" t="inlineStr">
        <is>
          <t>Apartments</t>
        </is>
      </c>
      <c r="G303" t="inlineStr">
        <is>
          <t>Sea View / Luxury</t>
        </is>
      </c>
      <c r="H303" t="inlineStr">
        <is>
          <t>2.2M</t>
        </is>
      </c>
      <c r="I303" t="inlineStr">
        <is>
          <t>2000</t>
        </is>
      </c>
      <c r="J303" t="inlineStr">
        <is>
          <t>25</t>
        </is>
      </c>
      <c r="K303" t="inlineStr">
        <is>
          <t>60/40</t>
        </is>
      </c>
      <c r="L303" t="inlineStr">
        <is>
          <t>2023</t>
        </is>
      </c>
      <c r="M303" t="inlineStr">
        <is>
          <t>6.0-6.5</t>
        </is>
      </c>
      <c r="N303" t="inlineStr">
        <is>
          <t>8-10</t>
        </is>
      </c>
      <c r="O303" t="inlineStr">
        <is>
          <t>14.0-16.5</t>
        </is>
      </c>
      <c r="P303" t="inlineStr">
        <is>
          <t>New Academy School</t>
        </is>
      </c>
      <c r="Q303" t="inlineStr">
        <is>
          <t>Aster Hospital Mankhool</t>
        </is>
      </c>
      <c r="R303" t="inlineStr">
        <is>
          <t>Dubai Mall</t>
        </is>
      </c>
      <c r="S303" t="inlineStr">
        <is>
          <t>Al Khaleej / E11</t>
        </is>
      </c>
      <c r="T303" t="inlineStr">
        <is>
          <t>15</t>
        </is>
      </c>
      <c r="U303" t="inlineStr">
        <is>
          <t>25</t>
        </is>
      </c>
      <c r="V303" t="inlineStr">
        <is>
          <t>15</t>
        </is>
      </c>
      <c r="W303" t="inlineStr">
        <is>
          <t>45</t>
        </is>
      </c>
      <c r="X303" t="inlineStr">
        <is>
          <t>Guild_real_estate_master.csv</t>
        </is>
      </c>
    </row>
    <row r="304">
      <c r="A304" t="n">
        <v>303</v>
      </c>
      <c r="B304" t="n">
        <v>303</v>
      </c>
      <c r="C304" t="inlineStr">
        <is>
          <t>Armani Beach Residences</t>
        </is>
      </c>
      <c r="D304" t="inlineStr">
        <is>
          <t>Arada</t>
        </is>
      </c>
      <c r="E304" t="inlineStr">
        <is>
          <t>Palm Jumeirah</t>
        </is>
      </c>
      <c r="F304" t="inlineStr">
        <is>
          <t>Branded Apts</t>
        </is>
      </c>
      <c r="G304" t="inlineStr">
        <is>
          <t>Ultra-Luxury / Design</t>
        </is>
      </c>
      <c r="H304" t="inlineStr">
        <is>
          <t>20M+</t>
        </is>
      </c>
      <c r="I304" t="inlineStr">
        <is>
          <t>6000</t>
        </is>
      </c>
      <c r="J304" t="inlineStr">
        <is>
          <t>45+</t>
        </is>
      </c>
      <c r="K304" t="inlineStr">
        <is>
          <t>60/40</t>
        </is>
      </c>
      <c r="L304" t="inlineStr">
        <is>
          <t>2023</t>
        </is>
      </c>
      <c r="M304" t="inlineStr">
        <is>
          <t>3.5-4.0</t>
        </is>
      </c>
      <c r="N304" t="inlineStr">
        <is>
          <t>8-12</t>
        </is>
      </c>
      <c r="O304" t="inlineStr">
        <is>
          <t>11.5-16.0</t>
        </is>
      </c>
      <c r="P304" t="inlineStr">
        <is>
          <t>Chevalier College</t>
        </is>
      </c>
      <c r="Q304" t="inlineStr">
        <is>
          <t>Emirates Hospital</t>
        </is>
      </c>
      <c r="R304" t="inlineStr">
        <is>
          <t>Nakheel Mall</t>
        </is>
      </c>
      <c r="S304" t="inlineStr">
        <is>
          <t>Sheikh Zayed E11</t>
        </is>
      </c>
      <c r="T304" t="inlineStr">
        <is>
          <t>20</t>
        </is>
      </c>
      <c r="U304" t="inlineStr">
        <is>
          <t>10</t>
        </is>
      </c>
      <c r="V304" t="inlineStr">
        <is>
          <t>25</t>
        </is>
      </c>
      <c r="W304" t="inlineStr">
        <is>
          <t>35</t>
        </is>
      </c>
      <c r="X304" t="inlineStr">
        <is>
          <t>Guild_real_estate_master.csv</t>
        </is>
      </c>
    </row>
    <row r="305">
      <c r="A305" t="n">
        <v>304</v>
      </c>
      <c r="B305" t="n">
        <v>304</v>
      </c>
      <c r="C305" t="inlineStr">
        <is>
          <t>W Residences Dubai Harbour</t>
        </is>
      </c>
      <c r="D305" t="inlineStr">
        <is>
          <t>Arada</t>
        </is>
      </c>
      <c r="E305" t="inlineStr">
        <is>
          <t>Dubai Harbour</t>
        </is>
      </c>
      <c r="F305" t="inlineStr">
        <is>
          <t>Branded Apts</t>
        </is>
      </c>
      <c r="G305" t="inlineStr">
        <is>
          <t>Luxury / Hotel</t>
        </is>
      </c>
      <c r="H305" t="inlineStr">
        <is>
          <t>4.5M</t>
        </is>
      </c>
      <c r="I305" t="inlineStr">
        <is>
          <t>3500</t>
        </is>
      </c>
      <c r="J305" t="inlineStr">
        <is>
          <t>35+</t>
        </is>
      </c>
      <c r="K305" t="inlineStr">
        <is>
          <t>60/40</t>
        </is>
      </c>
      <c r="L305" t="inlineStr">
        <is>
          <t>2024</t>
        </is>
      </c>
      <c r="M305" t="inlineStr">
        <is>
          <t>5.0-5.5</t>
        </is>
      </c>
      <c r="N305" t="inlineStr">
        <is>
          <t>10-12</t>
        </is>
      </c>
      <c r="O305" t="inlineStr">
        <is>
          <t>15.0-17.5</t>
        </is>
      </c>
      <c r="P305" t="inlineStr">
        <is>
          <t>American Univ. Dubai</t>
        </is>
      </c>
      <c r="Q305" t="inlineStr">
        <is>
          <t>Saudi German Hospital</t>
        </is>
      </c>
      <c r="R305" t="inlineStr">
        <is>
          <t>Dubai Marina Mall</t>
        </is>
      </c>
      <c r="S305" t="inlineStr">
        <is>
          <t>Sheikh Zayed E11</t>
        </is>
      </c>
      <c r="T305" t="inlineStr">
        <is>
          <t>20</t>
        </is>
      </c>
      <c r="U305" t="inlineStr">
        <is>
          <t>5</t>
        </is>
      </c>
      <c r="V305" t="inlineStr">
        <is>
          <t>25</t>
        </is>
      </c>
      <c r="W305" t="inlineStr">
        <is>
          <t>30</t>
        </is>
      </c>
      <c r="X305" t="inlineStr">
        <is>
          <t>Guild_real_estate_master.csv</t>
        </is>
      </c>
    </row>
    <row r="306">
      <c r="A306" t="n">
        <v>305</v>
      </c>
      <c r="B306" t="n">
        <v>305</v>
      </c>
      <c r="C306" t="inlineStr">
        <is>
          <t>Jouri Hills</t>
        </is>
      </c>
      <c r="D306" t="inlineStr">
        <is>
          <t>Arada</t>
        </is>
      </c>
      <c r="E306" t="inlineStr">
        <is>
          <t>Jumeirah Golf Estates</t>
        </is>
      </c>
      <c r="F306" t="inlineStr">
        <is>
          <t>Villas</t>
        </is>
      </c>
      <c r="G306" t="inlineStr">
        <is>
          <t>Golf / Luxury</t>
        </is>
      </c>
      <c r="H306" t="inlineStr">
        <is>
          <t>4.5M</t>
        </is>
      </c>
      <c r="I306" t="inlineStr">
        <is>
          <t>1800</t>
        </is>
      </c>
      <c r="J306" t="inlineStr">
        <is>
          <t>20</t>
        </is>
      </c>
      <c r="K306" t="inlineStr">
        <is>
          <t>60/40</t>
        </is>
      </c>
      <c r="L306" t="inlineStr">
        <is>
          <t>2022</t>
        </is>
      </c>
      <c r="M306" t="inlineStr">
        <is>
          <t>5.5-6.0</t>
        </is>
      </c>
      <c r="N306" t="inlineStr">
        <is>
          <t>6-9</t>
        </is>
      </c>
      <c r="O306" t="inlineStr">
        <is>
          <t>11.5-15.0</t>
        </is>
      </c>
      <c r="P306" t="inlineStr">
        <is>
          <t>Victory Heights</t>
        </is>
      </c>
      <c r="Q306" t="inlineStr">
        <is>
          <t>NMC Royal DIP</t>
        </is>
      </c>
      <c r="R306" t="inlineStr">
        <is>
          <t>City Centre Me'aisem</t>
        </is>
      </c>
      <c r="S306" t="inlineStr">
        <is>
          <t>E311 / Yalayis</t>
        </is>
      </c>
      <c r="T306" t="inlineStr">
        <is>
          <t>25</t>
        </is>
      </c>
      <c r="U306" t="inlineStr">
        <is>
          <t>20</t>
        </is>
      </c>
      <c r="V306" t="inlineStr">
        <is>
          <t>30</t>
        </is>
      </c>
      <c r="W306" t="inlineStr">
        <is>
          <t>20</t>
        </is>
      </c>
      <c r="X306" t="inlineStr">
        <is>
          <t>Guild_real_estate_master.csv</t>
        </is>
      </c>
    </row>
    <row r="307">
      <c r="A307" t="n">
        <v>306</v>
      </c>
      <c r="B307" t="n">
        <v>306</v>
      </c>
      <c r="C307" t="inlineStr">
        <is>
          <t>South Garden</t>
        </is>
      </c>
      <c r="D307" t="inlineStr">
        <is>
          <t>Wasl Asset Management</t>
        </is>
      </c>
      <c r="E307" t="inlineStr">
        <is>
          <t>Wasl Gate (Jebel Ali)</t>
        </is>
      </c>
      <c r="F307" t="inlineStr">
        <is>
          <t>Apartments</t>
        </is>
      </c>
      <c r="G307" t="inlineStr">
        <is>
          <t>Community / Garden</t>
        </is>
      </c>
      <c r="H307" t="inlineStr">
        <is>
          <t>TBA</t>
        </is>
      </c>
      <c r="I307" t="inlineStr">
        <is>
          <t>TBA</t>
        </is>
      </c>
      <c r="J307" t="inlineStr">
        <is>
          <t>15</t>
        </is>
      </c>
      <c r="K307" t="inlineStr">
        <is>
          <t>TBA</t>
        </is>
      </c>
      <c r="L307" t="inlineStr">
        <is>
          <t>2024</t>
        </is>
      </c>
      <c r="M307" t="inlineStr">
        <is>
          <t>7.0-7.5</t>
        </is>
      </c>
      <c r="N307" t="inlineStr">
        <is>
          <t>8-10</t>
        </is>
      </c>
      <c r="O307" t="inlineStr">
        <is>
          <t>15.0-17.5</t>
        </is>
      </c>
      <c r="P307" t="inlineStr">
        <is>
          <t>The Arbor School</t>
        </is>
      </c>
      <c r="Q307" t="inlineStr">
        <is>
          <t>Aster Cedars Jebel Ali</t>
        </is>
      </c>
      <c r="R307" t="inlineStr">
        <is>
          <t>Ibn Battuta Mall</t>
        </is>
      </c>
      <c r="S307" t="inlineStr">
        <is>
          <t>Sheikh Zayed E11</t>
        </is>
      </c>
      <c r="T307" t="inlineStr">
        <is>
          <t>25</t>
        </is>
      </c>
      <c r="U307" t="inlineStr">
        <is>
          <t>10</t>
        </is>
      </c>
      <c r="V307" t="inlineStr">
        <is>
          <t>35</t>
        </is>
      </c>
      <c r="W307" t="inlineStr">
        <is>
          <t>20</t>
        </is>
      </c>
      <c r="X307" t="inlineStr">
        <is>
          <t>Guild_real_estate_master.csv</t>
        </is>
      </c>
    </row>
    <row r="308">
      <c r="A308" t="n">
        <v>307</v>
      </c>
      <c r="B308" t="n">
        <v>307</v>
      </c>
      <c r="C308" t="inlineStr">
        <is>
          <t>Hillside Residences</t>
        </is>
      </c>
      <c r="D308" t="inlineStr">
        <is>
          <t>Wasl Asset Management</t>
        </is>
      </c>
      <c r="E308" t="inlineStr">
        <is>
          <t>Wasl Gate</t>
        </is>
      </c>
      <c r="F308" t="inlineStr">
        <is>
          <t>Apartments</t>
        </is>
      </c>
      <c r="G308" t="inlineStr">
        <is>
          <t>Community / Hill</t>
        </is>
      </c>
      <c r="H308" t="inlineStr">
        <is>
          <t>1.2M</t>
        </is>
      </c>
      <c r="I308" t="inlineStr">
        <is>
          <t>1100</t>
        </is>
      </c>
      <c r="J308" t="inlineStr">
        <is>
          <t>15</t>
        </is>
      </c>
      <c r="K308" t="inlineStr">
        <is>
          <t>60/40</t>
        </is>
      </c>
      <c r="L308" t="inlineStr">
        <is>
          <t>2023</t>
        </is>
      </c>
      <c r="M308" t="inlineStr">
        <is>
          <t>7.0-7.5</t>
        </is>
      </c>
      <c r="N308" t="inlineStr">
        <is>
          <t>8-10</t>
        </is>
      </c>
      <c r="O308" t="inlineStr">
        <is>
          <t>15.0-17.5</t>
        </is>
      </c>
      <c r="P308" t="inlineStr">
        <is>
          <t>The Arbor School</t>
        </is>
      </c>
      <c r="Q308" t="inlineStr">
        <is>
          <t>Aster Cedars Jebel Ali</t>
        </is>
      </c>
      <c r="R308" t="inlineStr">
        <is>
          <t>Ibn Battuta Mall</t>
        </is>
      </c>
      <c r="S308" t="inlineStr">
        <is>
          <t>Sheikh Zayed E11</t>
        </is>
      </c>
      <c r="T308" t="inlineStr">
        <is>
          <t>25</t>
        </is>
      </c>
      <c r="U308" t="inlineStr">
        <is>
          <t>10</t>
        </is>
      </c>
      <c r="V308" t="inlineStr">
        <is>
          <t>35</t>
        </is>
      </c>
      <c r="W308" t="inlineStr">
        <is>
          <t>20</t>
        </is>
      </c>
      <c r="X308" t="inlineStr">
        <is>
          <t>Guild_real_estate_master.csv</t>
        </is>
      </c>
    </row>
    <row r="309">
      <c r="A309" t="n">
        <v>308</v>
      </c>
      <c r="B309" t="n">
        <v>308</v>
      </c>
      <c r="C309" t="inlineStr">
        <is>
          <t>Gardenia Townhomes</t>
        </is>
      </c>
      <c r="D309" t="inlineStr">
        <is>
          <t>Wasl Asset Management</t>
        </is>
      </c>
      <c r="E309" t="inlineStr">
        <is>
          <t>Wasl Gate</t>
        </is>
      </c>
      <c r="F309" t="inlineStr">
        <is>
          <t>Townhouses</t>
        </is>
      </c>
      <c r="G309" t="inlineStr">
        <is>
          <t>Family / Gated</t>
        </is>
      </c>
      <c r="H309" t="inlineStr">
        <is>
          <t>Resale (1.8M+)</t>
        </is>
      </c>
      <c r="I309" t="inlineStr">
        <is>
          <t>1000</t>
        </is>
      </c>
      <c r="J309" t="inlineStr">
        <is>
          <t>12</t>
        </is>
      </c>
      <c r="K309" t="inlineStr">
        <is>
          <t>Completed</t>
        </is>
      </c>
      <c r="L309" t="inlineStr">
        <is>
          <t>2021</t>
        </is>
      </c>
      <c r="M309" t="inlineStr">
        <is>
          <t>6.5-7.0</t>
        </is>
      </c>
      <c r="N309" t="inlineStr">
        <is>
          <t>5-7</t>
        </is>
      </c>
      <c r="O309" t="inlineStr">
        <is>
          <t>11.5-14.0</t>
        </is>
      </c>
      <c r="P309" t="inlineStr">
        <is>
          <t>The Arbor School</t>
        </is>
      </c>
      <c r="Q309" t="inlineStr">
        <is>
          <t>Aster Cedars Jebel Ali</t>
        </is>
      </c>
      <c r="R309" t="inlineStr">
        <is>
          <t>Ibn Battuta Mall</t>
        </is>
      </c>
      <c r="S309" t="inlineStr">
        <is>
          <t>Sheikh Zayed E11</t>
        </is>
      </c>
      <c r="T309" t="inlineStr">
        <is>
          <t>25</t>
        </is>
      </c>
      <c r="U309" t="inlineStr">
        <is>
          <t>10</t>
        </is>
      </c>
      <c r="V309" t="inlineStr">
        <is>
          <t>35</t>
        </is>
      </c>
      <c r="W309" t="inlineStr">
        <is>
          <t>20</t>
        </is>
      </c>
      <c r="X309" t="inlineStr">
        <is>
          <t>Guild_real_estate_master.csv</t>
        </is>
      </c>
    </row>
    <row r="310">
      <c r="A310" t="n">
        <v>309</v>
      </c>
      <c r="B310" t="n">
        <v>309</v>
      </c>
      <c r="C310" t="inlineStr">
        <is>
          <t>The Nook</t>
        </is>
      </c>
      <c r="D310" t="inlineStr">
        <is>
          <t>Wasl Asset Management</t>
        </is>
      </c>
      <c r="E310" t="inlineStr">
        <is>
          <t>Wasl Gate</t>
        </is>
      </c>
      <c r="F310" t="inlineStr">
        <is>
          <t>Apartments</t>
        </is>
      </c>
      <c r="G310" t="inlineStr">
        <is>
          <t>Budget</t>
        </is>
      </c>
      <c r="H310" t="inlineStr">
        <is>
          <t>Resale (500k+)</t>
        </is>
      </c>
      <c r="I310" t="inlineStr">
        <is>
          <t>800</t>
        </is>
      </c>
      <c r="J310" t="inlineStr">
        <is>
          <t>12</t>
        </is>
      </c>
      <c r="K310" t="inlineStr">
        <is>
          <t>Completed</t>
        </is>
      </c>
      <c r="L310" t="inlineStr">
        <is>
          <t>2020</t>
        </is>
      </c>
      <c r="M310" t="inlineStr">
        <is>
          <t>7.5-8.0</t>
        </is>
      </c>
      <c r="N310" t="inlineStr">
        <is>
          <t>5-7</t>
        </is>
      </c>
      <c r="O310" t="inlineStr">
        <is>
          <t>12.5-15.0</t>
        </is>
      </c>
      <c r="P310" t="inlineStr">
        <is>
          <t>The Arbor School</t>
        </is>
      </c>
      <c r="Q310" t="inlineStr">
        <is>
          <t>Aster Cedars Jebel Ali</t>
        </is>
      </c>
      <c r="R310" t="inlineStr">
        <is>
          <t>Ibn Battuta Mall</t>
        </is>
      </c>
      <c r="S310" t="inlineStr">
        <is>
          <t>Sheikh Zayed E11</t>
        </is>
      </c>
      <c r="T310" t="inlineStr">
        <is>
          <t>25</t>
        </is>
      </c>
      <c r="U310" t="inlineStr">
        <is>
          <t>10</t>
        </is>
      </c>
      <c r="V310" t="inlineStr">
        <is>
          <t>35</t>
        </is>
      </c>
      <c r="W310" t="inlineStr">
        <is>
          <t>20</t>
        </is>
      </c>
      <c r="X310" t="inlineStr">
        <is>
          <t>Guild_real_estate_master.csv</t>
        </is>
      </c>
    </row>
    <row r="311">
      <c r="A311" t="n">
        <v>310</v>
      </c>
      <c r="B311" t="n">
        <v>310</v>
      </c>
      <c r="C311" t="inlineStr">
        <is>
          <t>Park Gate Residences</t>
        </is>
      </c>
      <c r="D311" t="inlineStr">
        <is>
          <t>Wasl Asset Management</t>
        </is>
      </c>
      <c r="E311" t="inlineStr">
        <is>
          <t>Zabeel (Wasl 1)</t>
        </is>
      </c>
      <c r="F311" t="inlineStr">
        <is>
          <t>Apartments</t>
        </is>
      </c>
      <c r="G311" t="inlineStr">
        <is>
          <t>Park View / City</t>
        </is>
      </c>
      <c r="H311" t="inlineStr">
        <is>
          <t>Resale (2M+)</t>
        </is>
      </c>
      <c r="I311" t="inlineStr">
        <is>
          <t>1800</t>
        </is>
      </c>
      <c r="J311" t="inlineStr">
        <is>
          <t>20</t>
        </is>
      </c>
      <c r="K311" t="inlineStr">
        <is>
          <t>Completed</t>
        </is>
      </c>
      <c r="L311" t="inlineStr">
        <is>
          <t>2020</t>
        </is>
      </c>
      <c r="M311" t="inlineStr">
        <is>
          <t>6.0-6.5</t>
        </is>
      </c>
      <c r="N311" t="inlineStr">
        <is>
          <t>5-7</t>
        </is>
      </c>
      <c r="O311" t="inlineStr">
        <is>
          <t>11.0-13.5</t>
        </is>
      </c>
      <c r="P311" t="inlineStr">
        <is>
          <t>Dubai English Speaking</t>
        </is>
      </c>
      <c r="Q311" t="inlineStr">
        <is>
          <t>American Hospital</t>
        </is>
      </c>
      <c r="R311" t="inlineStr">
        <is>
          <t>WAFI Mall</t>
        </is>
      </c>
      <c r="S311" t="inlineStr">
        <is>
          <t>Sheikh Zayed E11</t>
        </is>
      </c>
      <c r="T311" t="inlineStr">
        <is>
          <t>10</t>
        </is>
      </c>
      <c r="U311" t="inlineStr">
        <is>
          <t>25</t>
        </is>
      </c>
      <c r="V311" t="inlineStr">
        <is>
          <t>10</t>
        </is>
      </c>
      <c r="W311" t="inlineStr">
        <is>
          <t>40</t>
        </is>
      </c>
      <c r="X311" t="inlineStr">
        <is>
          <t>Guild_real_estate_master.csv</t>
        </is>
      </c>
    </row>
    <row r="312">
      <c r="A312" t="n">
        <v>311</v>
      </c>
      <c r="B312" t="n">
        <v>311</v>
      </c>
      <c r="C312" t="inlineStr">
        <is>
          <t>1 Residences</t>
        </is>
      </c>
      <c r="D312" t="inlineStr">
        <is>
          <t>Wasl Asset Management</t>
        </is>
      </c>
      <c r="E312" t="inlineStr">
        <is>
          <t>Zabeel (Wasl 1)</t>
        </is>
      </c>
      <c r="F312" t="inlineStr">
        <is>
          <t>Apartments</t>
        </is>
      </c>
      <c r="G312" t="inlineStr">
        <is>
          <t>Park View / City</t>
        </is>
      </c>
      <c r="H312" t="inlineStr">
        <is>
          <t>1.8M</t>
        </is>
      </c>
      <c r="I312" t="inlineStr">
        <is>
          <t>1900</t>
        </is>
      </c>
      <c r="J312" t="inlineStr">
        <is>
          <t>20</t>
        </is>
      </c>
      <c r="K312" t="inlineStr">
        <is>
          <t>Completed</t>
        </is>
      </c>
      <c r="L312" t="inlineStr">
        <is>
          <t>2022</t>
        </is>
      </c>
      <c r="M312" t="inlineStr">
        <is>
          <t>6.0-6.5</t>
        </is>
      </c>
      <c r="N312" t="inlineStr">
        <is>
          <t>6-8</t>
        </is>
      </c>
      <c r="O312" t="inlineStr">
        <is>
          <t>12.0-14.5</t>
        </is>
      </c>
      <c r="P312" t="inlineStr">
        <is>
          <t>Dubai English Speaking</t>
        </is>
      </c>
      <c r="Q312" t="inlineStr">
        <is>
          <t>American Hospital</t>
        </is>
      </c>
      <c r="R312" t="inlineStr">
        <is>
          <t>WAFI Mall</t>
        </is>
      </c>
      <c r="S312" t="inlineStr">
        <is>
          <t>Sheikh Zayed E11</t>
        </is>
      </c>
      <c r="T312" t="inlineStr">
        <is>
          <t>10</t>
        </is>
      </c>
      <c r="U312" t="inlineStr">
        <is>
          <t>25</t>
        </is>
      </c>
      <c r="V312" t="inlineStr">
        <is>
          <t>10</t>
        </is>
      </c>
      <c r="W312" t="inlineStr">
        <is>
          <t>40</t>
        </is>
      </c>
      <c r="X312" t="inlineStr">
        <is>
          <t>Guild_real_estate_master.csv</t>
        </is>
      </c>
    </row>
    <row r="313">
      <c r="A313" t="n">
        <v>312</v>
      </c>
      <c r="B313" t="n">
        <v>312</v>
      </c>
      <c r="C313" t="inlineStr">
        <is>
          <t>One B Tower</t>
        </is>
      </c>
      <c r="D313" t="inlineStr">
        <is>
          <t>Wasl Asset Management</t>
        </is>
      </c>
      <c r="E313" t="inlineStr">
        <is>
          <t>Sheikh Zayed Road</t>
        </is>
      </c>
      <c r="F313" t="inlineStr">
        <is>
          <t>Apartments</t>
        </is>
      </c>
      <c r="G313" t="inlineStr">
        <is>
          <t>High-Rise / Luxury</t>
        </is>
      </c>
      <c r="H313" t="inlineStr">
        <is>
          <t>2.5M</t>
        </is>
      </c>
      <c r="I313" t="inlineStr">
        <is>
          <t>2200</t>
        </is>
      </c>
      <c r="J313" t="inlineStr">
        <is>
          <t>22</t>
        </is>
      </c>
      <c r="K313" t="inlineStr">
        <is>
          <t>60/40</t>
        </is>
      </c>
      <c r="L313" t="inlineStr">
        <is>
          <t>2024</t>
        </is>
      </c>
      <c r="M313" t="inlineStr">
        <is>
          <t>6.0-6.5</t>
        </is>
      </c>
      <c r="N313" t="inlineStr">
        <is>
          <t>8-10</t>
        </is>
      </c>
      <c r="O313" t="inlineStr">
        <is>
          <t>14.0-16.5</t>
        </is>
      </c>
      <c r="P313" t="inlineStr">
        <is>
          <t>Hartland Intl</t>
        </is>
      </c>
      <c r="Q313" t="inlineStr">
        <is>
          <t>Mediclinic Dubai Mall</t>
        </is>
      </c>
      <c r="R313" t="inlineStr">
        <is>
          <t>Dubai Mall</t>
        </is>
      </c>
      <c r="S313" t="inlineStr">
        <is>
          <t>Sheikh Zayed E11</t>
        </is>
      </c>
      <c r="T313" t="inlineStr">
        <is>
          <t>5</t>
        </is>
      </c>
      <c r="U313" t="inlineStr">
        <is>
          <t>15</t>
        </is>
      </c>
      <c r="V313" t="inlineStr">
        <is>
          <t>15</t>
        </is>
      </c>
      <c r="W313" t="inlineStr">
        <is>
          <t>35</t>
        </is>
      </c>
      <c r="X313" t="inlineStr">
        <is>
          <t>Guild_real_estate_master.csv</t>
        </is>
      </c>
    </row>
    <row r="314">
      <c r="A314" t="n">
        <v>313</v>
      </c>
      <c r="B314" t="n">
        <v>313</v>
      </c>
      <c r="C314" t="inlineStr">
        <is>
          <t>Wasl Tower</t>
        </is>
      </c>
      <c r="D314" t="inlineStr">
        <is>
          <t>Wasl Asset Management</t>
        </is>
      </c>
      <c r="E314" t="inlineStr">
        <is>
          <t>Sheikh Zayed Road</t>
        </is>
      </c>
      <c r="F314" t="inlineStr">
        <is>
          <t>Mixed/Hotel</t>
        </is>
      </c>
      <c r="G314" t="inlineStr">
        <is>
          <t>Mandarin Oriental</t>
        </is>
      </c>
      <c r="J314" t="inlineStr">
        <is>
          <t>TBA</t>
        </is>
      </c>
      <c r="K314" t="inlineStr">
        <is>
          <t>Under Const</t>
        </is>
      </c>
      <c r="L314" t="inlineStr">
        <is>
          <t>2024</t>
        </is>
      </c>
      <c r="M314" t="inlineStr">
        <is>
          <t>4.5-5.5</t>
        </is>
      </c>
      <c r="N314" t="inlineStr">
        <is>
          <t>8-10</t>
        </is>
      </c>
      <c r="O314" t="inlineStr">
        <is>
          <t>12.5-15.5</t>
        </is>
      </c>
      <c r="P314" t="inlineStr">
        <is>
          <t>Hartland Intl</t>
        </is>
      </c>
      <c r="Q314" t="inlineStr">
        <is>
          <t>Mediclinic Dubai Mall</t>
        </is>
      </c>
      <c r="R314" t="inlineStr">
        <is>
          <t>Dubai Mall</t>
        </is>
      </c>
      <c r="S314" t="inlineStr">
        <is>
          <t>Sheikh Zayed E11</t>
        </is>
      </c>
      <c r="T314" t="inlineStr">
        <is>
          <t>5</t>
        </is>
      </c>
      <c r="U314" t="inlineStr">
        <is>
          <t>15</t>
        </is>
      </c>
      <c r="V314" t="inlineStr">
        <is>
          <t>15</t>
        </is>
      </c>
      <c r="W314" t="inlineStr">
        <is>
          <t>35</t>
        </is>
      </c>
      <c r="X314" t="inlineStr">
        <is>
          <t>Guild_real_estate_master.csv</t>
        </is>
      </c>
    </row>
    <row r="315">
      <c r="A315" t="n">
        <v>314</v>
      </c>
      <c r="B315" t="n">
        <v>314</v>
      </c>
      <c r="C315" t="inlineStr">
        <is>
          <t>Riviera Heights</t>
        </is>
      </c>
      <c r="D315" t="inlineStr">
        <is>
          <t>Wasl Asset Management</t>
        </is>
      </c>
      <c r="E315" t="inlineStr">
        <is>
          <t>MBR City</t>
        </is>
      </c>
      <c r="F315" t="inlineStr">
        <is>
          <t>Apartments</t>
        </is>
      </c>
      <c r="G315" t="inlineStr">
        <is>
          <t>Mid-Rise</t>
        </is>
      </c>
      <c r="H315" t="inlineStr">
        <is>
          <t>TBA</t>
        </is>
      </c>
      <c r="I315" t="inlineStr">
        <is>
          <t>TBA</t>
        </is>
      </c>
      <c r="J315" t="inlineStr">
        <is>
          <t>18</t>
        </is>
      </c>
      <c r="K315" t="inlineStr">
        <is>
          <t>TBA</t>
        </is>
      </c>
      <c r="L315" t="inlineStr">
        <is>
          <t>2024</t>
        </is>
      </c>
      <c r="M315" t="inlineStr">
        <is>
          <t>6.5-7.0</t>
        </is>
      </c>
      <c r="N315" t="inlineStr">
        <is>
          <t>8-10</t>
        </is>
      </c>
      <c r="O315" t="inlineStr">
        <is>
          <t>14.5-17.0</t>
        </is>
      </c>
      <c r="P315" t="inlineStr">
        <is>
          <t>Hartland Intl</t>
        </is>
      </c>
      <c r="Q315" t="inlineStr">
        <is>
          <t>American Hospital</t>
        </is>
      </c>
      <c r="R315" t="inlineStr">
        <is>
          <t>Dubai Mall</t>
        </is>
      </c>
      <c r="S315" t="inlineStr">
        <is>
          <t>Ras Al Khor / E44</t>
        </is>
      </c>
      <c r="T315" t="inlineStr">
        <is>
          <t>12</t>
        </is>
      </c>
      <c r="U315" t="inlineStr">
        <is>
          <t>25</t>
        </is>
      </c>
      <c r="V315" t="inlineStr">
        <is>
          <t>15</t>
        </is>
      </c>
      <c r="W315" t="inlineStr">
        <is>
          <t>40</t>
        </is>
      </c>
      <c r="X315" t="inlineStr">
        <is>
          <t>Guild_real_estate_master.csv</t>
        </is>
      </c>
    </row>
    <row r="316">
      <c r="A316" t="n">
        <v>315</v>
      </c>
      <c r="B316" t="n">
        <v>315</v>
      </c>
      <c r="C316" t="inlineStr">
        <is>
          <t>Wasl 51</t>
        </is>
      </c>
      <c r="D316" t="inlineStr">
        <is>
          <t>Wasl Asset Management</t>
        </is>
      </c>
      <c r="E316" t="inlineStr">
        <is>
          <t>Jumeirah 1</t>
        </is>
      </c>
      <c r="F316" t="inlineStr">
        <is>
          <t>Villas/Apts</t>
        </is>
      </c>
      <c r="G316" t="inlineStr">
        <is>
          <t>Luxury / Boutique</t>
        </is>
      </c>
      <c r="H316" t="inlineStr">
        <is>
          <t>Rental Only</t>
        </is>
      </c>
      <c r="K316" t="inlineStr">
        <is>
          <t>Completed</t>
        </is>
      </c>
      <c r="L316" t="inlineStr">
        <is>
          <t>2019</t>
        </is>
      </c>
      <c r="P316" t="inlineStr">
        <is>
          <t>Jumeirah Baccalaureate</t>
        </is>
      </c>
      <c r="Q316" t="inlineStr">
        <is>
          <t>Valiant Clinic</t>
        </is>
      </c>
      <c r="R316" t="inlineStr">
        <is>
          <t>Mercato Mall</t>
        </is>
      </c>
      <c r="S316" t="inlineStr">
        <is>
          <t>Jumeirah St / D94</t>
        </is>
      </c>
      <c r="T316" t="inlineStr">
        <is>
          <t>15</t>
        </is>
      </c>
      <c r="U316" t="inlineStr">
        <is>
          <t>20</t>
        </is>
      </c>
      <c r="V316" t="inlineStr">
        <is>
          <t>20</t>
        </is>
      </c>
      <c r="W316" t="inlineStr">
        <is>
          <t>40</t>
        </is>
      </c>
      <c r="X316" t="inlineStr">
        <is>
          <t>Guild_real_estate_master.csv</t>
        </is>
      </c>
    </row>
    <row r="317">
      <c r="A317" t="n">
        <v>316</v>
      </c>
      <c r="B317" t="n">
        <v>316</v>
      </c>
      <c r="C317" t="inlineStr">
        <is>
          <t>Diamondz</t>
        </is>
      </c>
      <c r="D317" t="inlineStr">
        <is>
          <t>Danube Properties</t>
        </is>
      </c>
      <c r="E317" t="inlineStr">
        <is>
          <t>JLT</t>
        </is>
      </c>
      <c r="F317" t="inlineStr">
        <is>
          <t>Apartments</t>
        </is>
      </c>
      <c r="G317" t="inlineStr">
        <is>
          <t>Luxury / High-Rise</t>
        </is>
      </c>
      <c r="H317" t="inlineStr">
        <is>
          <t>1.1M</t>
        </is>
      </c>
      <c r="I317" t="inlineStr">
        <is>
          <t>1800</t>
        </is>
      </c>
      <c r="J317" t="inlineStr">
        <is>
          <t>18</t>
        </is>
      </c>
      <c r="K317" t="inlineStr">
        <is>
          <t>1% Monthly</t>
        </is>
      </c>
      <c r="L317" t="inlineStr">
        <is>
          <t>2024</t>
        </is>
      </c>
      <c r="M317" t="inlineStr">
        <is>
          <t>6.5-7.0</t>
        </is>
      </c>
      <c r="N317" t="inlineStr">
        <is>
          <t>6-9</t>
        </is>
      </c>
      <c r="O317" t="inlineStr">
        <is>
          <t>12.5-16.0</t>
        </is>
      </c>
      <c r="P317" t="inlineStr">
        <is>
          <t>Emirates Intl School</t>
        </is>
      </c>
      <c r="Q317" t="inlineStr">
        <is>
          <t>Saudi German Hospital</t>
        </is>
      </c>
      <c r="R317" t="inlineStr">
        <is>
          <t>Dubai Marina Mall</t>
        </is>
      </c>
      <c r="S317" t="inlineStr">
        <is>
          <t>Sheikh Zayed E11</t>
        </is>
      </c>
      <c r="T317" t="inlineStr">
        <is>
          <t>20</t>
        </is>
      </c>
      <c r="U317" t="inlineStr">
        <is>
          <t>5</t>
        </is>
      </c>
      <c r="V317" t="inlineStr">
        <is>
          <t>25</t>
        </is>
      </c>
      <c r="W317" t="inlineStr">
        <is>
          <t>30</t>
        </is>
      </c>
      <c r="X317" t="inlineStr">
        <is>
          <t>Guild_real_estate_master.csv</t>
        </is>
      </c>
    </row>
    <row r="318">
      <c r="A318" t="n">
        <v>317</v>
      </c>
      <c r="B318" t="n">
        <v>317</v>
      </c>
      <c r="C318" t="inlineStr">
        <is>
          <t>Viewz</t>
        </is>
      </c>
      <c r="D318" t="inlineStr">
        <is>
          <t>Danube Properties</t>
        </is>
      </c>
      <c r="E318" t="inlineStr">
        <is>
          <t>JLT</t>
        </is>
      </c>
      <c r="F318" t="inlineStr">
        <is>
          <t>Branded Apts (Aston Martin)</t>
        </is>
      </c>
      <c r="G318" t="inlineStr">
        <is>
          <t>Luxury / View</t>
        </is>
      </c>
      <c r="H318" t="inlineStr">
        <is>
          <t>1.2M</t>
        </is>
      </c>
      <c r="I318" t="inlineStr">
        <is>
          <t>1900</t>
        </is>
      </c>
      <c r="J318" t="inlineStr">
        <is>
          <t>18</t>
        </is>
      </c>
      <c r="K318" t="inlineStr">
        <is>
          <t>1% Monthly</t>
        </is>
      </c>
      <c r="L318" t="inlineStr">
        <is>
          <t>2023</t>
        </is>
      </c>
      <c r="M318" t="inlineStr">
        <is>
          <t>6.5-7.0</t>
        </is>
      </c>
      <c r="N318" t="inlineStr">
        <is>
          <t>6-9</t>
        </is>
      </c>
      <c r="O318" t="inlineStr">
        <is>
          <t>12.5-16.0</t>
        </is>
      </c>
      <c r="P318" t="inlineStr">
        <is>
          <t>Emirates Intl School</t>
        </is>
      </c>
      <c r="Q318" t="inlineStr">
        <is>
          <t>Saudi German Hospital</t>
        </is>
      </c>
      <c r="R318" t="inlineStr">
        <is>
          <t>Dubai Marina Mall</t>
        </is>
      </c>
      <c r="S318" t="inlineStr">
        <is>
          <t>Sheikh Zayed E11</t>
        </is>
      </c>
      <c r="T318" t="inlineStr">
        <is>
          <t>20</t>
        </is>
      </c>
      <c r="U318" t="inlineStr">
        <is>
          <t>5</t>
        </is>
      </c>
      <c r="V318" t="inlineStr">
        <is>
          <t>25</t>
        </is>
      </c>
      <c r="W318" t="inlineStr">
        <is>
          <t>30</t>
        </is>
      </c>
      <c r="X318" t="inlineStr">
        <is>
          <t>Guild_real_estate_master.csv</t>
        </is>
      </c>
    </row>
    <row r="319">
      <c r="A319" t="n">
        <v>318</v>
      </c>
      <c r="B319" t="n">
        <v>318</v>
      </c>
      <c r="C319" t="inlineStr">
        <is>
          <t>Bayz 101</t>
        </is>
      </c>
      <c r="D319" t="inlineStr">
        <is>
          <t>Danube Properties</t>
        </is>
      </c>
      <c r="E319" t="inlineStr">
        <is>
          <t>Business Bay</t>
        </is>
      </c>
      <c r="F319" t="inlineStr">
        <is>
          <t>Apartments</t>
        </is>
      </c>
      <c r="G319" t="inlineStr">
        <is>
          <t>High-Rise / City</t>
        </is>
      </c>
      <c r="H319" t="inlineStr">
        <is>
          <t>1.3M</t>
        </is>
      </c>
      <c r="I319" t="inlineStr">
        <is>
          <t>2000</t>
        </is>
      </c>
      <c r="J319" t="inlineStr">
        <is>
          <t>18</t>
        </is>
      </c>
      <c r="K319" t="inlineStr">
        <is>
          <t>1% Monthly</t>
        </is>
      </c>
      <c r="L319" t="inlineStr">
        <is>
          <t>2024</t>
        </is>
      </c>
      <c r="M319" t="inlineStr">
        <is>
          <t>6.5-7.0</t>
        </is>
      </c>
      <c r="N319" t="inlineStr">
        <is>
          <t>6-9</t>
        </is>
      </c>
      <c r="O319" t="inlineStr">
        <is>
          <t>12.5-16.0</t>
        </is>
      </c>
      <c r="P319" t="inlineStr">
        <is>
          <t>Hartland Intl</t>
        </is>
      </c>
      <c r="Q319" t="inlineStr">
        <is>
          <t>Emirates Hospital BB</t>
        </is>
      </c>
      <c r="R319" t="inlineStr">
        <is>
          <t>Dubai Mall</t>
        </is>
      </c>
      <c r="S319" t="inlineStr">
        <is>
          <t>Al Khail E44</t>
        </is>
      </c>
      <c r="T319" t="inlineStr">
        <is>
          <t>5</t>
        </is>
      </c>
      <c r="U319" t="inlineStr">
        <is>
          <t>20</t>
        </is>
      </c>
      <c r="V319" t="inlineStr">
        <is>
          <t>15</t>
        </is>
      </c>
      <c r="W319" t="inlineStr">
        <is>
          <t>35</t>
        </is>
      </c>
      <c r="X319" t="inlineStr">
        <is>
          <t>Guild_real_estate_master.csv</t>
        </is>
      </c>
    </row>
    <row r="320">
      <c r="A320" t="n">
        <v>319</v>
      </c>
      <c r="B320" t="n">
        <v>319</v>
      </c>
      <c r="C320" t="inlineStr">
        <is>
          <t>Bayz 102</t>
        </is>
      </c>
      <c r="D320" t="inlineStr">
        <is>
          <t>Danube Properties</t>
        </is>
      </c>
      <c r="E320" t="inlineStr">
        <is>
          <t>Business Bay</t>
        </is>
      </c>
      <c r="F320" t="inlineStr">
        <is>
          <t>Apartments</t>
        </is>
      </c>
      <c r="G320" t="inlineStr">
        <is>
          <t>High-Rise / City</t>
        </is>
      </c>
      <c r="H320" t="inlineStr">
        <is>
          <t>1.35M</t>
        </is>
      </c>
      <c r="I320" t="inlineStr">
        <is>
          <t>2000</t>
        </is>
      </c>
      <c r="J320" t="inlineStr">
        <is>
          <t>18</t>
        </is>
      </c>
      <c r="K320" t="inlineStr">
        <is>
          <t>1% Monthly</t>
        </is>
      </c>
      <c r="L320" t="inlineStr">
        <is>
          <t>2024</t>
        </is>
      </c>
      <c r="M320" t="inlineStr">
        <is>
          <t>6.5-7.0</t>
        </is>
      </c>
      <c r="N320" t="inlineStr">
        <is>
          <t>6-9</t>
        </is>
      </c>
      <c r="O320" t="inlineStr">
        <is>
          <t>12.5-16.0</t>
        </is>
      </c>
      <c r="P320" t="inlineStr">
        <is>
          <t>Hartland Intl</t>
        </is>
      </c>
      <c r="Q320" t="inlineStr">
        <is>
          <t>Emirates Hospital BB</t>
        </is>
      </c>
      <c r="R320" t="inlineStr">
        <is>
          <t>Dubai Mall</t>
        </is>
      </c>
      <c r="S320" t="inlineStr">
        <is>
          <t>Al Khail E44</t>
        </is>
      </c>
      <c r="T320" t="inlineStr">
        <is>
          <t>5</t>
        </is>
      </c>
      <c r="U320" t="inlineStr">
        <is>
          <t>20</t>
        </is>
      </c>
      <c r="V320" t="inlineStr">
        <is>
          <t>15</t>
        </is>
      </c>
      <c r="W320" t="inlineStr">
        <is>
          <t>35</t>
        </is>
      </c>
      <c r="X320" t="inlineStr">
        <is>
          <t>Guild_real_estate_master.csv</t>
        </is>
      </c>
    </row>
    <row r="321">
      <c r="A321" t="n">
        <v>320</v>
      </c>
      <c r="B321" t="n">
        <v>320</v>
      </c>
      <c r="C321" t="inlineStr">
        <is>
          <t>Oceanz</t>
        </is>
      </c>
      <c r="D321" t="inlineStr">
        <is>
          <t>Danube Properties</t>
        </is>
      </c>
      <c r="E321" t="inlineStr">
        <is>
          <t>Dubai Maritime City</t>
        </is>
      </c>
      <c r="F321" t="inlineStr">
        <is>
          <t>Apartments</t>
        </is>
      </c>
      <c r="G321" t="inlineStr">
        <is>
          <t>Sea View</t>
        </is>
      </c>
      <c r="H321" t="inlineStr">
        <is>
          <t>1.1M</t>
        </is>
      </c>
      <c r="I321" t="inlineStr">
        <is>
          <t>1800</t>
        </is>
      </c>
      <c r="J321" t="inlineStr">
        <is>
          <t>18</t>
        </is>
      </c>
      <c r="K321" t="inlineStr">
        <is>
          <t>1% Monthly</t>
        </is>
      </c>
      <c r="L321" t="inlineStr">
        <is>
          <t>2023</t>
        </is>
      </c>
      <c r="M321" t="inlineStr">
        <is>
          <t>6.5-7.0</t>
        </is>
      </c>
      <c r="N321" t="inlineStr">
        <is>
          <t>8-10</t>
        </is>
      </c>
      <c r="O321" t="inlineStr">
        <is>
          <t>14.5-17.0</t>
        </is>
      </c>
      <c r="P321" t="inlineStr">
        <is>
          <t>New Academy School</t>
        </is>
      </c>
      <c r="Q321" t="inlineStr">
        <is>
          <t>Aster Hospital Mankhool</t>
        </is>
      </c>
      <c r="R321" t="inlineStr">
        <is>
          <t>Dubai Mall</t>
        </is>
      </c>
      <c r="S321" t="inlineStr">
        <is>
          <t>Al Khaleej / E11</t>
        </is>
      </c>
      <c r="T321" t="inlineStr">
        <is>
          <t>15</t>
        </is>
      </c>
      <c r="U321" t="inlineStr">
        <is>
          <t>25</t>
        </is>
      </c>
      <c r="V321" t="inlineStr">
        <is>
          <t>15</t>
        </is>
      </c>
      <c r="W321" t="inlineStr">
        <is>
          <t>45</t>
        </is>
      </c>
      <c r="X321" t="inlineStr">
        <is>
          <t>Guild_real_estate_master.csv</t>
        </is>
      </c>
    </row>
    <row r="322">
      <c r="A322" t="n">
        <v>321</v>
      </c>
      <c r="B322" t="n">
        <v>321</v>
      </c>
      <c r="C322" t="inlineStr">
        <is>
          <t>Sportz</t>
        </is>
      </c>
      <c r="D322" t="inlineStr">
        <is>
          <t>Danube Properties</t>
        </is>
      </c>
      <c r="E322" t="inlineStr">
        <is>
          <t>Dubai Sports City</t>
        </is>
      </c>
      <c r="F322" t="inlineStr">
        <is>
          <t>Apartments</t>
        </is>
      </c>
      <c r="G322" t="inlineStr">
        <is>
          <t>Sports Amenities</t>
        </is>
      </c>
      <c r="H322" t="inlineStr">
        <is>
          <t>900k</t>
        </is>
      </c>
      <c r="I322" t="inlineStr">
        <is>
          <t>1300</t>
        </is>
      </c>
      <c r="J322" t="inlineStr">
        <is>
          <t>15</t>
        </is>
      </c>
      <c r="K322" t="inlineStr">
        <is>
          <t>1% Monthly</t>
        </is>
      </c>
      <c r="L322" t="inlineStr">
        <is>
          <t>2023</t>
        </is>
      </c>
      <c r="M322" t="inlineStr">
        <is>
          <t>7.5-8.0</t>
        </is>
      </c>
      <c r="N322" t="inlineStr">
        <is>
          <t>6-8</t>
        </is>
      </c>
      <c r="O322" t="inlineStr">
        <is>
          <t>13.5-16.0</t>
        </is>
      </c>
      <c r="P322" t="inlineStr">
        <is>
          <t>Victory Heights</t>
        </is>
      </c>
      <c r="Q322" t="inlineStr">
        <is>
          <t>NMC Royal DIP</t>
        </is>
      </c>
      <c r="R322" t="inlineStr">
        <is>
          <t>City Centre Me'aisem</t>
        </is>
      </c>
      <c r="S322" t="inlineStr">
        <is>
          <t>E311 / Hessa St</t>
        </is>
      </c>
      <c r="T322" t="inlineStr">
        <is>
          <t>20</t>
        </is>
      </c>
      <c r="U322" t="inlineStr">
        <is>
          <t>15</t>
        </is>
      </c>
      <c r="V322" t="inlineStr">
        <is>
          <t>25</t>
        </is>
      </c>
      <c r="W322" t="inlineStr">
        <is>
          <t>25</t>
        </is>
      </c>
      <c r="X322" t="inlineStr">
        <is>
          <t>Guild_real_estate_master.csv</t>
        </is>
      </c>
    </row>
    <row r="323">
      <c r="A323" t="n">
        <v>322</v>
      </c>
      <c r="B323" t="n">
        <v>322</v>
      </c>
      <c r="C323" t="inlineStr">
        <is>
          <t>Eleganz</t>
        </is>
      </c>
      <c r="D323" t="inlineStr">
        <is>
          <t>Danube Properties</t>
        </is>
      </c>
      <c r="E323" t="inlineStr">
        <is>
          <t>JVC</t>
        </is>
      </c>
      <c r="F323" t="inlineStr">
        <is>
          <t>Apartments</t>
        </is>
      </c>
      <c r="G323" t="inlineStr">
        <is>
          <t>Ready to Move</t>
        </is>
      </c>
      <c r="H323" t="inlineStr">
        <is>
          <t>1.1M</t>
        </is>
      </c>
      <c r="I323" t="inlineStr">
        <is>
          <t>1400</t>
        </is>
      </c>
      <c r="J323" t="inlineStr">
        <is>
          <t>15</t>
        </is>
      </c>
      <c r="K323" t="inlineStr">
        <is>
          <t>1% Monthly</t>
        </is>
      </c>
      <c r="L323" t="inlineStr">
        <is>
          <t>2023</t>
        </is>
      </c>
      <c r="M323" t="inlineStr">
        <is>
          <t>7.5-8.0</t>
        </is>
      </c>
      <c r="N323" t="inlineStr">
        <is>
          <t>5-7</t>
        </is>
      </c>
      <c r="O323" t="inlineStr">
        <is>
          <t>12.5-15.0</t>
        </is>
      </c>
      <c r="P323" t="inlineStr">
        <is>
          <t>JSS International</t>
        </is>
      </c>
      <c r="Q323" t="inlineStr">
        <is>
          <t>Saudi German Hospital</t>
        </is>
      </c>
      <c r="R323" t="inlineStr">
        <is>
          <t>Circle Mall</t>
        </is>
      </c>
      <c r="S323" t="inlineStr">
        <is>
          <t>Hessa St / E44</t>
        </is>
      </c>
      <c r="T323" t="inlineStr">
        <is>
          <t>20</t>
        </is>
      </c>
      <c r="U323" t="inlineStr">
        <is>
          <t>15</t>
        </is>
      </c>
      <c r="V323" t="inlineStr">
        <is>
          <t>25</t>
        </is>
      </c>
      <c r="W323" t="inlineStr">
        <is>
          <t>30</t>
        </is>
      </c>
      <c r="X323" t="inlineStr">
        <is>
          <t>Guild_real_estate_master.csv</t>
        </is>
      </c>
    </row>
    <row r="324">
      <c r="A324" t="n">
        <v>323</v>
      </c>
      <c r="B324" t="n">
        <v>323</v>
      </c>
      <c r="C324" t="inlineStr">
        <is>
          <t>Elitz 1</t>
        </is>
      </c>
      <c r="D324" t="inlineStr">
        <is>
          <t>Danube Properties</t>
        </is>
      </c>
      <c r="E324" t="inlineStr">
        <is>
          <t>JVC</t>
        </is>
      </c>
      <c r="F324" t="inlineStr">
        <is>
          <t>Apartments</t>
        </is>
      </c>
      <c r="G324" t="inlineStr">
        <is>
          <t>High-Rise</t>
        </is>
      </c>
      <c r="H324" t="inlineStr">
        <is>
          <t>1.0M</t>
        </is>
      </c>
      <c r="I324" t="inlineStr">
        <is>
          <t>1400</t>
        </is>
      </c>
      <c r="J324" t="inlineStr">
        <is>
          <t>15</t>
        </is>
      </c>
      <c r="K324" t="inlineStr">
        <is>
          <t>1% Monthly</t>
        </is>
      </c>
      <c r="L324" t="inlineStr">
        <is>
          <t>2022</t>
        </is>
      </c>
      <c r="M324" t="inlineStr">
        <is>
          <t>7.5-8.0</t>
        </is>
      </c>
      <c r="N324" t="inlineStr">
        <is>
          <t>6-8</t>
        </is>
      </c>
      <c r="O324" t="inlineStr">
        <is>
          <t>13.5-16.0</t>
        </is>
      </c>
      <c r="P324" t="inlineStr">
        <is>
          <t>JSS International</t>
        </is>
      </c>
      <c r="Q324" t="inlineStr">
        <is>
          <t>Saudi German Hospital</t>
        </is>
      </c>
      <c r="R324" t="inlineStr">
        <is>
          <t>Circle Mall</t>
        </is>
      </c>
      <c r="S324" t="inlineStr">
        <is>
          <t>Hessa St / E44</t>
        </is>
      </c>
      <c r="T324" t="inlineStr">
        <is>
          <t>20</t>
        </is>
      </c>
      <c r="U324" t="inlineStr">
        <is>
          <t>15</t>
        </is>
      </c>
      <c r="V324" t="inlineStr">
        <is>
          <t>25</t>
        </is>
      </c>
      <c r="W324" t="inlineStr">
        <is>
          <t>30</t>
        </is>
      </c>
      <c r="X324" t="inlineStr">
        <is>
          <t>Guild_real_estate_master.csv</t>
        </is>
      </c>
    </row>
    <row r="325">
      <c r="A325" t="n">
        <v>324</v>
      </c>
      <c r="B325" t="n">
        <v>324</v>
      </c>
      <c r="C325" t="inlineStr">
        <is>
          <t>Elitz 2</t>
        </is>
      </c>
      <c r="D325" t="inlineStr">
        <is>
          <t>Danube Properties</t>
        </is>
      </c>
      <c r="E325" t="inlineStr">
        <is>
          <t>JVC</t>
        </is>
      </c>
      <c r="F325" t="inlineStr">
        <is>
          <t>Apartments</t>
        </is>
      </c>
      <c r="G325" t="inlineStr">
        <is>
          <t>High-Rise</t>
        </is>
      </c>
      <c r="H325" t="inlineStr">
        <is>
          <t>1.0M</t>
        </is>
      </c>
      <c r="I325" t="inlineStr">
        <is>
          <t>1400</t>
        </is>
      </c>
      <c r="J325" t="inlineStr">
        <is>
          <t>15</t>
        </is>
      </c>
      <c r="K325" t="inlineStr">
        <is>
          <t>1% Monthly</t>
        </is>
      </c>
      <c r="L325" t="inlineStr">
        <is>
          <t>2023</t>
        </is>
      </c>
      <c r="M325" t="inlineStr">
        <is>
          <t>7.5-8.0</t>
        </is>
      </c>
      <c r="N325" t="inlineStr">
        <is>
          <t>6-8</t>
        </is>
      </c>
      <c r="O325" t="inlineStr">
        <is>
          <t>13.5-16.0</t>
        </is>
      </c>
      <c r="P325" t="inlineStr">
        <is>
          <t>JSS International</t>
        </is>
      </c>
      <c r="Q325" t="inlineStr">
        <is>
          <t>Saudi German Hospital</t>
        </is>
      </c>
      <c r="R325" t="inlineStr">
        <is>
          <t>Circle Mall</t>
        </is>
      </c>
      <c r="S325" t="inlineStr">
        <is>
          <t>Hessa St / E44</t>
        </is>
      </c>
      <c r="T325" t="inlineStr">
        <is>
          <t>20</t>
        </is>
      </c>
      <c r="U325" t="inlineStr">
        <is>
          <t>15</t>
        </is>
      </c>
      <c r="V325" t="inlineStr">
        <is>
          <t>25</t>
        </is>
      </c>
      <c r="W325" t="inlineStr">
        <is>
          <t>30</t>
        </is>
      </c>
      <c r="X325" t="inlineStr">
        <is>
          <t>Guild_real_estate_master.csv</t>
        </is>
      </c>
    </row>
    <row r="326">
      <c r="A326" t="n">
        <v>325</v>
      </c>
      <c r="B326" t="n">
        <v>325</v>
      </c>
      <c r="C326" t="inlineStr">
        <is>
          <t>Elitz 3</t>
        </is>
      </c>
      <c r="D326" t="inlineStr">
        <is>
          <t>Danube Properties</t>
        </is>
      </c>
      <c r="E326" t="inlineStr">
        <is>
          <t>JVC</t>
        </is>
      </c>
      <c r="F326" t="inlineStr">
        <is>
          <t>Apartments</t>
        </is>
      </c>
      <c r="G326" t="inlineStr">
        <is>
          <t>High-Rise</t>
        </is>
      </c>
      <c r="H326" t="inlineStr">
        <is>
          <t>1.0M</t>
        </is>
      </c>
      <c r="I326" t="inlineStr">
        <is>
          <t>1400</t>
        </is>
      </c>
      <c r="J326" t="inlineStr">
        <is>
          <t>15</t>
        </is>
      </c>
      <c r="K326" t="inlineStr">
        <is>
          <t>1% Monthly</t>
        </is>
      </c>
      <c r="L326" t="inlineStr">
        <is>
          <t>2023</t>
        </is>
      </c>
      <c r="M326" t="inlineStr">
        <is>
          <t>7.5-8.0</t>
        </is>
      </c>
      <c r="N326" t="inlineStr">
        <is>
          <t>6-8</t>
        </is>
      </c>
      <c r="O326" t="inlineStr">
        <is>
          <t>13.5-16.0</t>
        </is>
      </c>
      <c r="P326" t="inlineStr">
        <is>
          <t>JSS International</t>
        </is>
      </c>
      <c r="Q326" t="inlineStr">
        <is>
          <t>Saudi German Hospital</t>
        </is>
      </c>
      <c r="R326" t="inlineStr">
        <is>
          <t>Circle Mall</t>
        </is>
      </c>
      <c r="S326" t="inlineStr">
        <is>
          <t>Hessa St / E44</t>
        </is>
      </c>
      <c r="T326" t="inlineStr">
        <is>
          <t>20</t>
        </is>
      </c>
      <c r="U326" t="inlineStr">
        <is>
          <t>15</t>
        </is>
      </c>
      <c r="V326" t="inlineStr">
        <is>
          <t>25</t>
        </is>
      </c>
      <c r="W326" t="inlineStr">
        <is>
          <t>30</t>
        </is>
      </c>
      <c r="X326" t="inlineStr">
        <is>
          <t>Guild_real_estate_master.csv</t>
        </is>
      </c>
    </row>
    <row r="327">
      <c r="A327" t="n">
        <v>326</v>
      </c>
      <c r="B327" t="n">
        <v>326</v>
      </c>
      <c r="C327" t="inlineStr">
        <is>
          <t>Fashionz</t>
        </is>
      </c>
      <c r="D327" t="inlineStr">
        <is>
          <t>Danube Properties</t>
        </is>
      </c>
      <c r="E327" t="inlineStr">
        <is>
          <t>JVT</t>
        </is>
      </c>
      <c r="F327" t="inlineStr">
        <is>
          <t>Branded Apts (Fashion TV)</t>
        </is>
      </c>
      <c r="G327" t="inlineStr">
        <is>
          <t>Style / Tower</t>
        </is>
      </c>
      <c r="H327" t="inlineStr">
        <is>
          <t>900k</t>
        </is>
      </c>
      <c r="I327" t="inlineStr">
        <is>
          <t>1300</t>
        </is>
      </c>
      <c r="J327" t="inlineStr">
        <is>
          <t>15</t>
        </is>
      </c>
      <c r="K327" t="inlineStr">
        <is>
          <t>1% Monthly</t>
        </is>
      </c>
      <c r="L327" t="inlineStr">
        <is>
          <t>2023</t>
        </is>
      </c>
      <c r="M327" t="inlineStr">
        <is>
          <t>7.0-7.5</t>
        </is>
      </c>
      <c r="N327" t="inlineStr">
        <is>
          <t>6-8</t>
        </is>
      </c>
      <c r="O327" t="inlineStr">
        <is>
          <t>13.0-15.5</t>
        </is>
      </c>
      <c r="P327" t="inlineStr">
        <is>
          <t>Sunmarke School</t>
        </is>
      </c>
      <c r="Q327" t="inlineStr">
        <is>
          <t>NMC Royal DIP</t>
        </is>
      </c>
      <c r="R327" t="inlineStr">
        <is>
          <t>Circle Mall</t>
        </is>
      </c>
      <c r="S327" t="inlineStr">
        <is>
          <t>E311 / Yalayis</t>
        </is>
      </c>
      <c r="T327" t="inlineStr">
        <is>
          <t>20</t>
        </is>
      </c>
      <c r="U327" t="inlineStr">
        <is>
          <t>15</t>
        </is>
      </c>
      <c r="V327" t="inlineStr">
        <is>
          <t>30</t>
        </is>
      </c>
      <c r="W327" t="inlineStr">
        <is>
          <t>20</t>
        </is>
      </c>
      <c r="X327" t="inlineStr">
        <is>
          <t>Guild_real_estate_master.csv</t>
        </is>
      </c>
    </row>
    <row r="328">
      <c r="A328" t="n">
        <v>327</v>
      </c>
      <c r="B328" t="n">
        <v>327</v>
      </c>
      <c r="C328" t="inlineStr">
        <is>
          <t>Gemz</t>
        </is>
      </c>
      <c r="D328" t="inlineStr">
        <is>
          <t>Danube Properties</t>
        </is>
      </c>
      <c r="E328" t="inlineStr">
        <is>
          <t>Al Furjan</t>
        </is>
      </c>
      <c r="F328" t="inlineStr">
        <is>
          <t>Apartments</t>
        </is>
      </c>
      <c r="G328" t="inlineStr">
        <is>
          <t>Pyramid Design</t>
        </is>
      </c>
      <c r="H328" t="inlineStr">
        <is>
          <t>900k</t>
        </is>
      </c>
      <c r="I328" t="inlineStr">
        <is>
          <t>1200</t>
        </is>
      </c>
      <c r="J328" t="inlineStr">
        <is>
          <t>12</t>
        </is>
      </c>
      <c r="K328" t="inlineStr">
        <is>
          <t>1% Monthly</t>
        </is>
      </c>
      <c r="L328" t="inlineStr">
        <is>
          <t>2022</t>
        </is>
      </c>
      <c r="M328" t="inlineStr">
        <is>
          <t>7.0-7.5</t>
        </is>
      </c>
      <c r="N328" t="inlineStr">
        <is>
          <t>6-8</t>
        </is>
      </c>
      <c r="O328" t="inlineStr">
        <is>
          <t>13.0-15.5</t>
        </is>
      </c>
      <c r="P328" t="inlineStr">
        <is>
          <t>The Arbor School</t>
        </is>
      </c>
      <c r="Q328" t="inlineStr">
        <is>
          <t>NMC Royal DIP</t>
        </is>
      </c>
      <c r="R328" t="inlineStr">
        <is>
          <t>Ibn Battuta Mall</t>
        </is>
      </c>
      <c r="S328" t="inlineStr">
        <is>
          <t>Yalayis / E311</t>
        </is>
      </c>
      <c r="T328" t="inlineStr">
        <is>
          <t>25</t>
        </is>
      </c>
      <c r="U328" t="inlineStr">
        <is>
          <t>15</t>
        </is>
      </c>
      <c r="V328" t="inlineStr">
        <is>
          <t>30</t>
        </is>
      </c>
      <c r="W328" t="inlineStr">
        <is>
          <t>20</t>
        </is>
      </c>
      <c r="X328" t="inlineStr">
        <is>
          <t>Guild_real_estate_master.csv</t>
        </is>
      </c>
    </row>
    <row r="329">
      <c r="A329" t="n">
        <v>328</v>
      </c>
      <c r="B329" t="n">
        <v>328</v>
      </c>
      <c r="C329" t="inlineStr">
        <is>
          <t>Pearlz</t>
        </is>
      </c>
      <c r="D329" t="inlineStr">
        <is>
          <t>Danube Properties</t>
        </is>
      </c>
      <c r="E329" t="inlineStr">
        <is>
          <t>Al Furjan</t>
        </is>
      </c>
      <c r="F329" t="inlineStr">
        <is>
          <t>Apartments</t>
        </is>
      </c>
      <c r="G329" t="inlineStr">
        <is>
          <t>Budget / Family</t>
        </is>
      </c>
      <c r="H329" t="inlineStr">
        <is>
          <t>850k</t>
        </is>
      </c>
      <c r="I329" t="inlineStr">
        <is>
          <t>1100</t>
        </is>
      </c>
      <c r="J329" t="inlineStr">
        <is>
          <t>12</t>
        </is>
      </c>
      <c r="K329" t="inlineStr">
        <is>
          <t>1% Monthly</t>
        </is>
      </c>
      <c r="L329" t="inlineStr">
        <is>
          <t>2022</t>
        </is>
      </c>
      <c r="M329" t="inlineStr">
        <is>
          <t>7.0-7.5</t>
        </is>
      </c>
      <c r="N329" t="inlineStr">
        <is>
          <t>6-8</t>
        </is>
      </c>
      <c r="O329" t="inlineStr">
        <is>
          <t>13.0-15.5</t>
        </is>
      </c>
      <c r="P329" t="inlineStr">
        <is>
          <t>The Arbor School</t>
        </is>
      </c>
      <c r="Q329" t="inlineStr">
        <is>
          <t>NMC Royal DIP</t>
        </is>
      </c>
      <c r="R329" t="inlineStr">
        <is>
          <t>Ibn Battuta Mall</t>
        </is>
      </c>
      <c r="S329" t="inlineStr">
        <is>
          <t>Yalayis / E311</t>
        </is>
      </c>
      <c r="T329" t="inlineStr">
        <is>
          <t>25</t>
        </is>
      </c>
      <c r="U329" t="inlineStr">
        <is>
          <t>15</t>
        </is>
      </c>
      <c r="V329" t="inlineStr">
        <is>
          <t>30</t>
        </is>
      </c>
      <c r="W329" t="inlineStr">
        <is>
          <t>20</t>
        </is>
      </c>
      <c r="X329" t="inlineStr">
        <is>
          <t>Guild_real_estate_master.csv</t>
        </is>
      </c>
    </row>
    <row r="330">
      <c r="A330" t="n">
        <v>329</v>
      </c>
      <c r="B330" t="n">
        <v>329</v>
      </c>
      <c r="C330" t="inlineStr">
        <is>
          <t>Opalz</t>
        </is>
      </c>
      <c r="D330" t="inlineStr">
        <is>
          <t>Danube Properties</t>
        </is>
      </c>
      <c r="E330" t="inlineStr">
        <is>
          <t>Arjan</t>
        </is>
      </c>
      <c r="F330" t="inlineStr">
        <is>
          <t>Apartments</t>
        </is>
      </c>
      <c r="G330" t="inlineStr">
        <is>
          <t>High-Rise / Family</t>
        </is>
      </c>
      <c r="H330" t="inlineStr">
        <is>
          <t>900k</t>
        </is>
      </c>
      <c r="I330" t="inlineStr">
        <is>
          <t>1200</t>
        </is>
      </c>
      <c r="J330" t="inlineStr">
        <is>
          <t>14</t>
        </is>
      </c>
      <c r="K330" t="inlineStr">
        <is>
          <t>1% Monthly</t>
        </is>
      </c>
      <c r="L330" t="inlineStr">
        <is>
          <t>2022</t>
        </is>
      </c>
      <c r="M330" t="inlineStr">
        <is>
          <t>7.5-8.0</t>
        </is>
      </c>
      <c r="N330" t="inlineStr">
        <is>
          <t>6-8</t>
        </is>
      </c>
      <c r="O330" t="inlineStr">
        <is>
          <t>13.5-16.0</t>
        </is>
      </c>
      <c r="P330" t="inlineStr">
        <is>
          <t>Nord Anglia</t>
        </is>
      </c>
      <c r="Q330" t="inlineStr">
        <is>
          <t>Mediclinic Parkview</t>
        </is>
      </c>
      <c r="R330" t="inlineStr">
        <is>
          <t>Dubai Hills Mall</t>
        </is>
      </c>
      <c r="S330" t="inlineStr">
        <is>
          <t>Umm Suqeim / E311</t>
        </is>
      </c>
      <c r="T330" t="inlineStr">
        <is>
          <t>20</t>
        </is>
      </c>
      <c r="U330" t="inlineStr">
        <is>
          <t>20</t>
        </is>
      </c>
      <c r="V330" t="inlineStr">
        <is>
          <t>30</t>
        </is>
      </c>
      <c r="W330" t="inlineStr">
        <is>
          <t>25</t>
        </is>
      </c>
      <c r="X330" t="inlineStr">
        <is>
          <t>Guild_real_estate_master.csv</t>
        </is>
      </c>
    </row>
    <row r="331">
      <c r="A331" t="n">
        <v>330</v>
      </c>
      <c r="B331" t="n">
        <v>330</v>
      </c>
      <c r="C331" t="inlineStr">
        <is>
          <t>Petalz</t>
        </is>
      </c>
      <c r="D331" t="inlineStr">
        <is>
          <t>Danube Properties</t>
        </is>
      </c>
      <c r="E331" t="inlineStr">
        <is>
          <t>International City (Warsan)</t>
        </is>
      </c>
      <c r="F331" t="inlineStr">
        <is>
          <t>Apartments</t>
        </is>
      </c>
      <c r="G331" t="inlineStr">
        <is>
          <t>Budget</t>
        </is>
      </c>
      <c r="H331" t="inlineStr">
        <is>
          <t>700k</t>
        </is>
      </c>
      <c r="I331" t="inlineStr">
        <is>
          <t>1000</t>
        </is>
      </c>
      <c r="J331" t="inlineStr">
        <is>
          <t>12</t>
        </is>
      </c>
      <c r="K331" t="inlineStr">
        <is>
          <t>1% Monthly</t>
        </is>
      </c>
      <c r="L331" t="inlineStr">
        <is>
          <t>2022</t>
        </is>
      </c>
      <c r="M331" t="inlineStr">
        <is>
          <t>8.0-8.5</t>
        </is>
      </c>
      <c r="N331" t="inlineStr">
        <is>
          <t>5-7</t>
        </is>
      </c>
      <c r="O331" t="inlineStr">
        <is>
          <t>13.0-15.5</t>
        </is>
      </c>
      <c r="P331" t="inlineStr">
        <is>
          <t>Intl School of Arts</t>
        </is>
      </c>
      <c r="Q331" t="inlineStr">
        <is>
          <t>Aster Hospital</t>
        </is>
      </c>
      <c r="R331" t="inlineStr">
        <is>
          <t>Dragon Mart</t>
        </is>
      </c>
      <c r="S331" t="inlineStr">
        <is>
          <t>E44 / E311</t>
        </is>
      </c>
      <c r="T331" t="inlineStr">
        <is>
          <t>20</t>
        </is>
      </c>
      <c r="U331" t="inlineStr">
        <is>
          <t>30</t>
        </is>
      </c>
      <c r="V331" t="inlineStr">
        <is>
          <t>15</t>
        </is>
      </c>
      <c r="W331" t="inlineStr">
        <is>
          <t>35</t>
        </is>
      </c>
      <c r="X331" t="inlineStr">
        <is>
          <t>Guild_real_estate_master.csv</t>
        </is>
      </c>
    </row>
    <row r="332">
      <c r="A332" t="n">
        <v>331</v>
      </c>
      <c r="B332" t="n">
        <v>331</v>
      </c>
      <c r="C332" t="inlineStr">
        <is>
          <t>Skyz</t>
        </is>
      </c>
      <c r="D332" t="inlineStr">
        <is>
          <t>Danube Properties</t>
        </is>
      </c>
      <c r="E332" t="inlineStr">
        <is>
          <t>Arjan</t>
        </is>
      </c>
      <c r="F332" t="inlineStr">
        <is>
          <t>Apartments</t>
        </is>
      </c>
      <c r="G332" t="inlineStr">
        <is>
          <t>High-Rise</t>
        </is>
      </c>
      <c r="H332" t="inlineStr">
        <is>
          <t>800k</t>
        </is>
      </c>
      <c r="I332" t="inlineStr">
        <is>
          <t>1100</t>
        </is>
      </c>
      <c r="J332" t="inlineStr">
        <is>
          <t>14</t>
        </is>
      </c>
      <c r="K332" t="inlineStr">
        <is>
          <t>1% Monthly</t>
        </is>
      </c>
      <c r="L332" t="inlineStr">
        <is>
          <t>2021</t>
        </is>
      </c>
      <c r="M332" t="inlineStr">
        <is>
          <t>7.5-8.0</t>
        </is>
      </c>
      <c r="N332" t="inlineStr">
        <is>
          <t>6-8</t>
        </is>
      </c>
      <c r="O332" t="inlineStr">
        <is>
          <t>13.5-16.0</t>
        </is>
      </c>
      <c r="P332" t="inlineStr">
        <is>
          <t>Nord Anglia</t>
        </is>
      </c>
      <c r="Q332" t="inlineStr">
        <is>
          <t>Mediclinic Parkview</t>
        </is>
      </c>
      <c r="R332" t="inlineStr">
        <is>
          <t>Dubai Hills Mall</t>
        </is>
      </c>
      <c r="S332" t="inlineStr">
        <is>
          <t>Umm Suqeim / E311</t>
        </is>
      </c>
      <c r="T332" t="inlineStr">
        <is>
          <t>20</t>
        </is>
      </c>
      <c r="U332" t="inlineStr">
        <is>
          <t>20</t>
        </is>
      </c>
      <c r="V332" t="inlineStr">
        <is>
          <t>30</t>
        </is>
      </c>
      <c r="W332" t="inlineStr">
        <is>
          <t>25</t>
        </is>
      </c>
      <c r="X332" t="inlineStr">
        <is>
          <t>Guild_real_estate_master.csv</t>
        </is>
      </c>
    </row>
    <row r="333">
      <c r="A333" t="n">
        <v>332</v>
      </c>
      <c r="B333" t="n">
        <v>332</v>
      </c>
      <c r="C333" t="inlineStr">
        <is>
          <t>Olivz</t>
        </is>
      </c>
      <c r="D333" t="inlineStr">
        <is>
          <t>Danube Properties</t>
        </is>
      </c>
      <c r="E333" t="inlineStr">
        <is>
          <t>International City (Warsan)</t>
        </is>
      </c>
      <c r="F333" t="inlineStr">
        <is>
          <t>Apartments</t>
        </is>
      </c>
      <c r="G333" t="inlineStr">
        <is>
          <t>Budget</t>
        </is>
      </c>
      <c r="H333" t="inlineStr">
        <is>
          <t>600k</t>
        </is>
      </c>
      <c r="I333" t="inlineStr">
        <is>
          <t>900</t>
        </is>
      </c>
      <c r="J333" t="inlineStr">
        <is>
          <t>12</t>
        </is>
      </c>
      <c r="K333" t="inlineStr">
        <is>
          <t>1% Monthly</t>
        </is>
      </c>
      <c r="L333" t="inlineStr">
        <is>
          <t>2020</t>
        </is>
      </c>
      <c r="M333" t="inlineStr">
        <is>
          <t>8.0-8.5</t>
        </is>
      </c>
      <c r="N333" t="inlineStr">
        <is>
          <t>5-7</t>
        </is>
      </c>
      <c r="O333" t="inlineStr">
        <is>
          <t>13.0-15.5</t>
        </is>
      </c>
      <c r="P333" t="inlineStr">
        <is>
          <t>Intl School of Arts</t>
        </is>
      </c>
      <c r="Q333" t="inlineStr">
        <is>
          <t>Aster Hospital</t>
        </is>
      </c>
      <c r="R333" t="inlineStr">
        <is>
          <t>Dragon Mart</t>
        </is>
      </c>
      <c r="S333" t="inlineStr">
        <is>
          <t>E44 / E311</t>
        </is>
      </c>
      <c r="T333" t="inlineStr">
        <is>
          <t>20</t>
        </is>
      </c>
      <c r="U333" t="inlineStr">
        <is>
          <t>30</t>
        </is>
      </c>
      <c r="V333" t="inlineStr">
        <is>
          <t>15</t>
        </is>
      </c>
      <c r="W333" t="inlineStr">
        <is>
          <t>35</t>
        </is>
      </c>
      <c r="X333" t="inlineStr">
        <is>
          <t>Guild_real_estate_master.csv</t>
        </is>
      </c>
    </row>
    <row r="334">
      <c r="A334" t="n">
        <v>333</v>
      </c>
      <c r="B334" t="n">
        <v>333</v>
      </c>
      <c r="C334" t="inlineStr">
        <is>
          <t>Elz</t>
        </is>
      </c>
      <c r="D334" t="inlineStr">
        <is>
          <t>Danube Properties</t>
        </is>
      </c>
      <c r="E334" t="inlineStr">
        <is>
          <t>Arjan</t>
        </is>
      </c>
      <c r="F334" t="inlineStr">
        <is>
          <t>Apartments</t>
        </is>
      </c>
      <c r="G334" t="inlineStr">
        <is>
          <t>Budget</t>
        </is>
      </c>
      <c r="H334" t="inlineStr">
        <is>
          <t>650k</t>
        </is>
      </c>
      <c r="I334" t="inlineStr">
        <is>
          <t>1000</t>
        </is>
      </c>
      <c r="J334" t="inlineStr">
        <is>
          <t>14</t>
        </is>
      </c>
      <c r="K334" t="inlineStr">
        <is>
          <t>Completed</t>
        </is>
      </c>
      <c r="L334" t="inlineStr">
        <is>
          <t>2018</t>
        </is>
      </c>
      <c r="M334" t="inlineStr">
        <is>
          <t>7.5-8.0</t>
        </is>
      </c>
      <c r="N334" t="inlineStr">
        <is>
          <t>5-7</t>
        </is>
      </c>
      <c r="O334" t="inlineStr">
        <is>
          <t>12.5-15.0</t>
        </is>
      </c>
      <c r="P334" t="inlineStr">
        <is>
          <t>Nord Anglia</t>
        </is>
      </c>
      <c r="Q334" t="inlineStr">
        <is>
          <t>Mediclinic Parkview</t>
        </is>
      </c>
      <c r="R334" t="inlineStr">
        <is>
          <t>Dubai Hills Mall</t>
        </is>
      </c>
      <c r="S334" t="inlineStr">
        <is>
          <t>Umm Suqeim / E311</t>
        </is>
      </c>
      <c r="T334" t="inlineStr">
        <is>
          <t>20</t>
        </is>
      </c>
      <c r="U334" t="inlineStr">
        <is>
          <t>20</t>
        </is>
      </c>
      <c r="V334" t="inlineStr">
        <is>
          <t>30</t>
        </is>
      </c>
      <c r="W334" t="inlineStr">
        <is>
          <t>25</t>
        </is>
      </c>
      <c r="X334" t="inlineStr">
        <is>
          <t>Guild_real_estate_master.csv</t>
        </is>
      </c>
    </row>
    <row r="335">
      <c r="A335" t="n">
        <v>334</v>
      </c>
      <c r="B335" t="n">
        <v>334</v>
      </c>
      <c r="C335" t="inlineStr">
        <is>
          <t>Lawz</t>
        </is>
      </c>
      <c r="D335" t="inlineStr">
        <is>
          <t>Danube Properties</t>
        </is>
      </c>
      <c r="E335" t="inlineStr">
        <is>
          <t>International City (Warsan)</t>
        </is>
      </c>
      <c r="F335" t="inlineStr">
        <is>
          <t>Apartments</t>
        </is>
      </c>
      <c r="G335" t="inlineStr">
        <is>
          <t>Budget</t>
        </is>
      </c>
      <c r="H335" t="inlineStr">
        <is>
          <t>600k</t>
        </is>
      </c>
      <c r="I335" t="inlineStr">
        <is>
          <t>900</t>
        </is>
      </c>
      <c r="J335" t="inlineStr">
        <is>
          <t>12</t>
        </is>
      </c>
      <c r="K335" t="inlineStr">
        <is>
          <t>Completed</t>
        </is>
      </c>
      <c r="L335" t="inlineStr">
        <is>
          <t>2018</t>
        </is>
      </c>
      <c r="M335" t="inlineStr">
        <is>
          <t>8.0-8.5</t>
        </is>
      </c>
      <c r="N335" t="inlineStr">
        <is>
          <t>5-7</t>
        </is>
      </c>
      <c r="O335" t="inlineStr">
        <is>
          <t>13.0-15.5</t>
        </is>
      </c>
      <c r="P335" t="inlineStr">
        <is>
          <t>Intl School of Arts</t>
        </is>
      </c>
      <c r="Q335" t="inlineStr">
        <is>
          <t>Aster Hospital</t>
        </is>
      </c>
      <c r="R335" t="inlineStr">
        <is>
          <t>Dragon Mart</t>
        </is>
      </c>
      <c r="S335" t="inlineStr">
        <is>
          <t>E44 / E311</t>
        </is>
      </c>
      <c r="T335" t="inlineStr">
        <is>
          <t>20</t>
        </is>
      </c>
      <c r="U335" t="inlineStr">
        <is>
          <t>30</t>
        </is>
      </c>
      <c r="V335" t="inlineStr">
        <is>
          <t>15</t>
        </is>
      </c>
      <c r="W335" t="inlineStr">
        <is>
          <t>35</t>
        </is>
      </c>
      <c r="X335" t="inlineStr">
        <is>
          <t>Guild_real_estate_master.csv</t>
        </is>
      </c>
    </row>
    <row r="336">
      <c r="A336" t="n">
        <v>335</v>
      </c>
      <c r="B336" t="n">
        <v>335</v>
      </c>
      <c r="C336" t="inlineStr">
        <is>
          <t>Jewelz</t>
        </is>
      </c>
      <c r="D336" t="inlineStr">
        <is>
          <t>Danube Properties</t>
        </is>
      </c>
      <c r="E336" t="inlineStr">
        <is>
          <t>Arjan</t>
        </is>
      </c>
      <c r="F336" t="inlineStr">
        <is>
          <t>Apartments</t>
        </is>
      </c>
      <c r="G336" t="inlineStr">
        <is>
          <t>Budget</t>
        </is>
      </c>
      <c r="H336" t="inlineStr">
        <is>
          <t>700k</t>
        </is>
      </c>
      <c r="I336" t="inlineStr">
        <is>
          <t>1000</t>
        </is>
      </c>
      <c r="J336" t="inlineStr">
        <is>
          <t>14</t>
        </is>
      </c>
      <c r="K336" t="inlineStr">
        <is>
          <t>Completed</t>
        </is>
      </c>
      <c r="L336" t="inlineStr">
        <is>
          <t>2018</t>
        </is>
      </c>
      <c r="M336" t="inlineStr">
        <is>
          <t>7.5-8.0</t>
        </is>
      </c>
      <c r="N336" t="inlineStr">
        <is>
          <t>5-7</t>
        </is>
      </c>
      <c r="O336" t="inlineStr">
        <is>
          <t>12.5-15.0</t>
        </is>
      </c>
      <c r="P336" t="inlineStr">
        <is>
          <t>Nord Anglia</t>
        </is>
      </c>
      <c r="Q336" t="inlineStr">
        <is>
          <t>Mediclinic Parkview</t>
        </is>
      </c>
      <c r="R336" t="inlineStr">
        <is>
          <t>Dubai Hills Mall</t>
        </is>
      </c>
      <c r="S336" t="inlineStr">
        <is>
          <t>Umm Suqeim / E311</t>
        </is>
      </c>
      <c r="T336" t="inlineStr">
        <is>
          <t>20</t>
        </is>
      </c>
      <c r="U336" t="inlineStr">
        <is>
          <t>20</t>
        </is>
      </c>
      <c r="V336" t="inlineStr">
        <is>
          <t>30</t>
        </is>
      </c>
      <c r="W336" t="inlineStr">
        <is>
          <t>25</t>
        </is>
      </c>
      <c r="X336" t="inlineStr">
        <is>
          <t>Guild_real_estate_master.csv</t>
        </is>
      </c>
    </row>
    <row r="337">
      <c r="A337" t="n">
        <v>336</v>
      </c>
      <c r="B337" t="n">
        <v>336</v>
      </c>
      <c r="C337" t="inlineStr">
        <is>
          <t>Wavez</t>
        </is>
      </c>
      <c r="D337" t="inlineStr">
        <is>
          <t>Danube Properties</t>
        </is>
      </c>
      <c r="E337" t="inlineStr">
        <is>
          <t>Liwan</t>
        </is>
      </c>
      <c r="F337" t="inlineStr">
        <is>
          <t>Apartments</t>
        </is>
      </c>
      <c r="G337" t="inlineStr">
        <is>
          <t>Budget</t>
        </is>
      </c>
      <c r="H337" t="inlineStr">
        <is>
          <t>600k</t>
        </is>
      </c>
      <c r="I337" t="inlineStr">
        <is>
          <t>900</t>
        </is>
      </c>
      <c r="J337" t="inlineStr">
        <is>
          <t>12</t>
        </is>
      </c>
      <c r="K337" t="inlineStr">
        <is>
          <t>Completed</t>
        </is>
      </c>
      <c r="L337" t="inlineStr">
        <is>
          <t>2019</t>
        </is>
      </c>
      <c r="M337" t="inlineStr">
        <is>
          <t>7.5-8.0</t>
        </is>
      </c>
      <c r="N337" t="inlineStr">
        <is>
          <t>5-7</t>
        </is>
      </c>
      <c r="O337" t="inlineStr">
        <is>
          <t>12.5-15.0</t>
        </is>
      </c>
      <c r="P337" t="inlineStr">
        <is>
          <t>GEMS Winchester</t>
        </is>
      </c>
      <c r="Q337" t="inlineStr">
        <is>
          <t>Fakeeh University Hosp</t>
        </is>
      </c>
      <c r="R337" t="inlineStr">
        <is>
          <t>Silicon Central</t>
        </is>
      </c>
      <c r="S337" t="inlineStr">
        <is>
          <t>E66 / E311</t>
        </is>
      </c>
      <c r="T337" t="inlineStr">
        <is>
          <t>20</t>
        </is>
      </c>
      <c r="U337" t="inlineStr">
        <is>
          <t>30</t>
        </is>
      </c>
      <c r="V337" t="inlineStr">
        <is>
          <t>20</t>
        </is>
      </c>
      <c r="W337" t="inlineStr">
        <is>
          <t>35</t>
        </is>
      </c>
      <c r="X337" t="inlineStr">
        <is>
          <t>Guild_real_estate_master.csv</t>
        </is>
      </c>
    </row>
    <row r="338">
      <c r="A338" t="n">
        <v>337</v>
      </c>
      <c r="B338" t="n">
        <v>337</v>
      </c>
      <c r="C338" t="inlineStr">
        <is>
          <t>Resortz</t>
        </is>
      </c>
      <c r="D338" t="inlineStr">
        <is>
          <t>Danube Properties</t>
        </is>
      </c>
      <c r="E338" t="inlineStr">
        <is>
          <t>Arjan</t>
        </is>
      </c>
      <c r="F338" t="inlineStr">
        <is>
          <t>Apartments</t>
        </is>
      </c>
      <c r="G338" t="inlineStr">
        <is>
          <t>Neoclassical</t>
        </is>
      </c>
      <c r="H338" t="inlineStr">
        <is>
          <t>750k</t>
        </is>
      </c>
      <c r="I338" t="inlineStr">
        <is>
          <t>1000</t>
        </is>
      </c>
      <c r="J338" t="inlineStr">
        <is>
          <t>14</t>
        </is>
      </c>
      <c r="K338" t="inlineStr">
        <is>
          <t>Completed</t>
        </is>
      </c>
      <c r="L338" t="inlineStr">
        <is>
          <t>2017</t>
        </is>
      </c>
      <c r="M338" t="inlineStr">
        <is>
          <t>7.0-7.5</t>
        </is>
      </c>
      <c r="N338" t="inlineStr">
        <is>
          <t>5-7</t>
        </is>
      </c>
      <c r="O338" t="inlineStr">
        <is>
          <t>12.0-14.5</t>
        </is>
      </c>
      <c r="P338" t="inlineStr">
        <is>
          <t>Nord Anglia</t>
        </is>
      </c>
      <c r="Q338" t="inlineStr">
        <is>
          <t>Mediclinic Parkview</t>
        </is>
      </c>
      <c r="R338" t="inlineStr">
        <is>
          <t>Dubai Hills Mall</t>
        </is>
      </c>
      <c r="S338" t="inlineStr">
        <is>
          <t>Umm Suqeim / E311</t>
        </is>
      </c>
      <c r="T338" t="inlineStr">
        <is>
          <t>20</t>
        </is>
      </c>
      <c r="U338" t="inlineStr">
        <is>
          <t>20</t>
        </is>
      </c>
      <c r="V338" t="inlineStr">
        <is>
          <t>30</t>
        </is>
      </c>
      <c r="W338" t="inlineStr">
        <is>
          <t>25</t>
        </is>
      </c>
      <c r="X338" t="inlineStr">
        <is>
          <t>Guild_real_estate_master.csv</t>
        </is>
      </c>
    </row>
    <row r="339">
      <c r="A339" t="n">
        <v>338</v>
      </c>
      <c r="B339" t="n">
        <v>338</v>
      </c>
      <c r="C339" t="inlineStr">
        <is>
          <t>Miraclz</t>
        </is>
      </c>
      <c r="D339" t="inlineStr">
        <is>
          <t>Danube Properties</t>
        </is>
      </c>
      <c r="E339" t="inlineStr">
        <is>
          <t>Arjan</t>
        </is>
      </c>
      <c r="F339" t="inlineStr">
        <is>
          <t>Apartments</t>
        </is>
      </c>
      <c r="G339" t="inlineStr">
        <is>
          <t>High-Rise</t>
        </is>
      </c>
      <c r="H339" t="inlineStr">
        <is>
          <t>750k</t>
        </is>
      </c>
      <c r="I339" t="inlineStr">
        <is>
          <t>1000</t>
        </is>
      </c>
      <c r="J339" t="inlineStr">
        <is>
          <t>14</t>
        </is>
      </c>
      <c r="K339" t="inlineStr">
        <is>
          <t>Completed</t>
        </is>
      </c>
      <c r="L339" t="inlineStr">
        <is>
          <t>2017</t>
        </is>
      </c>
      <c r="M339" t="inlineStr">
        <is>
          <t>7.0-7.5</t>
        </is>
      </c>
      <c r="N339" t="inlineStr">
        <is>
          <t>5-7</t>
        </is>
      </c>
      <c r="O339" t="inlineStr">
        <is>
          <t>12.0-14.5</t>
        </is>
      </c>
      <c r="P339" t="inlineStr">
        <is>
          <t>Nord Anglia</t>
        </is>
      </c>
      <c r="Q339" t="inlineStr">
        <is>
          <t>Mediclinic Parkview</t>
        </is>
      </c>
      <c r="R339" t="inlineStr">
        <is>
          <t>Dubai Hills Mall</t>
        </is>
      </c>
      <c r="S339" t="inlineStr">
        <is>
          <t>Umm Suqeim / E311</t>
        </is>
      </c>
      <c r="T339" t="inlineStr">
        <is>
          <t>20</t>
        </is>
      </c>
      <c r="U339" t="inlineStr">
        <is>
          <t>20</t>
        </is>
      </c>
      <c r="V339" t="inlineStr">
        <is>
          <t>30</t>
        </is>
      </c>
      <c r="W339" t="inlineStr">
        <is>
          <t>25</t>
        </is>
      </c>
      <c r="X339" t="inlineStr">
        <is>
          <t>Guild_real_estate_master.csv</t>
        </is>
      </c>
    </row>
    <row r="340">
      <c r="A340" t="n">
        <v>339</v>
      </c>
      <c r="B340" t="n">
        <v>339</v>
      </c>
      <c r="C340" t="inlineStr">
        <is>
          <t>Binghatti Skyrise</t>
        </is>
      </c>
      <c r="D340" t="inlineStr">
        <is>
          <t>Binghatti Developers</t>
        </is>
      </c>
      <c r="E340" t="inlineStr">
        <is>
          <t>Business Bay</t>
        </is>
      </c>
      <c r="F340" t="inlineStr">
        <is>
          <t>Apartments</t>
        </is>
      </c>
      <c r="G340" t="inlineStr">
        <is>
          <t>High-Rise / Canal</t>
        </is>
      </c>
      <c r="H340" t="inlineStr">
        <is>
          <t>1.2M</t>
        </is>
      </c>
      <c r="I340" t="inlineStr">
        <is>
          <t>2000</t>
        </is>
      </c>
      <c r="J340" t="inlineStr">
        <is>
          <t>18</t>
        </is>
      </c>
      <c r="K340" t="inlineStr">
        <is>
          <t>70/30</t>
        </is>
      </c>
      <c r="L340" t="inlineStr">
        <is>
          <t>2024</t>
        </is>
      </c>
      <c r="M340" t="inlineStr">
        <is>
          <t>6.0-6.5</t>
        </is>
      </c>
      <c r="N340" t="inlineStr">
        <is>
          <t>8-10</t>
        </is>
      </c>
      <c r="O340" t="inlineStr">
        <is>
          <t>14.0-16.5</t>
        </is>
      </c>
      <c r="P340" t="inlineStr">
        <is>
          <t>Hartland Intl</t>
        </is>
      </c>
      <c r="Q340" t="inlineStr">
        <is>
          <t>Emirates Hospital BB</t>
        </is>
      </c>
      <c r="R340" t="inlineStr">
        <is>
          <t>Dubai Mall</t>
        </is>
      </c>
      <c r="S340" t="inlineStr">
        <is>
          <t>Al Khail E44</t>
        </is>
      </c>
      <c r="T340" t="inlineStr">
        <is>
          <t>5</t>
        </is>
      </c>
      <c r="U340" t="inlineStr">
        <is>
          <t>20</t>
        </is>
      </c>
      <c r="V340" t="inlineStr">
        <is>
          <t>15</t>
        </is>
      </c>
      <c r="W340" t="inlineStr">
        <is>
          <t>35</t>
        </is>
      </c>
      <c r="X340" t="inlineStr">
        <is>
          <t>Guild_real_estate_master.csv</t>
        </is>
      </c>
    </row>
    <row r="341">
      <c r="A341" t="n">
        <v>340</v>
      </c>
      <c r="B341" t="n">
        <v>340</v>
      </c>
      <c r="C341" t="inlineStr">
        <is>
          <t>Binghatti Aquarise</t>
        </is>
      </c>
      <c r="D341" t="inlineStr">
        <is>
          <t>Binghatti Developers</t>
        </is>
      </c>
      <c r="E341" t="inlineStr">
        <is>
          <t>Business Bay</t>
        </is>
      </c>
      <c r="F341" t="inlineStr">
        <is>
          <t>Apartments</t>
        </is>
      </c>
      <c r="G341" t="inlineStr">
        <is>
          <t>Canal / Modern</t>
        </is>
      </c>
      <c r="H341" t="inlineStr">
        <is>
          <t>1.3M</t>
        </is>
      </c>
      <c r="I341" t="inlineStr">
        <is>
          <t>2100</t>
        </is>
      </c>
      <c r="J341" t="inlineStr">
        <is>
          <t>18</t>
        </is>
      </c>
      <c r="K341" t="inlineStr">
        <is>
          <t>70/30</t>
        </is>
      </c>
      <c r="L341" t="inlineStr">
        <is>
          <t>2024</t>
        </is>
      </c>
      <c r="M341" t="inlineStr">
        <is>
          <t>6.0-6.5</t>
        </is>
      </c>
      <c r="N341" t="inlineStr">
        <is>
          <t>8-10</t>
        </is>
      </c>
      <c r="O341" t="inlineStr">
        <is>
          <t>14.0-16.5</t>
        </is>
      </c>
      <c r="P341" t="inlineStr">
        <is>
          <t>Hartland Intl</t>
        </is>
      </c>
      <c r="Q341" t="inlineStr">
        <is>
          <t>Emirates Hospital BB</t>
        </is>
      </c>
      <c r="R341" t="inlineStr">
        <is>
          <t>Dubai Mall</t>
        </is>
      </c>
      <c r="S341" t="inlineStr">
        <is>
          <t>Al Khail E44</t>
        </is>
      </c>
      <c r="T341" t="inlineStr">
        <is>
          <t>5</t>
        </is>
      </c>
      <c r="U341" t="inlineStr">
        <is>
          <t>20</t>
        </is>
      </c>
      <c r="V341" t="inlineStr">
        <is>
          <t>15</t>
        </is>
      </c>
      <c r="W341" t="inlineStr">
        <is>
          <t>35</t>
        </is>
      </c>
      <c r="X341" t="inlineStr">
        <is>
          <t>Guild_real_estate_master.csv</t>
        </is>
      </c>
    </row>
    <row r="342">
      <c r="A342" t="n">
        <v>341</v>
      </c>
      <c r="B342" t="n">
        <v>341</v>
      </c>
      <c r="C342" t="inlineStr">
        <is>
          <t>Binghatti Ghost</t>
        </is>
      </c>
      <c r="D342" t="inlineStr">
        <is>
          <t>Binghatti Developers</t>
        </is>
      </c>
      <c r="E342" t="inlineStr">
        <is>
          <t>Al Jaddaf</t>
        </is>
      </c>
      <c r="F342" t="inlineStr">
        <is>
          <t>Apartments</t>
        </is>
      </c>
      <c r="G342" t="inlineStr">
        <is>
          <t>Modern / Budget</t>
        </is>
      </c>
      <c r="H342" t="inlineStr">
        <is>
          <t>800k</t>
        </is>
      </c>
      <c r="I342" t="inlineStr">
        <is>
          <t>1400</t>
        </is>
      </c>
      <c r="J342" t="inlineStr">
        <is>
          <t>15</t>
        </is>
      </c>
      <c r="K342" t="inlineStr">
        <is>
          <t>70/30</t>
        </is>
      </c>
      <c r="L342" t="inlineStr">
        <is>
          <t>2024</t>
        </is>
      </c>
      <c r="M342" t="inlineStr">
        <is>
          <t>7.0-7.5</t>
        </is>
      </c>
      <c r="N342" t="inlineStr">
        <is>
          <t>6-8</t>
        </is>
      </c>
      <c r="O342" t="inlineStr">
        <is>
          <t>13.0-15.5</t>
        </is>
      </c>
      <c r="P342" t="inlineStr">
        <is>
          <t>Swiss Intl School</t>
        </is>
      </c>
      <c r="Q342" t="inlineStr">
        <is>
          <t>American Hospital</t>
        </is>
      </c>
      <c r="R342" t="inlineStr">
        <is>
          <t>Dubai Festival City</t>
        </is>
      </c>
      <c r="S342" t="inlineStr">
        <is>
          <t>Al Khail E44</t>
        </is>
      </c>
      <c r="T342" t="inlineStr">
        <is>
          <t>10</t>
        </is>
      </c>
      <c r="U342" t="inlineStr">
        <is>
          <t>25</t>
        </is>
      </c>
      <c r="V342" t="inlineStr">
        <is>
          <t>10</t>
        </is>
      </c>
      <c r="W342" t="inlineStr">
        <is>
          <t>40</t>
        </is>
      </c>
      <c r="X342" t="inlineStr">
        <is>
          <t>Guild_real_estate_master.csv</t>
        </is>
      </c>
    </row>
    <row r="343">
      <c r="A343" t="n">
        <v>342</v>
      </c>
      <c r="B343" t="n">
        <v>342</v>
      </c>
      <c r="C343" t="inlineStr">
        <is>
          <t>One by Binghatti</t>
        </is>
      </c>
      <c r="D343" t="inlineStr">
        <is>
          <t>Binghatti Developers</t>
        </is>
      </c>
      <c r="E343" t="inlineStr">
        <is>
          <t>Business Bay</t>
        </is>
      </c>
      <c r="F343" t="inlineStr">
        <is>
          <t>Apartments</t>
        </is>
      </c>
      <c r="G343" t="inlineStr">
        <is>
          <t>Luxury / Waterfront</t>
        </is>
      </c>
      <c r="H343" t="inlineStr">
        <is>
          <t>1.5M</t>
        </is>
      </c>
      <c r="I343" t="inlineStr">
        <is>
          <t>2200</t>
        </is>
      </c>
      <c r="J343" t="inlineStr">
        <is>
          <t>18</t>
        </is>
      </c>
      <c r="K343" t="inlineStr">
        <is>
          <t>70/30</t>
        </is>
      </c>
      <c r="L343" t="inlineStr">
        <is>
          <t>2024</t>
        </is>
      </c>
      <c r="M343" t="inlineStr">
        <is>
          <t>6.0-6.5</t>
        </is>
      </c>
      <c r="N343" t="inlineStr">
        <is>
          <t>8-10</t>
        </is>
      </c>
      <c r="O343" t="inlineStr">
        <is>
          <t>14.0-16.5</t>
        </is>
      </c>
      <c r="P343" t="inlineStr">
        <is>
          <t>Hartland Intl</t>
        </is>
      </c>
      <c r="Q343" t="inlineStr">
        <is>
          <t>Emirates Hospital BB</t>
        </is>
      </c>
      <c r="R343" t="inlineStr">
        <is>
          <t>Dubai Mall</t>
        </is>
      </c>
      <c r="S343" t="inlineStr">
        <is>
          <t>Al Khail E44</t>
        </is>
      </c>
      <c r="T343" t="inlineStr">
        <is>
          <t>5</t>
        </is>
      </c>
      <c r="U343" t="inlineStr">
        <is>
          <t>20</t>
        </is>
      </c>
      <c r="V343" t="inlineStr">
        <is>
          <t>15</t>
        </is>
      </c>
      <c r="W343" t="inlineStr">
        <is>
          <t>35</t>
        </is>
      </c>
      <c r="X343" t="inlineStr">
        <is>
          <t>Guild_real_estate_master.csv</t>
        </is>
      </c>
    </row>
    <row r="344">
      <c r="A344" t="n">
        <v>343</v>
      </c>
      <c r="B344" t="n">
        <v>343</v>
      </c>
      <c r="C344" t="inlineStr">
        <is>
          <t>Bugatti Residences</t>
        </is>
      </c>
      <c r="D344" t="inlineStr">
        <is>
          <t>Binghatti Developers</t>
        </is>
      </c>
      <c r="E344" t="inlineStr">
        <is>
          <t>Business Bay</t>
        </is>
      </c>
      <c r="F344" t="inlineStr">
        <is>
          <t>Branded Apts</t>
        </is>
      </c>
      <c r="G344" t="inlineStr">
        <is>
          <t>Ultra-Luxury / Car Lift</t>
        </is>
      </c>
      <c r="H344" t="inlineStr">
        <is>
          <t>19M+</t>
        </is>
      </c>
      <c r="I344" t="inlineStr">
        <is>
          <t>5000+</t>
        </is>
      </c>
      <c r="J344" t="inlineStr">
        <is>
          <t>40+</t>
        </is>
      </c>
      <c r="K344" t="inlineStr">
        <is>
          <t>70/30</t>
        </is>
      </c>
      <c r="L344" t="inlineStr">
        <is>
          <t>2023</t>
        </is>
      </c>
      <c r="M344" t="inlineStr">
        <is>
          <t>4.0-4.5</t>
        </is>
      </c>
      <c r="N344" t="inlineStr">
        <is>
          <t>8-12</t>
        </is>
      </c>
      <c r="O344" t="inlineStr">
        <is>
          <t>12.0-16.5</t>
        </is>
      </c>
      <c r="P344" t="inlineStr">
        <is>
          <t>Hartland Intl</t>
        </is>
      </c>
      <c r="Q344" t="inlineStr">
        <is>
          <t>Emirates Hospital BB</t>
        </is>
      </c>
      <c r="R344" t="inlineStr">
        <is>
          <t>Dubai Mall</t>
        </is>
      </c>
      <c r="S344" t="inlineStr">
        <is>
          <t>Al Khail E44</t>
        </is>
      </c>
      <c r="T344" t="inlineStr">
        <is>
          <t>5</t>
        </is>
      </c>
      <c r="U344" t="inlineStr">
        <is>
          <t>20</t>
        </is>
      </c>
      <c r="V344" t="inlineStr">
        <is>
          <t>15</t>
        </is>
      </c>
      <c r="W344" t="inlineStr">
        <is>
          <t>35</t>
        </is>
      </c>
      <c r="X344" t="inlineStr">
        <is>
          <t>Guild_real_estate_master.csv</t>
        </is>
      </c>
    </row>
    <row r="345">
      <c r="A345" t="n">
        <v>344</v>
      </c>
      <c r="B345" t="n">
        <v>344</v>
      </c>
      <c r="C345" t="inlineStr">
        <is>
          <t>Burj Binghatti Jacob &amp; Co</t>
        </is>
      </c>
      <c r="D345" t="inlineStr">
        <is>
          <t>Binghatti Developers</t>
        </is>
      </c>
      <c r="E345" t="inlineStr">
        <is>
          <t>Business Bay</t>
        </is>
      </c>
      <c r="F345" t="inlineStr">
        <is>
          <t>Branded Apts</t>
        </is>
      </c>
      <c r="G345" t="inlineStr">
        <is>
          <t>Hyper-Tower / Jewel</t>
        </is>
      </c>
      <c r="H345" t="inlineStr">
        <is>
          <t>8M+</t>
        </is>
      </c>
      <c r="I345" t="inlineStr">
        <is>
          <t>4500</t>
        </is>
      </c>
      <c r="J345" t="inlineStr">
        <is>
          <t>35+</t>
        </is>
      </c>
      <c r="K345" t="inlineStr">
        <is>
          <t>70/30</t>
        </is>
      </c>
      <c r="L345" t="inlineStr">
        <is>
          <t>2022</t>
        </is>
      </c>
      <c r="M345" t="inlineStr">
        <is>
          <t>4.0-4.5</t>
        </is>
      </c>
      <c r="N345" t="inlineStr">
        <is>
          <t>8-12</t>
        </is>
      </c>
      <c r="O345" t="inlineStr">
        <is>
          <t>12.0-16.5</t>
        </is>
      </c>
      <c r="P345" t="inlineStr">
        <is>
          <t>Hartland Intl</t>
        </is>
      </c>
      <c r="Q345" t="inlineStr">
        <is>
          <t>Emirates Hospital BB</t>
        </is>
      </c>
      <c r="R345" t="inlineStr">
        <is>
          <t>Dubai Mall</t>
        </is>
      </c>
      <c r="S345" t="inlineStr">
        <is>
          <t>Al Khail E44</t>
        </is>
      </c>
      <c r="T345" t="inlineStr">
        <is>
          <t>5</t>
        </is>
      </c>
      <c r="U345" t="inlineStr">
        <is>
          <t>20</t>
        </is>
      </c>
      <c r="V345" t="inlineStr">
        <is>
          <t>15</t>
        </is>
      </c>
      <c r="W345" t="inlineStr">
        <is>
          <t>35</t>
        </is>
      </c>
      <c r="X345" t="inlineStr">
        <is>
          <t>Guild_real_estate_master.csv</t>
        </is>
      </c>
    </row>
    <row r="346">
      <c r="A346" t="n">
        <v>345</v>
      </c>
      <c r="B346" t="n">
        <v>345</v>
      </c>
      <c r="C346" t="inlineStr">
        <is>
          <t>Binghatti Trillionaire</t>
        </is>
      </c>
      <c r="D346" t="inlineStr">
        <is>
          <t>Binghatti Developers</t>
        </is>
      </c>
      <c r="E346" t="inlineStr">
        <is>
          <t>Business Bay</t>
        </is>
      </c>
      <c r="F346" t="inlineStr">
        <is>
          <t>Apartments</t>
        </is>
      </c>
      <c r="G346" t="inlineStr">
        <is>
          <t>Waterfront / Luxury</t>
        </is>
      </c>
      <c r="H346" t="inlineStr">
        <is>
          <t>1.8M</t>
        </is>
      </c>
      <c r="I346" t="inlineStr">
        <is>
          <t>2300</t>
        </is>
      </c>
      <c r="J346" t="inlineStr">
        <is>
          <t>18</t>
        </is>
      </c>
      <c r="K346" t="inlineStr">
        <is>
          <t>70/30</t>
        </is>
      </c>
      <c r="L346" t="inlineStr">
        <is>
          <t>2023</t>
        </is>
      </c>
      <c r="M346" t="inlineStr">
        <is>
          <t>6.0-6.5</t>
        </is>
      </c>
      <c r="N346" t="inlineStr">
        <is>
          <t>7-9</t>
        </is>
      </c>
      <c r="O346" t="inlineStr">
        <is>
          <t>13.0-15.5</t>
        </is>
      </c>
      <c r="P346" t="inlineStr">
        <is>
          <t>Hartland Intl</t>
        </is>
      </c>
      <c r="Q346" t="inlineStr">
        <is>
          <t>Emirates Hospital BB</t>
        </is>
      </c>
      <c r="R346" t="inlineStr">
        <is>
          <t>Dubai Mall</t>
        </is>
      </c>
      <c r="S346" t="inlineStr">
        <is>
          <t>Al Khail E44</t>
        </is>
      </c>
      <c r="T346" t="inlineStr">
        <is>
          <t>5</t>
        </is>
      </c>
      <c r="U346" t="inlineStr">
        <is>
          <t>20</t>
        </is>
      </c>
      <c r="V346" t="inlineStr">
        <is>
          <t>15</t>
        </is>
      </c>
      <c r="W346" t="inlineStr">
        <is>
          <t>35</t>
        </is>
      </c>
      <c r="X346" t="inlineStr">
        <is>
          <t>Guild_real_estate_master.csv</t>
        </is>
      </c>
    </row>
    <row r="347">
      <c r="A347" t="n">
        <v>346</v>
      </c>
      <c r="B347" t="n">
        <v>346</v>
      </c>
      <c r="C347" t="inlineStr">
        <is>
          <t>Binghatti Mercedes-Benz Places</t>
        </is>
      </c>
      <c r="D347" t="inlineStr">
        <is>
          <t>Binghatti Developers</t>
        </is>
      </c>
      <c r="E347" t="inlineStr">
        <is>
          <t>Downtown Dubai</t>
        </is>
      </c>
      <c r="F347" t="inlineStr">
        <is>
          <t>Branded Apts</t>
        </is>
      </c>
      <c r="G347" t="inlineStr">
        <is>
          <t>Iconic Tower</t>
        </is>
      </c>
      <c r="H347" t="inlineStr">
        <is>
          <t>8.8M</t>
        </is>
      </c>
      <c r="I347" t="inlineStr">
        <is>
          <t>3500</t>
        </is>
      </c>
      <c r="J347" t="inlineStr">
        <is>
          <t>35+</t>
        </is>
      </c>
      <c r="K347" t="inlineStr">
        <is>
          <t>70/30</t>
        </is>
      </c>
      <c r="L347" t="inlineStr">
        <is>
          <t>Q4 2026</t>
        </is>
      </c>
      <c r="M347" t="inlineStr">
        <is>
          <t>4.0-4.5</t>
        </is>
      </c>
      <c r="N347" t="inlineStr">
        <is>
          <t>10-15</t>
        </is>
      </c>
      <c r="O347" t="inlineStr">
        <is>
          <t>14.0-19.5</t>
        </is>
      </c>
      <c r="P347" t="inlineStr">
        <is>
          <t>Hartland Intl</t>
        </is>
      </c>
      <c r="Q347" t="inlineStr">
        <is>
          <t>Mediclinic Dubai Mall</t>
        </is>
      </c>
      <c r="R347" t="inlineStr">
        <is>
          <t>Dubai Mall</t>
        </is>
      </c>
      <c r="S347" t="inlineStr">
        <is>
          <t>Financial Ctr Rd</t>
        </is>
      </c>
      <c r="T347" t="inlineStr">
        <is>
          <t>5</t>
        </is>
      </c>
      <c r="U347" t="inlineStr">
        <is>
          <t>20</t>
        </is>
      </c>
      <c r="V347" t="inlineStr">
        <is>
          <t>15</t>
        </is>
      </c>
      <c r="W347" t="inlineStr">
        <is>
          <t>35</t>
        </is>
      </c>
      <c r="X347" t="inlineStr">
        <is>
          <t>Guild_real_estate_master.csv</t>
        </is>
      </c>
    </row>
    <row r="348">
      <c r="A348" t="n">
        <v>347</v>
      </c>
      <c r="B348" t="n">
        <v>347</v>
      </c>
      <c r="C348" t="inlineStr">
        <is>
          <t>Binghatti Cullinan</t>
        </is>
      </c>
      <c r="D348" t="inlineStr">
        <is>
          <t>Binghatti Developers</t>
        </is>
      </c>
      <c r="E348" t="inlineStr">
        <is>
          <t>Al Jaddaf</t>
        </is>
      </c>
      <c r="F348" t="inlineStr">
        <is>
          <t>Apartments</t>
        </is>
      </c>
      <c r="G348" t="inlineStr">
        <is>
          <t>Luxury / Budget</t>
        </is>
      </c>
      <c r="H348" t="inlineStr">
        <is>
          <t>900k</t>
        </is>
      </c>
      <c r="I348" t="inlineStr">
        <is>
          <t>1500</t>
        </is>
      </c>
      <c r="J348" t="inlineStr">
        <is>
          <t>15</t>
        </is>
      </c>
      <c r="K348" t="inlineStr">
        <is>
          <t>70/30</t>
        </is>
      </c>
      <c r="L348" t="inlineStr">
        <is>
          <t>2024</t>
        </is>
      </c>
      <c r="M348" t="inlineStr">
        <is>
          <t>7.0-7.5</t>
        </is>
      </c>
      <c r="N348" t="inlineStr">
        <is>
          <t>6-8</t>
        </is>
      </c>
      <c r="O348" t="inlineStr">
        <is>
          <t>13.0-15.5</t>
        </is>
      </c>
      <c r="P348" t="inlineStr">
        <is>
          <t>Swiss Intl School</t>
        </is>
      </c>
      <c r="Q348" t="inlineStr">
        <is>
          <t>American Hospital</t>
        </is>
      </c>
      <c r="R348" t="inlineStr">
        <is>
          <t>Dubai Festival City</t>
        </is>
      </c>
      <c r="S348" t="inlineStr">
        <is>
          <t>Al Khail E44</t>
        </is>
      </c>
      <c r="T348" t="inlineStr">
        <is>
          <t>10</t>
        </is>
      </c>
      <c r="U348" t="inlineStr">
        <is>
          <t>25</t>
        </is>
      </c>
      <c r="V348" t="inlineStr">
        <is>
          <t>10</t>
        </is>
      </c>
      <c r="W348" t="inlineStr">
        <is>
          <t>40</t>
        </is>
      </c>
      <c r="X348" t="inlineStr">
        <is>
          <t>Guild_real_estate_master.csv</t>
        </is>
      </c>
    </row>
    <row r="349">
      <c r="A349" t="n">
        <v>348</v>
      </c>
      <c r="B349" t="n">
        <v>348</v>
      </c>
      <c r="C349" t="inlineStr">
        <is>
          <t>Binghatti Hills Phase 1</t>
        </is>
      </c>
      <c r="D349" t="inlineStr">
        <is>
          <t>Binghatti Developers</t>
        </is>
      </c>
      <c r="E349" t="inlineStr">
        <is>
          <t>Dubai Science Park</t>
        </is>
      </c>
      <c r="F349" t="inlineStr">
        <is>
          <t>Apartments</t>
        </is>
      </c>
      <c r="G349" t="inlineStr">
        <is>
          <t>Large Scale / Hill</t>
        </is>
      </c>
      <c r="H349" t="inlineStr">
        <is>
          <t>900k</t>
        </is>
      </c>
      <c r="I349" t="inlineStr">
        <is>
          <t>1400</t>
        </is>
      </c>
      <c r="J349" t="inlineStr">
        <is>
          <t>15</t>
        </is>
      </c>
      <c r="K349" t="inlineStr">
        <is>
          <t>70/30</t>
        </is>
      </c>
      <c r="L349" t="inlineStr">
        <is>
          <t>2024</t>
        </is>
      </c>
      <c r="M349" t="inlineStr">
        <is>
          <t>7.0-7.5</t>
        </is>
      </c>
      <c r="N349" t="inlineStr">
        <is>
          <t>7-9</t>
        </is>
      </c>
      <c r="O349" t="inlineStr">
        <is>
          <t>14.0-16.5</t>
        </is>
      </c>
      <c r="P349" t="inlineStr">
        <is>
          <t>GEMS Founders</t>
        </is>
      </c>
      <c r="Q349" t="inlineStr">
        <is>
          <t>Mediclinic Parkview</t>
        </is>
      </c>
      <c r="R349" t="inlineStr">
        <is>
          <t>Dubai Hills Mall</t>
        </is>
      </c>
      <c r="S349" t="inlineStr">
        <is>
          <t>Umm Suqeim / E44</t>
        </is>
      </c>
      <c r="T349" t="inlineStr">
        <is>
          <t>20</t>
        </is>
      </c>
      <c r="U349" t="inlineStr">
        <is>
          <t>20</t>
        </is>
      </c>
      <c r="V349" t="inlineStr">
        <is>
          <t>25</t>
        </is>
      </c>
      <c r="W349" t="inlineStr">
        <is>
          <t>30</t>
        </is>
      </c>
      <c r="X349" t="inlineStr">
        <is>
          <t>Guild_real_estate_master.csv</t>
        </is>
      </c>
    </row>
    <row r="350">
      <c r="A350" t="n">
        <v>349</v>
      </c>
      <c r="B350" t="n">
        <v>349</v>
      </c>
      <c r="C350" t="inlineStr">
        <is>
          <t>Binghatti Hills Phase 2</t>
        </is>
      </c>
      <c r="D350" t="inlineStr">
        <is>
          <t>Binghatti Developers</t>
        </is>
      </c>
      <c r="E350" t="inlineStr">
        <is>
          <t>Dubai Science Park</t>
        </is>
      </c>
      <c r="F350" t="inlineStr">
        <is>
          <t>Apartments</t>
        </is>
      </c>
      <c r="G350" t="inlineStr">
        <is>
          <t>Large Scale / Hill</t>
        </is>
      </c>
      <c r="H350" t="inlineStr">
        <is>
          <t>950k</t>
        </is>
      </c>
      <c r="I350" t="inlineStr">
        <is>
          <t>1450</t>
        </is>
      </c>
      <c r="J350" t="inlineStr">
        <is>
          <t>15</t>
        </is>
      </c>
      <c r="K350" t="inlineStr">
        <is>
          <t>70/30</t>
        </is>
      </c>
      <c r="L350" t="inlineStr">
        <is>
          <t>2024</t>
        </is>
      </c>
      <c r="M350" t="inlineStr">
        <is>
          <t>7.0-7.5</t>
        </is>
      </c>
      <c r="N350" t="inlineStr">
        <is>
          <t>7-9</t>
        </is>
      </c>
      <c r="O350" t="inlineStr">
        <is>
          <t>14.0-16.5</t>
        </is>
      </c>
      <c r="P350" t="inlineStr">
        <is>
          <t>GEMS Founders</t>
        </is>
      </c>
      <c r="Q350" t="inlineStr">
        <is>
          <t>Mediclinic Parkview</t>
        </is>
      </c>
      <c r="R350" t="inlineStr">
        <is>
          <t>Dubai Hills Mall</t>
        </is>
      </c>
      <c r="S350" t="inlineStr">
        <is>
          <t>Umm Suqeim / E44</t>
        </is>
      </c>
      <c r="T350" t="inlineStr">
        <is>
          <t>20</t>
        </is>
      </c>
      <c r="U350" t="inlineStr">
        <is>
          <t>20</t>
        </is>
      </c>
      <c r="V350" t="inlineStr">
        <is>
          <t>25</t>
        </is>
      </c>
      <c r="W350" t="inlineStr">
        <is>
          <t>30</t>
        </is>
      </c>
      <c r="X350" t="inlineStr">
        <is>
          <t>Guild_real_estate_master.csv</t>
        </is>
      </c>
    </row>
    <row r="351">
      <c r="A351" t="n">
        <v>350</v>
      </c>
      <c r="B351" t="n">
        <v>350</v>
      </c>
      <c r="C351" t="inlineStr">
        <is>
          <t>Binghatti Royale</t>
        </is>
      </c>
      <c r="D351" t="inlineStr">
        <is>
          <t>Binghatti Developers</t>
        </is>
      </c>
      <c r="E351" t="inlineStr">
        <is>
          <t>JVC</t>
        </is>
      </c>
      <c r="F351" t="inlineStr">
        <is>
          <t>Apartments</t>
        </is>
      </c>
      <c r="G351" t="inlineStr">
        <is>
          <t>Circle / Design</t>
        </is>
      </c>
      <c r="H351" t="inlineStr">
        <is>
          <t>900k</t>
        </is>
      </c>
      <c r="I351" t="inlineStr">
        <is>
          <t>1400</t>
        </is>
      </c>
      <c r="J351" t="inlineStr">
        <is>
          <t>15</t>
        </is>
      </c>
      <c r="K351" t="inlineStr">
        <is>
          <t>70/30</t>
        </is>
      </c>
      <c r="L351" t="inlineStr">
        <is>
          <t>2024</t>
        </is>
      </c>
      <c r="M351" t="inlineStr">
        <is>
          <t>7.5-8.0</t>
        </is>
      </c>
      <c r="N351" t="inlineStr">
        <is>
          <t>7-9</t>
        </is>
      </c>
      <c r="O351" t="inlineStr">
        <is>
          <t>14.5-17.0</t>
        </is>
      </c>
      <c r="P351" t="inlineStr">
        <is>
          <t>JSS International</t>
        </is>
      </c>
      <c r="Q351" t="inlineStr">
        <is>
          <t>Saudi German Hospital</t>
        </is>
      </c>
      <c r="R351" t="inlineStr">
        <is>
          <t>Circle Mall</t>
        </is>
      </c>
      <c r="S351" t="inlineStr">
        <is>
          <t>Hessa St / E44</t>
        </is>
      </c>
      <c r="T351" t="inlineStr">
        <is>
          <t>20</t>
        </is>
      </c>
      <c r="U351" t="inlineStr">
        <is>
          <t>15</t>
        </is>
      </c>
      <c r="V351" t="inlineStr">
        <is>
          <t>25</t>
        </is>
      </c>
      <c r="W351" t="inlineStr">
        <is>
          <t>30</t>
        </is>
      </c>
      <c r="X351" t="inlineStr">
        <is>
          <t>Guild_real_estate_master.csv</t>
        </is>
      </c>
    </row>
    <row r="352">
      <c r="A352" t="n">
        <v>351</v>
      </c>
      <c r="B352" t="n">
        <v>351</v>
      </c>
      <c r="C352" t="inlineStr">
        <is>
          <t>Binghatti Aurora</t>
        </is>
      </c>
      <c r="D352" t="inlineStr">
        <is>
          <t>Binghatti Developers</t>
        </is>
      </c>
      <c r="E352" t="inlineStr">
        <is>
          <t>JVC</t>
        </is>
      </c>
      <c r="F352" t="inlineStr">
        <is>
          <t>Apartments</t>
        </is>
      </c>
      <c r="G352" t="inlineStr">
        <is>
          <t>Circle / Design</t>
        </is>
      </c>
      <c r="H352" t="inlineStr">
        <is>
          <t>850k</t>
        </is>
      </c>
      <c r="I352" t="inlineStr">
        <is>
          <t>1350</t>
        </is>
      </c>
      <c r="J352" t="inlineStr">
        <is>
          <t>15</t>
        </is>
      </c>
      <c r="K352" t="inlineStr">
        <is>
          <t>70/30</t>
        </is>
      </c>
      <c r="L352" t="inlineStr">
        <is>
          <t>2024</t>
        </is>
      </c>
      <c r="M352" t="inlineStr">
        <is>
          <t>7.5-8.0</t>
        </is>
      </c>
      <c r="N352" t="inlineStr">
        <is>
          <t>7-9</t>
        </is>
      </c>
      <c r="O352" t="inlineStr">
        <is>
          <t>14.5-17.0</t>
        </is>
      </c>
      <c r="P352" t="inlineStr">
        <is>
          <t>JSS International</t>
        </is>
      </c>
      <c r="Q352" t="inlineStr">
        <is>
          <t>Saudi German Hospital</t>
        </is>
      </c>
      <c r="R352" t="inlineStr">
        <is>
          <t>Circle Mall</t>
        </is>
      </c>
      <c r="S352" t="inlineStr">
        <is>
          <t>Hessa St / E44</t>
        </is>
      </c>
      <c r="T352" t="inlineStr">
        <is>
          <t>20</t>
        </is>
      </c>
      <c r="U352" t="inlineStr">
        <is>
          <t>15</t>
        </is>
      </c>
      <c r="V352" t="inlineStr">
        <is>
          <t>25</t>
        </is>
      </c>
      <c r="W352" t="inlineStr">
        <is>
          <t>30</t>
        </is>
      </c>
      <c r="X352" t="inlineStr">
        <is>
          <t>Guild_real_estate_master.csv</t>
        </is>
      </c>
    </row>
    <row r="353">
      <c r="A353" t="n">
        <v>352</v>
      </c>
      <c r="B353" t="n">
        <v>352</v>
      </c>
      <c r="C353" t="inlineStr">
        <is>
          <t>Binghatti Galaxy 1</t>
        </is>
      </c>
      <c r="D353" t="inlineStr">
        <is>
          <t>Binghatti Developers</t>
        </is>
      </c>
      <c r="E353" t="inlineStr">
        <is>
          <t>JVC</t>
        </is>
      </c>
      <c r="F353" t="inlineStr">
        <is>
          <t>Apartments</t>
        </is>
      </c>
      <c r="G353" t="inlineStr">
        <is>
          <t>Circle / Design</t>
        </is>
      </c>
      <c r="H353" t="inlineStr">
        <is>
          <t>850k</t>
        </is>
      </c>
      <c r="I353" t="inlineStr">
        <is>
          <t>1350</t>
        </is>
      </c>
      <c r="J353" t="inlineStr">
        <is>
          <t>15</t>
        </is>
      </c>
      <c r="K353" t="inlineStr">
        <is>
          <t>70/30</t>
        </is>
      </c>
      <c r="L353" t="inlineStr">
        <is>
          <t>2024</t>
        </is>
      </c>
      <c r="M353" t="inlineStr">
        <is>
          <t>7.5-8.0</t>
        </is>
      </c>
      <c r="N353" t="inlineStr">
        <is>
          <t>7-9</t>
        </is>
      </c>
      <c r="O353" t="inlineStr">
        <is>
          <t>14.5-17.0</t>
        </is>
      </c>
      <c r="P353" t="inlineStr">
        <is>
          <t>JSS International</t>
        </is>
      </c>
      <c r="Q353" t="inlineStr">
        <is>
          <t>Saudi German Hospital</t>
        </is>
      </c>
      <c r="R353" t="inlineStr">
        <is>
          <t>Circle Mall</t>
        </is>
      </c>
      <c r="S353" t="inlineStr">
        <is>
          <t>Hessa St / E44</t>
        </is>
      </c>
      <c r="T353" t="inlineStr">
        <is>
          <t>20</t>
        </is>
      </c>
      <c r="U353" t="inlineStr">
        <is>
          <t>15</t>
        </is>
      </c>
      <c r="V353" t="inlineStr">
        <is>
          <t>25</t>
        </is>
      </c>
      <c r="W353" t="inlineStr">
        <is>
          <t>30</t>
        </is>
      </c>
      <c r="X353" t="inlineStr">
        <is>
          <t>Guild_real_estate_master.csv</t>
        </is>
      </c>
    </row>
    <row r="354">
      <c r="A354" t="n">
        <v>353</v>
      </c>
      <c r="B354" t="n">
        <v>353</v>
      </c>
      <c r="C354" t="inlineStr">
        <is>
          <t>Binghatti Galaxy 2</t>
        </is>
      </c>
      <c r="D354" t="inlineStr">
        <is>
          <t>Binghatti Developers</t>
        </is>
      </c>
      <c r="E354" t="inlineStr">
        <is>
          <t>JVC</t>
        </is>
      </c>
      <c r="F354" t="inlineStr">
        <is>
          <t>Apartments</t>
        </is>
      </c>
      <c r="G354" t="inlineStr">
        <is>
          <t>Circle / Design</t>
        </is>
      </c>
      <c r="H354" t="inlineStr">
        <is>
          <t>850k</t>
        </is>
      </c>
      <c r="I354" t="inlineStr">
        <is>
          <t>1350</t>
        </is>
      </c>
      <c r="J354" t="inlineStr">
        <is>
          <t>15</t>
        </is>
      </c>
      <c r="K354" t="inlineStr">
        <is>
          <t>70/30</t>
        </is>
      </c>
      <c r="L354" t="inlineStr">
        <is>
          <t>2024</t>
        </is>
      </c>
      <c r="M354" t="inlineStr">
        <is>
          <t>7.5-8.0</t>
        </is>
      </c>
      <c r="N354" t="inlineStr">
        <is>
          <t>7-9</t>
        </is>
      </c>
      <c r="O354" t="inlineStr">
        <is>
          <t>14.5-17.0</t>
        </is>
      </c>
      <c r="P354" t="inlineStr">
        <is>
          <t>JSS International</t>
        </is>
      </c>
      <c r="Q354" t="inlineStr">
        <is>
          <t>Saudi German Hospital</t>
        </is>
      </c>
      <c r="R354" t="inlineStr">
        <is>
          <t>Circle Mall</t>
        </is>
      </c>
      <c r="S354" t="inlineStr">
        <is>
          <t>Hessa St / E44</t>
        </is>
      </c>
      <c r="T354" t="inlineStr">
        <is>
          <t>20</t>
        </is>
      </c>
      <c r="U354" t="inlineStr">
        <is>
          <t>15</t>
        </is>
      </c>
      <c r="V354" t="inlineStr">
        <is>
          <t>25</t>
        </is>
      </c>
      <c r="W354" t="inlineStr">
        <is>
          <t>30</t>
        </is>
      </c>
      <c r="X354" t="inlineStr">
        <is>
          <t>Guild_real_estate_master.csv</t>
        </is>
      </c>
    </row>
    <row r="355">
      <c r="A355" t="n">
        <v>354</v>
      </c>
      <c r="B355" t="n">
        <v>354</v>
      </c>
      <c r="C355" t="inlineStr">
        <is>
          <t>Binghatti Phantom</t>
        </is>
      </c>
      <c r="D355" t="inlineStr">
        <is>
          <t>Binghatti Developers</t>
        </is>
      </c>
      <c r="E355" t="inlineStr">
        <is>
          <t>JVC</t>
        </is>
      </c>
      <c r="F355" t="inlineStr">
        <is>
          <t>Apartments</t>
        </is>
      </c>
      <c r="G355" t="inlineStr">
        <is>
          <t>Circle / Design</t>
        </is>
      </c>
      <c r="H355" t="inlineStr">
        <is>
          <t>800k</t>
        </is>
      </c>
      <c r="I355" t="inlineStr">
        <is>
          <t>1300</t>
        </is>
      </c>
      <c r="J355" t="inlineStr">
        <is>
          <t>15</t>
        </is>
      </c>
      <c r="K355" t="inlineStr">
        <is>
          <t>70/30</t>
        </is>
      </c>
      <c r="L355" t="inlineStr">
        <is>
          <t>2024</t>
        </is>
      </c>
      <c r="M355" t="inlineStr">
        <is>
          <t>7.5-8.0</t>
        </is>
      </c>
      <c r="N355" t="inlineStr">
        <is>
          <t>7-9</t>
        </is>
      </c>
      <c r="O355" t="inlineStr">
        <is>
          <t>14.5-17.0</t>
        </is>
      </c>
      <c r="P355" t="inlineStr">
        <is>
          <t>JSS International</t>
        </is>
      </c>
      <c r="Q355" t="inlineStr">
        <is>
          <t>Saudi German Hospital</t>
        </is>
      </c>
      <c r="R355" t="inlineStr">
        <is>
          <t>Circle Mall</t>
        </is>
      </c>
      <c r="S355" t="inlineStr">
        <is>
          <t>Hessa St / E44</t>
        </is>
      </c>
      <c r="T355" t="inlineStr">
        <is>
          <t>20</t>
        </is>
      </c>
      <c r="U355" t="inlineStr">
        <is>
          <t>15</t>
        </is>
      </c>
      <c r="V355" t="inlineStr">
        <is>
          <t>25</t>
        </is>
      </c>
      <c r="W355" t="inlineStr">
        <is>
          <t>30</t>
        </is>
      </c>
      <c r="X355" t="inlineStr">
        <is>
          <t>Guild_real_estate_master.csv</t>
        </is>
      </c>
    </row>
    <row r="356">
      <c r="A356" t="n">
        <v>355</v>
      </c>
      <c r="B356" t="n">
        <v>355</v>
      </c>
      <c r="C356" t="inlineStr">
        <is>
          <t>Binghatti Phoenix</t>
        </is>
      </c>
      <c r="D356" t="inlineStr">
        <is>
          <t>Binghatti Developers</t>
        </is>
      </c>
      <c r="E356" t="inlineStr">
        <is>
          <t>JVC</t>
        </is>
      </c>
      <c r="F356" t="inlineStr">
        <is>
          <t>Apartments</t>
        </is>
      </c>
      <c r="G356" t="inlineStr">
        <is>
          <t>Circle / Design</t>
        </is>
      </c>
      <c r="H356" t="inlineStr">
        <is>
          <t>800k</t>
        </is>
      </c>
      <c r="I356" t="inlineStr">
        <is>
          <t>1300</t>
        </is>
      </c>
      <c r="J356" t="inlineStr">
        <is>
          <t>15</t>
        </is>
      </c>
      <c r="K356" t="inlineStr">
        <is>
          <t>70/30</t>
        </is>
      </c>
      <c r="L356" t="inlineStr">
        <is>
          <t>2023</t>
        </is>
      </c>
      <c r="M356" t="inlineStr">
        <is>
          <t>7.5-8.0</t>
        </is>
      </c>
      <c r="N356" t="inlineStr">
        <is>
          <t>7-9</t>
        </is>
      </c>
      <c r="O356" t="inlineStr">
        <is>
          <t>14.5-17.0</t>
        </is>
      </c>
      <c r="P356" t="inlineStr">
        <is>
          <t>JSS International</t>
        </is>
      </c>
      <c r="Q356" t="inlineStr">
        <is>
          <t>Saudi German Hospital</t>
        </is>
      </c>
      <c r="R356" t="inlineStr">
        <is>
          <t>Circle Mall</t>
        </is>
      </c>
      <c r="S356" t="inlineStr">
        <is>
          <t>Hessa St / E44</t>
        </is>
      </c>
      <c r="T356" t="inlineStr">
        <is>
          <t>20</t>
        </is>
      </c>
      <c r="U356" t="inlineStr">
        <is>
          <t>15</t>
        </is>
      </c>
      <c r="V356" t="inlineStr">
        <is>
          <t>25</t>
        </is>
      </c>
      <c r="W356" t="inlineStr">
        <is>
          <t>30</t>
        </is>
      </c>
      <c r="X356" t="inlineStr">
        <is>
          <t>Guild_real_estate_master.csv</t>
        </is>
      </c>
    </row>
    <row r="357">
      <c r="A357" t="n">
        <v>356</v>
      </c>
      <c r="B357" t="n">
        <v>356</v>
      </c>
      <c r="C357" t="inlineStr">
        <is>
          <t>Binghatti Twilight</t>
        </is>
      </c>
      <c r="D357" t="inlineStr">
        <is>
          <t>Binghatti Developers</t>
        </is>
      </c>
      <c r="E357" t="inlineStr">
        <is>
          <t>JVC</t>
        </is>
      </c>
      <c r="F357" t="inlineStr">
        <is>
          <t>Apartments</t>
        </is>
      </c>
      <c r="G357" t="inlineStr">
        <is>
          <t>Circle / Design</t>
        </is>
      </c>
      <c r="H357" t="inlineStr">
        <is>
          <t>800k</t>
        </is>
      </c>
      <c r="I357" t="inlineStr">
        <is>
          <t>1300</t>
        </is>
      </c>
      <c r="J357" t="inlineStr">
        <is>
          <t>15</t>
        </is>
      </c>
      <c r="K357" t="inlineStr">
        <is>
          <t>70/30</t>
        </is>
      </c>
      <c r="L357" t="inlineStr">
        <is>
          <t>2023</t>
        </is>
      </c>
      <c r="M357" t="inlineStr">
        <is>
          <t>7.5-8.0</t>
        </is>
      </c>
      <c r="N357" t="inlineStr">
        <is>
          <t>7-9</t>
        </is>
      </c>
      <c r="O357" t="inlineStr">
        <is>
          <t>14.5-17.0</t>
        </is>
      </c>
      <c r="P357" t="inlineStr">
        <is>
          <t>JSS International</t>
        </is>
      </c>
      <c r="Q357" t="inlineStr">
        <is>
          <t>Saudi German Hospital</t>
        </is>
      </c>
      <c r="R357" t="inlineStr">
        <is>
          <t>Circle Mall</t>
        </is>
      </c>
      <c r="S357" t="inlineStr">
        <is>
          <t>Hessa St / E44</t>
        </is>
      </c>
      <c r="T357" t="inlineStr">
        <is>
          <t>20</t>
        </is>
      </c>
      <c r="U357" t="inlineStr">
        <is>
          <t>15</t>
        </is>
      </c>
      <c r="V357" t="inlineStr">
        <is>
          <t>25</t>
        </is>
      </c>
      <c r="W357" t="inlineStr">
        <is>
          <t>30</t>
        </is>
      </c>
      <c r="X357" t="inlineStr">
        <is>
          <t>Guild_real_estate_master.csv</t>
        </is>
      </c>
    </row>
    <row r="358">
      <c r="A358" t="n">
        <v>357</v>
      </c>
      <c r="B358" t="n">
        <v>357</v>
      </c>
      <c r="C358" t="inlineStr">
        <is>
          <t>Binghatti Dawn</t>
        </is>
      </c>
      <c r="D358" t="inlineStr">
        <is>
          <t>Binghatti Developers</t>
        </is>
      </c>
      <c r="E358" t="inlineStr">
        <is>
          <t>JVC</t>
        </is>
      </c>
      <c r="F358" t="inlineStr">
        <is>
          <t>Apartments</t>
        </is>
      </c>
      <c r="G358" t="inlineStr">
        <is>
          <t>Circle / Design</t>
        </is>
      </c>
      <c r="H358" t="inlineStr">
        <is>
          <t>800k</t>
        </is>
      </c>
      <c r="I358" t="inlineStr">
        <is>
          <t>1300</t>
        </is>
      </c>
      <c r="J358" t="inlineStr">
        <is>
          <t>15</t>
        </is>
      </c>
      <c r="K358" t="inlineStr">
        <is>
          <t>70/30</t>
        </is>
      </c>
      <c r="L358" t="inlineStr">
        <is>
          <t>2023</t>
        </is>
      </c>
      <c r="M358" t="inlineStr">
        <is>
          <t>7.5-8.0</t>
        </is>
      </c>
      <c r="N358" t="inlineStr">
        <is>
          <t>7-9</t>
        </is>
      </c>
      <c r="O358" t="inlineStr">
        <is>
          <t>14.5-17.0</t>
        </is>
      </c>
      <c r="P358" t="inlineStr">
        <is>
          <t>JSS International</t>
        </is>
      </c>
      <c r="Q358" t="inlineStr">
        <is>
          <t>Saudi German Hospital</t>
        </is>
      </c>
      <c r="R358" t="inlineStr">
        <is>
          <t>Circle Mall</t>
        </is>
      </c>
      <c r="S358" t="inlineStr">
        <is>
          <t>Hessa St / E44</t>
        </is>
      </c>
      <c r="T358" t="inlineStr">
        <is>
          <t>20</t>
        </is>
      </c>
      <c r="U358" t="inlineStr">
        <is>
          <t>15</t>
        </is>
      </c>
      <c r="V358" t="inlineStr">
        <is>
          <t>25</t>
        </is>
      </c>
      <c r="W358" t="inlineStr">
        <is>
          <t>30</t>
        </is>
      </c>
      <c r="X358" t="inlineStr">
        <is>
          <t>Guild_real_estate_master.csv</t>
        </is>
      </c>
    </row>
    <row r="359">
      <c r="A359" t="n">
        <v>358</v>
      </c>
      <c r="B359" t="n">
        <v>358</v>
      </c>
      <c r="C359" t="inlineStr">
        <is>
          <t>Binghatti House</t>
        </is>
      </c>
      <c r="D359" t="inlineStr">
        <is>
          <t>Binghatti Developers</t>
        </is>
      </c>
      <c r="E359" t="inlineStr">
        <is>
          <t>JVC</t>
        </is>
      </c>
      <c r="F359" t="inlineStr">
        <is>
          <t>Apartments</t>
        </is>
      </c>
      <c r="G359" t="inlineStr">
        <is>
          <t>Circle / Design</t>
        </is>
      </c>
      <c r="H359" t="inlineStr">
        <is>
          <t>800k</t>
        </is>
      </c>
      <c r="I359" t="inlineStr">
        <is>
          <t>1300</t>
        </is>
      </c>
      <c r="J359" t="inlineStr">
        <is>
          <t>15</t>
        </is>
      </c>
      <c r="K359" t="inlineStr">
        <is>
          <t>70/30</t>
        </is>
      </c>
      <c r="L359" t="inlineStr">
        <is>
          <t>2023</t>
        </is>
      </c>
      <c r="M359" t="inlineStr">
        <is>
          <t>7.5-8.0</t>
        </is>
      </c>
      <c r="N359" t="inlineStr">
        <is>
          <t>7-9</t>
        </is>
      </c>
      <c r="O359" t="inlineStr">
        <is>
          <t>14.5-17.0</t>
        </is>
      </c>
      <c r="P359" t="inlineStr">
        <is>
          <t>JSS International</t>
        </is>
      </c>
      <c r="Q359" t="inlineStr">
        <is>
          <t>Saudi German Hospital</t>
        </is>
      </c>
      <c r="R359" t="inlineStr">
        <is>
          <t>Circle Mall</t>
        </is>
      </c>
      <c r="S359" t="inlineStr">
        <is>
          <t>Hessa St / E44</t>
        </is>
      </c>
      <c r="T359" t="inlineStr">
        <is>
          <t>20</t>
        </is>
      </c>
      <c r="U359" t="inlineStr">
        <is>
          <t>15</t>
        </is>
      </c>
      <c r="V359" t="inlineStr">
        <is>
          <t>25</t>
        </is>
      </c>
      <c r="W359" t="inlineStr">
        <is>
          <t>30</t>
        </is>
      </c>
      <c r="X359" t="inlineStr">
        <is>
          <t>Guild_real_estate_master.csv</t>
        </is>
      </c>
    </row>
    <row r="360">
      <c r="A360" t="n">
        <v>359</v>
      </c>
      <c r="B360" t="n">
        <v>359</v>
      </c>
      <c r="C360" t="inlineStr">
        <is>
          <t>Azizi Venice (Master Community)</t>
        </is>
      </c>
      <c r="D360" t="inlineStr">
        <is>
          <t>Azizi Developments</t>
        </is>
      </c>
      <c r="E360" t="inlineStr">
        <is>
          <t>Dubai South</t>
        </is>
      </c>
      <c r="F360" t="inlineStr">
        <is>
          <t>Apartments &amp; Villas</t>
        </is>
      </c>
      <c r="G360" t="inlineStr">
        <is>
          <t>Lagoon / Opera</t>
        </is>
      </c>
      <c r="H360" t="inlineStr">
        <is>
          <t>480k</t>
        </is>
      </c>
      <c r="I360" t="inlineStr">
        <is>
          <t>1200</t>
        </is>
      </c>
      <c r="J360" t="inlineStr">
        <is>
          <t>15</t>
        </is>
      </c>
      <c r="K360" t="inlineStr">
        <is>
          <t>40/60</t>
        </is>
      </c>
      <c r="L360" t="inlineStr">
        <is>
          <t>2023</t>
        </is>
      </c>
      <c r="M360" t="inlineStr">
        <is>
          <t>7.0-8.0</t>
        </is>
      </c>
      <c r="N360" t="inlineStr">
        <is>
          <t>10-15</t>
        </is>
      </c>
      <c r="O360" t="inlineStr">
        <is>
          <t>17.0-23.0</t>
        </is>
      </c>
      <c r="P360" t="inlineStr">
        <is>
          <t>Greenfield Intl</t>
        </is>
      </c>
      <c r="Q360" t="inlineStr">
        <is>
          <t>NMC Royal DIP</t>
        </is>
      </c>
      <c r="R360" t="inlineStr">
        <is>
          <t>Urban Centre (Local)</t>
        </is>
      </c>
      <c r="S360" t="inlineStr">
        <is>
          <t>Expo Rd / E611</t>
        </is>
      </c>
      <c r="T360" t="inlineStr">
        <is>
          <t>40</t>
        </is>
      </c>
      <c r="U360" t="inlineStr">
        <is>
          <t>25</t>
        </is>
      </c>
      <c r="V360" t="inlineStr">
        <is>
          <t>45</t>
        </is>
      </c>
      <c r="W360" t="inlineStr">
        <is>
          <t>7</t>
        </is>
      </c>
      <c r="X360" t="inlineStr">
        <is>
          <t>Guild_real_estate_master.csv</t>
        </is>
      </c>
    </row>
    <row r="361">
      <c r="A361" t="n">
        <v>360</v>
      </c>
      <c r="B361" t="n">
        <v>360</v>
      </c>
      <c r="C361" t="inlineStr">
        <is>
          <t>Monaco Mansions</t>
        </is>
      </c>
      <c r="D361" t="inlineStr">
        <is>
          <t>Azizi Developments</t>
        </is>
      </c>
      <c r="E361" t="inlineStr">
        <is>
          <t>Azizi Venice</t>
        </is>
      </c>
      <c r="F361" t="inlineStr">
        <is>
          <t>Mansions</t>
        </is>
      </c>
      <c r="G361" t="inlineStr">
        <is>
          <t>Ultra-Luxury / Lagoon</t>
        </is>
      </c>
      <c r="H361" t="inlineStr">
        <is>
          <t>10M+</t>
        </is>
      </c>
      <c r="I361" t="inlineStr">
        <is>
          <t>2000</t>
        </is>
      </c>
      <c r="J361" t="inlineStr">
        <is>
          <t>TBA</t>
        </is>
      </c>
      <c r="K361" t="inlineStr">
        <is>
          <t>40/60</t>
        </is>
      </c>
      <c r="L361" t="inlineStr">
        <is>
          <t>2024</t>
        </is>
      </c>
      <c r="M361" t="inlineStr">
        <is>
          <t>5.0-5.5</t>
        </is>
      </c>
      <c r="N361" t="inlineStr">
        <is>
          <t>12-18</t>
        </is>
      </c>
      <c r="O361" t="inlineStr">
        <is>
          <t>17.0-23.5</t>
        </is>
      </c>
      <c r="P361" t="inlineStr">
        <is>
          <t>Greenfield Intl</t>
        </is>
      </c>
      <c r="Q361" t="inlineStr">
        <is>
          <t>NMC Royal DIP</t>
        </is>
      </c>
      <c r="R361" t="inlineStr">
        <is>
          <t>Urban Centre (Local)</t>
        </is>
      </c>
      <c r="S361" t="inlineStr">
        <is>
          <t>Expo Rd / E611</t>
        </is>
      </c>
      <c r="T361" t="inlineStr">
        <is>
          <t>40</t>
        </is>
      </c>
      <c r="U361" t="inlineStr">
        <is>
          <t>25</t>
        </is>
      </c>
      <c r="V361" t="inlineStr">
        <is>
          <t>45</t>
        </is>
      </c>
      <c r="W361" t="inlineStr">
        <is>
          <t>7</t>
        </is>
      </c>
      <c r="X361" t="inlineStr">
        <is>
          <t>Guild_real_estate_master.csv</t>
        </is>
      </c>
    </row>
    <row r="362">
      <c r="A362" t="n">
        <v>361</v>
      </c>
      <c r="B362" t="n">
        <v>361</v>
      </c>
      <c r="C362" t="inlineStr">
        <is>
          <t>Burj Azizi</t>
        </is>
      </c>
      <c r="D362" t="inlineStr">
        <is>
          <t>Azizi Developments</t>
        </is>
      </c>
      <c r="E362" t="inlineStr">
        <is>
          <t>Sheikh Zayed Road</t>
        </is>
      </c>
      <c r="F362" t="inlineStr">
        <is>
          <t>Mixed Use</t>
        </is>
      </c>
      <c r="G362" t="inlineStr">
        <is>
          <t>Skyscraper</t>
        </is>
      </c>
      <c r="H362" t="inlineStr">
        <is>
          <t>TBA</t>
        </is>
      </c>
      <c r="I362" t="inlineStr">
        <is>
          <t>TBA</t>
        </is>
      </c>
      <c r="J362" t="inlineStr">
        <is>
          <t>TBA</t>
        </is>
      </c>
      <c r="K362" t="inlineStr">
        <is>
          <t>TBA</t>
        </is>
      </c>
      <c r="L362" t="inlineStr">
        <is>
          <t>2024</t>
        </is>
      </c>
      <c r="M362" t="inlineStr">
        <is>
          <t>5.0-6.0</t>
        </is>
      </c>
      <c r="N362" t="inlineStr">
        <is>
          <t>10-15</t>
        </is>
      </c>
      <c r="O362" t="inlineStr">
        <is>
          <t>15.0-21.0</t>
        </is>
      </c>
      <c r="P362" t="inlineStr">
        <is>
          <t>Hartland Intl</t>
        </is>
      </c>
      <c r="Q362" t="inlineStr">
        <is>
          <t>Mediclinic Dubai Mall</t>
        </is>
      </c>
      <c r="R362" t="inlineStr">
        <is>
          <t>Dubai Mall</t>
        </is>
      </c>
      <c r="S362" t="inlineStr">
        <is>
          <t>Sheikh Zayed E11</t>
        </is>
      </c>
      <c r="T362" t="inlineStr">
        <is>
          <t>5</t>
        </is>
      </c>
      <c r="U362" t="inlineStr">
        <is>
          <t>15</t>
        </is>
      </c>
      <c r="V362" t="inlineStr">
        <is>
          <t>15</t>
        </is>
      </c>
      <c r="W362" t="inlineStr">
        <is>
          <t>35</t>
        </is>
      </c>
      <c r="X362" t="inlineStr">
        <is>
          <t>Guild_real_estate_master.csv</t>
        </is>
      </c>
    </row>
    <row r="363">
      <c r="A363" t="n">
        <v>362</v>
      </c>
      <c r="B363" t="n">
        <v>362</v>
      </c>
      <c r="C363" t="inlineStr">
        <is>
          <t>Riviera Phase 1</t>
        </is>
      </c>
      <c r="D363" t="inlineStr">
        <is>
          <t>Azizi Developments</t>
        </is>
      </c>
      <c r="E363" t="inlineStr">
        <is>
          <t>MBR City (Meydan)</t>
        </is>
      </c>
      <c r="F363" t="inlineStr">
        <is>
          <t>Apartments</t>
        </is>
      </c>
      <c r="G363" t="inlineStr">
        <is>
          <t>Lagoon / French</t>
        </is>
      </c>
      <c r="H363" t="inlineStr">
        <is>
          <t>Resale (800k+)</t>
        </is>
      </c>
      <c r="I363" t="inlineStr">
        <is>
          <t>1300</t>
        </is>
      </c>
      <c r="J363" t="inlineStr">
        <is>
          <t>16</t>
        </is>
      </c>
      <c r="K363" t="inlineStr">
        <is>
          <t>Completed</t>
        </is>
      </c>
      <c r="L363" t="inlineStr">
        <is>
          <t>2017</t>
        </is>
      </c>
      <c r="M363" t="inlineStr">
        <is>
          <t>7.0-7.5</t>
        </is>
      </c>
      <c r="N363" t="inlineStr">
        <is>
          <t>5-7</t>
        </is>
      </c>
      <c r="O363" t="inlineStr">
        <is>
          <t>12.0-14.5</t>
        </is>
      </c>
      <c r="P363" t="inlineStr">
        <is>
          <t>Hartland Intl</t>
        </is>
      </c>
      <c r="Q363" t="inlineStr">
        <is>
          <t>American Hospital</t>
        </is>
      </c>
      <c r="R363" t="inlineStr">
        <is>
          <t>Dubai Mall</t>
        </is>
      </c>
      <c r="S363" t="inlineStr">
        <is>
          <t>Ras Al Khor / E44</t>
        </is>
      </c>
      <c r="T363" t="inlineStr">
        <is>
          <t>12</t>
        </is>
      </c>
      <c r="U363" t="inlineStr">
        <is>
          <t>25</t>
        </is>
      </c>
      <c r="V363" t="inlineStr">
        <is>
          <t>15</t>
        </is>
      </c>
      <c r="W363" t="inlineStr">
        <is>
          <t>40</t>
        </is>
      </c>
      <c r="X363" t="inlineStr">
        <is>
          <t>Guild_real_estate_master.csv</t>
        </is>
      </c>
    </row>
    <row r="364">
      <c r="A364" t="n">
        <v>363</v>
      </c>
      <c r="B364" t="n">
        <v>363</v>
      </c>
      <c r="C364" t="inlineStr">
        <is>
          <t>Riviera Phase 2</t>
        </is>
      </c>
      <c r="D364" t="inlineStr">
        <is>
          <t>Azizi Developments</t>
        </is>
      </c>
      <c r="E364" t="inlineStr">
        <is>
          <t>MBR City (Meydan)</t>
        </is>
      </c>
      <c r="F364" t="inlineStr">
        <is>
          <t>Apartments</t>
        </is>
      </c>
      <c r="G364" t="inlineStr">
        <is>
          <t>Lagoon / French</t>
        </is>
      </c>
      <c r="H364" t="inlineStr">
        <is>
          <t>Resale (800k+)</t>
        </is>
      </c>
      <c r="I364" t="inlineStr">
        <is>
          <t>1300</t>
        </is>
      </c>
      <c r="J364" t="inlineStr">
        <is>
          <t>16</t>
        </is>
      </c>
      <c r="K364" t="inlineStr">
        <is>
          <t>Completed</t>
        </is>
      </c>
      <c r="L364" t="inlineStr">
        <is>
          <t>2018</t>
        </is>
      </c>
      <c r="M364" t="inlineStr">
        <is>
          <t>7.0-7.5</t>
        </is>
      </c>
      <c r="N364" t="inlineStr">
        <is>
          <t>5-7</t>
        </is>
      </c>
      <c r="O364" t="inlineStr">
        <is>
          <t>12.0-14.5</t>
        </is>
      </c>
      <c r="P364" t="inlineStr">
        <is>
          <t>Hartland Intl</t>
        </is>
      </c>
      <c r="Q364" t="inlineStr">
        <is>
          <t>American Hospital</t>
        </is>
      </c>
      <c r="R364" t="inlineStr">
        <is>
          <t>Dubai Mall</t>
        </is>
      </c>
      <c r="S364" t="inlineStr">
        <is>
          <t>Ras Al Khor / E44</t>
        </is>
      </c>
      <c r="T364" t="inlineStr">
        <is>
          <t>12</t>
        </is>
      </c>
      <c r="U364" t="inlineStr">
        <is>
          <t>25</t>
        </is>
      </c>
      <c r="V364" t="inlineStr">
        <is>
          <t>15</t>
        </is>
      </c>
      <c r="W364" t="inlineStr">
        <is>
          <t>40</t>
        </is>
      </c>
      <c r="X364" t="inlineStr">
        <is>
          <t>Guild_real_estate_master.csv</t>
        </is>
      </c>
    </row>
    <row r="365">
      <c r="A365" t="n">
        <v>364</v>
      </c>
      <c r="B365" t="n">
        <v>364</v>
      </c>
      <c r="C365" t="inlineStr">
        <is>
          <t>Riviera Phase 3</t>
        </is>
      </c>
      <c r="D365" t="inlineStr">
        <is>
          <t>Azizi Developments</t>
        </is>
      </c>
      <c r="E365" t="inlineStr">
        <is>
          <t>MBR City (Meydan)</t>
        </is>
      </c>
      <c r="F365" t="inlineStr">
        <is>
          <t>Apartments</t>
        </is>
      </c>
      <c r="G365" t="inlineStr">
        <is>
          <t>Lagoon / French</t>
        </is>
      </c>
      <c r="H365" t="inlineStr">
        <is>
          <t>1.0M</t>
        </is>
      </c>
      <c r="I365" t="inlineStr">
        <is>
          <t>1400</t>
        </is>
      </c>
      <c r="J365" t="inlineStr">
        <is>
          <t>16</t>
        </is>
      </c>
      <c r="K365" t="inlineStr">
        <is>
          <t>50/50</t>
        </is>
      </c>
      <c r="L365" t="inlineStr">
        <is>
          <t>2019</t>
        </is>
      </c>
      <c r="M365" t="inlineStr">
        <is>
          <t>7.0-7.5</t>
        </is>
      </c>
      <c r="N365" t="inlineStr">
        <is>
          <t>6-8</t>
        </is>
      </c>
      <c r="O365" t="inlineStr">
        <is>
          <t>13.0-15.5</t>
        </is>
      </c>
      <c r="P365" t="inlineStr">
        <is>
          <t>Hartland Intl</t>
        </is>
      </c>
      <c r="Q365" t="inlineStr">
        <is>
          <t>American Hospital</t>
        </is>
      </c>
      <c r="R365" t="inlineStr">
        <is>
          <t>Dubai Mall</t>
        </is>
      </c>
      <c r="S365" t="inlineStr">
        <is>
          <t>Ras Al Khor / E44</t>
        </is>
      </c>
      <c r="T365" t="inlineStr">
        <is>
          <t>12</t>
        </is>
      </c>
      <c r="U365" t="inlineStr">
        <is>
          <t>25</t>
        </is>
      </c>
      <c r="V365" t="inlineStr">
        <is>
          <t>15</t>
        </is>
      </c>
      <c r="W365" t="inlineStr">
        <is>
          <t>40</t>
        </is>
      </c>
      <c r="X365" t="inlineStr">
        <is>
          <t>Guild_real_estate_master.csv</t>
        </is>
      </c>
    </row>
    <row r="366">
      <c r="A366" t="n">
        <v>365</v>
      </c>
      <c r="B366" t="n">
        <v>365</v>
      </c>
      <c r="C366" t="inlineStr">
        <is>
          <t>Riviera Phase 4</t>
        </is>
      </c>
      <c r="D366" t="inlineStr">
        <is>
          <t>Azizi Developments</t>
        </is>
      </c>
      <c r="E366" t="inlineStr">
        <is>
          <t>MBR City (Meydan)</t>
        </is>
      </c>
      <c r="F366" t="inlineStr">
        <is>
          <t>Apartments</t>
        </is>
      </c>
      <c r="G366" t="inlineStr">
        <is>
          <t>Lagoon / French</t>
        </is>
      </c>
      <c r="H366" t="inlineStr">
        <is>
          <t>1.1M</t>
        </is>
      </c>
      <c r="I366" t="inlineStr">
        <is>
          <t>1450</t>
        </is>
      </c>
      <c r="J366" t="inlineStr">
        <is>
          <t>16</t>
        </is>
      </c>
      <c r="K366" t="inlineStr">
        <is>
          <t>50/50</t>
        </is>
      </c>
      <c r="L366" t="inlineStr">
        <is>
          <t>2022</t>
        </is>
      </c>
      <c r="M366" t="inlineStr">
        <is>
          <t>7.0-7.5</t>
        </is>
      </c>
      <c r="N366" t="inlineStr">
        <is>
          <t>6-8</t>
        </is>
      </c>
      <c r="O366" t="inlineStr">
        <is>
          <t>13.0-15.5</t>
        </is>
      </c>
      <c r="P366" t="inlineStr">
        <is>
          <t>Hartland Intl</t>
        </is>
      </c>
      <c r="Q366" t="inlineStr">
        <is>
          <t>American Hospital</t>
        </is>
      </c>
      <c r="R366" t="inlineStr">
        <is>
          <t>Dubai Mall</t>
        </is>
      </c>
      <c r="S366" t="inlineStr">
        <is>
          <t>Ras Al Khor / E44</t>
        </is>
      </c>
      <c r="T366" t="inlineStr">
        <is>
          <t>12</t>
        </is>
      </c>
      <c r="U366" t="inlineStr">
        <is>
          <t>25</t>
        </is>
      </c>
      <c r="V366" t="inlineStr">
        <is>
          <t>15</t>
        </is>
      </c>
      <c r="W366" t="inlineStr">
        <is>
          <t>40</t>
        </is>
      </c>
      <c r="X366" t="inlineStr">
        <is>
          <t>Guild_real_estate_master.csv</t>
        </is>
      </c>
    </row>
    <row r="367">
      <c r="A367" t="n">
        <v>366</v>
      </c>
      <c r="B367" t="n">
        <v>366</v>
      </c>
      <c r="C367" t="inlineStr">
        <is>
          <t>Riviera Rêve</t>
        </is>
      </c>
      <c r="D367" t="inlineStr">
        <is>
          <t>Azizi Developments</t>
        </is>
      </c>
      <c r="E367" t="inlineStr">
        <is>
          <t>MBR City (Meydan)</t>
        </is>
      </c>
      <c r="F367" t="inlineStr">
        <is>
          <t>Apartments</t>
        </is>
      </c>
      <c r="G367" t="inlineStr">
        <is>
          <t>Luxury / Lagoon View</t>
        </is>
      </c>
      <c r="H367" t="inlineStr">
        <is>
          <t>1.8M</t>
        </is>
      </c>
      <c r="I367" t="inlineStr">
        <is>
          <t>1800</t>
        </is>
      </c>
      <c r="J367" t="inlineStr">
        <is>
          <t>18</t>
        </is>
      </c>
      <c r="K367" t="inlineStr">
        <is>
          <t>50/50</t>
        </is>
      </c>
      <c r="L367" t="inlineStr">
        <is>
          <t>2022</t>
        </is>
      </c>
      <c r="M367" t="inlineStr">
        <is>
          <t>6.5-7.0</t>
        </is>
      </c>
      <c r="N367" t="inlineStr">
        <is>
          <t>7-9</t>
        </is>
      </c>
      <c r="O367" t="inlineStr">
        <is>
          <t>13.5-16.0</t>
        </is>
      </c>
      <c r="P367" t="inlineStr">
        <is>
          <t>Hartland Intl</t>
        </is>
      </c>
      <c r="Q367" t="inlineStr">
        <is>
          <t>American Hospital</t>
        </is>
      </c>
      <c r="R367" t="inlineStr">
        <is>
          <t>Dubai Mall</t>
        </is>
      </c>
      <c r="S367" t="inlineStr">
        <is>
          <t>Ras Al Khor / E44</t>
        </is>
      </c>
      <c r="T367" t="inlineStr">
        <is>
          <t>12</t>
        </is>
      </c>
      <c r="U367" t="inlineStr">
        <is>
          <t>25</t>
        </is>
      </c>
      <c r="V367" t="inlineStr">
        <is>
          <t>15</t>
        </is>
      </c>
      <c r="W367" t="inlineStr">
        <is>
          <t>40</t>
        </is>
      </c>
      <c r="X367" t="inlineStr">
        <is>
          <t>Guild_real_estate_master.csv</t>
        </is>
      </c>
    </row>
    <row r="368">
      <c r="A368" t="n">
        <v>367</v>
      </c>
      <c r="B368" t="n">
        <v>367</v>
      </c>
      <c r="C368" t="inlineStr">
        <is>
          <t>Riviera Beachfront</t>
        </is>
      </c>
      <c r="D368" t="inlineStr">
        <is>
          <t>Azizi Developments</t>
        </is>
      </c>
      <c r="E368" t="inlineStr">
        <is>
          <t>MBR City (Meydan)</t>
        </is>
      </c>
      <c r="F368" t="inlineStr">
        <is>
          <t>Apartments</t>
        </is>
      </c>
      <c r="G368" t="inlineStr">
        <is>
          <t>Beachfront / Lagoon</t>
        </is>
      </c>
      <c r="H368" t="inlineStr">
        <is>
          <t>1.5M</t>
        </is>
      </c>
      <c r="I368" t="inlineStr">
        <is>
          <t>1600</t>
        </is>
      </c>
      <c r="J368" t="inlineStr">
        <is>
          <t>18</t>
        </is>
      </c>
      <c r="K368" t="inlineStr">
        <is>
          <t>50/50</t>
        </is>
      </c>
      <c r="L368" t="inlineStr">
        <is>
          <t>2021</t>
        </is>
      </c>
      <c r="M368" t="inlineStr">
        <is>
          <t>6.5-7.0</t>
        </is>
      </c>
      <c r="N368" t="inlineStr">
        <is>
          <t>7-9</t>
        </is>
      </c>
      <c r="O368" t="inlineStr">
        <is>
          <t>13.5-16.0</t>
        </is>
      </c>
      <c r="P368" t="inlineStr">
        <is>
          <t>Hartland Intl</t>
        </is>
      </c>
      <c r="Q368" t="inlineStr">
        <is>
          <t>American Hospital</t>
        </is>
      </c>
      <c r="R368" t="inlineStr">
        <is>
          <t>Dubai Mall</t>
        </is>
      </c>
      <c r="S368" t="inlineStr">
        <is>
          <t>Ras Al Khor / E44</t>
        </is>
      </c>
      <c r="T368" t="inlineStr">
        <is>
          <t>12</t>
        </is>
      </c>
      <c r="U368" t="inlineStr">
        <is>
          <t>25</t>
        </is>
      </c>
      <c r="V368" t="inlineStr">
        <is>
          <t>15</t>
        </is>
      </c>
      <c r="W368" t="inlineStr">
        <is>
          <t>40</t>
        </is>
      </c>
      <c r="X368" t="inlineStr">
        <is>
          <t>Guild_real_estate_master.csv</t>
        </is>
      </c>
    </row>
    <row r="369">
      <c r="A369" t="n">
        <v>368</v>
      </c>
      <c r="B369" t="n">
        <v>368</v>
      </c>
      <c r="C369" t="inlineStr">
        <is>
          <t>Azizi Vista</t>
        </is>
      </c>
      <c r="D369" t="inlineStr">
        <is>
          <t>Azizi Developments</t>
        </is>
      </c>
      <c r="E369" t="inlineStr">
        <is>
          <t>Dubai Studio City</t>
        </is>
      </c>
      <c r="F369" t="inlineStr">
        <is>
          <t>Apartments</t>
        </is>
      </c>
      <c r="G369" t="inlineStr">
        <is>
          <t>Low-Rise / Family</t>
        </is>
      </c>
      <c r="H369" t="inlineStr">
        <is>
          <t>700k</t>
        </is>
      </c>
      <c r="I369" t="inlineStr">
        <is>
          <t>1100</t>
        </is>
      </c>
      <c r="J369" t="inlineStr">
        <is>
          <t>14</t>
        </is>
      </c>
      <c r="K369" t="inlineStr">
        <is>
          <t>40/60</t>
        </is>
      </c>
      <c r="L369" t="inlineStr">
        <is>
          <t>2023</t>
        </is>
      </c>
      <c r="M369" t="inlineStr">
        <is>
          <t>7.5-8.0</t>
        </is>
      </c>
      <c r="N369" t="inlineStr">
        <is>
          <t>6-8</t>
        </is>
      </c>
      <c r="O369" t="inlineStr">
        <is>
          <t>13.5-16.0</t>
        </is>
      </c>
      <c r="P369" t="inlineStr">
        <is>
          <t>GEMS Metropole</t>
        </is>
      </c>
      <c r="Q369" t="inlineStr">
        <is>
          <t>Mediclinic Parkview</t>
        </is>
      </c>
      <c r="R369" t="inlineStr">
        <is>
          <t>First Avenue Mall</t>
        </is>
      </c>
      <c r="S369" t="inlineStr">
        <is>
          <t>Hessa St / E311</t>
        </is>
      </c>
      <c r="T369" t="inlineStr">
        <is>
          <t>20</t>
        </is>
      </c>
      <c r="U369" t="inlineStr">
        <is>
          <t>15</t>
        </is>
      </c>
      <c r="V369" t="inlineStr">
        <is>
          <t>25</t>
        </is>
      </c>
      <c r="W369" t="inlineStr">
        <is>
          <t>25</t>
        </is>
      </c>
      <c r="X369" t="inlineStr">
        <is>
          <t>Guild_real_estate_master.csv</t>
        </is>
      </c>
    </row>
    <row r="370">
      <c r="A370" t="n">
        <v>369</v>
      </c>
      <c r="B370" t="n">
        <v>369</v>
      </c>
      <c r="C370" t="inlineStr">
        <is>
          <t>Beach Oasis</t>
        </is>
      </c>
      <c r="D370" t="inlineStr">
        <is>
          <t>Azizi Developments</t>
        </is>
      </c>
      <c r="E370" t="inlineStr">
        <is>
          <t>Dubai Studio City</t>
        </is>
      </c>
      <c r="F370" t="inlineStr">
        <is>
          <t>Apartments</t>
        </is>
      </c>
      <c r="G370" t="inlineStr">
        <is>
          <t>Pool / Low-Rise</t>
        </is>
      </c>
      <c r="H370" t="inlineStr">
        <is>
          <t>750k</t>
        </is>
      </c>
      <c r="I370" t="inlineStr">
        <is>
          <t>1100</t>
        </is>
      </c>
      <c r="J370" t="inlineStr">
        <is>
          <t>14</t>
        </is>
      </c>
      <c r="K370" t="inlineStr">
        <is>
          <t>40/60</t>
        </is>
      </c>
      <c r="L370" t="inlineStr">
        <is>
          <t>2023</t>
        </is>
      </c>
      <c r="M370" t="inlineStr">
        <is>
          <t>7.5-8.0</t>
        </is>
      </c>
      <c r="N370" t="inlineStr">
        <is>
          <t>6-8</t>
        </is>
      </c>
      <c r="O370" t="inlineStr">
        <is>
          <t>13.5-16.0</t>
        </is>
      </c>
      <c r="P370" t="inlineStr">
        <is>
          <t>GEMS Metropole</t>
        </is>
      </c>
      <c r="Q370" t="inlineStr">
        <is>
          <t>Mediclinic Parkview</t>
        </is>
      </c>
      <c r="R370" t="inlineStr">
        <is>
          <t>First Avenue Mall</t>
        </is>
      </c>
      <c r="S370" t="inlineStr">
        <is>
          <t>Hessa St / E311</t>
        </is>
      </c>
      <c r="T370" t="inlineStr">
        <is>
          <t>20</t>
        </is>
      </c>
      <c r="U370" t="inlineStr">
        <is>
          <t>15</t>
        </is>
      </c>
      <c r="V370" t="inlineStr">
        <is>
          <t>25</t>
        </is>
      </c>
      <c r="W370" t="inlineStr">
        <is>
          <t>25</t>
        </is>
      </c>
      <c r="X370" t="inlineStr">
        <is>
          <t>Guild_real_estate_master.csv</t>
        </is>
      </c>
    </row>
    <row r="371">
      <c r="A371" t="n">
        <v>370</v>
      </c>
      <c r="B371" t="n">
        <v>370</v>
      </c>
      <c r="C371" t="inlineStr">
        <is>
          <t>Mina</t>
        </is>
      </c>
      <c r="D371" t="inlineStr">
        <is>
          <t>Azizi Developments</t>
        </is>
      </c>
      <c r="E371" t="inlineStr">
        <is>
          <t>Palm Jumeirah</t>
        </is>
      </c>
      <c r="F371" t="inlineStr">
        <is>
          <t>Apartments</t>
        </is>
      </c>
      <c r="G371" t="inlineStr">
        <is>
          <t>Beachfront / Luxury</t>
        </is>
      </c>
      <c r="H371" t="inlineStr">
        <is>
          <t>Resale (2.5M+)</t>
        </is>
      </c>
      <c r="I371" t="inlineStr">
        <is>
          <t>2500</t>
        </is>
      </c>
      <c r="J371" t="inlineStr">
        <is>
          <t>25</t>
        </is>
      </c>
      <c r="K371" t="inlineStr">
        <is>
          <t>Completed</t>
        </is>
      </c>
      <c r="L371" t="inlineStr">
        <is>
          <t>2017</t>
        </is>
      </c>
      <c r="M371" t="inlineStr">
        <is>
          <t>5.0-5.5</t>
        </is>
      </c>
      <c r="N371" t="inlineStr">
        <is>
          <t>5-7</t>
        </is>
      </c>
      <c r="O371" t="inlineStr">
        <is>
          <t>10.0-12.5</t>
        </is>
      </c>
      <c r="P371" t="inlineStr">
        <is>
          <t>Chevalier College</t>
        </is>
      </c>
      <c r="Q371" t="inlineStr">
        <is>
          <t>Emirates Hospital</t>
        </is>
      </c>
      <c r="R371" t="inlineStr">
        <is>
          <t>Nakheel Mall</t>
        </is>
      </c>
      <c r="S371" t="inlineStr">
        <is>
          <t>Sheikh Zayed E11</t>
        </is>
      </c>
      <c r="T371" t="inlineStr">
        <is>
          <t>20</t>
        </is>
      </c>
      <c r="U371" t="inlineStr">
        <is>
          <t>10</t>
        </is>
      </c>
      <c r="V371" t="inlineStr">
        <is>
          <t>25</t>
        </is>
      </c>
      <c r="W371" t="inlineStr">
        <is>
          <t>35</t>
        </is>
      </c>
      <c r="X371" t="inlineStr">
        <is>
          <t>Guild_real_estate_master.csv</t>
        </is>
      </c>
    </row>
    <row r="372">
      <c r="A372" t="n">
        <v>371</v>
      </c>
      <c r="B372" t="n">
        <v>371</v>
      </c>
      <c r="C372" t="inlineStr">
        <is>
          <t>Berton</t>
        </is>
      </c>
      <c r="D372" t="inlineStr">
        <is>
          <t>Azizi Developments</t>
        </is>
      </c>
      <c r="E372" t="inlineStr">
        <is>
          <t>Al Furjan</t>
        </is>
      </c>
      <c r="F372" t="inlineStr">
        <is>
          <t>Apartments</t>
        </is>
      </c>
      <c r="G372" t="inlineStr">
        <is>
          <t>Modern / Budget</t>
        </is>
      </c>
      <c r="H372" t="inlineStr">
        <is>
          <t>Resale (600k+)</t>
        </is>
      </c>
      <c r="I372" t="inlineStr">
        <is>
          <t>1000</t>
        </is>
      </c>
      <c r="J372" t="inlineStr">
        <is>
          <t>12</t>
        </is>
      </c>
      <c r="K372" t="inlineStr">
        <is>
          <t>Completed</t>
        </is>
      </c>
      <c r="L372" t="inlineStr">
        <is>
          <t>2018</t>
        </is>
      </c>
      <c r="M372" t="inlineStr">
        <is>
          <t>7.0-7.5</t>
        </is>
      </c>
      <c r="N372" t="inlineStr">
        <is>
          <t>5-7</t>
        </is>
      </c>
      <c r="O372" t="inlineStr">
        <is>
          <t>12.0-14.5</t>
        </is>
      </c>
      <c r="P372" t="inlineStr">
        <is>
          <t>The Arbor School</t>
        </is>
      </c>
      <c r="Q372" t="inlineStr">
        <is>
          <t>NMC Royal DIP</t>
        </is>
      </c>
      <c r="R372" t="inlineStr">
        <is>
          <t>Ibn Battuta Mall</t>
        </is>
      </c>
      <c r="S372" t="inlineStr">
        <is>
          <t>Yalayis / E311</t>
        </is>
      </c>
      <c r="T372" t="inlineStr">
        <is>
          <t>25</t>
        </is>
      </c>
      <c r="U372" t="inlineStr">
        <is>
          <t>15</t>
        </is>
      </c>
      <c r="V372" t="inlineStr">
        <is>
          <t>30</t>
        </is>
      </c>
      <c r="W372" t="inlineStr">
        <is>
          <t>20</t>
        </is>
      </c>
      <c r="X372" t="inlineStr">
        <is>
          <t>Guild_real_estate_master.csv</t>
        </is>
      </c>
    </row>
    <row r="373">
      <c r="A373" t="n">
        <v>372</v>
      </c>
      <c r="B373" t="n">
        <v>372</v>
      </c>
      <c r="C373" t="inlineStr">
        <is>
          <t>Aliyah</t>
        </is>
      </c>
      <c r="D373" t="inlineStr">
        <is>
          <t>Azizi Developments</t>
        </is>
      </c>
      <c r="E373" t="inlineStr">
        <is>
          <t>Dubai Healthcare City</t>
        </is>
      </c>
      <c r="F373" t="inlineStr">
        <is>
          <t>Apartments</t>
        </is>
      </c>
      <c r="G373" t="inlineStr">
        <is>
          <t>City / Budget</t>
        </is>
      </c>
      <c r="H373" t="inlineStr">
        <is>
          <t>Resale (800k+)</t>
        </is>
      </c>
      <c r="I373" t="inlineStr">
        <is>
          <t>1100</t>
        </is>
      </c>
      <c r="J373" t="inlineStr">
        <is>
          <t>15</t>
        </is>
      </c>
      <c r="K373" t="inlineStr">
        <is>
          <t>Completed</t>
        </is>
      </c>
      <c r="L373" t="inlineStr">
        <is>
          <t>2016</t>
        </is>
      </c>
      <c r="M373" t="inlineStr">
        <is>
          <t>6.5-7.0</t>
        </is>
      </c>
      <c r="N373" t="inlineStr">
        <is>
          <t>4-6</t>
        </is>
      </c>
      <c r="O373" t="inlineStr">
        <is>
          <t>10.5-13.0</t>
        </is>
      </c>
      <c r="P373" t="inlineStr">
        <is>
          <t>Swiss Intl School</t>
        </is>
      </c>
      <c r="Q373" t="inlineStr">
        <is>
          <t>American Hospital</t>
        </is>
      </c>
      <c r="R373" t="inlineStr">
        <is>
          <t>WAFI Mall</t>
        </is>
      </c>
      <c r="S373" t="inlineStr">
        <is>
          <t>Al Khail E44</t>
        </is>
      </c>
      <c r="T373" t="inlineStr">
        <is>
          <t>10</t>
        </is>
      </c>
      <c r="U373" t="inlineStr">
        <is>
          <t>25</t>
        </is>
      </c>
      <c r="V373" t="inlineStr">
        <is>
          <t>10</t>
        </is>
      </c>
      <c r="W373" t="inlineStr">
        <is>
          <t>40</t>
        </is>
      </c>
      <c r="X373" t="inlineStr">
        <is>
          <t>Guild_real_estate_master.csv</t>
        </is>
      </c>
    </row>
    <row r="374">
      <c r="A374" t="n">
        <v>373</v>
      </c>
      <c r="B374" t="n">
        <v>373</v>
      </c>
      <c r="C374" t="inlineStr">
        <is>
          <t>Tiger Sky Tower</t>
        </is>
      </c>
      <c r="D374" t="inlineStr">
        <is>
          <t>Tiger Group</t>
        </is>
      </c>
      <c r="E374" t="inlineStr">
        <is>
          <t>Business Bay</t>
        </is>
      </c>
      <c r="F374" t="inlineStr">
        <is>
          <t>Apartments</t>
        </is>
      </c>
      <c r="G374" t="inlineStr">
        <is>
          <t>Highest Rainforest</t>
        </is>
      </c>
      <c r="H374" t="inlineStr">
        <is>
          <t>2.2M</t>
        </is>
      </c>
      <c r="I374" t="inlineStr">
        <is>
          <t>2400</t>
        </is>
      </c>
      <c r="J374" t="inlineStr">
        <is>
          <t>20</t>
        </is>
      </c>
      <c r="K374" t="inlineStr">
        <is>
          <t>70/30</t>
        </is>
      </c>
      <c r="L374" t="inlineStr">
        <is>
          <t>2024</t>
        </is>
      </c>
      <c r="M374" t="inlineStr">
        <is>
          <t>6.0-6.5</t>
        </is>
      </c>
      <c r="N374" t="inlineStr">
        <is>
          <t>8-10</t>
        </is>
      </c>
      <c r="O374" t="inlineStr">
        <is>
          <t>14.0-16.5</t>
        </is>
      </c>
      <c r="P374" t="inlineStr">
        <is>
          <t>Hartland Intl</t>
        </is>
      </c>
      <c r="Q374" t="inlineStr">
        <is>
          <t>Emirates Hospital BB</t>
        </is>
      </c>
      <c r="R374" t="inlineStr">
        <is>
          <t>Dubai Mall</t>
        </is>
      </c>
      <c r="S374" t="inlineStr">
        <is>
          <t>Al Khail E44</t>
        </is>
      </c>
      <c r="T374" t="inlineStr">
        <is>
          <t>5</t>
        </is>
      </c>
      <c r="U374" t="inlineStr">
        <is>
          <t>20</t>
        </is>
      </c>
      <c r="V374" t="inlineStr">
        <is>
          <t>15</t>
        </is>
      </c>
      <c r="W374" t="inlineStr">
        <is>
          <t>35</t>
        </is>
      </c>
      <c r="X374" t="inlineStr">
        <is>
          <t>Guild_real_estate_master.csv</t>
        </is>
      </c>
    </row>
    <row r="375">
      <c r="A375" t="n">
        <v>374</v>
      </c>
      <c r="B375" t="n">
        <v>374</v>
      </c>
      <c r="C375" t="inlineStr">
        <is>
          <t>Nobles Tower</t>
        </is>
      </c>
      <c r="D375" t="inlineStr">
        <is>
          <t>Tiger Group</t>
        </is>
      </c>
      <c r="E375" t="inlineStr">
        <is>
          <t>Business Bay</t>
        </is>
      </c>
      <c r="F375" t="inlineStr">
        <is>
          <t>Apartments</t>
        </is>
      </c>
      <c r="G375" t="inlineStr">
        <is>
          <t>City View</t>
        </is>
      </c>
      <c r="H375" t="inlineStr">
        <is>
          <t>1.5M</t>
        </is>
      </c>
      <c r="I375" t="inlineStr">
        <is>
          <t>1800</t>
        </is>
      </c>
      <c r="J375" t="inlineStr">
        <is>
          <t>18</t>
        </is>
      </c>
      <c r="K375" t="inlineStr">
        <is>
          <t>70/30</t>
        </is>
      </c>
      <c r="L375" t="inlineStr">
        <is>
          <t>2020</t>
        </is>
      </c>
      <c r="M375" t="inlineStr">
        <is>
          <t>6.0-6.5</t>
        </is>
      </c>
      <c r="N375" t="inlineStr">
        <is>
          <t>6-8</t>
        </is>
      </c>
      <c r="O375" t="inlineStr">
        <is>
          <t>12.0-14.5</t>
        </is>
      </c>
      <c r="P375" t="inlineStr">
        <is>
          <t>Hartland Intl</t>
        </is>
      </c>
      <c r="Q375" t="inlineStr">
        <is>
          <t>Emirates Hospital BB</t>
        </is>
      </c>
      <c r="R375" t="inlineStr">
        <is>
          <t>Dubai Mall</t>
        </is>
      </c>
      <c r="S375" t="inlineStr">
        <is>
          <t>Al Khail E44</t>
        </is>
      </c>
      <c r="T375" t="inlineStr">
        <is>
          <t>5</t>
        </is>
      </c>
      <c r="U375" t="inlineStr">
        <is>
          <t>20</t>
        </is>
      </c>
      <c r="V375" t="inlineStr">
        <is>
          <t>15</t>
        </is>
      </c>
      <c r="W375" t="inlineStr">
        <is>
          <t>35</t>
        </is>
      </c>
      <c r="X375" t="inlineStr">
        <is>
          <t>Guild_real_estate_master.csv</t>
        </is>
      </c>
    </row>
    <row r="376">
      <c r="A376" t="n">
        <v>375</v>
      </c>
      <c r="B376" t="n">
        <v>375</v>
      </c>
      <c r="C376" t="inlineStr">
        <is>
          <t>Red Square</t>
        </is>
      </c>
      <c r="D376" t="inlineStr">
        <is>
          <t>Tiger Group</t>
        </is>
      </c>
      <c r="E376" t="inlineStr">
        <is>
          <t>JVT</t>
        </is>
      </c>
      <c r="F376" t="inlineStr">
        <is>
          <t>Apartments</t>
        </is>
      </c>
      <c r="G376" t="inlineStr">
        <is>
          <t>Twin Tower</t>
        </is>
      </c>
      <c r="H376" t="inlineStr">
        <is>
          <t>800k</t>
        </is>
      </c>
      <c r="I376" t="inlineStr">
        <is>
          <t>1200</t>
        </is>
      </c>
      <c r="J376" t="inlineStr">
        <is>
          <t>15</t>
        </is>
      </c>
      <c r="K376" t="inlineStr">
        <is>
          <t>70/30</t>
        </is>
      </c>
      <c r="L376" t="inlineStr">
        <is>
          <t>2024</t>
        </is>
      </c>
      <c r="M376" t="inlineStr">
        <is>
          <t>7.0-7.5</t>
        </is>
      </c>
      <c r="N376" t="inlineStr">
        <is>
          <t>6-8</t>
        </is>
      </c>
      <c r="O376" t="inlineStr">
        <is>
          <t>13.0-15.5</t>
        </is>
      </c>
      <c r="P376" t="inlineStr">
        <is>
          <t>Sunmarke School</t>
        </is>
      </c>
      <c r="Q376" t="inlineStr">
        <is>
          <t>NMC Royal DIP</t>
        </is>
      </c>
      <c r="R376" t="inlineStr">
        <is>
          <t>Circle Mall</t>
        </is>
      </c>
      <c r="S376" t="inlineStr">
        <is>
          <t>E311 / Yalayis</t>
        </is>
      </c>
      <c r="T376" t="inlineStr">
        <is>
          <t>20</t>
        </is>
      </c>
      <c r="U376" t="inlineStr">
        <is>
          <t>15</t>
        </is>
      </c>
      <c r="V376" t="inlineStr">
        <is>
          <t>30</t>
        </is>
      </c>
      <c r="W376" t="inlineStr">
        <is>
          <t>20</t>
        </is>
      </c>
      <c r="X376" t="inlineStr">
        <is>
          <t>Guild_real_estate_master.csv</t>
        </is>
      </c>
    </row>
    <row r="377">
      <c r="A377" t="n">
        <v>376</v>
      </c>
      <c r="B377" t="n">
        <v>376</v>
      </c>
      <c r="C377" t="inlineStr">
        <is>
          <t>Renad Tower</t>
        </is>
      </c>
      <c r="D377" t="inlineStr">
        <is>
          <t>Tiger Group</t>
        </is>
      </c>
      <c r="E377" t="inlineStr">
        <is>
          <t>Al Reem Island (AD)</t>
        </is>
      </c>
      <c r="F377" t="inlineStr">
        <is>
          <t>Apartments</t>
        </is>
      </c>
      <c r="G377" t="inlineStr">
        <is>
          <t>Waterfront</t>
        </is>
      </c>
      <c r="H377" t="inlineStr">
        <is>
          <t>900k</t>
        </is>
      </c>
      <c r="I377" t="inlineStr">
        <is>
          <t>1300</t>
        </is>
      </c>
      <c r="J377" t="inlineStr">
        <is>
          <t>15</t>
        </is>
      </c>
      <c r="K377" t="inlineStr">
        <is>
          <t>70/30</t>
        </is>
      </c>
      <c r="L377" t="inlineStr">
        <is>
          <t>2023</t>
        </is>
      </c>
      <c r="M377" t="inlineStr">
        <is>
          <t>6.5-7.0</t>
        </is>
      </c>
      <c r="N377" t="inlineStr">
        <is>
          <t>5-7</t>
        </is>
      </c>
      <c r="O377" t="inlineStr">
        <is>
          <t>11.5-14.0</t>
        </is>
      </c>
      <c r="P377" t="inlineStr">
        <is>
          <t>Repton Abu Dhabi</t>
        </is>
      </c>
      <c r="Q377" t="inlineStr">
        <is>
          <t>Burjeel Hospital</t>
        </is>
      </c>
      <c r="R377" t="inlineStr">
        <is>
          <t>Reem Mall</t>
        </is>
      </c>
      <c r="S377" t="inlineStr">
        <is>
          <t>E10 (Abu Dhabi)</t>
        </is>
      </c>
      <c r="T377" t="inlineStr">
        <is>
          <t>90</t>
        </is>
      </c>
      <c r="U377" t="inlineStr">
        <is>
          <t>75</t>
        </is>
      </c>
      <c r="V377" t="inlineStr">
        <is>
          <t>90</t>
        </is>
      </c>
      <c r="W377" t="inlineStr">
        <is>
          <t>80</t>
        </is>
      </c>
      <c r="X377" t="inlineStr">
        <is>
          <t>Guild_real_estate_master.csv</t>
        </is>
      </c>
    </row>
    <row r="378">
      <c r="A378" t="n">
        <v>377</v>
      </c>
      <c r="B378" t="n">
        <v>377</v>
      </c>
      <c r="C378" t="inlineStr">
        <is>
          <t>Lilium Tower</t>
        </is>
      </c>
      <c r="D378" t="inlineStr">
        <is>
          <t>Tiger Group</t>
        </is>
      </c>
      <c r="E378" t="inlineStr">
        <is>
          <t>JVT</t>
        </is>
      </c>
      <c r="F378" t="inlineStr">
        <is>
          <t>Apartments</t>
        </is>
      </c>
      <c r="G378" t="inlineStr">
        <is>
          <t>Family / Budget</t>
        </is>
      </c>
      <c r="H378" t="inlineStr">
        <is>
          <t>700k</t>
        </is>
      </c>
      <c r="I378" t="inlineStr">
        <is>
          <t>1100</t>
        </is>
      </c>
      <c r="J378" t="inlineStr">
        <is>
          <t>15</t>
        </is>
      </c>
      <c r="K378" t="inlineStr">
        <is>
          <t>70/30</t>
        </is>
      </c>
      <c r="L378" t="inlineStr">
        <is>
          <t>2023</t>
        </is>
      </c>
      <c r="M378" t="inlineStr">
        <is>
          <t>7.0-7.5</t>
        </is>
      </c>
      <c r="N378" t="inlineStr">
        <is>
          <t>6-8</t>
        </is>
      </c>
      <c r="O378" t="inlineStr">
        <is>
          <t>13.0-15.5</t>
        </is>
      </c>
      <c r="P378" t="inlineStr">
        <is>
          <t>Sunmarke School</t>
        </is>
      </c>
      <c r="Q378" t="inlineStr">
        <is>
          <t>NMC Royal DIP</t>
        </is>
      </c>
      <c r="R378" t="inlineStr">
        <is>
          <t>Circle Mall</t>
        </is>
      </c>
      <c r="S378" t="inlineStr">
        <is>
          <t>E311 / Yalayis</t>
        </is>
      </c>
      <c r="T378" t="inlineStr">
        <is>
          <t>20</t>
        </is>
      </c>
      <c r="U378" t="inlineStr">
        <is>
          <t>15</t>
        </is>
      </c>
      <c r="V378" t="inlineStr">
        <is>
          <t>30</t>
        </is>
      </c>
      <c r="W378" t="inlineStr">
        <is>
          <t>20</t>
        </is>
      </c>
      <c r="X378" t="inlineStr">
        <is>
          <t>Guild_real_estate_master.csv</t>
        </is>
      </c>
    </row>
    <row r="379">
      <c r="A379" t="n">
        <v>378</v>
      </c>
      <c r="B379" t="n">
        <v>378</v>
      </c>
      <c r="C379" t="inlineStr">
        <is>
          <t>Seslia Tower</t>
        </is>
      </c>
      <c r="D379" t="inlineStr">
        <is>
          <t>Tiger Group</t>
        </is>
      </c>
      <c r="E379" t="inlineStr">
        <is>
          <t>JVT</t>
        </is>
      </c>
      <c r="F379" t="inlineStr">
        <is>
          <t>Apartments</t>
        </is>
      </c>
      <c r="G379" t="inlineStr">
        <is>
          <t>Family / Budget</t>
        </is>
      </c>
      <c r="H379" t="inlineStr">
        <is>
          <t>700k</t>
        </is>
      </c>
      <c r="I379" t="inlineStr">
        <is>
          <t>1100</t>
        </is>
      </c>
      <c r="J379" t="inlineStr">
        <is>
          <t>15</t>
        </is>
      </c>
      <c r="K379" t="inlineStr">
        <is>
          <t>70/30</t>
        </is>
      </c>
      <c r="L379" t="inlineStr">
        <is>
          <t>2022</t>
        </is>
      </c>
      <c r="M379" t="inlineStr">
        <is>
          <t>7.0-7.5</t>
        </is>
      </c>
      <c r="N379" t="inlineStr">
        <is>
          <t>6-8</t>
        </is>
      </c>
      <c r="O379" t="inlineStr">
        <is>
          <t>13.0-15.5</t>
        </is>
      </c>
      <c r="P379" t="inlineStr">
        <is>
          <t>Sunmarke School</t>
        </is>
      </c>
      <c r="Q379" t="inlineStr">
        <is>
          <t>NMC Royal DIP</t>
        </is>
      </c>
      <c r="R379" t="inlineStr">
        <is>
          <t>Circle Mall</t>
        </is>
      </c>
      <c r="S379" t="inlineStr">
        <is>
          <t>E311 / Yalayis</t>
        </is>
      </c>
      <c r="T379" t="inlineStr">
        <is>
          <t>20</t>
        </is>
      </c>
      <c r="U379" t="inlineStr">
        <is>
          <t>15</t>
        </is>
      </c>
      <c r="V379" t="inlineStr">
        <is>
          <t>30</t>
        </is>
      </c>
      <c r="W379" t="inlineStr">
        <is>
          <t>20</t>
        </is>
      </c>
      <c r="X379" t="inlineStr">
        <is>
          <t>Guild_real_estate_master.csv</t>
        </is>
      </c>
    </row>
    <row r="380">
      <c r="A380" t="n">
        <v>379</v>
      </c>
      <c r="B380" t="n">
        <v>379</v>
      </c>
      <c r="C380" t="inlineStr">
        <is>
          <t>Cloud Tower</t>
        </is>
      </c>
      <c r="D380" t="inlineStr">
        <is>
          <t>Tiger Group</t>
        </is>
      </c>
      <c r="E380" t="inlineStr">
        <is>
          <t>JVT</t>
        </is>
      </c>
      <c r="F380" t="inlineStr">
        <is>
          <t>Apartments</t>
        </is>
      </c>
      <c r="G380" t="inlineStr">
        <is>
          <t>Twin Tower</t>
        </is>
      </c>
      <c r="H380" t="inlineStr">
        <is>
          <t>750k</t>
        </is>
      </c>
      <c r="I380" t="inlineStr">
        <is>
          <t>1100</t>
        </is>
      </c>
      <c r="J380" t="inlineStr">
        <is>
          <t>15</t>
        </is>
      </c>
      <c r="K380" t="inlineStr">
        <is>
          <t>70/30</t>
        </is>
      </c>
      <c r="L380" t="inlineStr">
        <is>
          <t>2022</t>
        </is>
      </c>
      <c r="M380" t="inlineStr">
        <is>
          <t>7.0-7.5</t>
        </is>
      </c>
      <c r="N380" t="inlineStr">
        <is>
          <t>6-8</t>
        </is>
      </c>
      <c r="O380" t="inlineStr">
        <is>
          <t>13.0-15.5</t>
        </is>
      </c>
      <c r="P380" t="inlineStr">
        <is>
          <t>Sunmarke School</t>
        </is>
      </c>
      <c r="Q380" t="inlineStr">
        <is>
          <t>NMC Royal DIP</t>
        </is>
      </c>
      <c r="R380" t="inlineStr">
        <is>
          <t>Circle Mall</t>
        </is>
      </c>
      <c r="S380" t="inlineStr">
        <is>
          <t>E311 / Yalayis</t>
        </is>
      </c>
      <c r="T380" t="inlineStr">
        <is>
          <t>20</t>
        </is>
      </c>
      <c r="U380" t="inlineStr">
        <is>
          <t>15</t>
        </is>
      </c>
      <c r="V380" t="inlineStr">
        <is>
          <t>30</t>
        </is>
      </c>
      <c r="W380" t="inlineStr">
        <is>
          <t>20</t>
        </is>
      </c>
      <c r="X380" t="inlineStr">
        <is>
          <t>Guild_real_estate_master.csv</t>
        </is>
      </c>
    </row>
    <row r="381">
      <c r="A381" t="n">
        <v>380</v>
      </c>
      <c r="B381" t="n">
        <v>380</v>
      </c>
      <c r="C381" t="inlineStr">
        <is>
          <t>Neva Residences</t>
        </is>
      </c>
      <c r="D381" t="inlineStr">
        <is>
          <t>Tiger Group</t>
        </is>
      </c>
      <c r="E381" t="inlineStr">
        <is>
          <t>JVC</t>
        </is>
      </c>
      <c r="F381" t="inlineStr">
        <is>
          <t>Apartments</t>
        </is>
      </c>
      <c r="G381" t="inlineStr">
        <is>
          <t>Budget / High-Rise</t>
        </is>
      </c>
      <c r="H381" t="inlineStr">
        <is>
          <t>700k</t>
        </is>
      </c>
      <c r="I381" t="inlineStr">
        <is>
          <t>1100</t>
        </is>
      </c>
      <c r="J381" t="inlineStr">
        <is>
          <t>15</t>
        </is>
      </c>
      <c r="K381" t="inlineStr">
        <is>
          <t>70/30</t>
        </is>
      </c>
      <c r="L381" t="inlineStr">
        <is>
          <t>2022</t>
        </is>
      </c>
      <c r="M381" t="inlineStr">
        <is>
          <t>7.5-8.0</t>
        </is>
      </c>
      <c r="N381" t="inlineStr">
        <is>
          <t>6-8</t>
        </is>
      </c>
      <c r="O381" t="inlineStr">
        <is>
          <t>13.5-16.0</t>
        </is>
      </c>
      <c r="P381" t="inlineStr">
        <is>
          <t>JSS International</t>
        </is>
      </c>
      <c r="Q381" t="inlineStr">
        <is>
          <t>Saudi German Hospital</t>
        </is>
      </c>
      <c r="R381" t="inlineStr">
        <is>
          <t>Circle Mall</t>
        </is>
      </c>
      <c r="S381" t="inlineStr">
        <is>
          <t>Hessa St / E44</t>
        </is>
      </c>
      <c r="T381" t="inlineStr">
        <is>
          <t>20</t>
        </is>
      </c>
      <c r="U381" t="inlineStr">
        <is>
          <t>15</t>
        </is>
      </c>
      <c r="V381" t="inlineStr">
        <is>
          <t>25</t>
        </is>
      </c>
      <c r="W381" t="inlineStr">
        <is>
          <t>30</t>
        </is>
      </c>
      <c r="X381" t="inlineStr">
        <is>
          <t>Guild_real_estate_master.csv</t>
        </is>
      </c>
    </row>
    <row r="382">
      <c r="A382" t="n">
        <v>381</v>
      </c>
      <c r="B382" t="n">
        <v>381</v>
      </c>
      <c r="C382" t="inlineStr">
        <is>
          <t>Elbrus Tower</t>
        </is>
      </c>
      <c r="D382" t="inlineStr">
        <is>
          <t>Tiger Group</t>
        </is>
      </c>
      <c r="E382" t="inlineStr">
        <is>
          <t>JVT</t>
        </is>
      </c>
      <c r="F382" t="inlineStr">
        <is>
          <t>Apartments</t>
        </is>
      </c>
      <c r="G382" t="inlineStr">
        <is>
          <t>Family / Budget</t>
        </is>
      </c>
      <c r="H382" t="inlineStr">
        <is>
          <t>750k</t>
        </is>
      </c>
      <c r="I382" t="inlineStr">
        <is>
          <t>1100</t>
        </is>
      </c>
      <c r="J382" t="inlineStr">
        <is>
          <t>15</t>
        </is>
      </c>
      <c r="K382" t="inlineStr">
        <is>
          <t>70/30</t>
        </is>
      </c>
      <c r="L382" t="inlineStr">
        <is>
          <t>2023</t>
        </is>
      </c>
      <c r="M382" t="inlineStr">
        <is>
          <t>7.0-7.5</t>
        </is>
      </c>
      <c r="N382" t="inlineStr">
        <is>
          <t>6-8</t>
        </is>
      </c>
      <c r="O382" t="inlineStr">
        <is>
          <t>13.0-15.5</t>
        </is>
      </c>
      <c r="P382" t="inlineStr">
        <is>
          <t>Sunmarke School</t>
        </is>
      </c>
      <c r="Q382" t="inlineStr">
        <is>
          <t>NMC Royal DIP</t>
        </is>
      </c>
      <c r="R382" t="inlineStr">
        <is>
          <t>Circle Mall</t>
        </is>
      </c>
      <c r="S382" t="inlineStr">
        <is>
          <t>E311 / Yalayis</t>
        </is>
      </c>
      <c r="T382" t="inlineStr">
        <is>
          <t>20</t>
        </is>
      </c>
      <c r="U382" t="inlineStr">
        <is>
          <t>15</t>
        </is>
      </c>
      <c r="V382" t="inlineStr">
        <is>
          <t>30</t>
        </is>
      </c>
      <c r="W382" t="inlineStr">
        <is>
          <t>20</t>
        </is>
      </c>
      <c r="X382" t="inlineStr">
        <is>
          <t>Guild_real_estate_master.csv</t>
        </is>
      </c>
    </row>
    <row r="383">
      <c r="A383" t="n">
        <v>382</v>
      </c>
      <c r="B383" t="n">
        <v>382</v>
      </c>
      <c r="C383" t="inlineStr">
        <is>
          <t>Al Tai</t>
        </is>
      </c>
      <c r="D383" t="inlineStr">
        <is>
          <t>Tiger Group</t>
        </is>
      </c>
      <c r="E383" t="inlineStr">
        <is>
          <t>JVT</t>
        </is>
      </c>
      <c r="F383" t="inlineStr">
        <is>
          <t>Apartments</t>
        </is>
      </c>
      <c r="G383" t="inlineStr">
        <is>
          <t>Family / Budget</t>
        </is>
      </c>
      <c r="H383" t="inlineStr">
        <is>
          <t>750k</t>
        </is>
      </c>
      <c r="I383" t="inlineStr">
        <is>
          <t>1100</t>
        </is>
      </c>
      <c r="J383" t="inlineStr">
        <is>
          <t>15</t>
        </is>
      </c>
      <c r="K383" t="inlineStr">
        <is>
          <t>70/30</t>
        </is>
      </c>
      <c r="L383" t="inlineStr">
        <is>
          <t>2023</t>
        </is>
      </c>
      <c r="M383" t="inlineStr">
        <is>
          <t>7.0-7.5</t>
        </is>
      </c>
      <c r="N383" t="inlineStr">
        <is>
          <t>6-8</t>
        </is>
      </c>
      <c r="O383" t="inlineStr">
        <is>
          <t>13.0-15.5</t>
        </is>
      </c>
      <c r="P383" t="inlineStr">
        <is>
          <t>Sunmarke School</t>
        </is>
      </c>
      <c r="Q383" t="inlineStr">
        <is>
          <t>NMC Royal DIP</t>
        </is>
      </c>
      <c r="R383" t="inlineStr">
        <is>
          <t>Circle Mall</t>
        </is>
      </c>
      <c r="S383" t="inlineStr">
        <is>
          <t>E311 / Yalayis</t>
        </is>
      </c>
      <c r="T383" t="inlineStr">
        <is>
          <t>20</t>
        </is>
      </c>
      <c r="U383" t="inlineStr">
        <is>
          <t>15</t>
        </is>
      </c>
      <c r="V383" t="inlineStr">
        <is>
          <t>30</t>
        </is>
      </c>
      <c r="W383" t="inlineStr">
        <is>
          <t>20</t>
        </is>
      </c>
      <c r="X383" t="inlineStr">
        <is>
          <t>Guild_real_estate_master.csv</t>
        </is>
      </c>
    </row>
    <row r="384">
      <c r="A384" t="n">
        <v>383</v>
      </c>
      <c r="B384" t="n">
        <v>383</v>
      </c>
      <c r="C384" t="inlineStr">
        <is>
          <t>Faradis</t>
        </is>
      </c>
      <c r="D384" t="inlineStr">
        <is>
          <t>Tiger Group</t>
        </is>
      </c>
      <c r="E384" t="inlineStr">
        <is>
          <t>Sharjah (Mamsha)</t>
        </is>
      </c>
      <c r="F384" t="inlineStr">
        <is>
          <t>Apartments</t>
        </is>
      </c>
      <c r="G384" t="inlineStr">
        <is>
          <t>Beachfront (Sharjah)</t>
        </is>
      </c>
      <c r="H384" t="inlineStr">
        <is>
          <t>800k</t>
        </is>
      </c>
      <c r="I384" t="inlineStr">
        <is>
          <t>1000</t>
        </is>
      </c>
      <c r="J384" t="inlineStr">
        <is>
          <t>TBA</t>
        </is>
      </c>
      <c r="K384" t="inlineStr">
        <is>
          <t>70/30</t>
        </is>
      </c>
      <c r="L384" t="inlineStr">
        <is>
          <t>2024</t>
        </is>
      </c>
      <c r="M384" t="inlineStr">
        <is>
          <t>6.0-6.5</t>
        </is>
      </c>
      <c r="N384" t="inlineStr">
        <is>
          <t>5-7</t>
        </is>
      </c>
      <c r="O384" t="inlineStr">
        <is>
          <t>11.0-13.5</t>
        </is>
      </c>
      <c r="P384" t="inlineStr">
        <is>
          <t>Victoria Intl</t>
        </is>
      </c>
      <c r="Q384" t="inlineStr">
        <is>
          <t>Al Qassimi Hospital</t>
        </is>
      </c>
      <c r="R384" t="inlineStr">
        <is>
          <t>Sahara Centre</t>
        </is>
      </c>
      <c r="S384" t="inlineStr">
        <is>
          <t>E11 (Sharjah)</t>
        </is>
      </c>
      <c r="T384" t="inlineStr">
        <is>
          <t>30</t>
        </is>
      </c>
      <c r="U384" t="inlineStr">
        <is>
          <t>45</t>
        </is>
      </c>
      <c r="V384" t="inlineStr">
        <is>
          <t>20</t>
        </is>
      </c>
      <c r="W384" t="inlineStr">
        <is>
          <t>55</t>
        </is>
      </c>
      <c r="X384" t="inlineStr">
        <is>
          <t>Guild_real_estate_master.csv</t>
        </is>
      </c>
    </row>
    <row r="385">
      <c r="A385" t="n">
        <v>384</v>
      </c>
      <c r="B385" t="n">
        <v>384</v>
      </c>
      <c r="C385" t="inlineStr">
        <is>
          <t>Samana Barari Views</t>
        </is>
      </c>
      <c r="D385" t="inlineStr">
        <is>
          <t>Samana Developers</t>
        </is>
      </c>
      <c r="E385" t="inlineStr">
        <is>
          <t>Al Barari</t>
        </is>
      </c>
      <c r="F385" t="inlineStr">
        <is>
          <t>Apartments</t>
        </is>
      </c>
      <c r="G385" t="inlineStr">
        <is>
          <t>Nature / Private Pool</t>
        </is>
      </c>
      <c r="H385" t="inlineStr">
        <is>
          <t>1.8M</t>
        </is>
      </c>
      <c r="I385" t="inlineStr">
        <is>
          <t>1600</t>
        </is>
      </c>
      <c r="J385" t="inlineStr">
        <is>
          <t>18</t>
        </is>
      </c>
      <c r="K385" t="inlineStr">
        <is>
          <t>1% Monthly</t>
        </is>
      </c>
      <c r="L385" t="inlineStr">
        <is>
          <t>2023</t>
        </is>
      </c>
      <c r="M385" t="inlineStr">
        <is>
          <t>6.5-7.0</t>
        </is>
      </c>
      <c r="N385" t="inlineStr">
        <is>
          <t>8-10</t>
        </is>
      </c>
      <c r="O385" t="inlineStr">
        <is>
          <t>14.5-17.0</t>
        </is>
      </c>
      <c r="P385" t="inlineStr">
        <is>
          <t>Dunecrest American</t>
        </is>
      </c>
      <c r="Q385" t="inlineStr">
        <is>
          <t>Saudi German Hospital</t>
        </is>
      </c>
      <c r="R385" t="inlineStr">
        <is>
          <t>Silicon Central</t>
        </is>
      </c>
      <c r="S385" t="inlineStr">
        <is>
          <t>E311 / E66</t>
        </is>
      </c>
      <c r="T385" t="inlineStr">
        <is>
          <t>20</t>
        </is>
      </c>
      <c r="U385" t="inlineStr">
        <is>
          <t>30</t>
        </is>
      </c>
      <c r="V385" t="inlineStr">
        <is>
          <t>20</t>
        </is>
      </c>
      <c r="W385" t="inlineStr">
        <is>
          <t>35</t>
        </is>
      </c>
      <c r="X385" t="inlineStr">
        <is>
          <t>Guild_real_estate_master.csv</t>
        </is>
      </c>
    </row>
    <row r="386">
      <c r="A386" t="n">
        <v>385</v>
      </c>
      <c r="B386" t="n">
        <v>385</v>
      </c>
      <c r="C386" t="inlineStr">
        <is>
          <t>Samana Barari Lagoons</t>
        </is>
      </c>
      <c r="D386" t="inlineStr">
        <is>
          <t>Samana Developers</t>
        </is>
      </c>
      <c r="E386" t="inlineStr">
        <is>
          <t>Al Barari</t>
        </is>
      </c>
      <c r="F386" t="inlineStr">
        <is>
          <t>Apartments</t>
        </is>
      </c>
      <c r="G386" t="inlineStr">
        <is>
          <t>Nature / Private Pool</t>
        </is>
      </c>
      <c r="H386" t="inlineStr">
        <is>
          <t>1.9M</t>
        </is>
      </c>
      <c r="I386" t="inlineStr">
        <is>
          <t>1650</t>
        </is>
      </c>
      <c r="J386" t="inlineStr">
        <is>
          <t>18</t>
        </is>
      </c>
      <c r="K386" t="inlineStr">
        <is>
          <t>1% Monthly</t>
        </is>
      </c>
      <c r="L386" t="inlineStr">
        <is>
          <t>2024</t>
        </is>
      </c>
      <c r="M386" t="inlineStr">
        <is>
          <t>6.5-7.0</t>
        </is>
      </c>
      <c r="N386" t="inlineStr">
        <is>
          <t>8-10</t>
        </is>
      </c>
      <c r="O386" t="inlineStr">
        <is>
          <t>14.5-17.0</t>
        </is>
      </c>
      <c r="P386" t="inlineStr">
        <is>
          <t>Dunecrest American</t>
        </is>
      </c>
      <c r="Q386" t="inlineStr">
        <is>
          <t>Saudi German Hospital</t>
        </is>
      </c>
      <c r="R386" t="inlineStr">
        <is>
          <t>Silicon Central</t>
        </is>
      </c>
      <c r="S386" t="inlineStr">
        <is>
          <t>E311 / E66</t>
        </is>
      </c>
      <c r="T386" t="inlineStr">
        <is>
          <t>20</t>
        </is>
      </c>
      <c r="U386" t="inlineStr">
        <is>
          <t>30</t>
        </is>
      </c>
      <c r="V386" t="inlineStr">
        <is>
          <t>20</t>
        </is>
      </c>
      <c r="W386" t="inlineStr">
        <is>
          <t>35</t>
        </is>
      </c>
      <c r="X386" t="inlineStr">
        <is>
          <t>Guild_real_estate_master.csv</t>
        </is>
      </c>
    </row>
    <row r="387">
      <c r="A387" t="n">
        <v>386</v>
      </c>
      <c r="B387" t="n">
        <v>386</v>
      </c>
      <c r="C387" t="inlineStr">
        <is>
          <t>Samana Ivy Gardens 1</t>
        </is>
      </c>
      <c r="D387" t="inlineStr">
        <is>
          <t>Samana Developers</t>
        </is>
      </c>
      <c r="E387" t="inlineStr">
        <is>
          <t>Dubailand</t>
        </is>
      </c>
      <c r="F387" t="inlineStr">
        <is>
          <t>Apartments</t>
        </is>
      </c>
      <c r="G387" t="inlineStr">
        <is>
          <t>Garden / Pool</t>
        </is>
      </c>
      <c r="H387" t="inlineStr">
        <is>
          <t>900k</t>
        </is>
      </c>
      <c r="I387" t="inlineStr">
        <is>
          <t>1300</t>
        </is>
      </c>
      <c r="J387" t="inlineStr">
        <is>
          <t>15</t>
        </is>
      </c>
      <c r="K387" t="inlineStr">
        <is>
          <t>1% Monthly</t>
        </is>
      </c>
      <c r="L387" t="inlineStr">
        <is>
          <t>2023</t>
        </is>
      </c>
      <c r="M387" t="inlineStr">
        <is>
          <t>7.0-7.5</t>
        </is>
      </c>
      <c r="N387" t="inlineStr">
        <is>
          <t>6-8</t>
        </is>
      </c>
      <c r="O387" t="inlineStr">
        <is>
          <t>13.0-15.5</t>
        </is>
      </c>
      <c r="P387" t="inlineStr">
        <is>
          <t>GEMS Winchester</t>
        </is>
      </c>
      <c r="Q387" t="inlineStr">
        <is>
          <t>Fakeeh University Hosp</t>
        </is>
      </c>
      <c r="R387" t="inlineStr">
        <is>
          <t>Dubai Outlet Mall</t>
        </is>
      </c>
      <c r="S387" t="inlineStr">
        <is>
          <t>E611 / Al Ain Rd</t>
        </is>
      </c>
      <c r="T387" t="inlineStr">
        <is>
          <t>20</t>
        </is>
      </c>
      <c r="U387" t="inlineStr">
        <is>
          <t>25</t>
        </is>
      </c>
      <c r="V387" t="inlineStr">
        <is>
          <t>25</t>
        </is>
      </c>
      <c r="W387" t="inlineStr">
        <is>
          <t>30</t>
        </is>
      </c>
      <c r="X387" t="inlineStr">
        <is>
          <t>Guild_real_estate_master.csv</t>
        </is>
      </c>
    </row>
    <row r="388">
      <c r="A388" t="n">
        <v>387</v>
      </c>
      <c r="B388" t="n">
        <v>387</v>
      </c>
      <c r="C388" t="inlineStr">
        <is>
          <t>Samana Ivy Gardens 2</t>
        </is>
      </c>
      <c r="D388" t="inlineStr">
        <is>
          <t>Samana Developers</t>
        </is>
      </c>
      <c r="E388" t="inlineStr">
        <is>
          <t>Dubailand</t>
        </is>
      </c>
      <c r="F388" t="inlineStr">
        <is>
          <t>Apartments</t>
        </is>
      </c>
      <c r="G388" t="inlineStr">
        <is>
          <t>Garden / Pool</t>
        </is>
      </c>
      <c r="H388" t="inlineStr">
        <is>
          <t>950k</t>
        </is>
      </c>
      <c r="I388" t="inlineStr">
        <is>
          <t>1350</t>
        </is>
      </c>
      <c r="J388" t="inlineStr">
        <is>
          <t>15</t>
        </is>
      </c>
      <c r="K388" t="inlineStr">
        <is>
          <t>1% Monthly</t>
        </is>
      </c>
      <c r="L388" t="inlineStr">
        <is>
          <t>2024</t>
        </is>
      </c>
      <c r="M388" t="inlineStr">
        <is>
          <t>7.0-7.5</t>
        </is>
      </c>
      <c r="N388" t="inlineStr">
        <is>
          <t>6-8</t>
        </is>
      </c>
      <c r="O388" t="inlineStr">
        <is>
          <t>13.0-15.5</t>
        </is>
      </c>
      <c r="P388" t="inlineStr">
        <is>
          <t>GEMS Winchester</t>
        </is>
      </c>
      <c r="Q388" t="inlineStr">
        <is>
          <t>Fakeeh University Hosp</t>
        </is>
      </c>
      <c r="R388" t="inlineStr">
        <is>
          <t>Dubai Outlet Mall</t>
        </is>
      </c>
      <c r="S388" t="inlineStr">
        <is>
          <t>E611 / Al Ain Rd</t>
        </is>
      </c>
      <c r="T388" t="inlineStr">
        <is>
          <t>20</t>
        </is>
      </c>
      <c r="U388" t="inlineStr">
        <is>
          <t>25</t>
        </is>
      </c>
      <c r="V388" t="inlineStr">
        <is>
          <t>25</t>
        </is>
      </c>
      <c r="W388" t="inlineStr">
        <is>
          <t>30</t>
        </is>
      </c>
      <c r="X388" t="inlineStr">
        <is>
          <t>Guild_real_estate_master.csv</t>
        </is>
      </c>
    </row>
    <row r="389">
      <c r="A389" t="n">
        <v>388</v>
      </c>
      <c r="B389" t="n">
        <v>388</v>
      </c>
      <c r="C389" t="inlineStr">
        <is>
          <t>Samana Ocean Bay</t>
        </is>
      </c>
      <c r="D389" t="inlineStr">
        <is>
          <t>Samana Developers</t>
        </is>
      </c>
      <c r="E389" t="inlineStr">
        <is>
          <t>Dubai Islands</t>
        </is>
      </c>
      <c r="F389" t="inlineStr">
        <is>
          <t>Apartments</t>
        </is>
      </c>
      <c r="G389" t="inlineStr">
        <is>
          <t>Beach / Pool</t>
        </is>
      </c>
      <c r="H389" t="inlineStr">
        <is>
          <t>1.8M</t>
        </is>
      </c>
      <c r="I389" t="inlineStr">
        <is>
          <t>1800</t>
        </is>
      </c>
      <c r="J389" t="inlineStr">
        <is>
          <t>18</t>
        </is>
      </c>
      <c r="K389" t="inlineStr">
        <is>
          <t>1% Monthly</t>
        </is>
      </c>
      <c r="L389" t="inlineStr">
        <is>
          <t>2024</t>
        </is>
      </c>
      <c r="M389" t="inlineStr">
        <is>
          <t>6.0-6.5</t>
        </is>
      </c>
      <c r="N389" t="inlineStr">
        <is>
          <t>10-12</t>
        </is>
      </c>
      <c r="O389" t="inlineStr">
        <is>
          <t>16.0-18.5</t>
        </is>
      </c>
      <c r="P389" t="inlineStr">
        <is>
          <t>The Elite English</t>
        </is>
      </c>
      <c r="Q389" t="inlineStr">
        <is>
          <t>Dubai Hospital</t>
        </is>
      </c>
      <c r="R389" t="inlineStr">
        <is>
          <t>City Centre Deira</t>
        </is>
      </c>
      <c r="S389" t="inlineStr">
        <is>
          <t>Infinity Bridge</t>
        </is>
      </c>
      <c r="T389" t="inlineStr">
        <is>
          <t>20</t>
        </is>
      </c>
      <c r="U389" t="inlineStr">
        <is>
          <t>35</t>
        </is>
      </c>
      <c r="V389" t="inlineStr">
        <is>
          <t>15</t>
        </is>
      </c>
      <c r="W389" t="inlineStr">
        <is>
          <t>45</t>
        </is>
      </c>
      <c r="X389" t="inlineStr">
        <is>
          <t>Guild_real_estate_master.csv</t>
        </is>
      </c>
    </row>
    <row r="390">
      <c r="A390" t="n">
        <v>389</v>
      </c>
      <c r="B390" t="n">
        <v>389</v>
      </c>
      <c r="C390" t="inlineStr">
        <is>
          <t>Samana California 1</t>
        </is>
      </c>
      <c r="D390" t="inlineStr">
        <is>
          <t>Samana Developers</t>
        </is>
      </c>
      <c r="E390" t="inlineStr">
        <is>
          <t>Al Furjan</t>
        </is>
      </c>
      <c r="F390" t="inlineStr">
        <is>
          <t>Apartments</t>
        </is>
      </c>
      <c r="G390" t="inlineStr">
        <is>
          <t>California Style</t>
        </is>
      </c>
      <c r="H390" t="inlineStr">
        <is>
          <t>1.0M</t>
        </is>
      </c>
      <c r="I390" t="inlineStr">
        <is>
          <t>1300</t>
        </is>
      </c>
      <c r="J390" t="inlineStr">
        <is>
          <t>15</t>
        </is>
      </c>
      <c r="K390" t="inlineStr">
        <is>
          <t>1% Monthly</t>
        </is>
      </c>
      <c r="L390" t="inlineStr">
        <is>
          <t>2023</t>
        </is>
      </c>
      <c r="M390" t="inlineStr">
        <is>
          <t>7.0-7.5</t>
        </is>
      </c>
      <c r="N390" t="inlineStr">
        <is>
          <t>6-8</t>
        </is>
      </c>
      <c r="O390" t="inlineStr">
        <is>
          <t>13.0-15.5</t>
        </is>
      </c>
      <c r="P390" t="inlineStr">
        <is>
          <t>The Arbor School</t>
        </is>
      </c>
      <c r="Q390" t="inlineStr">
        <is>
          <t>NMC Royal DIP</t>
        </is>
      </c>
      <c r="R390" t="inlineStr">
        <is>
          <t>Ibn Battuta Mall</t>
        </is>
      </c>
      <c r="S390" t="inlineStr">
        <is>
          <t>Yalayis / E311</t>
        </is>
      </c>
      <c r="T390" t="inlineStr">
        <is>
          <t>25</t>
        </is>
      </c>
      <c r="U390" t="inlineStr">
        <is>
          <t>15</t>
        </is>
      </c>
      <c r="V390" t="inlineStr">
        <is>
          <t>30</t>
        </is>
      </c>
      <c r="W390" t="inlineStr">
        <is>
          <t>20</t>
        </is>
      </c>
      <c r="X390" t="inlineStr">
        <is>
          <t>Guild_real_estate_master.csv</t>
        </is>
      </c>
    </row>
    <row r="391">
      <c r="A391" t="n">
        <v>390</v>
      </c>
      <c r="B391" t="n">
        <v>390</v>
      </c>
      <c r="C391" t="inlineStr">
        <is>
          <t>Samana California 2</t>
        </is>
      </c>
      <c r="D391" t="inlineStr">
        <is>
          <t>Samana Developers</t>
        </is>
      </c>
      <c r="E391" t="inlineStr">
        <is>
          <t>Al Furjan</t>
        </is>
      </c>
      <c r="F391" t="inlineStr">
        <is>
          <t>Apartments</t>
        </is>
      </c>
      <c r="G391" t="inlineStr">
        <is>
          <t>California Style</t>
        </is>
      </c>
      <c r="H391" t="inlineStr">
        <is>
          <t>1.1M</t>
        </is>
      </c>
      <c r="I391" t="inlineStr">
        <is>
          <t>1300</t>
        </is>
      </c>
      <c r="J391" t="inlineStr">
        <is>
          <t>15</t>
        </is>
      </c>
      <c r="K391" t="inlineStr">
        <is>
          <t>1% Monthly</t>
        </is>
      </c>
      <c r="L391" t="inlineStr">
        <is>
          <t>2023</t>
        </is>
      </c>
      <c r="M391" t="inlineStr">
        <is>
          <t>7.0-7.5</t>
        </is>
      </c>
      <c r="N391" t="inlineStr">
        <is>
          <t>6-8</t>
        </is>
      </c>
      <c r="O391" t="inlineStr">
        <is>
          <t>13.0-15.5</t>
        </is>
      </c>
      <c r="P391" t="inlineStr">
        <is>
          <t>The Arbor School</t>
        </is>
      </c>
      <c r="Q391" t="inlineStr">
        <is>
          <t>NMC Royal DIP</t>
        </is>
      </c>
      <c r="R391" t="inlineStr">
        <is>
          <t>Ibn Battuta Mall</t>
        </is>
      </c>
      <c r="S391" t="inlineStr">
        <is>
          <t>Yalayis / E311</t>
        </is>
      </c>
      <c r="T391" t="inlineStr">
        <is>
          <t>25</t>
        </is>
      </c>
      <c r="U391" t="inlineStr">
        <is>
          <t>15</t>
        </is>
      </c>
      <c r="V391" t="inlineStr">
        <is>
          <t>30</t>
        </is>
      </c>
      <c r="W391" t="inlineStr">
        <is>
          <t>20</t>
        </is>
      </c>
      <c r="X391" t="inlineStr">
        <is>
          <t>Guild_real_estate_master.csv</t>
        </is>
      </c>
    </row>
    <row r="392">
      <c r="A392" t="n">
        <v>391</v>
      </c>
      <c r="B392" t="n">
        <v>391</v>
      </c>
      <c r="C392" t="inlineStr">
        <is>
          <t>Samana Miami 1</t>
        </is>
      </c>
      <c r="D392" t="inlineStr">
        <is>
          <t>Samana Developers</t>
        </is>
      </c>
      <c r="E392" t="inlineStr">
        <is>
          <t>JVC</t>
        </is>
      </c>
      <c r="F392" t="inlineStr">
        <is>
          <t>Apartments</t>
        </is>
      </c>
      <c r="G392" t="inlineStr">
        <is>
          <t>Miami Style</t>
        </is>
      </c>
      <c r="H392" t="inlineStr">
        <is>
          <t>900k</t>
        </is>
      </c>
      <c r="I392" t="inlineStr">
        <is>
          <t>1300</t>
        </is>
      </c>
      <c r="J392" t="inlineStr">
        <is>
          <t>15</t>
        </is>
      </c>
      <c r="K392" t="inlineStr">
        <is>
          <t>1% Monthly</t>
        </is>
      </c>
      <c r="L392" t="inlineStr">
        <is>
          <t>2022</t>
        </is>
      </c>
      <c r="M392" t="inlineStr">
        <is>
          <t>7.5-8.0</t>
        </is>
      </c>
      <c r="N392" t="inlineStr">
        <is>
          <t>6-8</t>
        </is>
      </c>
      <c r="O392" t="inlineStr">
        <is>
          <t>13.5-16.0</t>
        </is>
      </c>
      <c r="P392" t="inlineStr">
        <is>
          <t>JSS International</t>
        </is>
      </c>
      <c r="Q392" t="inlineStr">
        <is>
          <t>Saudi German Hospital</t>
        </is>
      </c>
      <c r="R392" t="inlineStr">
        <is>
          <t>Circle Mall</t>
        </is>
      </c>
      <c r="S392" t="inlineStr">
        <is>
          <t>Hessa St / E44</t>
        </is>
      </c>
      <c r="T392" t="inlineStr">
        <is>
          <t>20</t>
        </is>
      </c>
      <c r="U392" t="inlineStr">
        <is>
          <t>15</t>
        </is>
      </c>
      <c r="V392" t="inlineStr">
        <is>
          <t>25</t>
        </is>
      </c>
      <c r="W392" t="inlineStr">
        <is>
          <t>30</t>
        </is>
      </c>
      <c r="X392" t="inlineStr">
        <is>
          <t>Guild_real_estate_master.csv</t>
        </is>
      </c>
    </row>
    <row r="393">
      <c r="A393" t="n">
        <v>392</v>
      </c>
      <c r="B393" t="n">
        <v>392</v>
      </c>
      <c r="C393" t="inlineStr">
        <is>
          <t>Samana Miami 2</t>
        </is>
      </c>
      <c r="D393" t="inlineStr">
        <is>
          <t>Samana Developers</t>
        </is>
      </c>
      <c r="E393" t="inlineStr">
        <is>
          <t>JVT</t>
        </is>
      </c>
      <c r="F393" t="inlineStr">
        <is>
          <t>Apartments</t>
        </is>
      </c>
      <c r="G393" t="inlineStr">
        <is>
          <t>Miami Style</t>
        </is>
      </c>
      <c r="H393" t="inlineStr">
        <is>
          <t>950k</t>
        </is>
      </c>
      <c r="I393" t="inlineStr">
        <is>
          <t>1300</t>
        </is>
      </c>
      <c r="J393" t="inlineStr">
        <is>
          <t>15</t>
        </is>
      </c>
      <c r="K393" t="inlineStr">
        <is>
          <t>1% Monthly</t>
        </is>
      </c>
      <c r="L393" t="inlineStr">
        <is>
          <t>2022</t>
        </is>
      </c>
      <c r="M393" t="inlineStr">
        <is>
          <t>7.0-7.5</t>
        </is>
      </c>
      <c r="N393" t="inlineStr">
        <is>
          <t>6-8</t>
        </is>
      </c>
      <c r="O393" t="inlineStr">
        <is>
          <t>13.0-15.5</t>
        </is>
      </c>
      <c r="P393" t="inlineStr">
        <is>
          <t>Sunmarke School</t>
        </is>
      </c>
      <c r="Q393" t="inlineStr">
        <is>
          <t>NMC Royal DIP</t>
        </is>
      </c>
      <c r="R393" t="inlineStr">
        <is>
          <t>Circle Mall</t>
        </is>
      </c>
      <c r="S393" t="inlineStr">
        <is>
          <t>E311 / Yalayis</t>
        </is>
      </c>
      <c r="T393" t="inlineStr">
        <is>
          <t>20</t>
        </is>
      </c>
      <c r="U393" t="inlineStr">
        <is>
          <t>15</t>
        </is>
      </c>
      <c r="V393" t="inlineStr">
        <is>
          <t>30</t>
        </is>
      </c>
      <c r="W393" t="inlineStr">
        <is>
          <t>20</t>
        </is>
      </c>
      <c r="X393" t="inlineStr">
        <is>
          <t>Guild_real_estate_master.csv</t>
        </is>
      </c>
    </row>
    <row r="394">
      <c r="A394" t="n">
        <v>393</v>
      </c>
      <c r="B394" t="n">
        <v>393</v>
      </c>
      <c r="C394" t="inlineStr">
        <is>
          <t>Samana Miami 3</t>
        </is>
      </c>
      <c r="D394" t="inlineStr">
        <is>
          <t>Samana Developers</t>
        </is>
      </c>
      <c r="E394" t="inlineStr">
        <is>
          <t>JVT</t>
        </is>
      </c>
      <c r="F394" t="inlineStr">
        <is>
          <t>Apartments</t>
        </is>
      </c>
      <c r="G394" t="inlineStr">
        <is>
          <t>Miami Style</t>
        </is>
      </c>
      <c r="H394" t="inlineStr">
        <is>
          <t>1.0M</t>
        </is>
      </c>
      <c r="I394" t="inlineStr">
        <is>
          <t>1350</t>
        </is>
      </c>
      <c r="J394" t="inlineStr">
        <is>
          <t>15</t>
        </is>
      </c>
      <c r="K394" t="inlineStr">
        <is>
          <t>1% Monthly</t>
        </is>
      </c>
      <c r="L394" t="inlineStr">
        <is>
          <t>2023</t>
        </is>
      </c>
      <c r="M394" t="inlineStr">
        <is>
          <t>7.0-7.5</t>
        </is>
      </c>
      <c r="N394" t="inlineStr">
        <is>
          <t>6-8</t>
        </is>
      </c>
      <c r="O394" t="inlineStr">
        <is>
          <t>13.0-15.5</t>
        </is>
      </c>
      <c r="P394" t="inlineStr">
        <is>
          <t>Sunmarke School</t>
        </is>
      </c>
      <c r="Q394" t="inlineStr">
        <is>
          <t>NMC Royal DIP</t>
        </is>
      </c>
      <c r="R394" t="inlineStr">
        <is>
          <t>Circle Mall</t>
        </is>
      </c>
      <c r="S394" t="inlineStr">
        <is>
          <t>E311 / Yalayis</t>
        </is>
      </c>
      <c r="T394" t="inlineStr">
        <is>
          <t>20</t>
        </is>
      </c>
      <c r="U394" t="inlineStr">
        <is>
          <t>15</t>
        </is>
      </c>
      <c r="V394" t="inlineStr">
        <is>
          <t>30</t>
        </is>
      </c>
      <c r="W394" t="inlineStr">
        <is>
          <t>20</t>
        </is>
      </c>
      <c r="X394" t="inlineStr">
        <is>
          <t>Guild_real_estate_master.csv</t>
        </is>
      </c>
    </row>
    <row r="395">
      <c r="A395" t="n">
        <v>394</v>
      </c>
      <c r="B395" t="n">
        <v>394</v>
      </c>
      <c r="C395" t="inlineStr">
        <is>
          <t>Samana Mykonos</t>
        </is>
      </c>
      <c r="D395" t="inlineStr">
        <is>
          <t>Samana Developers</t>
        </is>
      </c>
      <c r="E395" t="inlineStr">
        <is>
          <t>Dubai Studio City</t>
        </is>
      </c>
      <c r="F395" t="inlineStr">
        <is>
          <t>Apartments</t>
        </is>
      </c>
      <c r="G395" t="inlineStr">
        <is>
          <t>Greek Style</t>
        </is>
      </c>
      <c r="H395" t="inlineStr">
        <is>
          <t>850k</t>
        </is>
      </c>
      <c r="I395" t="inlineStr">
        <is>
          <t>1200</t>
        </is>
      </c>
      <c r="J395" t="inlineStr">
        <is>
          <t>15</t>
        </is>
      </c>
      <c r="K395" t="inlineStr">
        <is>
          <t>1% Monthly</t>
        </is>
      </c>
      <c r="L395" t="inlineStr">
        <is>
          <t>2023</t>
        </is>
      </c>
      <c r="M395" t="inlineStr">
        <is>
          <t>7.5-8.0</t>
        </is>
      </c>
      <c r="N395" t="inlineStr">
        <is>
          <t>6-8</t>
        </is>
      </c>
      <c r="O395" t="inlineStr">
        <is>
          <t>13.5-16.0</t>
        </is>
      </c>
      <c r="P395" t="inlineStr">
        <is>
          <t>GEMS Metropole</t>
        </is>
      </c>
      <c r="Q395" t="inlineStr">
        <is>
          <t>Mediclinic Parkview</t>
        </is>
      </c>
      <c r="R395" t="inlineStr">
        <is>
          <t>First Avenue Mall</t>
        </is>
      </c>
      <c r="S395" t="inlineStr">
        <is>
          <t>Hessa St / E311</t>
        </is>
      </c>
      <c r="T395" t="inlineStr">
        <is>
          <t>20</t>
        </is>
      </c>
      <c r="U395" t="inlineStr">
        <is>
          <t>15</t>
        </is>
      </c>
      <c r="V395" t="inlineStr">
        <is>
          <t>25</t>
        </is>
      </c>
      <c r="W395" t="inlineStr">
        <is>
          <t>25</t>
        </is>
      </c>
      <c r="X395" t="inlineStr">
        <is>
          <t>Guild_real_estate_master.csv</t>
        </is>
      </c>
    </row>
    <row r="396">
      <c r="A396" t="n">
        <v>395</v>
      </c>
      <c r="B396" t="n">
        <v>395</v>
      </c>
      <c r="C396" t="inlineStr">
        <is>
          <t>Samana Mykonos Signature</t>
        </is>
      </c>
      <c r="D396" t="inlineStr">
        <is>
          <t>Samana Developers</t>
        </is>
      </c>
      <c r="E396" t="inlineStr">
        <is>
          <t>Arjan</t>
        </is>
      </c>
      <c r="F396" t="inlineStr">
        <is>
          <t>Apartments</t>
        </is>
      </c>
      <c r="G396" t="inlineStr">
        <is>
          <t>Greek Style</t>
        </is>
      </c>
      <c r="H396" t="inlineStr">
        <is>
          <t>900k</t>
        </is>
      </c>
      <c r="I396" t="inlineStr">
        <is>
          <t>1250</t>
        </is>
      </c>
      <c r="J396" t="inlineStr">
        <is>
          <t>15</t>
        </is>
      </c>
      <c r="K396" t="inlineStr">
        <is>
          <t>1% Monthly</t>
        </is>
      </c>
      <c r="L396" t="inlineStr">
        <is>
          <t>2023</t>
        </is>
      </c>
      <c r="M396" t="inlineStr">
        <is>
          <t>7.5-8.0</t>
        </is>
      </c>
      <c r="N396" t="inlineStr">
        <is>
          <t>6-8</t>
        </is>
      </c>
      <c r="O396" t="inlineStr">
        <is>
          <t>13.5-16.0</t>
        </is>
      </c>
      <c r="P396" t="inlineStr">
        <is>
          <t>Nord Anglia</t>
        </is>
      </c>
      <c r="Q396" t="inlineStr">
        <is>
          <t>Mediclinic Parkview</t>
        </is>
      </c>
      <c r="R396" t="inlineStr">
        <is>
          <t>Dubai Hills Mall</t>
        </is>
      </c>
      <c r="S396" t="inlineStr">
        <is>
          <t>Umm Suqeim / E311</t>
        </is>
      </c>
      <c r="T396" t="inlineStr">
        <is>
          <t>20</t>
        </is>
      </c>
      <c r="U396" t="inlineStr">
        <is>
          <t>20</t>
        </is>
      </c>
      <c r="V396" t="inlineStr">
        <is>
          <t>30</t>
        </is>
      </c>
      <c r="W396" t="inlineStr">
        <is>
          <t>25</t>
        </is>
      </c>
      <c r="X396" t="inlineStr">
        <is>
          <t>Guild_real_estate_master.csv</t>
        </is>
      </c>
    </row>
    <row r="397">
      <c r="A397" t="n">
        <v>396</v>
      </c>
      <c r="B397" t="n">
        <v>396</v>
      </c>
      <c r="C397" t="inlineStr">
        <is>
          <t>Samana Santorini</t>
        </is>
      </c>
      <c r="D397" t="inlineStr">
        <is>
          <t>Samana Developers</t>
        </is>
      </c>
      <c r="E397" t="inlineStr">
        <is>
          <t>Dubai Studio City</t>
        </is>
      </c>
      <c r="F397" t="inlineStr">
        <is>
          <t>Apartments</t>
        </is>
      </c>
      <c r="G397" t="inlineStr">
        <is>
          <t>Greek Style</t>
        </is>
      </c>
      <c r="H397" t="inlineStr">
        <is>
          <t>850k</t>
        </is>
      </c>
      <c r="I397" t="inlineStr">
        <is>
          <t>1200</t>
        </is>
      </c>
      <c r="J397" t="inlineStr">
        <is>
          <t>15</t>
        </is>
      </c>
      <c r="K397" t="inlineStr">
        <is>
          <t>1% Monthly</t>
        </is>
      </c>
      <c r="L397" t="inlineStr">
        <is>
          <t>2022</t>
        </is>
      </c>
      <c r="M397" t="inlineStr">
        <is>
          <t>7.5-8.0</t>
        </is>
      </c>
      <c r="N397" t="inlineStr">
        <is>
          <t>6-8</t>
        </is>
      </c>
      <c r="O397" t="inlineStr">
        <is>
          <t>13.5-16.0</t>
        </is>
      </c>
      <c r="P397" t="inlineStr">
        <is>
          <t>GEMS Metropole</t>
        </is>
      </c>
      <c r="Q397" t="inlineStr">
        <is>
          <t>Mediclinic Parkview</t>
        </is>
      </c>
      <c r="R397" t="inlineStr">
        <is>
          <t>First Avenue Mall</t>
        </is>
      </c>
      <c r="S397" t="inlineStr">
        <is>
          <t>Hessa St / E311</t>
        </is>
      </c>
      <c r="T397" t="inlineStr">
        <is>
          <t>20</t>
        </is>
      </c>
      <c r="U397" t="inlineStr">
        <is>
          <t>15</t>
        </is>
      </c>
      <c r="V397" t="inlineStr">
        <is>
          <t>25</t>
        </is>
      </c>
      <c r="W397" t="inlineStr">
        <is>
          <t>25</t>
        </is>
      </c>
      <c r="X397" t="inlineStr">
        <is>
          <t>Guild_real_estate_master.csv</t>
        </is>
      </c>
    </row>
    <row r="398">
      <c r="A398" t="n">
        <v>397</v>
      </c>
      <c r="B398" t="n">
        <v>397</v>
      </c>
      <c r="C398" t="inlineStr">
        <is>
          <t>Samana Portofino</t>
        </is>
      </c>
      <c r="D398" t="inlineStr">
        <is>
          <t>Samana Developers</t>
        </is>
      </c>
      <c r="E398" t="inlineStr">
        <is>
          <t>Dubai Production City</t>
        </is>
      </c>
      <c r="F398" t="inlineStr">
        <is>
          <t>Apartments</t>
        </is>
      </c>
      <c r="G398" t="inlineStr">
        <is>
          <t>Italian Style</t>
        </is>
      </c>
      <c r="H398" t="inlineStr">
        <is>
          <t>800k</t>
        </is>
      </c>
      <c r="I398" t="inlineStr">
        <is>
          <t>1100</t>
        </is>
      </c>
      <c r="J398" t="inlineStr">
        <is>
          <t>15</t>
        </is>
      </c>
      <c r="K398" t="inlineStr">
        <is>
          <t>1% Monthly</t>
        </is>
      </c>
      <c r="L398" t="inlineStr">
        <is>
          <t>2023</t>
        </is>
      </c>
      <c r="M398" t="inlineStr">
        <is>
          <t>7.5-8.5</t>
        </is>
      </c>
      <c r="N398" t="inlineStr">
        <is>
          <t>5-7</t>
        </is>
      </c>
      <c r="O398" t="inlineStr">
        <is>
          <t>12.5-15.5</t>
        </is>
      </c>
      <c r="P398" t="inlineStr">
        <is>
          <t>Sunmarke School</t>
        </is>
      </c>
      <c r="Q398" t="inlineStr">
        <is>
          <t>NMC Royal DIP</t>
        </is>
      </c>
      <c r="R398" t="inlineStr">
        <is>
          <t>City Centre Me'aisem</t>
        </is>
      </c>
      <c r="S398" t="inlineStr">
        <is>
          <t>E311 / Yalayis</t>
        </is>
      </c>
      <c r="T398" t="inlineStr">
        <is>
          <t>25</t>
        </is>
      </c>
      <c r="U398" t="inlineStr">
        <is>
          <t>20</t>
        </is>
      </c>
      <c r="V398" t="inlineStr">
        <is>
          <t>30</t>
        </is>
      </c>
      <c r="W398" t="inlineStr">
        <is>
          <t>25</t>
        </is>
      </c>
      <c r="X398" t="inlineStr">
        <is>
          <t>Guild_real_estate_master.csv</t>
        </is>
      </c>
    </row>
    <row r="399">
      <c r="A399" t="n">
        <v>398</v>
      </c>
      <c r="B399" t="n">
        <v>398</v>
      </c>
      <c r="C399" t="inlineStr">
        <is>
          <t>Samana Manhattan</t>
        </is>
      </c>
      <c r="D399" t="inlineStr">
        <is>
          <t>Samana Developers</t>
        </is>
      </c>
      <c r="E399" t="inlineStr">
        <is>
          <t>JVC</t>
        </is>
      </c>
      <c r="F399" t="inlineStr">
        <is>
          <t>Apartments</t>
        </is>
      </c>
      <c r="G399" t="inlineStr">
        <is>
          <t>NY Style</t>
        </is>
      </c>
      <c r="H399" t="inlineStr">
        <is>
          <t>900k</t>
        </is>
      </c>
      <c r="I399" t="inlineStr">
        <is>
          <t>1300</t>
        </is>
      </c>
      <c r="J399" t="inlineStr">
        <is>
          <t>15</t>
        </is>
      </c>
      <c r="K399" t="inlineStr">
        <is>
          <t>1% Monthly</t>
        </is>
      </c>
      <c r="L399" t="inlineStr">
        <is>
          <t>2023</t>
        </is>
      </c>
      <c r="M399" t="inlineStr">
        <is>
          <t>7.5-8.0</t>
        </is>
      </c>
      <c r="N399" t="inlineStr">
        <is>
          <t>6-8</t>
        </is>
      </c>
      <c r="O399" t="inlineStr">
        <is>
          <t>13.5-16.0</t>
        </is>
      </c>
      <c r="P399" t="inlineStr">
        <is>
          <t>JSS International</t>
        </is>
      </c>
      <c r="Q399" t="inlineStr">
        <is>
          <t>Saudi German Hospital</t>
        </is>
      </c>
      <c r="R399" t="inlineStr">
        <is>
          <t>Circle Mall</t>
        </is>
      </c>
      <c r="S399" t="inlineStr">
        <is>
          <t>Hessa St / E44</t>
        </is>
      </c>
      <c r="T399" t="inlineStr">
        <is>
          <t>20</t>
        </is>
      </c>
      <c r="U399" t="inlineStr">
        <is>
          <t>15</t>
        </is>
      </c>
      <c r="V399" t="inlineStr">
        <is>
          <t>25</t>
        </is>
      </c>
      <c r="W399" t="inlineStr">
        <is>
          <t>30</t>
        </is>
      </c>
      <c r="X399" t="inlineStr">
        <is>
          <t>Guild_real_estate_master.csv</t>
        </is>
      </c>
    </row>
    <row r="400">
      <c r="A400" t="n">
        <v>399</v>
      </c>
      <c r="B400" t="n">
        <v>399</v>
      </c>
      <c r="C400" t="inlineStr">
        <is>
          <t>Samana Skyros</t>
        </is>
      </c>
      <c r="D400" t="inlineStr">
        <is>
          <t>Samana Developers</t>
        </is>
      </c>
      <c r="E400" t="inlineStr">
        <is>
          <t>Arjan</t>
        </is>
      </c>
      <c r="F400" t="inlineStr">
        <is>
          <t>Apartments</t>
        </is>
      </c>
      <c r="G400" t="inlineStr">
        <is>
          <t>Greek Style</t>
        </is>
      </c>
      <c r="H400" t="inlineStr">
        <is>
          <t>900k</t>
        </is>
      </c>
      <c r="I400" t="inlineStr">
        <is>
          <t>1250</t>
        </is>
      </c>
      <c r="J400" t="inlineStr">
        <is>
          <t>15</t>
        </is>
      </c>
      <c r="K400" t="inlineStr">
        <is>
          <t>1% Monthly</t>
        </is>
      </c>
      <c r="L400" t="inlineStr">
        <is>
          <t>2023</t>
        </is>
      </c>
      <c r="M400" t="inlineStr">
        <is>
          <t>7.5-8.0</t>
        </is>
      </c>
      <c r="N400" t="inlineStr">
        <is>
          <t>6-8</t>
        </is>
      </c>
      <c r="O400" t="inlineStr">
        <is>
          <t>13.5-16.0</t>
        </is>
      </c>
      <c r="P400" t="inlineStr">
        <is>
          <t>Nord Anglia</t>
        </is>
      </c>
      <c r="Q400" t="inlineStr">
        <is>
          <t>Mediclinic Parkview</t>
        </is>
      </c>
      <c r="R400" t="inlineStr">
        <is>
          <t>Dubai Hills Mall</t>
        </is>
      </c>
      <c r="S400" t="inlineStr">
        <is>
          <t>Umm Suqeim / E311</t>
        </is>
      </c>
      <c r="T400" t="inlineStr">
        <is>
          <t>20</t>
        </is>
      </c>
      <c r="U400" t="inlineStr">
        <is>
          <t>20</t>
        </is>
      </c>
      <c r="V400" t="inlineStr">
        <is>
          <t>30</t>
        </is>
      </c>
      <c r="W400" t="inlineStr">
        <is>
          <t>25</t>
        </is>
      </c>
      <c r="X400" t="inlineStr">
        <is>
          <t>Guild_real_estate_master.csv</t>
        </is>
      </c>
    </row>
    <row r="401">
      <c r="A401" t="n">
        <v>400</v>
      </c>
      <c r="B401" t="n">
        <v>400</v>
      </c>
      <c r="C401" t="inlineStr">
        <is>
          <t>Samana Lake Views</t>
        </is>
      </c>
      <c r="D401" t="inlineStr">
        <is>
          <t>Samana Developers</t>
        </is>
      </c>
      <c r="E401" t="inlineStr">
        <is>
          <t>Dubai Production City</t>
        </is>
      </c>
      <c r="F401" t="inlineStr">
        <is>
          <t>Apartments</t>
        </is>
      </c>
      <c r="G401" t="inlineStr">
        <is>
          <t>Lake / Budget</t>
        </is>
      </c>
      <c r="H401" t="inlineStr">
        <is>
          <t>800k</t>
        </is>
      </c>
      <c r="I401" t="inlineStr">
        <is>
          <t>1100</t>
        </is>
      </c>
      <c r="J401" t="inlineStr">
        <is>
          <t>15</t>
        </is>
      </c>
      <c r="K401" t="inlineStr">
        <is>
          <t>1% Monthly</t>
        </is>
      </c>
      <c r="L401" t="inlineStr">
        <is>
          <t>2024</t>
        </is>
      </c>
      <c r="M401" t="inlineStr">
        <is>
          <t>7.5-8.5</t>
        </is>
      </c>
      <c r="N401" t="inlineStr">
        <is>
          <t>5-7</t>
        </is>
      </c>
      <c r="O401" t="inlineStr">
        <is>
          <t>12.5-15.5</t>
        </is>
      </c>
      <c r="P401" t="inlineStr">
        <is>
          <t>Sunmarke School</t>
        </is>
      </c>
      <c r="Q401" t="inlineStr">
        <is>
          <t>NMC Royal DIP</t>
        </is>
      </c>
      <c r="R401" t="inlineStr">
        <is>
          <t>City Centre Me'aisem</t>
        </is>
      </c>
      <c r="S401" t="inlineStr">
        <is>
          <t>E311 / Yalayis</t>
        </is>
      </c>
      <c r="T401" t="inlineStr">
        <is>
          <t>25</t>
        </is>
      </c>
      <c r="U401" t="inlineStr">
        <is>
          <t>20</t>
        </is>
      </c>
      <c r="V401" t="inlineStr">
        <is>
          <t>30</t>
        </is>
      </c>
      <c r="W401" t="inlineStr">
        <is>
          <t>25</t>
        </is>
      </c>
      <c r="X401" t="inlineStr">
        <is>
          <t>Guild_real_estate_master.csv</t>
        </is>
      </c>
    </row>
    <row r="402">
      <c r="A402" t="n">
        <v>401</v>
      </c>
      <c r="B402" t="n">
        <v>401</v>
      </c>
      <c r="C402" t="inlineStr">
        <is>
          <t>Samana Ibiza</t>
        </is>
      </c>
      <c r="D402" t="inlineStr">
        <is>
          <t>Samana Developers</t>
        </is>
      </c>
      <c r="E402" t="inlineStr">
        <is>
          <t>Dubailand</t>
        </is>
      </c>
      <c r="F402" t="inlineStr">
        <is>
          <t>Apartments</t>
        </is>
      </c>
      <c r="G402" t="inlineStr">
        <is>
          <t>Party / Pool</t>
        </is>
      </c>
      <c r="H402" t="inlineStr">
        <is>
          <t>1.0M</t>
        </is>
      </c>
      <c r="I402" t="inlineStr">
        <is>
          <t>1200</t>
        </is>
      </c>
      <c r="J402" t="inlineStr">
        <is>
          <t>15</t>
        </is>
      </c>
      <c r="K402" t="inlineStr">
        <is>
          <t>1% Monthly</t>
        </is>
      </c>
      <c r="L402" t="inlineStr">
        <is>
          <t>2024</t>
        </is>
      </c>
      <c r="M402" t="inlineStr">
        <is>
          <t>7.0-7.5</t>
        </is>
      </c>
      <c r="N402" t="inlineStr">
        <is>
          <t>6-8</t>
        </is>
      </c>
      <c r="O402" t="inlineStr">
        <is>
          <t>13.0-15.5</t>
        </is>
      </c>
      <c r="P402" t="inlineStr">
        <is>
          <t>GEMS Winchester</t>
        </is>
      </c>
      <c r="Q402" t="inlineStr">
        <is>
          <t>Fakeeh University Hosp</t>
        </is>
      </c>
      <c r="R402" t="inlineStr">
        <is>
          <t>Dubai Outlet Mall</t>
        </is>
      </c>
      <c r="S402" t="inlineStr">
        <is>
          <t>E611 / Al Ain Rd</t>
        </is>
      </c>
      <c r="T402" t="inlineStr">
        <is>
          <t>20</t>
        </is>
      </c>
      <c r="U402" t="inlineStr">
        <is>
          <t>25</t>
        </is>
      </c>
      <c r="V402" t="inlineStr">
        <is>
          <t>25</t>
        </is>
      </c>
      <c r="W402" t="inlineStr">
        <is>
          <t>30</t>
        </is>
      </c>
      <c r="X402" t="inlineStr">
        <is>
          <t>Guild_real_estate_master.csv</t>
        </is>
      </c>
    </row>
    <row r="403">
      <c r="A403" t="n">
        <v>402</v>
      </c>
      <c r="B403" t="n">
        <v>402</v>
      </c>
      <c r="C403" t="inlineStr">
        <is>
          <t>Samana Rome</t>
        </is>
      </c>
      <c r="D403" t="inlineStr">
        <is>
          <t>Samana Developers</t>
        </is>
      </c>
      <c r="E403" t="inlineStr">
        <is>
          <t>Meydan</t>
        </is>
      </c>
      <c r="F403" t="inlineStr">
        <is>
          <t>Apartments</t>
        </is>
      </c>
      <c r="G403" t="inlineStr">
        <is>
          <t>Classic / Pool</t>
        </is>
      </c>
      <c r="H403" t="inlineStr">
        <is>
          <t>1.2M</t>
        </is>
      </c>
      <c r="I403" t="inlineStr">
        <is>
          <t>1400</t>
        </is>
      </c>
      <c r="J403" t="inlineStr">
        <is>
          <t>16</t>
        </is>
      </c>
      <c r="K403" t="inlineStr">
        <is>
          <t>1% Monthly</t>
        </is>
      </c>
      <c r="L403" t="inlineStr">
        <is>
          <t>2024</t>
        </is>
      </c>
      <c r="M403" t="inlineStr">
        <is>
          <t>6.5-7.0</t>
        </is>
      </c>
      <c r="N403" t="inlineStr">
        <is>
          <t>6-8</t>
        </is>
      </c>
      <c r="O403" t="inlineStr">
        <is>
          <t>12.5-15.0</t>
        </is>
      </c>
      <c r="P403" t="inlineStr">
        <is>
          <t>Hartland Intl</t>
        </is>
      </c>
      <c r="Q403" t="inlineStr">
        <is>
          <t>American Hospital</t>
        </is>
      </c>
      <c r="R403" t="inlineStr">
        <is>
          <t>Dubai Mall</t>
        </is>
      </c>
      <c r="S403" t="inlineStr">
        <is>
          <t>Ras Al Khor / E44</t>
        </is>
      </c>
      <c r="T403" t="inlineStr">
        <is>
          <t>12</t>
        </is>
      </c>
      <c r="U403" t="inlineStr">
        <is>
          <t>25</t>
        </is>
      </c>
      <c r="V403" t="inlineStr">
        <is>
          <t>15</t>
        </is>
      </c>
      <c r="W403" t="inlineStr">
        <is>
          <t>40</t>
        </is>
      </c>
      <c r="X403" t="inlineStr">
        <is>
          <t>Guild_real_estate_master.csv</t>
        </is>
      </c>
    </row>
    <row r="404">
      <c r="A404" t="n">
        <v>403</v>
      </c>
      <c r="B404" t="n">
        <v>403</v>
      </c>
      <c r="C404" t="inlineStr">
        <is>
          <t>Samana Avenue</t>
        </is>
      </c>
      <c r="D404" t="inlineStr">
        <is>
          <t>Samana Developers</t>
        </is>
      </c>
      <c r="E404" t="inlineStr">
        <is>
          <t>Dubailand</t>
        </is>
      </c>
      <c r="F404" t="inlineStr">
        <is>
          <t>Apartments</t>
        </is>
      </c>
      <c r="G404" t="inlineStr">
        <is>
          <t>Family / Pool</t>
        </is>
      </c>
      <c r="H404" t="inlineStr">
        <is>
          <t>950k</t>
        </is>
      </c>
      <c r="I404" t="inlineStr">
        <is>
          <t>1100</t>
        </is>
      </c>
      <c r="J404" t="inlineStr">
        <is>
          <t>15</t>
        </is>
      </c>
      <c r="K404" t="inlineStr">
        <is>
          <t>1% Monthly</t>
        </is>
      </c>
      <c r="L404" t="inlineStr">
        <is>
          <t>2024</t>
        </is>
      </c>
      <c r="M404" t="inlineStr">
        <is>
          <t>7.0-7.5</t>
        </is>
      </c>
      <c r="N404" t="inlineStr">
        <is>
          <t>6-8</t>
        </is>
      </c>
      <c r="O404" t="inlineStr">
        <is>
          <t>13.0-15.5</t>
        </is>
      </c>
      <c r="P404" t="inlineStr">
        <is>
          <t>GEMS Winchester</t>
        </is>
      </c>
      <c r="Q404" t="inlineStr">
        <is>
          <t>Fakeeh University Hosp</t>
        </is>
      </c>
      <c r="R404" t="inlineStr">
        <is>
          <t>Dubai Outlet Mall</t>
        </is>
      </c>
      <c r="S404" t="inlineStr">
        <is>
          <t>E611 / Al Ain Rd</t>
        </is>
      </c>
      <c r="T404" t="inlineStr">
        <is>
          <t>20</t>
        </is>
      </c>
      <c r="U404" t="inlineStr">
        <is>
          <t>25</t>
        </is>
      </c>
      <c r="V404" t="inlineStr">
        <is>
          <t>25</t>
        </is>
      </c>
      <c r="W404" t="inlineStr">
        <is>
          <t>30</t>
        </is>
      </c>
      <c r="X404" t="inlineStr">
        <is>
          <t>Guild_real_estate_master.csv</t>
        </is>
      </c>
    </row>
    <row r="405">
      <c r="A405" t="n">
        <v>404</v>
      </c>
      <c r="B405" t="n">
        <v>404</v>
      </c>
      <c r="C405" t="inlineStr">
        <is>
          <t>Keturah Reserve</t>
        </is>
      </c>
      <c r="D405" t="inlineStr">
        <is>
          <t>MAG Property Development</t>
        </is>
      </c>
      <c r="E405" t="inlineStr">
        <is>
          <t>MBR City (District 7)</t>
        </is>
      </c>
      <c r="F405" t="inlineStr">
        <is>
          <t>Villas &amp; Apts</t>
        </is>
      </c>
      <c r="G405" t="inlineStr">
        <is>
          <t>Bio-Living / Luxury</t>
        </is>
      </c>
      <c r="H405" t="inlineStr">
        <is>
          <t>3.5M (Apt) / 10M+ (Villa)</t>
        </is>
      </c>
      <c r="I405" t="inlineStr">
        <is>
          <t>2200</t>
        </is>
      </c>
      <c r="J405" t="inlineStr">
        <is>
          <t>20</t>
        </is>
      </c>
      <c r="K405" t="inlineStr">
        <is>
          <t>60/40</t>
        </is>
      </c>
      <c r="L405" t="inlineStr">
        <is>
          <t>2022</t>
        </is>
      </c>
      <c r="M405" t="inlineStr">
        <is>
          <t>5.5-6.0</t>
        </is>
      </c>
      <c r="N405" t="inlineStr">
        <is>
          <t>8-10</t>
        </is>
      </c>
      <c r="O405" t="inlineStr">
        <is>
          <t>13.5-16.0</t>
        </is>
      </c>
      <c r="P405" t="inlineStr">
        <is>
          <t>Hartland Intl</t>
        </is>
      </c>
      <c r="Q405" t="inlineStr">
        <is>
          <t>American Hospital</t>
        </is>
      </c>
      <c r="R405" t="inlineStr">
        <is>
          <t>Dubai Mall</t>
        </is>
      </c>
      <c r="S405" t="inlineStr">
        <is>
          <t>Ras Al Khor / E44</t>
        </is>
      </c>
      <c r="T405" t="inlineStr">
        <is>
          <t>12</t>
        </is>
      </c>
      <c r="U405" t="inlineStr">
        <is>
          <t>25</t>
        </is>
      </c>
      <c r="V405" t="inlineStr">
        <is>
          <t>15</t>
        </is>
      </c>
      <c r="W405" t="inlineStr">
        <is>
          <t>40</t>
        </is>
      </c>
      <c r="X405" t="inlineStr">
        <is>
          <t>Guild_real_estate_master.csv</t>
        </is>
      </c>
    </row>
    <row r="406">
      <c r="A406" t="n">
        <v>405</v>
      </c>
      <c r="B406" t="n">
        <v>405</v>
      </c>
      <c r="C406" t="inlineStr">
        <is>
          <t>MAG City</t>
        </is>
      </c>
      <c r="D406" t="inlineStr">
        <is>
          <t>MAG Property Development</t>
        </is>
      </c>
      <c r="E406" t="inlineStr">
        <is>
          <t>MBR City (District 7)</t>
        </is>
      </c>
      <c r="F406" t="inlineStr">
        <is>
          <t>Townhouses &amp; Apts</t>
        </is>
      </c>
      <c r="G406" t="inlineStr">
        <is>
          <t>Gated / City</t>
        </is>
      </c>
      <c r="H406" t="inlineStr">
        <is>
          <t>1.2M</t>
        </is>
      </c>
      <c r="I406" t="inlineStr">
        <is>
          <t>1300</t>
        </is>
      </c>
      <c r="J406" t="inlineStr">
        <is>
          <t>15</t>
        </is>
      </c>
      <c r="K406" t="inlineStr">
        <is>
          <t>60/40</t>
        </is>
      </c>
      <c r="L406" t="inlineStr">
        <is>
          <t>2019</t>
        </is>
      </c>
      <c r="M406" t="inlineStr">
        <is>
          <t>6.5-7.0</t>
        </is>
      </c>
      <c r="N406" t="inlineStr">
        <is>
          <t>6-8</t>
        </is>
      </c>
      <c r="O406" t="inlineStr">
        <is>
          <t>12.5-15.0</t>
        </is>
      </c>
      <c r="P406" t="inlineStr">
        <is>
          <t>Hartland Intl</t>
        </is>
      </c>
      <c r="Q406" t="inlineStr">
        <is>
          <t>American Hospital</t>
        </is>
      </c>
      <c r="R406" t="inlineStr">
        <is>
          <t>Dubai Mall</t>
        </is>
      </c>
      <c r="S406" t="inlineStr">
        <is>
          <t>Ras Al Khor / E44</t>
        </is>
      </c>
      <c r="T406" t="inlineStr">
        <is>
          <t>12</t>
        </is>
      </c>
      <c r="U406" t="inlineStr">
        <is>
          <t>25</t>
        </is>
      </c>
      <c r="V406" t="inlineStr">
        <is>
          <t>15</t>
        </is>
      </c>
      <c r="W406" t="inlineStr">
        <is>
          <t>40</t>
        </is>
      </c>
      <c r="X406" t="inlineStr">
        <is>
          <t>Guild_real_estate_master.csv</t>
        </is>
      </c>
    </row>
    <row r="407">
      <c r="A407" t="n">
        <v>406</v>
      </c>
      <c r="B407" t="n">
        <v>406</v>
      </c>
      <c r="C407" t="inlineStr">
        <is>
          <t>MAG Park</t>
        </is>
      </c>
      <c r="D407" t="inlineStr">
        <is>
          <t>MAG Property Development</t>
        </is>
      </c>
      <c r="E407" t="inlineStr">
        <is>
          <t>MBR City</t>
        </is>
      </c>
      <c r="F407" t="inlineStr">
        <is>
          <t>Townhouses</t>
        </is>
      </c>
      <c r="G407" t="inlineStr">
        <is>
          <t>Gated / Park</t>
        </is>
      </c>
      <c r="H407" t="inlineStr">
        <is>
          <t>3.5M</t>
        </is>
      </c>
      <c r="I407" t="inlineStr">
        <is>
          <t>1400</t>
        </is>
      </c>
      <c r="J407" t="inlineStr">
        <is>
          <t>15</t>
        </is>
      </c>
      <c r="K407" t="inlineStr">
        <is>
          <t>60/40</t>
        </is>
      </c>
      <c r="L407" t="inlineStr">
        <is>
          <t>2021</t>
        </is>
      </c>
      <c r="M407" t="inlineStr">
        <is>
          <t>6.0-6.5</t>
        </is>
      </c>
      <c r="N407" t="inlineStr">
        <is>
          <t>6-8</t>
        </is>
      </c>
      <c r="O407" t="inlineStr">
        <is>
          <t>12.0-14.5</t>
        </is>
      </c>
      <c r="P407" t="inlineStr">
        <is>
          <t>Hartland Intl</t>
        </is>
      </c>
      <c r="Q407" t="inlineStr">
        <is>
          <t>American Hospital</t>
        </is>
      </c>
      <c r="R407" t="inlineStr">
        <is>
          <t>Dubai Mall</t>
        </is>
      </c>
      <c r="S407" t="inlineStr">
        <is>
          <t>Ras Al Khor / E44</t>
        </is>
      </c>
      <c r="T407" t="inlineStr">
        <is>
          <t>12</t>
        </is>
      </c>
      <c r="U407" t="inlineStr">
        <is>
          <t>25</t>
        </is>
      </c>
      <c r="V407" t="inlineStr">
        <is>
          <t>15</t>
        </is>
      </c>
      <c r="W407" t="inlineStr">
        <is>
          <t>40</t>
        </is>
      </c>
      <c r="X407" t="inlineStr">
        <is>
          <t>Guild_real_estate_master.csv</t>
        </is>
      </c>
    </row>
    <row r="408">
      <c r="A408" t="n">
        <v>407</v>
      </c>
      <c r="B408" t="n">
        <v>407</v>
      </c>
      <c r="C408" t="inlineStr">
        <is>
          <t>Keturah Resort</t>
        </is>
      </c>
      <c r="D408" t="inlineStr">
        <is>
          <t>MAG Property Development</t>
        </is>
      </c>
      <c r="E408" t="inlineStr">
        <is>
          <t>Creekside</t>
        </is>
      </c>
      <c r="F408" t="inlineStr">
        <is>
          <t>Villas (Mansion)</t>
        </is>
      </c>
      <c r="G408" t="inlineStr">
        <is>
          <t>Wellness / Creek</t>
        </is>
      </c>
      <c r="H408" t="inlineStr">
        <is>
          <t>20M+</t>
        </is>
      </c>
      <c r="I408" t="inlineStr">
        <is>
          <t>3000</t>
        </is>
      </c>
      <c r="J408" t="inlineStr">
        <is>
          <t>30</t>
        </is>
      </c>
      <c r="K408" t="inlineStr">
        <is>
          <t>50/50</t>
        </is>
      </c>
      <c r="L408" t="inlineStr">
        <is>
          <t>2022</t>
        </is>
      </c>
      <c r="M408" t="inlineStr">
        <is>
          <t>4.0-4.5</t>
        </is>
      </c>
      <c r="N408" t="inlineStr">
        <is>
          <t>8-12</t>
        </is>
      </c>
      <c r="O408" t="inlineStr">
        <is>
          <t>12.0-16.5</t>
        </is>
      </c>
      <c r="P408" t="inlineStr">
        <is>
          <t>Swiss Intl School</t>
        </is>
      </c>
      <c r="Q408" t="inlineStr">
        <is>
          <t>American Hospital</t>
        </is>
      </c>
      <c r="R408" t="inlineStr">
        <is>
          <t>Dubai Festival City</t>
        </is>
      </c>
      <c r="S408" t="inlineStr">
        <is>
          <t>Ras Al Khor / E44</t>
        </is>
      </c>
      <c r="T408" t="inlineStr">
        <is>
          <t>12</t>
        </is>
      </c>
      <c r="U408" t="inlineStr">
        <is>
          <t>25</t>
        </is>
      </c>
      <c r="V408" t="inlineStr">
        <is>
          <t>10</t>
        </is>
      </c>
      <c r="W408" t="inlineStr">
        <is>
          <t>40</t>
        </is>
      </c>
      <c r="X408" t="inlineStr">
        <is>
          <t>Guild_real_estate_master.csv</t>
        </is>
      </c>
    </row>
    <row r="409">
      <c r="A409" t="n">
        <v>408</v>
      </c>
      <c r="B409" t="n">
        <v>408</v>
      </c>
      <c r="C409" t="inlineStr">
        <is>
          <t>Ritz-Carlton Residences Creekside</t>
        </is>
      </c>
      <c r="D409" t="inlineStr">
        <is>
          <t>MAG Property Development</t>
        </is>
      </c>
      <c r="E409" t="inlineStr">
        <is>
          <t>Creekside</t>
        </is>
      </c>
      <c r="F409" t="inlineStr">
        <is>
          <t>Branded Apts</t>
        </is>
      </c>
      <c r="G409" t="inlineStr">
        <is>
          <t>Ultra-Luxury / Wellness</t>
        </is>
      </c>
      <c r="H409" t="inlineStr">
        <is>
          <t>15M+</t>
        </is>
      </c>
      <c r="I409" t="inlineStr">
        <is>
          <t>4500</t>
        </is>
      </c>
      <c r="J409" t="inlineStr">
        <is>
          <t>45+</t>
        </is>
      </c>
      <c r="K409" t="inlineStr">
        <is>
          <t>50/50</t>
        </is>
      </c>
      <c r="L409" t="inlineStr">
        <is>
          <t>2022</t>
        </is>
      </c>
      <c r="M409" t="inlineStr">
        <is>
          <t>3.5-4.0</t>
        </is>
      </c>
      <c r="N409" t="inlineStr">
        <is>
          <t>8-12</t>
        </is>
      </c>
      <c r="O409" t="inlineStr">
        <is>
          <t>11.5-16.0</t>
        </is>
      </c>
      <c r="P409" t="inlineStr">
        <is>
          <t>Swiss Intl School</t>
        </is>
      </c>
      <c r="Q409" t="inlineStr">
        <is>
          <t>American Hospital</t>
        </is>
      </c>
      <c r="R409" t="inlineStr">
        <is>
          <t>Dubai Festival City</t>
        </is>
      </c>
      <c r="S409" t="inlineStr">
        <is>
          <t>Ras Al Khor / E44</t>
        </is>
      </c>
      <c r="T409" t="inlineStr">
        <is>
          <t>12</t>
        </is>
      </c>
      <c r="U409" t="inlineStr">
        <is>
          <t>25</t>
        </is>
      </c>
      <c r="V409" t="inlineStr">
        <is>
          <t>10</t>
        </is>
      </c>
      <c r="W409" t="inlineStr">
        <is>
          <t>40</t>
        </is>
      </c>
      <c r="X409" t="inlineStr">
        <is>
          <t>Guild_real_estate_master.csv</t>
        </is>
      </c>
    </row>
    <row r="410">
      <c r="A410" t="n">
        <v>409</v>
      </c>
      <c r="B410" t="n">
        <v>409</v>
      </c>
      <c r="C410" t="inlineStr">
        <is>
          <t>MAG 777</t>
        </is>
      </c>
      <c r="D410" t="inlineStr">
        <is>
          <t>MAG Property Development</t>
        </is>
      </c>
      <c r="E410" t="inlineStr">
        <is>
          <t>Dubai Sports City</t>
        </is>
      </c>
      <c r="F410" t="inlineStr">
        <is>
          <t>Apartments</t>
        </is>
      </c>
      <c r="G410" t="inlineStr">
        <is>
          <t>Lake View</t>
        </is>
      </c>
      <c r="H410" t="inlineStr">
        <is>
          <t>900k</t>
        </is>
      </c>
      <c r="I410" t="inlineStr">
        <is>
          <t>1200</t>
        </is>
      </c>
      <c r="J410" t="inlineStr">
        <is>
          <t>15</t>
        </is>
      </c>
      <c r="K410" t="inlineStr">
        <is>
          <t>50/50</t>
        </is>
      </c>
      <c r="L410" t="inlineStr">
        <is>
          <t>2024</t>
        </is>
      </c>
      <c r="M410" t="inlineStr">
        <is>
          <t>7.5-8.0</t>
        </is>
      </c>
      <c r="N410" t="inlineStr">
        <is>
          <t>6-8</t>
        </is>
      </c>
      <c r="O410" t="inlineStr">
        <is>
          <t>13.5-16.0</t>
        </is>
      </c>
      <c r="P410" t="inlineStr">
        <is>
          <t>Victory Heights</t>
        </is>
      </c>
      <c r="Q410" t="inlineStr">
        <is>
          <t>NMC Royal DIP</t>
        </is>
      </c>
      <c r="R410" t="inlineStr">
        <is>
          <t>City Centre Me'aisem</t>
        </is>
      </c>
      <c r="S410" t="inlineStr">
        <is>
          <t>E311 / Hessa St</t>
        </is>
      </c>
      <c r="T410" t="inlineStr">
        <is>
          <t>20</t>
        </is>
      </c>
      <c r="U410" t="inlineStr">
        <is>
          <t>15</t>
        </is>
      </c>
      <c r="V410" t="inlineStr">
        <is>
          <t>25</t>
        </is>
      </c>
      <c r="W410" t="inlineStr">
        <is>
          <t>25</t>
        </is>
      </c>
      <c r="X410" t="inlineStr">
        <is>
          <t>Guild_real_estate_master.csv</t>
        </is>
      </c>
    </row>
    <row r="411">
      <c r="A411" t="n">
        <v>410</v>
      </c>
      <c r="B411" t="n">
        <v>410</v>
      </c>
      <c r="C411" t="inlineStr">
        <is>
          <t>MAG 330</t>
        </is>
      </c>
      <c r="D411" t="inlineStr">
        <is>
          <t>MAG Property Development</t>
        </is>
      </c>
      <c r="E411" t="inlineStr">
        <is>
          <t>City of Arabia</t>
        </is>
      </c>
      <c r="F411" t="inlineStr">
        <is>
          <t>Apartments</t>
        </is>
      </c>
      <c r="G411" t="inlineStr">
        <is>
          <t>Budget / Family</t>
        </is>
      </c>
      <c r="H411" t="inlineStr">
        <is>
          <t>800k</t>
        </is>
      </c>
      <c r="I411" t="inlineStr">
        <is>
          <t>1100</t>
        </is>
      </c>
      <c r="J411" t="inlineStr">
        <is>
          <t>15</t>
        </is>
      </c>
      <c r="K411" t="inlineStr">
        <is>
          <t>50/50</t>
        </is>
      </c>
      <c r="L411" t="inlineStr">
        <is>
          <t>2023</t>
        </is>
      </c>
      <c r="M411" t="inlineStr">
        <is>
          <t>7.0-7.5</t>
        </is>
      </c>
      <c r="N411" t="inlineStr">
        <is>
          <t>5-7</t>
        </is>
      </c>
      <c r="O411" t="inlineStr">
        <is>
          <t>12.0-14.5</t>
        </is>
      </c>
      <c r="P411" t="inlineStr">
        <is>
          <t>GEMS Winchester</t>
        </is>
      </c>
      <c r="Q411" t="inlineStr">
        <is>
          <t>Fakeeh University Hosp</t>
        </is>
      </c>
      <c r="R411" t="inlineStr">
        <is>
          <t>IMG Worlds / Outlet</t>
        </is>
      </c>
      <c r="S411" t="inlineStr">
        <is>
          <t>E311 / E66</t>
        </is>
      </c>
      <c r="T411" t="inlineStr">
        <is>
          <t>20</t>
        </is>
      </c>
      <c r="U411" t="inlineStr">
        <is>
          <t>25</t>
        </is>
      </c>
      <c r="V411" t="inlineStr">
        <is>
          <t>20</t>
        </is>
      </c>
      <c r="W411" t="inlineStr">
        <is>
          <t>30</t>
        </is>
      </c>
      <c r="X411" t="inlineStr">
        <is>
          <t>Guild_real_estate_master.csv</t>
        </is>
      </c>
    </row>
    <row r="412">
      <c r="A412" t="n">
        <v>411</v>
      </c>
      <c r="B412" t="n">
        <v>411</v>
      </c>
      <c r="C412" t="inlineStr">
        <is>
          <t>MBL Residence</t>
        </is>
      </c>
      <c r="D412" t="inlineStr">
        <is>
          <t>MAG Property Development</t>
        </is>
      </c>
      <c r="E412" t="inlineStr">
        <is>
          <t>JLT</t>
        </is>
      </c>
      <c r="F412" t="inlineStr">
        <is>
          <t>Apartments</t>
        </is>
      </c>
      <c r="G412" t="inlineStr">
        <is>
          <t>High-Rise / Lake</t>
        </is>
      </c>
      <c r="H412" t="inlineStr">
        <is>
          <t>Resale (1.5M+)</t>
        </is>
      </c>
      <c r="I412" t="inlineStr">
        <is>
          <t>1600</t>
        </is>
      </c>
      <c r="J412" t="inlineStr">
        <is>
          <t>18</t>
        </is>
      </c>
      <c r="K412" t="inlineStr">
        <is>
          <t>Completed</t>
        </is>
      </c>
      <c r="L412" t="inlineStr">
        <is>
          <t>2018</t>
        </is>
      </c>
      <c r="M412" t="inlineStr">
        <is>
          <t>6.5-7.0</t>
        </is>
      </c>
      <c r="N412" t="inlineStr">
        <is>
          <t>5-7</t>
        </is>
      </c>
      <c r="O412" t="inlineStr">
        <is>
          <t>11.5-14.0</t>
        </is>
      </c>
      <c r="P412" t="inlineStr">
        <is>
          <t>Emirates Intl School</t>
        </is>
      </c>
      <c r="Q412" t="inlineStr">
        <is>
          <t>Saudi German Hospital</t>
        </is>
      </c>
      <c r="R412" t="inlineStr">
        <is>
          <t>Dubai Marina Mall</t>
        </is>
      </c>
      <c r="S412" t="inlineStr">
        <is>
          <t>Sheikh Zayed E11</t>
        </is>
      </c>
      <c r="T412" t="inlineStr">
        <is>
          <t>20</t>
        </is>
      </c>
      <c r="U412" t="inlineStr">
        <is>
          <t>5</t>
        </is>
      </c>
      <c r="V412" t="inlineStr">
        <is>
          <t>25</t>
        </is>
      </c>
      <c r="W412" t="inlineStr">
        <is>
          <t>30</t>
        </is>
      </c>
      <c r="X412" t="inlineStr">
        <is>
          <t>Guild_real_estate_master.csv</t>
        </is>
      </c>
    </row>
    <row r="413">
      <c r="A413" t="n">
        <v>412</v>
      </c>
      <c r="B413" t="n">
        <v>412</v>
      </c>
      <c r="C413" t="inlineStr">
        <is>
          <t>MBL Royal</t>
        </is>
      </c>
      <c r="D413" t="inlineStr">
        <is>
          <t>MAG Property Development</t>
        </is>
      </c>
      <c r="E413" t="inlineStr">
        <is>
          <t>JLT</t>
        </is>
      </c>
      <c r="F413" t="inlineStr">
        <is>
          <t>Apartments</t>
        </is>
      </c>
      <c r="G413" t="inlineStr">
        <is>
          <t>High-Rise / Lake</t>
        </is>
      </c>
      <c r="H413" t="inlineStr">
        <is>
          <t>2.0M</t>
        </is>
      </c>
      <c r="I413" t="inlineStr">
        <is>
          <t>1800</t>
        </is>
      </c>
      <c r="J413" t="inlineStr">
        <is>
          <t>20</t>
        </is>
      </c>
      <c r="K413" t="inlineStr">
        <is>
          <t>60/40</t>
        </is>
      </c>
      <c r="L413" t="inlineStr">
        <is>
          <t>2022</t>
        </is>
      </c>
      <c r="M413" t="inlineStr">
        <is>
          <t>6.5-7.0</t>
        </is>
      </c>
      <c r="N413" t="inlineStr">
        <is>
          <t>6-8</t>
        </is>
      </c>
      <c r="O413" t="inlineStr">
        <is>
          <t>12.5-15.0</t>
        </is>
      </c>
      <c r="P413" t="inlineStr">
        <is>
          <t>Emirates Intl School</t>
        </is>
      </c>
      <c r="Q413" t="inlineStr">
        <is>
          <t>Saudi German Hospital</t>
        </is>
      </c>
      <c r="R413" t="inlineStr">
        <is>
          <t>Dubai Marina Mall</t>
        </is>
      </c>
      <c r="S413" t="inlineStr">
        <is>
          <t>Sheikh Zayed E11</t>
        </is>
      </c>
      <c r="T413" t="inlineStr">
        <is>
          <t>20</t>
        </is>
      </c>
      <c r="U413" t="inlineStr">
        <is>
          <t>5</t>
        </is>
      </c>
      <c r="V413" t="inlineStr">
        <is>
          <t>25</t>
        </is>
      </c>
      <c r="W413" t="inlineStr">
        <is>
          <t>30</t>
        </is>
      </c>
      <c r="X413" t="inlineStr">
        <is>
          <t>Guild_real_estate_master.csv</t>
        </is>
      </c>
    </row>
    <row r="414">
      <c r="A414" t="n">
        <v>413</v>
      </c>
      <c r="B414" t="n">
        <v>413</v>
      </c>
      <c r="C414" t="inlineStr">
        <is>
          <t>MBL Signature</t>
        </is>
      </c>
      <c r="D414" t="inlineStr">
        <is>
          <t>MAG Property Development</t>
        </is>
      </c>
      <c r="E414" t="inlineStr">
        <is>
          <t>JLT</t>
        </is>
      </c>
      <c r="F414" t="inlineStr">
        <is>
          <t>Apartments</t>
        </is>
      </c>
      <c r="G414" t="inlineStr">
        <is>
          <t>High-Rise / Lake</t>
        </is>
      </c>
      <c r="H414" t="inlineStr">
        <is>
          <t>2.2M</t>
        </is>
      </c>
      <c r="I414" t="inlineStr">
        <is>
          <t>2000</t>
        </is>
      </c>
      <c r="J414" t="inlineStr">
        <is>
          <t>20</t>
        </is>
      </c>
      <c r="K414" t="inlineStr">
        <is>
          <t>60/40</t>
        </is>
      </c>
      <c r="L414" t="inlineStr">
        <is>
          <t>2024</t>
        </is>
      </c>
      <c r="M414" t="inlineStr">
        <is>
          <t>6.5-7.0</t>
        </is>
      </c>
      <c r="N414" t="inlineStr">
        <is>
          <t>6-8</t>
        </is>
      </c>
      <c r="O414" t="inlineStr">
        <is>
          <t>12.5-15.0</t>
        </is>
      </c>
      <c r="P414" t="inlineStr">
        <is>
          <t>Emirates Intl School</t>
        </is>
      </c>
      <c r="Q414" t="inlineStr">
        <is>
          <t>Saudi German Hospital</t>
        </is>
      </c>
      <c r="R414" t="inlineStr">
        <is>
          <t>Dubai Marina Mall</t>
        </is>
      </c>
      <c r="S414" t="inlineStr">
        <is>
          <t>Sheikh Zayed E11</t>
        </is>
      </c>
      <c r="T414" t="inlineStr">
        <is>
          <t>20</t>
        </is>
      </c>
      <c r="U414" t="inlineStr">
        <is>
          <t>5</t>
        </is>
      </c>
      <c r="V414" t="inlineStr">
        <is>
          <t>25</t>
        </is>
      </c>
      <c r="W414" t="inlineStr">
        <is>
          <t>30</t>
        </is>
      </c>
      <c r="X414" t="inlineStr">
        <is>
          <t>Guild_real_estate_master.csv</t>
        </is>
      </c>
    </row>
    <row r="415">
      <c r="A415" t="n">
        <v>414</v>
      </c>
      <c r="B415" t="n">
        <v>414</v>
      </c>
      <c r="C415" t="inlineStr">
        <is>
          <t>MAG 318</t>
        </is>
      </c>
      <c r="D415" t="inlineStr">
        <is>
          <t>MAG Property Development</t>
        </is>
      </c>
      <c r="E415" t="inlineStr">
        <is>
          <t>Business Bay</t>
        </is>
      </c>
      <c r="F415" t="inlineStr">
        <is>
          <t>Apartments</t>
        </is>
      </c>
      <c r="G415" t="inlineStr">
        <is>
          <t>Canal / City</t>
        </is>
      </c>
      <c r="H415" t="inlineStr">
        <is>
          <t>Resale (1.2M+)</t>
        </is>
      </c>
      <c r="I415" t="inlineStr">
        <is>
          <t>1600</t>
        </is>
      </c>
      <c r="J415" t="inlineStr">
        <is>
          <t>18</t>
        </is>
      </c>
      <c r="K415" t="inlineStr">
        <is>
          <t>Completed</t>
        </is>
      </c>
      <c r="L415" t="inlineStr">
        <is>
          <t>2019</t>
        </is>
      </c>
      <c r="M415" t="inlineStr">
        <is>
          <t>6.0-6.5</t>
        </is>
      </c>
      <c r="N415" t="inlineStr">
        <is>
          <t>5-7</t>
        </is>
      </c>
      <c r="O415" t="inlineStr">
        <is>
          <t>11.0-13.5</t>
        </is>
      </c>
      <c r="P415" t="inlineStr">
        <is>
          <t>Hartland Intl</t>
        </is>
      </c>
      <c r="Q415" t="inlineStr">
        <is>
          <t>Emirates Hospital BB</t>
        </is>
      </c>
      <c r="R415" t="inlineStr">
        <is>
          <t>Dubai Mall</t>
        </is>
      </c>
      <c r="S415" t="inlineStr">
        <is>
          <t>Al Khail E44</t>
        </is>
      </c>
      <c r="T415" t="inlineStr">
        <is>
          <t>5</t>
        </is>
      </c>
      <c r="U415" t="inlineStr">
        <is>
          <t>20</t>
        </is>
      </c>
      <c r="V415" t="inlineStr">
        <is>
          <t>15</t>
        </is>
      </c>
      <c r="W415" t="inlineStr">
        <is>
          <t>35</t>
        </is>
      </c>
      <c r="X415" t="inlineStr">
        <is>
          <t>Guild_real_estate_master.csv</t>
        </is>
      </c>
    </row>
    <row r="416">
      <c r="A416" t="n">
        <v>415</v>
      </c>
      <c r="B416" t="n">
        <v>415</v>
      </c>
      <c r="C416" t="inlineStr">
        <is>
          <t>MAG 218</t>
        </is>
      </c>
      <c r="D416" t="inlineStr">
        <is>
          <t>MAG Property Development</t>
        </is>
      </c>
      <c r="E416" t="inlineStr">
        <is>
          <t>Dubai Marina</t>
        </is>
      </c>
      <c r="F416" t="inlineStr">
        <is>
          <t>Apartments</t>
        </is>
      </c>
      <c r="G416" t="inlineStr">
        <is>
          <t>High-Rise</t>
        </is>
      </c>
      <c r="H416" t="inlineStr">
        <is>
          <t>Resale</t>
        </is>
      </c>
      <c r="I416" t="inlineStr">
        <is>
          <t>1200</t>
        </is>
      </c>
      <c r="J416" t="inlineStr">
        <is>
          <t>16</t>
        </is>
      </c>
      <c r="K416" t="inlineStr">
        <is>
          <t>Completed</t>
        </is>
      </c>
      <c r="L416" t="inlineStr">
        <is>
          <t>2010</t>
        </is>
      </c>
      <c r="M416" t="inlineStr">
        <is>
          <t>7.0-7.5</t>
        </is>
      </c>
      <c r="N416" t="inlineStr">
        <is>
          <t>4-6</t>
        </is>
      </c>
      <c r="O416" t="inlineStr">
        <is>
          <t>11.0-13.5</t>
        </is>
      </c>
      <c r="P416" t="inlineStr">
        <is>
          <t>American Univ. Dubai</t>
        </is>
      </c>
      <c r="Q416" t="inlineStr">
        <is>
          <t>Saudi German Hospital</t>
        </is>
      </c>
      <c r="R416" t="inlineStr">
        <is>
          <t>Dubai Marina Mall</t>
        </is>
      </c>
      <c r="S416" t="inlineStr">
        <is>
          <t>Sheikh Zayed E11</t>
        </is>
      </c>
      <c r="T416" t="inlineStr">
        <is>
          <t>20</t>
        </is>
      </c>
      <c r="U416" t="inlineStr">
        <is>
          <t>2</t>
        </is>
      </c>
      <c r="V416" t="inlineStr">
        <is>
          <t>25</t>
        </is>
      </c>
      <c r="W416" t="inlineStr">
        <is>
          <t>30</t>
        </is>
      </c>
      <c r="X416" t="inlineStr">
        <is>
          <t>Guild_real_estate_master.csv</t>
        </is>
      </c>
    </row>
    <row r="417">
      <c r="A417" t="n">
        <v>416</v>
      </c>
      <c r="B417" t="n">
        <v>416</v>
      </c>
      <c r="C417" t="inlineStr">
        <is>
          <t>Mar Casa</t>
        </is>
      </c>
      <c r="D417" t="inlineStr">
        <is>
          <t>Deyaar</t>
        </is>
      </c>
      <c r="E417" t="inlineStr">
        <is>
          <t>Dubai Maritime City</t>
        </is>
      </c>
      <c r="F417" t="inlineStr">
        <is>
          <t>Apartments</t>
        </is>
      </c>
      <c r="G417" t="inlineStr">
        <is>
          <t>Sea View / Luxury</t>
        </is>
      </c>
      <c r="H417" t="inlineStr">
        <is>
          <t>2.2M</t>
        </is>
      </c>
      <c r="I417" t="inlineStr">
        <is>
          <t>2000</t>
        </is>
      </c>
      <c r="J417" t="inlineStr">
        <is>
          <t>20</t>
        </is>
      </c>
      <c r="K417" t="inlineStr">
        <is>
          <t>50/50</t>
        </is>
      </c>
      <c r="L417" t="inlineStr">
        <is>
          <t>2023</t>
        </is>
      </c>
      <c r="M417" t="inlineStr">
        <is>
          <t>6.5-7.0</t>
        </is>
      </c>
      <c r="N417" t="inlineStr">
        <is>
          <t>8-10</t>
        </is>
      </c>
      <c r="O417" t="inlineStr">
        <is>
          <t>14.5-17.0</t>
        </is>
      </c>
      <c r="P417" t="inlineStr">
        <is>
          <t>New Academy School</t>
        </is>
      </c>
      <c r="Q417" t="inlineStr">
        <is>
          <t>Aster Hospital Mankhool</t>
        </is>
      </c>
      <c r="R417" t="inlineStr">
        <is>
          <t>Dubai Mall</t>
        </is>
      </c>
      <c r="S417" t="inlineStr">
        <is>
          <t>Al Khaleej / E11</t>
        </is>
      </c>
      <c r="T417" t="inlineStr">
        <is>
          <t>15</t>
        </is>
      </c>
      <c r="U417" t="inlineStr">
        <is>
          <t>25</t>
        </is>
      </c>
      <c r="V417" t="inlineStr">
        <is>
          <t>15</t>
        </is>
      </c>
      <c r="W417" t="inlineStr">
        <is>
          <t>45</t>
        </is>
      </c>
      <c r="X417" t="inlineStr">
        <is>
          <t>Guild_real_estate_master.csv</t>
        </is>
      </c>
    </row>
    <row r="418">
      <c r="A418" t="n">
        <v>417</v>
      </c>
      <c r="B418" t="n">
        <v>417</v>
      </c>
      <c r="C418" t="inlineStr">
        <is>
          <t>Regalia</t>
        </is>
      </c>
      <c r="D418" t="inlineStr">
        <is>
          <t>Deyaar</t>
        </is>
      </c>
      <c r="E418" t="inlineStr">
        <is>
          <t>Business Bay</t>
        </is>
      </c>
      <c r="F418" t="inlineStr">
        <is>
          <t>Apartments</t>
        </is>
      </c>
      <c r="G418" t="inlineStr">
        <is>
          <t>Luxury / Smart</t>
        </is>
      </c>
      <c r="H418" t="inlineStr">
        <is>
          <t>1.8M</t>
        </is>
      </c>
      <c r="I418" t="inlineStr">
        <is>
          <t>2100</t>
        </is>
      </c>
      <c r="J418" t="inlineStr">
        <is>
          <t>20</t>
        </is>
      </c>
      <c r="K418" t="inlineStr">
        <is>
          <t>Completed</t>
        </is>
      </c>
      <c r="L418" t="inlineStr">
        <is>
          <t>2021</t>
        </is>
      </c>
      <c r="M418" t="inlineStr">
        <is>
          <t>6.0-6.5</t>
        </is>
      </c>
      <c r="N418" t="inlineStr">
        <is>
          <t>6-8</t>
        </is>
      </c>
      <c r="O418" t="inlineStr">
        <is>
          <t>12.0-14.5</t>
        </is>
      </c>
      <c r="P418" t="inlineStr">
        <is>
          <t>Hartland Intl</t>
        </is>
      </c>
      <c r="Q418" t="inlineStr">
        <is>
          <t>Emirates Hospital BB</t>
        </is>
      </c>
      <c r="R418" t="inlineStr">
        <is>
          <t>Dubai Mall</t>
        </is>
      </c>
      <c r="S418" t="inlineStr">
        <is>
          <t>Al Khail E44</t>
        </is>
      </c>
      <c r="T418" t="inlineStr">
        <is>
          <t>5</t>
        </is>
      </c>
      <c r="U418" t="inlineStr">
        <is>
          <t>20</t>
        </is>
      </c>
      <c r="V418" t="inlineStr">
        <is>
          <t>15</t>
        </is>
      </c>
      <c r="W418" t="inlineStr">
        <is>
          <t>35</t>
        </is>
      </c>
      <c r="X418" t="inlineStr">
        <is>
          <t>Guild_real_estate_master.csv</t>
        </is>
      </c>
    </row>
    <row r="419">
      <c r="A419" t="n">
        <v>418</v>
      </c>
      <c r="B419" t="n">
        <v>418</v>
      </c>
      <c r="C419" t="inlineStr">
        <is>
          <t>Midtown Master Community</t>
        </is>
      </c>
      <c r="D419" t="inlineStr">
        <is>
          <t>Deyaar</t>
        </is>
      </c>
      <c r="E419" t="inlineStr">
        <is>
          <t>Dubai Production City</t>
        </is>
      </c>
      <c r="F419" t="inlineStr">
        <is>
          <t>Apartments</t>
        </is>
      </c>
      <c r="G419" t="inlineStr">
        <is>
          <t>Community / Family</t>
        </is>
      </c>
      <c r="H419" t="inlineStr">
        <is>
          <t>Resale (800k+)</t>
        </is>
      </c>
      <c r="I419" t="inlineStr">
        <is>
          <t>1100</t>
        </is>
      </c>
      <c r="J419" t="inlineStr">
        <is>
          <t>15</t>
        </is>
      </c>
      <c r="K419" t="inlineStr">
        <is>
          <t>Completed</t>
        </is>
      </c>
      <c r="L419" t="inlineStr">
        <is>
          <t>2015</t>
        </is>
      </c>
      <c r="M419" t="inlineStr">
        <is>
          <t>7.5-8.0</t>
        </is>
      </c>
      <c r="N419" t="inlineStr">
        <is>
          <t>5-7</t>
        </is>
      </c>
      <c r="O419" t="inlineStr">
        <is>
          <t>12.5-15.0</t>
        </is>
      </c>
      <c r="P419" t="inlineStr">
        <is>
          <t>Sunmarke School</t>
        </is>
      </c>
      <c r="Q419" t="inlineStr">
        <is>
          <t>NMC Royal DIP</t>
        </is>
      </c>
      <c r="R419" t="inlineStr">
        <is>
          <t>City Centre Me'aisem</t>
        </is>
      </c>
      <c r="S419" t="inlineStr">
        <is>
          <t>E311 / Yalayis</t>
        </is>
      </c>
      <c r="T419" t="inlineStr">
        <is>
          <t>25</t>
        </is>
      </c>
      <c r="U419" t="inlineStr">
        <is>
          <t>20</t>
        </is>
      </c>
      <c r="V419" t="inlineStr">
        <is>
          <t>30</t>
        </is>
      </c>
      <c r="W419" t="inlineStr">
        <is>
          <t>25</t>
        </is>
      </c>
      <c r="X419" t="inlineStr">
        <is>
          <t>Guild_real_estate_master.csv</t>
        </is>
      </c>
    </row>
    <row r="420">
      <c r="A420" t="n">
        <v>419</v>
      </c>
      <c r="B420" t="n">
        <v>419</v>
      </c>
      <c r="C420" t="inlineStr">
        <is>
          <t>Jannat</t>
        </is>
      </c>
      <c r="D420" t="inlineStr">
        <is>
          <t>Deyaar</t>
        </is>
      </c>
      <c r="E420" t="inlineStr">
        <is>
          <t>Midtown</t>
        </is>
      </c>
      <c r="F420" t="inlineStr">
        <is>
          <t>Apartments</t>
        </is>
      </c>
      <c r="G420" t="inlineStr">
        <is>
          <t>Park View</t>
        </is>
      </c>
      <c r="H420" t="inlineStr">
        <is>
          <t>900k</t>
        </is>
      </c>
      <c r="I420" t="inlineStr">
        <is>
          <t>1200</t>
        </is>
      </c>
      <c r="J420" t="inlineStr">
        <is>
          <t>15</t>
        </is>
      </c>
      <c r="K420" t="inlineStr">
        <is>
          <t>50/50</t>
        </is>
      </c>
      <c r="L420" t="inlineStr">
        <is>
          <t>2023</t>
        </is>
      </c>
      <c r="M420" t="inlineStr">
        <is>
          <t>7.5-8.0</t>
        </is>
      </c>
      <c r="N420" t="inlineStr">
        <is>
          <t>6-8</t>
        </is>
      </c>
      <c r="O420" t="inlineStr">
        <is>
          <t>13.5-16.0</t>
        </is>
      </c>
      <c r="P420" t="inlineStr">
        <is>
          <t>Sunmarke School</t>
        </is>
      </c>
      <c r="Q420" t="inlineStr">
        <is>
          <t>NMC Royal DIP</t>
        </is>
      </c>
      <c r="R420" t="inlineStr">
        <is>
          <t>City Centre Me'aisem</t>
        </is>
      </c>
      <c r="S420" t="inlineStr">
        <is>
          <t>E311 / Yalayis</t>
        </is>
      </c>
      <c r="T420" t="inlineStr">
        <is>
          <t>25</t>
        </is>
      </c>
      <c r="U420" t="inlineStr">
        <is>
          <t>20</t>
        </is>
      </c>
      <c r="V420" t="inlineStr">
        <is>
          <t>30</t>
        </is>
      </c>
      <c r="W420" t="inlineStr">
        <is>
          <t>25</t>
        </is>
      </c>
      <c r="X420" t="inlineStr">
        <is>
          <t>Guild_real_estate_master.csv</t>
        </is>
      </c>
    </row>
    <row r="421">
      <c r="A421" t="n">
        <v>420</v>
      </c>
      <c r="B421" t="n">
        <v>420</v>
      </c>
      <c r="C421" t="inlineStr">
        <is>
          <t>Rosalia Residences</t>
        </is>
      </c>
      <c r="D421" t="inlineStr">
        <is>
          <t>Deyaar</t>
        </is>
      </c>
      <c r="E421" t="inlineStr">
        <is>
          <t>Al Furjan</t>
        </is>
      </c>
      <c r="F421" t="inlineStr">
        <is>
          <t>Apartments</t>
        </is>
      </c>
      <c r="G421" t="inlineStr">
        <is>
          <t>Family / Metro</t>
        </is>
      </c>
      <c r="H421" t="inlineStr">
        <is>
          <t>1.0M</t>
        </is>
      </c>
      <c r="I421" t="inlineStr">
        <is>
          <t>1200</t>
        </is>
      </c>
      <c r="J421" t="inlineStr">
        <is>
          <t>14</t>
        </is>
      </c>
      <c r="K421" t="inlineStr">
        <is>
          <t>50/50</t>
        </is>
      </c>
      <c r="L421" t="inlineStr">
        <is>
          <t>2024</t>
        </is>
      </c>
      <c r="M421" t="inlineStr">
        <is>
          <t>7.0-7.5</t>
        </is>
      </c>
      <c r="N421" t="inlineStr">
        <is>
          <t>6-8</t>
        </is>
      </c>
      <c r="O421" t="inlineStr">
        <is>
          <t>13.0-15.5</t>
        </is>
      </c>
      <c r="P421" t="inlineStr">
        <is>
          <t>The Arbor School</t>
        </is>
      </c>
      <c r="Q421" t="inlineStr">
        <is>
          <t>NMC Royal DIP</t>
        </is>
      </c>
      <c r="R421" t="inlineStr">
        <is>
          <t>Ibn Battuta Mall</t>
        </is>
      </c>
      <c r="S421" t="inlineStr">
        <is>
          <t>Yalayis / E311</t>
        </is>
      </c>
      <c r="T421" t="inlineStr">
        <is>
          <t>25</t>
        </is>
      </c>
      <c r="U421" t="inlineStr">
        <is>
          <t>15</t>
        </is>
      </c>
      <c r="V421" t="inlineStr">
        <is>
          <t>30</t>
        </is>
      </c>
      <c r="W421" t="inlineStr">
        <is>
          <t>20</t>
        </is>
      </c>
      <c r="X421" t="inlineStr">
        <is>
          <t>Guild_real_estate_master.csv</t>
        </is>
      </c>
    </row>
    <row r="422">
      <c r="A422" t="n">
        <v>421</v>
      </c>
      <c r="B422" t="n">
        <v>421</v>
      </c>
      <c r="C422" t="inlineStr">
        <is>
          <t>Amalia Residences</t>
        </is>
      </c>
      <c r="D422" t="inlineStr">
        <is>
          <t>Deyaar</t>
        </is>
      </c>
      <c r="E422" t="inlineStr">
        <is>
          <t>Al Furjan</t>
        </is>
      </c>
      <c r="F422" t="inlineStr">
        <is>
          <t>Apartments</t>
        </is>
      </c>
      <c r="G422" t="inlineStr">
        <is>
          <t>Family / Metro</t>
        </is>
      </c>
      <c r="H422" t="inlineStr">
        <is>
          <t>900k</t>
        </is>
      </c>
      <c r="I422" t="inlineStr">
        <is>
          <t>1150</t>
        </is>
      </c>
      <c r="J422" t="inlineStr">
        <is>
          <t>14</t>
        </is>
      </c>
      <c r="K422" t="inlineStr">
        <is>
          <t>50/50</t>
        </is>
      </c>
      <c r="L422" t="inlineStr">
        <is>
          <t>2023</t>
        </is>
      </c>
      <c r="M422" t="inlineStr">
        <is>
          <t>7.0-7.5</t>
        </is>
      </c>
      <c r="N422" t="inlineStr">
        <is>
          <t>6-8</t>
        </is>
      </c>
      <c r="O422" t="inlineStr">
        <is>
          <t>13.0-15.5</t>
        </is>
      </c>
      <c r="P422" t="inlineStr">
        <is>
          <t>The Arbor School</t>
        </is>
      </c>
      <c r="Q422" t="inlineStr">
        <is>
          <t>NMC Royal DIP</t>
        </is>
      </c>
      <c r="R422" t="inlineStr">
        <is>
          <t>Ibn Battuta Mall</t>
        </is>
      </c>
      <c r="S422" t="inlineStr">
        <is>
          <t>Yalayis / E311</t>
        </is>
      </c>
      <c r="T422" t="inlineStr">
        <is>
          <t>25</t>
        </is>
      </c>
      <c r="U422" t="inlineStr">
        <is>
          <t>15</t>
        </is>
      </c>
      <c r="V422" t="inlineStr">
        <is>
          <t>30</t>
        </is>
      </c>
      <c r="W422" t="inlineStr">
        <is>
          <t>20</t>
        </is>
      </c>
      <c r="X422" t="inlineStr">
        <is>
          <t>Guild_real_estate_master.csv</t>
        </is>
      </c>
    </row>
    <row r="423">
      <c r="A423" t="n">
        <v>422</v>
      </c>
      <c r="B423" t="n">
        <v>422</v>
      </c>
      <c r="C423" t="inlineStr">
        <is>
          <t>Millennium Talia</t>
        </is>
      </c>
      <c r="D423" t="inlineStr">
        <is>
          <t>Deyaar</t>
        </is>
      </c>
      <c r="E423" t="inlineStr">
        <is>
          <t>Al Furjan</t>
        </is>
      </c>
      <c r="F423" t="inlineStr">
        <is>
          <t>Hotel Apts</t>
        </is>
      </c>
      <c r="G423" t="inlineStr">
        <is>
          <t>Investment</t>
        </is>
      </c>
      <c r="H423" t="inlineStr">
        <is>
          <t>1.1M</t>
        </is>
      </c>
      <c r="I423" t="inlineStr">
        <is>
          <t>1300</t>
        </is>
      </c>
      <c r="J423" t="inlineStr">
        <is>
          <t>18</t>
        </is>
      </c>
      <c r="K423" t="inlineStr">
        <is>
          <t>50/50</t>
        </is>
      </c>
      <c r="L423" t="inlineStr">
        <is>
          <t>2023</t>
        </is>
      </c>
      <c r="M423" t="inlineStr">
        <is>
          <t>8.0-9.0</t>
        </is>
      </c>
      <c r="N423" t="inlineStr">
        <is>
          <t>5-7</t>
        </is>
      </c>
      <c r="O423" t="inlineStr">
        <is>
          <t>13.0-16.0</t>
        </is>
      </c>
      <c r="P423" t="inlineStr">
        <is>
          <t>The Arbor School</t>
        </is>
      </c>
      <c r="Q423" t="inlineStr">
        <is>
          <t>NMC Royal DIP</t>
        </is>
      </c>
      <c r="R423" t="inlineStr">
        <is>
          <t>Ibn Battuta Mall</t>
        </is>
      </c>
      <c r="S423" t="inlineStr">
        <is>
          <t>Yalayis / E311</t>
        </is>
      </c>
      <c r="T423" t="inlineStr">
        <is>
          <t>25</t>
        </is>
      </c>
      <c r="U423" t="inlineStr">
        <is>
          <t>15</t>
        </is>
      </c>
      <c r="V423" t="inlineStr">
        <is>
          <t>30</t>
        </is>
      </c>
      <c r="W423" t="inlineStr">
        <is>
          <t>20</t>
        </is>
      </c>
      <c r="X423" t="inlineStr">
        <is>
          <t>Guild_real_estate_master.csv</t>
        </is>
      </c>
    </row>
    <row r="424">
      <c r="A424" t="n">
        <v>423</v>
      </c>
      <c r="B424" t="n">
        <v>423</v>
      </c>
      <c r="C424" t="inlineStr">
        <is>
          <t>Town Square (Master Community)</t>
        </is>
      </c>
      <c r="D424" t="inlineStr">
        <is>
          <t>Nshama</t>
        </is>
      </c>
      <c r="E424" t="inlineStr">
        <is>
          <t>Dubailand (Al Qudra)</t>
        </is>
      </c>
      <c r="F424" t="inlineStr">
        <is>
          <t>Mixed</t>
        </is>
      </c>
      <c r="G424" t="inlineStr">
        <is>
          <t>Family / Affordable</t>
        </is>
      </c>
      <c r="J424" t="inlineStr">
        <is>
          <t>12</t>
        </is>
      </c>
      <c r="K424" t="inlineStr">
        <is>
          <t>Varies</t>
        </is>
      </c>
      <c r="L424" t="inlineStr">
        <is>
          <t>Ongoing</t>
        </is>
      </c>
      <c r="M424" t="inlineStr">
        <is>
          <t>7.0-7.5</t>
        </is>
      </c>
      <c r="N424" t="inlineStr">
        <is>
          <t>5-7</t>
        </is>
      </c>
      <c r="O424" t="inlineStr">
        <is>
          <t>12.0-14.5</t>
        </is>
      </c>
      <c r="P424" t="inlineStr">
        <is>
          <t>Fairgreen Intl</t>
        </is>
      </c>
      <c r="Q424" t="inlineStr">
        <is>
          <t>Saudi German Hospital</t>
        </is>
      </c>
      <c r="R424" t="inlineStr">
        <is>
          <t>Town Square Comm. Ctr</t>
        </is>
      </c>
      <c r="S424" t="inlineStr">
        <is>
          <t>Al Qudra Rd</t>
        </is>
      </c>
      <c r="T424" t="inlineStr">
        <is>
          <t>25</t>
        </is>
      </c>
      <c r="U424" t="inlineStr">
        <is>
          <t>30</t>
        </is>
      </c>
      <c r="V424" t="inlineStr">
        <is>
          <t>30</t>
        </is>
      </c>
      <c r="W424" t="inlineStr">
        <is>
          <t>30</t>
        </is>
      </c>
      <c r="X424" t="inlineStr">
        <is>
          <t>Guild_real_estate_master.csv</t>
        </is>
      </c>
    </row>
    <row r="425">
      <c r="A425" t="n">
        <v>424</v>
      </c>
      <c r="B425" t="n">
        <v>424</v>
      </c>
      <c r="C425" t="inlineStr">
        <is>
          <t>Fia</t>
        </is>
      </c>
      <c r="D425" t="inlineStr">
        <is>
          <t>Nshama</t>
        </is>
      </c>
      <c r="E425" t="inlineStr">
        <is>
          <t>Town Square</t>
        </is>
      </c>
      <c r="F425" t="inlineStr">
        <is>
          <t>Apartments</t>
        </is>
      </c>
      <c r="G425" t="inlineStr">
        <is>
          <t>Park View</t>
        </is>
      </c>
      <c r="H425" t="inlineStr">
        <is>
          <t>800k</t>
        </is>
      </c>
      <c r="I425" t="inlineStr">
        <is>
          <t>1100</t>
        </is>
      </c>
      <c r="J425" t="inlineStr">
        <is>
          <t>14</t>
        </is>
      </c>
      <c r="K425" t="inlineStr">
        <is>
          <t>50/50</t>
        </is>
      </c>
      <c r="L425" t="inlineStr">
        <is>
          <t>2024</t>
        </is>
      </c>
      <c r="M425" t="inlineStr">
        <is>
          <t>7.0-7.5</t>
        </is>
      </c>
      <c r="N425" t="inlineStr">
        <is>
          <t>6-8</t>
        </is>
      </c>
      <c r="O425" t="inlineStr">
        <is>
          <t>13.0-15.5</t>
        </is>
      </c>
      <c r="P425" t="inlineStr">
        <is>
          <t>Fairgreen Intl</t>
        </is>
      </c>
      <c r="Q425" t="inlineStr">
        <is>
          <t>Saudi German Hospital</t>
        </is>
      </c>
      <c r="R425" t="inlineStr">
        <is>
          <t>Town Square Comm. Ctr</t>
        </is>
      </c>
      <c r="S425" t="inlineStr">
        <is>
          <t>Al Qudra Rd</t>
        </is>
      </c>
      <c r="T425" t="inlineStr">
        <is>
          <t>25</t>
        </is>
      </c>
      <c r="U425" t="inlineStr">
        <is>
          <t>30</t>
        </is>
      </c>
      <c r="V425" t="inlineStr">
        <is>
          <t>30</t>
        </is>
      </c>
      <c r="W425" t="inlineStr">
        <is>
          <t>30</t>
        </is>
      </c>
      <c r="X425" t="inlineStr">
        <is>
          <t>Guild_real_estate_master.csv</t>
        </is>
      </c>
    </row>
    <row r="426">
      <c r="A426" t="n">
        <v>425</v>
      </c>
      <c r="B426" t="n">
        <v>425</v>
      </c>
      <c r="C426" t="inlineStr">
        <is>
          <t>Elaya</t>
        </is>
      </c>
      <c r="D426" t="inlineStr">
        <is>
          <t>Nshama</t>
        </is>
      </c>
      <c r="E426" t="inlineStr">
        <is>
          <t>Town Square</t>
        </is>
      </c>
      <c r="F426" t="inlineStr">
        <is>
          <t>Apartments</t>
        </is>
      </c>
      <c r="G426" t="inlineStr">
        <is>
          <t>Park View</t>
        </is>
      </c>
      <c r="H426" t="inlineStr">
        <is>
          <t>850k</t>
        </is>
      </c>
      <c r="I426" t="inlineStr">
        <is>
          <t>1150</t>
        </is>
      </c>
      <c r="J426" t="inlineStr">
        <is>
          <t>14</t>
        </is>
      </c>
      <c r="K426" t="inlineStr">
        <is>
          <t>50/50</t>
        </is>
      </c>
      <c r="L426" t="inlineStr">
        <is>
          <t>2024</t>
        </is>
      </c>
      <c r="M426" t="inlineStr">
        <is>
          <t>7.0-7.5</t>
        </is>
      </c>
      <c r="N426" t="inlineStr">
        <is>
          <t>6-8</t>
        </is>
      </c>
      <c r="O426" t="inlineStr">
        <is>
          <t>13.0-15.5</t>
        </is>
      </c>
      <c r="P426" t="inlineStr">
        <is>
          <t>Fairgreen Intl</t>
        </is>
      </c>
      <c r="Q426" t="inlineStr">
        <is>
          <t>Saudi German Hospital</t>
        </is>
      </c>
      <c r="R426" t="inlineStr">
        <is>
          <t>Town Square Comm. Ctr</t>
        </is>
      </c>
      <c r="S426" t="inlineStr">
        <is>
          <t>Al Qudra Rd</t>
        </is>
      </c>
      <c r="T426" t="inlineStr">
        <is>
          <t>25</t>
        </is>
      </c>
      <c r="U426" t="inlineStr">
        <is>
          <t>30</t>
        </is>
      </c>
      <c r="V426" t="inlineStr">
        <is>
          <t>30</t>
        </is>
      </c>
      <c r="W426" t="inlineStr">
        <is>
          <t>30</t>
        </is>
      </c>
      <c r="X426" t="inlineStr">
        <is>
          <t>Guild_real_estate_master.csv</t>
        </is>
      </c>
    </row>
    <row r="427">
      <c r="A427" t="n">
        <v>426</v>
      </c>
      <c r="B427" t="n">
        <v>426</v>
      </c>
      <c r="C427" t="inlineStr">
        <is>
          <t>Ayala</t>
        </is>
      </c>
      <c r="D427" t="inlineStr">
        <is>
          <t>Nshama</t>
        </is>
      </c>
      <c r="E427" t="inlineStr">
        <is>
          <t>Town Square</t>
        </is>
      </c>
      <c r="F427" t="inlineStr">
        <is>
          <t>Apartments</t>
        </is>
      </c>
      <c r="G427" t="inlineStr">
        <is>
          <t>Park View</t>
        </is>
      </c>
      <c r="H427" t="inlineStr">
        <is>
          <t>850k</t>
        </is>
      </c>
      <c r="I427" t="inlineStr">
        <is>
          <t>1150</t>
        </is>
      </c>
      <c r="J427" t="inlineStr">
        <is>
          <t>14</t>
        </is>
      </c>
      <c r="K427" t="inlineStr">
        <is>
          <t>50/50</t>
        </is>
      </c>
      <c r="L427" t="inlineStr">
        <is>
          <t>2024</t>
        </is>
      </c>
      <c r="M427" t="inlineStr">
        <is>
          <t>7.0-7.5</t>
        </is>
      </c>
      <c r="N427" t="inlineStr">
        <is>
          <t>6-8</t>
        </is>
      </c>
      <c r="O427" t="inlineStr">
        <is>
          <t>13.0-15.5</t>
        </is>
      </c>
      <c r="P427" t="inlineStr">
        <is>
          <t>Fairgreen Intl</t>
        </is>
      </c>
      <c r="Q427" t="inlineStr">
        <is>
          <t>Saudi German Hospital</t>
        </is>
      </c>
      <c r="R427" t="inlineStr">
        <is>
          <t>Town Square Comm. Ctr</t>
        </is>
      </c>
      <c r="S427" t="inlineStr">
        <is>
          <t>Al Qudra Rd</t>
        </is>
      </c>
      <c r="T427" t="inlineStr">
        <is>
          <t>25</t>
        </is>
      </c>
      <c r="U427" t="inlineStr">
        <is>
          <t>30</t>
        </is>
      </c>
      <c r="V427" t="inlineStr">
        <is>
          <t>30</t>
        </is>
      </c>
      <c r="W427" t="inlineStr">
        <is>
          <t>30</t>
        </is>
      </c>
      <c r="X427" t="inlineStr">
        <is>
          <t>Guild_real_estate_master.csv</t>
        </is>
      </c>
    </row>
    <row r="428">
      <c r="A428" t="n">
        <v>427</v>
      </c>
      <c r="B428" t="n">
        <v>427</v>
      </c>
      <c r="C428" t="inlineStr">
        <is>
          <t>Symphony</t>
        </is>
      </c>
      <c r="D428" t="inlineStr">
        <is>
          <t>Nshama</t>
        </is>
      </c>
      <c r="E428" t="inlineStr">
        <is>
          <t>Town Square</t>
        </is>
      </c>
      <c r="F428" t="inlineStr">
        <is>
          <t>Apartments</t>
        </is>
      </c>
      <c r="G428" t="inlineStr">
        <is>
          <t>Park View</t>
        </is>
      </c>
      <c r="H428" t="inlineStr">
        <is>
          <t>900k</t>
        </is>
      </c>
      <c r="I428" t="inlineStr">
        <is>
          <t>1200</t>
        </is>
      </c>
      <c r="J428" t="inlineStr">
        <is>
          <t>14</t>
        </is>
      </c>
      <c r="K428" t="inlineStr">
        <is>
          <t>50/50</t>
        </is>
      </c>
      <c r="L428" t="inlineStr">
        <is>
          <t>2023</t>
        </is>
      </c>
      <c r="M428" t="inlineStr">
        <is>
          <t>7.0-7.5</t>
        </is>
      </c>
      <c r="N428" t="inlineStr">
        <is>
          <t>6-8</t>
        </is>
      </c>
      <c r="O428" t="inlineStr">
        <is>
          <t>13.0-15.5</t>
        </is>
      </c>
      <c r="P428" t="inlineStr">
        <is>
          <t>Fairgreen Intl</t>
        </is>
      </c>
      <c r="Q428" t="inlineStr">
        <is>
          <t>Saudi German Hospital</t>
        </is>
      </c>
      <c r="R428" t="inlineStr">
        <is>
          <t>Town Square Comm. Ctr</t>
        </is>
      </c>
      <c r="S428" t="inlineStr">
        <is>
          <t>Al Qudra Rd</t>
        </is>
      </c>
      <c r="T428" t="inlineStr">
        <is>
          <t>25</t>
        </is>
      </c>
      <c r="U428" t="inlineStr">
        <is>
          <t>30</t>
        </is>
      </c>
      <c r="V428" t="inlineStr">
        <is>
          <t>30</t>
        </is>
      </c>
      <c r="W428" t="inlineStr">
        <is>
          <t>30</t>
        </is>
      </c>
      <c r="X428" t="inlineStr">
        <is>
          <t>Guild_real_estate_master.csv</t>
        </is>
      </c>
    </row>
    <row r="429">
      <c r="A429" t="n">
        <v>428</v>
      </c>
      <c r="B429" t="n">
        <v>428</v>
      </c>
      <c r="C429" t="inlineStr">
        <is>
          <t>Aroha</t>
        </is>
      </c>
      <c r="D429" t="inlineStr">
        <is>
          <t>Nshama</t>
        </is>
      </c>
      <c r="E429" t="inlineStr">
        <is>
          <t>Town Square</t>
        </is>
      </c>
      <c r="F429" t="inlineStr">
        <is>
          <t>Apartments</t>
        </is>
      </c>
      <c r="G429" t="inlineStr">
        <is>
          <t>Park View</t>
        </is>
      </c>
      <c r="H429" t="inlineStr">
        <is>
          <t>800k</t>
        </is>
      </c>
      <c r="I429" t="inlineStr">
        <is>
          <t>1100</t>
        </is>
      </c>
      <c r="J429" t="inlineStr">
        <is>
          <t>14</t>
        </is>
      </c>
      <c r="K429" t="inlineStr">
        <is>
          <t>50/50</t>
        </is>
      </c>
      <c r="L429" t="inlineStr">
        <is>
          <t>2023</t>
        </is>
      </c>
      <c r="M429" t="inlineStr">
        <is>
          <t>7.0-7.5</t>
        </is>
      </c>
      <c r="N429" t="inlineStr">
        <is>
          <t>6-8</t>
        </is>
      </c>
      <c r="O429" t="inlineStr">
        <is>
          <t>13.0-15.5</t>
        </is>
      </c>
      <c r="P429" t="inlineStr">
        <is>
          <t>Fairgreen Intl</t>
        </is>
      </c>
      <c r="Q429" t="inlineStr">
        <is>
          <t>Saudi German Hospital</t>
        </is>
      </c>
      <c r="R429" t="inlineStr">
        <is>
          <t>Town Square Comm. Ctr</t>
        </is>
      </c>
      <c r="S429" t="inlineStr">
        <is>
          <t>Al Qudra Rd</t>
        </is>
      </c>
      <c r="T429" t="inlineStr">
        <is>
          <t>25</t>
        </is>
      </c>
      <c r="U429" t="inlineStr">
        <is>
          <t>30</t>
        </is>
      </c>
      <c r="V429" t="inlineStr">
        <is>
          <t>30</t>
        </is>
      </c>
      <c r="W429" t="inlineStr">
        <is>
          <t>30</t>
        </is>
      </c>
      <c r="X429" t="inlineStr">
        <is>
          <t>Guild_real_estate_master.csv</t>
        </is>
      </c>
    </row>
    <row r="430">
      <c r="A430" t="n">
        <v>429</v>
      </c>
      <c r="B430" t="n">
        <v>429</v>
      </c>
      <c r="C430" t="inlineStr">
        <is>
          <t>The Hamilton</t>
        </is>
      </c>
      <c r="D430" t="inlineStr">
        <is>
          <t>Nshama</t>
        </is>
      </c>
      <c r="E430" t="inlineStr">
        <is>
          <t>Town Square</t>
        </is>
      </c>
      <c r="F430" t="inlineStr">
        <is>
          <t>Apartments</t>
        </is>
      </c>
      <c r="G430" t="inlineStr">
        <is>
          <t>Park View</t>
        </is>
      </c>
      <c r="H430" t="inlineStr">
        <is>
          <t>800k</t>
        </is>
      </c>
      <c r="I430" t="inlineStr">
        <is>
          <t>1100</t>
        </is>
      </c>
      <c r="J430" t="inlineStr">
        <is>
          <t>14</t>
        </is>
      </c>
      <c r="K430" t="inlineStr">
        <is>
          <t>50/50</t>
        </is>
      </c>
      <c r="L430" t="inlineStr">
        <is>
          <t>2023</t>
        </is>
      </c>
      <c r="M430" t="inlineStr">
        <is>
          <t>7.0-7.5</t>
        </is>
      </c>
      <c r="N430" t="inlineStr">
        <is>
          <t>6-8</t>
        </is>
      </c>
      <c r="O430" t="inlineStr">
        <is>
          <t>13.0-15.5</t>
        </is>
      </c>
      <c r="P430" t="inlineStr">
        <is>
          <t>Fairgreen Intl</t>
        </is>
      </c>
      <c r="Q430" t="inlineStr">
        <is>
          <t>Saudi German Hospital</t>
        </is>
      </c>
      <c r="R430" t="inlineStr">
        <is>
          <t>Town Square Comm. Ctr</t>
        </is>
      </c>
      <c r="S430" t="inlineStr">
        <is>
          <t>Al Qudra Rd</t>
        </is>
      </c>
      <c r="T430" t="inlineStr">
        <is>
          <t>25</t>
        </is>
      </c>
      <c r="U430" t="inlineStr">
        <is>
          <t>30</t>
        </is>
      </c>
      <c r="V430" t="inlineStr">
        <is>
          <t>30</t>
        </is>
      </c>
      <c r="W430" t="inlineStr">
        <is>
          <t>30</t>
        </is>
      </c>
      <c r="X430" t="inlineStr">
        <is>
          <t>Guild_real_estate_master.csv</t>
        </is>
      </c>
    </row>
    <row r="431">
      <c r="A431" t="n">
        <v>430</v>
      </c>
      <c r="B431" t="n">
        <v>430</v>
      </c>
      <c r="C431" t="inlineStr">
        <is>
          <t>Holland Gardens</t>
        </is>
      </c>
      <c r="D431" t="inlineStr">
        <is>
          <t>Nshama</t>
        </is>
      </c>
      <c r="E431" t="inlineStr">
        <is>
          <t>Town Square</t>
        </is>
      </c>
      <c r="F431" t="inlineStr">
        <is>
          <t>Apartments</t>
        </is>
      </c>
      <c r="G431" t="inlineStr">
        <is>
          <t>Park View</t>
        </is>
      </c>
      <c r="H431" t="inlineStr">
        <is>
          <t>800k</t>
        </is>
      </c>
      <c r="I431" t="inlineStr">
        <is>
          <t>1100</t>
        </is>
      </c>
      <c r="J431" t="inlineStr">
        <is>
          <t>14</t>
        </is>
      </c>
      <c r="K431" t="inlineStr">
        <is>
          <t>50/50</t>
        </is>
      </c>
      <c r="L431" t="inlineStr">
        <is>
          <t>2023</t>
        </is>
      </c>
      <c r="M431" t="inlineStr">
        <is>
          <t>7.0-7.5</t>
        </is>
      </c>
      <c r="N431" t="inlineStr">
        <is>
          <t>6-8</t>
        </is>
      </c>
      <c r="O431" t="inlineStr">
        <is>
          <t>13.0-15.5</t>
        </is>
      </c>
      <c r="P431" t="inlineStr">
        <is>
          <t>Fairgreen Intl</t>
        </is>
      </c>
      <c r="Q431" t="inlineStr">
        <is>
          <t>Saudi German Hospital</t>
        </is>
      </c>
      <c r="R431" t="inlineStr">
        <is>
          <t>Town Square Comm. Ctr</t>
        </is>
      </c>
      <c r="S431" t="inlineStr">
        <is>
          <t>Al Qudra Rd</t>
        </is>
      </c>
      <c r="T431" t="inlineStr">
        <is>
          <t>25</t>
        </is>
      </c>
      <c r="U431" t="inlineStr">
        <is>
          <t>30</t>
        </is>
      </c>
      <c r="V431" t="inlineStr">
        <is>
          <t>30</t>
        </is>
      </c>
      <c r="W431" t="inlineStr">
        <is>
          <t>30</t>
        </is>
      </c>
      <c r="X431" t="inlineStr">
        <is>
          <t>Guild_real_estate_master.csv</t>
        </is>
      </c>
    </row>
    <row r="432">
      <c r="A432" t="n">
        <v>431</v>
      </c>
      <c r="B432" t="n">
        <v>431</v>
      </c>
      <c r="C432" t="inlineStr">
        <is>
          <t>The Diplomat</t>
        </is>
      </c>
      <c r="D432" t="inlineStr">
        <is>
          <t>Nshama</t>
        </is>
      </c>
      <c r="E432" t="inlineStr">
        <is>
          <t>Town Square</t>
        </is>
      </c>
      <c r="F432" t="inlineStr">
        <is>
          <t>Apartments</t>
        </is>
      </c>
      <c r="G432" t="inlineStr">
        <is>
          <t>Park View</t>
        </is>
      </c>
      <c r="H432" t="inlineStr">
        <is>
          <t>850k</t>
        </is>
      </c>
      <c r="I432" t="inlineStr">
        <is>
          <t>1150</t>
        </is>
      </c>
      <c r="J432" t="inlineStr">
        <is>
          <t>14</t>
        </is>
      </c>
      <c r="K432" t="inlineStr">
        <is>
          <t>50/50</t>
        </is>
      </c>
      <c r="L432" t="inlineStr">
        <is>
          <t>2022</t>
        </is>
      </c>
      <c r="M432" t="inlineStr">
        <is>
          <t>7.0-7.5</t>
        </is>
      </c>
      <c r="N432" t="inlineStr">
        <is>
          <t>6-8</t>
        </is>
      </c>
      <c r="O432" t="inlineStr">
        <is>
          <t>13.0-15.5</t>
        </is>
      </c>
      <c r="P432" t="inlineStr">
        <is>
          <t>Fairgreen Intl</t>
        </is>
      </c>
      <c r="Q432" t="inlineStr">
        <is>
          <t>Saudi German Hospital</t>
        </is>
      </c>
      <c r="R432" t="inlineStr">
        <is>
          <t>Town Square Comm. Ctr</t>
        </is>
      </c>
      <c r="S432" t="inlineStr">
        <is>
          <t>Al Qudra Rd</t>
        </is>
      </c>
      <c r="T432" t="inlineStr">
        <is>
          <t>25</t>
        </is>
      </c>
      <c r="U432" t="inlineStr">
        <is>
          <t>30</t>
        </is>
      </c>
      <c r="V432" t="inlineStr">
        <is>
          <t>30</t>
        </is>
      </c>
      <c r="W432" t="inlineStr">
        <is>
          <t>30</t>
        </is>
      </c>
      <c r="X432" t="inlineStr">
        <is>
          <t>Guild_real_estate_master.csv</t>
        </is>
      </c>
    </row>
    <row r="433">
      <c r="A433" t="n">
        <v>432</v>
      </c>
      <c r="B433" t="n">
        <v>432</v>
      </c>
      <c r="C433" t="inlineStr">
        <is>
          <t>Liva</t>
        </is>
      </c>
      <c r="D433" t="inlineStr">
        <is>
          <t>Nshama</t>
        </is>
      </c>
      <c r="E433" t="inlineStr">
        <is>
          <t>Town Square</t>
        </is>
      </c>
      <c r="F433" t="inlineStr">
        <is>
          <t>Apartments</t>
        </is>
      </c>
      <c r="G433" t="inlineStr">
        <is>
          <t>Studio/1Bed</t>
        </is>
      </c>
      <c r="H433" t="inlineStr">
        <is>
          <t>500k</t>
        </is>
      </c>
      <c r="I433" t="inlineStr">
        <is>
          <t>1000</t>
        </is>
      </c>
      <c r="J433" t="inlineStr">
        <is>
          <t>14</t>
        </is>
      </c>
      <c r="K433" t="inlineStr">
        <is>
          <t>Completed</t>
        </is>
      </c>
      <c r="L433" t="inlineStr">
        <is>
          <t>2022</t>
        </is>
      </c>
      <c r="M433" t="inlineStr">
        <is>
          <t>7.5-8.0</t>
        </is>
      </c>
      <c r="N433" t="inlineStr">
        <is>
          <t>5-7</t>
        </is>
      </c>
      <c r="O433" t="inlineStr">
        <is>
          <t>12.5-15.0</t>
        </is>
      </c>
      <c r="P433" t="inlineStr">
        <is>
          <t>Fairgreen Intl</t>
        </is>
      </c>
      <c r="Q433" t="inlineStr">
        <is>
          <t>Saudi German Hospital</t>
        </is>
      </c>
      <c r="R433" t="inlineStr">
        <is>
          <t>Town Square Comm. Ctr</t>
        </is>
      </c>
      <c r="S433" t="inlineStr">
        <is>
          <t>Al Qudra Rd</t>
        </is>
      </c>
      <c r="T433" t="inlineStr">
        <is>
          <t>25</t>
        </is>
      </c>
      <c r="U433" t="inlineStr">
        <is>
          <t>30</t>
        </is>
      </c>
      <c r="V433" t="inlineStr">
        <is>
          <t>30</t>
        </is>
      </c>
      <c r="W433" t="inlineStr">
        <is>
          <t>30</t>
        </is>
      </c>
      <c r="X433" t="inlineStr">
        <is>
          <t>Guild_real_estate_master.csv</t>
        </is>
      </c>
    </row>
    <row r="434">
      <c r="A434" t="n">
        <v>433</v>
      </c>
      <c r="B434" t="n">
        <v>433</v>
      </c>
      <c r="C434" t="inlineStr">
        <is>
          <t>Una</t>
        </is>
      </c>
      <c r="D434" t="inlineStr">
        <is>
          <t>Nshama</t>
        </is>
      </c>
      <c r="E434" t="inlineStr">
        <is>
          <t>Town Square</t>
        </is>
      </c>
      <c r="F434" t="inlineStr">
        <is>
          <t>Apartments</t>
        </is>
      </c>
      <c r="G434" t="inlineStr">
        <is>
          <t>Co-Living / Youth</t>
        </is>
      </c>
      <c r="H434" t="inlineStr">
        <is>
          <t>Resale (500k+)</t>
        </is>
      </c>
      <c r="I434" t="inlineStr">
        <is>
          <t>1000</t>
        </is>
      </c>
      <c r="J434" t="inlineStr">
        <is>
          <t>15</t>
        </is>
      </c>
      <c r="K434" t="inlineStr">
        <is>
          <t>Completed</t>
        </is>
      </c>
      <c r="L434" t="inlineStr">
        <is>
          <t>2019</t>
        </is>
      </c>
      <c r="M434" t="inlineStr">
        <is>
          <t>7.5-8.0</t>
        </is>
      </c>
      <c r="N434" t="inlineStr">
        <is>
          <t>5-7</t>
        </is>
      </c>
      <c r="O434" t="inlineStr">
        <is>
          <t>12.5-15.0</t>
        </is>
      </c>
      <c r="P434" t="inlineStr">
        <is>
          <t>Fairgreen Intl</t>
        </is>
      </c>
      <c r="Q434" t="inlineStr">
        <is>
          <t>Saudi German Hospital</t>
        </is>
      </c>
      <c r="R434" t="inlineStr">
        <is>
          <t>Town Square Comm. Ctr</t>
        </is>
      </c>
      <c r="S434" t="inlineStr">
        <is>
          <t>Al Qudra Rd</t>
        </is>
      </c>
      <c r="T434" t="inlineStr">
        <is>
          <t>25</t>
        </is>
      </c>
      <c r="U434" t="inlineStr">
        <is>
          <t>30</t>
        </is>
      </c>
      <c r="V434" t="inlineStr">
        <is>
          <t>30</t>
        </is>
      </c>
      <c r="W434" t="inlineStr">
        <is>
          <t>30</t>
        </is>
      </c>
      <c r="X434" t="inlineStr">
        <is>
          <t>Guild_real_estate_master.csv</t>
        </is>
      </c>
    </row>
    <row r="435">
      <c r="A435" t="n">
        <v>434</v>
      </c>
      <c r="B435" t="n">
        <v>434</v>
      </c>
      <c r="C435" t="inlineStr">
        <is>
          <t>Rawda / Zahra / Hayat</t>
        </is>
      </c>
      <c r="D435" t="inlineStr">
        <is>
          <t>Nshama</t>
        </is>
      </c>
      <c r="E435" t="inlineStr">
        <is>
          <t>Town Square</t>
        </is>
      </c>
      <c r="F435" t="inlineStr">
        <is>
          <t>Apartments</t>
        </is>
      </c>
      <c r="G435" t="inlineStr">
        <is>
          <t>Park View</t>
        </is>
      </c>
      <c r="H435" t="inlineStr">
        <is>
          <t>Resale (600k+)</t>
        </is>
      </c>
      <c r="I435" t="inlineStr">
        <is>
          <t>900</t>
        </is>
      </c>
      <c r="J435" t="inlineStr">
        <is>
          <t>14</t>
        </is>
      </c>
      <c r="K435" t="inlineStr">
        <is>
          <t>Completed</t>
        </is>
      </c>
      <c r="L435" t="inlineStr">
        <is>
          <t>2015-2019</t>
        </is>
      </c>
      <c r="M435" t="inlineStr">
        <is>
          <t>7.0-7.5</t>
        </is>
      </c>
      <c r="N435" t="inlineStr">
        <is>
          <t>5-7</t>
        </is>
      </c>
      <c r="O435" t="inlineStr">
        <is>
          <t>12.0-14.5</t>
        </is>
      </c>
      <c r="P435" t="inlineStr">
        <is>
          <t>Fairgreen Intl</t>
        </is>
      </c>
      <c r="Q435" t="inlineStr">
        <is>
          <t>Saudi German Hospital</t>
        </is>
      </c>
      <c r="R435" t="inlineStr">
        <is>
          <t>Town Square Comm. Ctr</t>
        </is>
      </c>
      <c r="S435" t="inlineStr">
        <is>
          <t>Al Qudra Rd</t>
        </is>
      </c>
      <c r="T435" t="inlineStr">
        <is>
          <t>25</t>
        </is>
      </c>
      <c r="U435" t="inlineStr">
        <is>
          <t>30</t>
        </is>
      </c>
      <c r="V435" t="inlineStr">
        <is>
          <t>30</t>
        </is>
      </c>
      <c r="W435" t="inlineStr">
        <is>
          <t>30</t>
        </is>
      </c>
      <c r="X435" t="inlineStr">
        <is>
          <t>Guild_real_estate_master.csv</t>
        </is>
      </c>
    </row>
    <row r="436">
      <c r="A436" t="n">
        <v>435</v>
      </c>
      <c r="B436" t="n">
        <v>435</v>
      </c>
      <c r="C436" t="inlineStr">
        <is>
          <t>Verdana Phase 1</t>
        </is>
      </c>
      <c r="D436" t="inlineStr">
        <is>
          <t>Reportage Properties</t>
        </is>
      </c>
      <c r="E436" t="inlineStr">
        <is>
          <t>DIP</t>
        </is>
      </c>
      <c r="F436" t="inlineStr">
        <is>
          <t>Townhouses</t>
        </is>
      </c>
      <c r="G436" t="inlineStr">
        <is>
          <t>Family / Budget</t>
        </is>
      </c>
      <c r="H436" t="inlineStr">
        <is>
          <t>1.5M</t>
        </is>
      </c>
      <c r="I436" t="inlineStr">
        <is>
          <t>900</t>
        </is>
      </c>
      <c r="J436" t="inlineStr">
        <is>
          <t>12</t>
        </is>
      </c>
      <c r="K436" t="inlineStr">
        <is>
          <t>Varies</t>
        </is>
      </c>
      <c r="L436" t="inlineStr">
        <is>
          <t>2022</t>
        </is>
      </c>
      <c r="M436" t="inlineStr">
        <is>
          <t>7.0-7.5</t>
        </is>
      </c>
      <c r="N436" t="inlineStr">
        <is>
          <t>6-8</t>
        </is>
      </c>
      <c r="O436" t="inlineStr">
        <is>
          <t>13.0-15.5</t>
        </is>
      </c>
      <c r="P436" t="inlineStr">
        <is>
          <t>Greenfield Intl</t>
        </is>
      </c>
      <c r="Q436" t="inlineStr">
        <is>
          <t>NMC Royal DIP</t>
        </is>
      </c>
      <c r="R436" t="inlineStr">
        <is>
          <t>Souq Extra DIP</t>
        </is>
      </c>
      <c r="S436" t="inlineStr">
        <is>
          <t>Yalayis / E611</t>
        </is>
      </c>
      <c r="T436" t="inlineStr">
        <is>
          <t>30</t>
        </is>
      </c>
      <c r="U436" t="inlineStr">
        <is>
          <t>20</t>
        </is>
      </c>
      <c r="V436" t="inlineStr">
        <is>
          <t>35</t>
        </is>
      </c>
      <c r="W436" t="inlineStr">
        <is>
          <t>15</t>
        </is>
      </c>
      <c r="X436" t="inlineStr">
        <is>
          <t>Guild_real_estate_master.csv</t>
        </is>
      </c>
    </row>
    <row r="437">
      <c r="A437" t="n">
        <v>436</v>
      </c>
      <c r="B437" t="n">
        <v>436</v>
      </c>
      <c r="C437" t="inlineStr">
        <is>
          <t>Verdana Phase 2</t>
        </is>
      </c>
      <c r="D437" t="inlineStr">
        <is>
          <t>Reportage Properties</t>
        </is>
      </c>
      <c r="E437" t="inlineStr">
        <is>
          <t>DIP</t>
        </is>
      </c>
      <c r="F437" t="inlineStr">
        <is>
          <t>Townhouses</t>
        </is>
      </c>
      <c r="G437" t="inlineStr">
        <is>
          <t>Family / Budget</t>
        </is>
      </c>
      <c r="H437" t="inlineStr">
        <is>
          <t>1.6M</t>
        </is>
      </c>
      <c r="I437" t="inlineStr">
        <is>
          <t>950</t>
        </is>
      </c>
      <c r="J437" t="inlineStr">
        <is>
          <t>12</t>
        </is>
      </c>
      <c r="K437" t="inlineStr">
        <is>
          <t>Varies</t>
        </is>
      </c>
      <c r="L437" t="inlineStr">
        <is>
          <t>2022</t>
        </is>
      </c>
      <c r="M437" t="inlineStr">
        <is>
          <t>7.0-7.5</t>
        </is>
      </c>
      <c r="N437" t="inlineStr">
        <is>
          <t>6-8</t>
        </is>
      </c>
      <c r="O437" t="inlineStr">
        <is>
          <t>13.0-15.5</t>
        </is>
      </c>
      <c r="P437" t="inlineStr">
        <is>
          <t>Greenfield Intl</t>
        </is>
      </c>
      <c r="Q437" t="inlineStr">
        <is>
          <t>NMC Royal DIP</t>
        </is>
      </c>
      <c r="R437" t="inlineStr">
        <is>
          <t>Souq Extra DIP</t>
        </is>
      </c>
      <c r="S437" t="inlineStr">
        <is>
          <t>Yalayis / E611</t>
        </is>
      </c>
      <c r="T437" t="inlineStr">
        <is>
          <t>30</t>
        </is>
      </c>
      <c r="U437" t="inlineStr">
        <is>
          <t>20</t>
        </is>
      </c>
      <c r="V437" t="inlineStr">
        <is>
          <t>35</t>
        </is>
      </c>
      <c r="W437" t="inlineStr">
        <is>
          <t>15</t>
        </is>
      </c>
      <c r="X437" t="inlineStr">
        <is>
          <t>Guild_real_estate_master.csv</t>
        </is>
      </c>
    </row>
    <row r="438">
      <c r="A438" t="n">
        <v>437</v>
      </c>
      <c r="B438" t="n">
        <v>437</v>
      </c>
      <c r="C438" t="inlineStr">
        <is>
          <t>Verdana Phase 3</t>
        </is>
      </c>
      <c r="D438" t="inlineStr">
        <is>
          <t>Reportage Properties</t>
        </is>
      </c>
      <c r="E438" t="inlineStr">
        <is>
          <t>DIP</t>
        </is>
      </c>
      <c r="F438" t="inlineStr">
        <is>
          <t>Townhouses</t>
        </is>
      </c>
      <c r="G438" t="inlineStr">
        <is>
          <t>Family / Budget</t>
        </is>
      </c>
      <c r="H438" t="inlineStr">
        <is>
          <t>1.7M</t>
        </is>
      </c>
      <c r="I438" t="inlineStr">
        <is>
          <t>950</t>
        </is>
      </c>
      <c r="J438" t="inlineStr">
        <is>
          <t>12</t>
        </is>
      </c>
      <c r="K438" t="inlineStr">
        <is>
          <t>Varies</t>
        </is>
      </c>
      <c r="L438" t="inlineStr">
        <is>
          <t>2023</t>
        </is>
      </c>
      <c r="M438" t="inlineStr">
        <is>
          <t>7.0-7.5</t>
        </is>
      </c>
      <c r="N438" t="inlineStr">
        <is>
          <t>6-8</t>
        </is>
      </c>
      <c r="O438" t="inlineStr">
        <is>
          <t>13.0-15.5</t>
        </is>
      </c>
      <c r="P438" t="inlineStr">
        <is>
          <t>Greenfield Intl</t>
        </is>
      </c>
      <c r="Q438" t="inlineStr">
        <is>
          <t>NMC Royal DIP</t>
        </is>
      </c>
      <c r="R438" t="inlineStr">
        <is>
          <t>Souq Extra DIP</t>
        </is>
      </c>
      <c r="S438" t="inlineStr">
        <is>
          <t>Yalayis / E611</t>
        </is>
      </c>
      <c r="T438" t="inlineStr">
        <is>
          <t>30</t>
        </is>
      </c>
      <c r="U438" t="inlineStr">
        <is>
          <t>20</t>
        </is>
      </c>
      <c r="V438" t="inlineStr">
        <is>
          <t>35</t>
        </is>
      </c>
      <c r="W438" t="inlineStr">
        <is>
          <t>15</t>
        </is>
      </c>
      <c r="X438" t="inlineStr">
        <is>
          <t>Guild_real_estate_master.csv</t>
        </is>
      </c>
    </row>
    <row r="439">
      <c r="A439" t="n">
        <v>438</v>
      </c>
      <c r="B439" t="n">
        <v>438</v>
      </c>
      <c r="C439" t="inlineStr">
        <is>
          <t>Verdana Phase 4</t>
        </is>
      </c>
      <c r="D439" t="inlineStr">
        <is>
          <t>Reportage Properties</t>
        </is>
      </c>
      <c r="E439" t="inlineStr">
        <is>
          <t>DIP</t>
        </is>
      </c>
      <c r="F439" t="inlineStr">
        <is>
          <t>Townhouses</t>
        </is>
      </c>
      <c r="G439" t="inlineStr">
        <is>
          <t>Family / Budget</t>
        </is>
      </c>
      <c r="H439" t="inlineStr">
        <is>
          <t>1.75M</t>
        </is>
      </c>
      <c r="I439" t="inlineStr">
        <is>
          <t>1000</t>
        </is>
      </c>
      <c r="J439" t="inlineStr">
        <is>
          <t>12</t>
        </is>
      </c>
      <c r="K439" t="inlineStr">
        <is>
          <t>Varies</t>
        </is>
      </c>
      <c r="L439" t="inlineStr">
        <is>
          <t>2023</t>
        </is>
      </c>
      <c r="M439" t="inlineStr">
        <is>
          <t>7.0-7.5</t>
        </is>
      </c>
      <c r="N439" t="inlineStr">
        <is>
          <t>6-8</t>
        </is>
      </c>
      <c r="O439" t="inlineStr">
        <is>
          <t>13.0-15.5</t>
        </is>
      </c>
      <c r="P439" t="inlineStr">
        <is>
          <t>Greenfield Intl</t>
        </is>
      </c>
      <c r="Q439" t="inlineStr">
        <is>
          <t>NMC Royal DIP</t>
        </is>
      </c>
      <c r="R439" t="inlineStr">
        <is>
          <t>Souq Extra DIP</t>
        </is>
      </c>
      <c r="S439" t="inlineStr">
        <is>
          <t>Yalayis / E611</t>
        </is>
      </c>
      <c r="T439" t="inlineStr">
        <is>
          <t>30</t>
        </is>
      </c>
      <c r="U439" t="inlineStr">
        <is>
          <t>20</t>
        </is>
      </c>
      <c r="V439" t="inlineStr">
        <is>
          <t>35</t>
        </is>
      </c>
      <c r="W439" t="inlineStr">
        <is>
          <t>15</t>
        </is>
      </c>
      <c r="X439" t="inlineStr">
        <is>
          <t>Guild_real_estate_master.csv</t>
        </is>
      </c>
    </row>
    <row r="440">
      <c r="A440" t="n">
        <v>439</v>
      </c>
      <c r="B440" t="n">
        <v>439</v>
      </c>
      <c r="C440" t="inlineStr">
        <is>
          <t>Verdana Phase 5</t>
        </is>
      </c>
      <c r="D440" t="inlineStr">
        <is>
          <t>Reportage Properties</t>
        </is>
      </c>
      <c r="E440" t="inlineStr">
        <is>
          <t>DIP</t>
        </is>
      </c>
      <c r="F440" t="inlineStr">
        <is>
          <t>Townhouses</t>
        </is>
      </c>
      <c r="G440" t="inlineStr">
        <is>
          <t>Family / Budget</t>
        </is>
      </c>
      <c r="H440" t="inlineStr">
        <is>
          <t>1.8M</t>
        </is>
      </c>
      <c r="I440" t="inlineStr">
        <is>
          <t>1000</t>
        </is>
      </c>
      <c r="J440" t="inlineStr">
        <is>
          <t>12</t>
        </is>
      </c>
      <c r="K440" t="inlineStr">
        <is>
          <t>Varies</t>
        </is>
      </c>
      <c r="L440" t="inlineStr">
        <is>
          <t>2024</t>
        </is>
      </c>
      <c r="M440" t="inlineStr">
        <is>
          <t>7.0-7.5</t>
        </is>
      </c>
      <c r="N440" t="inlineStr">
        <is>
          <t>6-8</t>
        </is>
      </c>
      <c r="O440" t="inlineStr">
        <is>
          <t>13.0-15.5</t>
        </is>
      </c>
      <c r="P440" t="inlineStr">
        <is>
          <t>Greenfield Intl</t>
        </is>
      </c>
      <c r="Q440" t="inlineStr">
        <is>
          <t>NMC Royal DIP</t>
        </is>
      </c>
      <c r="R440" t="inlineStr">
        <is>
          <t>Souq Extra DIP</t>
        </is>
      </c>
      <c r="S440" t="inlineStr">
        <is>
          <t>Yalayis / E611</t>
        </is>
      </c>
      <c r="T440" t="inlineStr">
        <is>
          <t>30</t>
        </is>
      </c>
      <c r="U440" t="inlineStr">
        <is>
          <t>20</t>
        </is>
      </c>
      <c r="V440" t="inlineStr">
        <is>
          <t>35</t>
        </is>
      </c>
      <c r="W440" t="inlineStr">
        <is>
          <t>15</t>
        </is>
      </c>
      <c r="X440" t="inlineStr">
        <is>
          <t>Guild_real_estate_master.csv</t>
        </is>
      </c>
    </row>
    <row r="441">
      <c r="A441" t="n">
        <v>440</v>
      </c>
      <c r="B441" t="n">
        <v>440</v>
      </c>
      <c r="C441" t="inlineStr">
        <is>
          <t>Rukan Lofts</t>
        </is>
      </c>
      <c r="D441" t="inlineStr">
        <is>
          <t>Reportage Properties</t>
        </is>
      </c>
      <c r="E441" t="inlineStr">
        <is>
          <t>Dubailand (Wadi Al Safa)</t>
        </is>
      </c>
      <c r="F441" t="inlineStr">
        <is>
          <t>Townhouses</t>
        </is>
      </c>
      <c r="G441" t="inlineStr">
        <is>
          <t>Budget / Loft</t>
        </is>
      </c>
      <c r="H441" t="inlineStr">
        <is>
          <t>Resale (900k+)</t>
        </is>
      </c>
      <c r="I441" t="inlineStr">
        <is>
          <t>800</t>
        </is>
      </c>
      <c r="J441" t="inlineStr">
        <is>
          <t>10</t>
        </is>
      </c>
      <c r="K441" t="inlineStr">
        <is>
          <t>Completed</t>
        </is>
      </c>
      <c r="L441" t="inlineStr">
        <is>
          <t>2019</t>
        </is>
      </c>
      <c r="M441" t="inlineStr">
        <is>
          <t>7.0-7.5</t>
        </is>
      </c>
      <c r="N441" t="inlineStr">
        <is>
          <t>5-7</t>
        </is>
      </c>
      <c r="O441" t="inlineStr">
        <is>
          <t>12.0-14.5</t>
        </is>
      </c>
      <c r="P441" t="inlineStr">
        <is>
          <t>GEMS Metropole</t>
        </is>
      </c>
      <c r="Q441" t="inlineStr">
        <is>
          <t>Mediclinic Parkview</t>
        </is>
      </c>
      <c r="R441" t="inlineStr">
        <is>
          <t>Cityland Mall</t>
        </is>
      </c>
      <c r="S441" t="inlineStr">
        <is>
          <t>E611 / Al Ain Rd</t>
        </is>
      </c>
      <c r="T441" t="inlineStr">
        <is>
          <t>20</t>
        </is>
      </c>
      <c r="U441" t="inlineStr">
        <is>
          <t>25</t>
        </is>
      </c>
      <c r="V441" t="inlineStr">
        <is>
          <t>25</t>
        </is>
      </c>
      <c r="W441" t="inlineStr">
        <is>
          <t>30</t>
        </is>
      </c>
      <c r="X441" t="inlineStr">
        <is>
          <t>Guild_real_estate_master.csv</t>
        </is>
      </c>
    </row>
    <row r="442">
      <c r="A442" t="n">
        <v>441</v>
      </c>
      <c r="B442" t="n">
        <v>441</v>
      </c>
      <c r="C442" t="inlineStr">
        <is>
          <t>Rukan Tower</t>
        </is>
      </c>
      <c r="D442" t="inlineStr">
        <is>
          <t>Reportage Properties</t>
        </is>
      </c>
      <c r="E442" t="inlineStr">
        <is>
          <t>Dubailand</t>
        </is>
      </c>
      <c r="F442" t="inlineStr">
        <is>
          <t>Apartments</t>
        </is>
      </c>
      <c r="G442" t="inlineStr">
        <is>
          <t>Budget</t>
        </is>
      </c>
      <c r="H442" t="inlineStr">
        <is>
          <t>500k</t>
        </is>
      </c>
      <c r="I442" t="inlineStr">
        <is>
          <t>800</t>
        </is>
      </c>
      <c r="J442" t="inlineStr">
        <is>
          <t>10</t>
        </is>
      </c>
      <c r="K442" t="inlineStr">
        <is>
          <t>Completed</t>
        </is>
      </c>
      <c r="L442" t="inlineStr">
        <is>
          <t>2020</t>
        </is>
      </c>
      <c r="M442" t="inlineStr">
        <is>
          <t>7.5-8.0</t>
        </is>
      </c>
      <c r="N442" t="inlineStr">
        <is>
          <t>5-7</t>
        </is>
      </c>
      <c r="O442" t="inlineStr">
        <is>
          <t>12.5-15.0</t>
        </is>
      </c>
      <c r="P442" t="inlineStr">
        <is>
          <t>GEMS Metropole</t>
        </is>
      </c>
      <c r="Q442" t="inlineStr">
        <is>
          <t>Mediclinic Parkview</t>
        </is>
      </c>
      <c r="R442" t="inlineStr">
        <is>
          <t>Cityland Mall</t>
        </is>
      </c>
      <c r="S442" t="inlineStr">
        <is>
          <t>E611 / Al Ain Rd</t>
        </is>
      </c>
      <c r="T442" t="inlineStr">
        <is>
          <t>20</t>
        </is>
      </c>
      <c r="U442" t="inlineStr">
        <is>
          <t>25</t>
        </is>
      </c>
      <c r="V442" t="inlineStr">
        <is>
          <t>25</t>
        </is>
      </c>
      <c r="W442" t="inlineStr">
        <is>
          <t>30</t>
        </is>
      </c>
      <c r="X442" t="inlineStr">
        <is>
          <t>Guild_real_estate_master.csv</t>
        </is>
      </c>
    </row>
    <row r="443">
      <c r="A443" t="n">
        <v>442</v>
      </c>
      <c r="B443" t="n">
        <v>442</v>
      </c>
      <c r="C443" t="inlineStr">
        <is>
          <t>Bianchi</t>
        </is>
      </c>
      <c r="D443" t="inlineStr">
        <is>
          <t>Reportage Properties</t>
        </is>
      </c>
      <c r="E443" t="inlineStr">
        <is>
          <t>Rukan (Dubailand)</t>
        </is>
      </c>
      <c r="F443" t="inlineStr">
        <is>
          <t>Townhouses</t>
        </is>
      </c>
      <c r="G443" t="inlineStr">
        <is>
          <t>Budget / Modern</t>
        </is>
      </c>
      <c r="H443" t="inlineStr">
        <is>
          <t>1.2M</t>
        </is>
      </c>
      <c r="I443" t="inlineStr">
        <is>
          <t>900</t>
        </is>
      </c>
      <c r="J443" t="inlineStr">
        <is>
          <t>10</t>
        </is>
      </c>
      <c r="K443" t="inlineStr">
        <is>
          <t>Varies</t>
        </is>
      </c>
      <c r="L443" t="inlineStr">
        <is>
          <t>2023</t>
        </is>
      </c>
      <c r="M443" t="inlineStr">
        <is>
          <t>7.0-7.5</t>
        </is>
      </c>
      <c r="N443" t="inlineStr">
        <is>
          <t>6-8</t>
        </is>
      </c>
      <c r="O443" t="inlineStr">
        <is>
          <t>13.0-15.5</t>
        </is>
      </c>
      <c r="P443" t="inlineStr">
        <is>
          <t>GEMS Metropole</t>
        </is>
      </c>
      <c r="Q443" t="inlineStr">
        <is>
          <t>Mediclinic Parkview</t>
        </is>
      </c>
      <c r="R443" t="inlineStr">
        <is>
          <t>Cityland Mall</t>
        </is>
      </c>
      <c r="S443" t="inlineStr">
        <is>
          <t>E611 / Al Ain Rd</t>
        </is>
      </c>
      <c r="T443" t="inlineStr">
        <is>
          <t>20</t>
        </is>
      </c>
      <c r="U443" t="inlineStr">
        <is>
          <t>25</t>
        </is>
      </c>
      <c r="V443" t="inlineStr">
        <is>
          <t>25</t>
        </is>
      </c>
      <c r="W443" t="inlineStr">
        <is>
          <t>30</t>
        </is>
      </c>
      <c r="X443" t="inlineStr">
        <is>
          <t>Guild_real_estate_master.csv</t>
        </is>
      </c>
    </row>
    <row r="444">
      <c r="A444" t="n">
        <v>443</v>
      </c>
      <c r="B444" t="n">
        <v>443</v>
      </c>
      <c r="C444" t="inlineStr">
        <is>
          <t>Taormina Village</t>
        </is>
      </c>
      <c r="D444" t="inlineStr">
        <is>
          <t>Reportage Properties</t>
        </is>
      </c>
      <c r="E444" t="inlineStr">
        <is>
          <t>Dubailand</t>
        </is>
      </c>
      <c r="F444" t="inlineStr">
        <is>
          <t>Townhouses</t>
        </is>
      </c>
      <c r="G444" t="inlineStr">
        <is>
          <t>Italian Style</t>
        </is>
      </c>
      <c r="H444" t="inlineStr">
        <is>
          <t>1.5M</t>
        </is>
      </c>
      <c r="I444" t="inlineStr">
        <is>
          <t>1000</t>
        </is>
      </c>
      <c r="J444" t="inlineStr">
        <is>
          <t>10</t>
        </is>
      </c>
      <c r="K444" t="inlineStr">
        <is>
          <t>Varies</t>
        </is>
      </c>
      <c r="L444" t="inlineStr">
        <is>
          <t>2024</t>
        </is>
      </c>
      <c r="M444" t="inlineStr">
        <is>
          <t>7.0-7.5</t>
        </is>
      </c>
      <c r="N444" t="inlineStr">
        <is>
          <t>6-8</t>
        </is>
      </c>
      <c r="O444" t="inlineStr">
        <is>
          <t>13.0-15.5</t>
        </is>
      </c>
      <c r="P444" t="inlineStr">
        <is>
          <t>GEMS Metropole</t>
        </is>
      </c>
      <c r="Q444" t="inlineStr">
        <is>
          <t>Mediclinic Parkview</t>
        </is>
      </c>
      <c r="R444" t="inlineStr">
        <is>
          <t>Cityland Mall</t>
        </is>
      </c>
      <c r="S444" t="inlineStr">
        <is>
          <t>E611 / Al Ain Rd</t>
        </is>
      </c>
      <c r="T444" t="inlineStr">
        <is>
          <t>20</t>
        </is>
      </c>
      <c r="U444" t="inlineStr">
        <is>
          <t>25</t>
        </is>
      </c>
      <c r="V444" t="inlineStr">
        <is>
          <t>25</t>
        </is>
      </c>
      <c r="W444" t="inlineStr">
        <is>
          <t>30</t>
        </is>
      </c>
      <c r="X444" t="inlineStr">
        <is>
          <t>Guild_real_estate_master.csv</t>
        </is>
      </c>
    </row>
    <row r="445">
      <c r="A445" t="n">
        <v>444</v>
      </c>
      <c r="B445" t="n">
        <v>444</v>
      </c>
      <c r="C445" t="inlineStr">
        <is>
          <t>Alexis Tower</t>
        </is>
      </c>
      <c r="D445" t="inlineStr">
        <is>
          <t>Reportage Properties</t>
        </is>
      </c>
      <c r="E445" t="inlineStr">
        <is>
          <t>Jebel Ali</t>
        </is>
      </c>
      <c r="F445" t="inlineStr">
        <is>
          <t>Apartments</t>
        </is>
      </c>
      <c r="G445" t="inlineStr">
        <is>
          <t>Budget</t>
        </is>
      </c>
      <c r="H445" t="inlineStr">
        <is>
          <t>600k</t>
        </is>
      </c>
      <c r="I445" t="inlineStr">
        <is>
          <t>900</t>
        </is>
      </c>
      <c r="J445" t="inlineStr">
        <is>
          <t>12</t>
        </is>
      </c>
      <c r="K445" t="inlineStr">
        <is>
          <t>Completed</t>
        </is>
      </c>
      <c r="L445" t="inlineStr">
        <is>
          <t>2020</t>
        </is>
      </c>
      <c r="M445" t="inlineStr">
        <is>
          <t>7.5-8.0</t>
        </is>
      </c>
      <c r="N445" t="inlineStr">
        <is>
          <t>5-7</t>
        </is>
      </c>
      <c r="O445" t="inlineStr">
        <is>
          <t>12.5-15.0</t>
        </is>
      </c>
      <c r="P445" t="inlineStr">
        <is>
          <t>The Winchester</t>
        </is>
      </c>
      <c r="Q445" t="inlineStr">
        <is>
          <t>Aster Cedars Jebel Ali</t>
        </is>
      </c>
      <c r="R445" t="inlineStr">
        <is>
          <t>Ibn Battuta Mall</t>
        </is>
      </c>
      <c r="S445" t="inlineStr">
        <is>
          <t>Sheikh Zayed E11</t>
        </is>
      </c>
      <c r="T445" t="inlineStr">
        <is>
          <t>25</t>
        </is>
      </c>
      <c r="U445" t="inlineStr">
        <is>
          <t>10</t>
        </is>
      </c>
      <c r="V445" t="inlineStr">
        <is>
          <t>35</t>
        </is>
      </c>
      <c r="W445" t="inlineStr">
        <is>
          <t>20</t>
        </is>
      </c>
      <c r="X445" t="inlineStr">
        <is>
          <t>Guild_real_estate_master.csv</t>
        </is>
      </c>
    </row>
    <row r="446">
      <c r="A446" t="n">
        <v>445</v>
      </c>
      <c r="B446" t="n">
        <v>445</v>
      </c>
      <c r="C446" t="inlineStr">
        <is>
          <t>The Gate</t>
        </is>
      </c>
      <c r="D446" t="inlineStr">
        <is>
          <t>Reportage Properties</t>
        </is>
      </c>
      <c r="E446" t="inlineStr">
        <is>
          <t>Masdar City (AD)</t>
        </is>
      </c>
      <c r="F446" t="inlineStr">
        <is>
          <t>Apartments</t>
        </is>
      </c>
      <c r="G446" t="inlineStr">
        <is>
          <t>Modern / Eco</t>
        </is>
      </c>
      <c r="H446" t="inlineStr">
        <is>
          <t>800k</t>
        </is>
      </c>
      <c r="I446" t="inlineStr">
        <is>
          <t>1100</t>
        </is>
      </c>
      <c r="J446" t="inlineStr">
        <is>
          <t>14</t>
        </is>
      </c>
      <c r="K446" t="inlineStr">
        <is>
          <t>Varies</t>
        </is>
      </c>
      <c r="L446" t="inlineStr">
        <is>
          <t>2020</t>
        </is>
      </c>
      <c r="M446" t="inlineStr">
        <is>
          <t>7.0-7.5</t>
        </is>
      </c>
      <c r="N446" t="inlineStr">
        <is>
          <t>5-7</t>
        </is>
      </c>
      <c r="O446" t="inlineStr">
        <is>
          <t>12.0-14.5</t>
        </is>
      </c>
      <c r="P446" t="inlineStr">
        <is>
          <t>GEMS United (AD)</t>
        </is>
      </c>
      <c r="Q446" t="inlineStr">
        <is>
          <t>Cleveland Clinic AD</t>
        </is>
      </c>
      <c r="R446" t="inlineStr">
        <is>
          <t>Yas Mall</t>
        </is>
      </c>
      <c r="S446" t="inlineStr">
        <is>
          <t>E10 (Abu Dhabi)</t>
        </is>
      </c>
      <c r="T446" t="inlineStr">
        <is>
          <t>75</t>
        </is>
      </c>
      <c r="U446" t="inlineStr">
        <is>
          <t>60</t>
        </is>
      </c>
      <c r="V446" t="inlineStr">
        <is>
          <t>80</t>
        </is>
      </c>
      <c r="W446" t="inlineStr">
        <is>
          <t>65</t>
        </is>
      </c>
      <c r="X446" t="inlineStr">
        <is>
          <t>Guild_real_estate_master.csv</t>
        </is>
      </c>
    </row>
    <row r="447">
      <c r="A447" t="n">
        <v>446</v>
      </c>
      <c r="B447" t="n">
        <v>446</v>
      </c>
      <c r="C447" t="inlineStr">
        <is>
          <t>LIV LUX</t>
        </is>
      </c>
      <c r="D447" t="inlineStr">
        <is>
          <t>LIV Developers</t>
        </is>
      </c>
      <c r="E447" t="inlineStr">
        <is>
          <t>Dubai Marina</t>
        </is>
      </c>
      <c r="F447" t="inlineStr">
        <is>
          <t>Luxury Apts</t>
        </is>
      </c>
      <c r="G447" t="inlineStr">
        <is>
          <t>High-Rise / View</t>
        </is>
      </c>
      <c r="H447" t="inlineStr">
        <is>
          <t>3.5M</t>
        </is>
      </c>
      <c r="I447" t="inlineStr">
        <is>
          <t>3000</t>
        </is>
      </c>
      <c r="J447" t="inlineStr">
        <is>
          <t>25</t>
        </is>
      </c>
      <c r="K447" t="inlineStr">
        <is>
          <t>60/40</t>
        </is>
      </c>
      <c r="L447" t="inlineStr">
        <is>
          <t>2022</t>
        </is>
      </c>
      <c r="M447" t="inlineStr">
        <is>
          <t>5.5-6.0</t>
        </is>
      </c>
      <c r="N447" t="inlineStr">
        <is>
          <t>7-9</t>
        </is>
      </c>
      <c r="O447" t="inlineStr">
        <is>
          <t>12.5-15.0</t>
        </is>
      </c>
      <c r="P447" t="inlineStr">
        <is>
          <t>American Univ. Dubai</t>
        </is>
      </c>
      <c r="Q447" t="inlineStr">
        <is>
          <t>Saudi German Hospital</t>
        </is>
      </c>
      <c r="R447" t="inlineStr">
        <is>
          <t>Dubai Marina Mall</t>
        </is>
      </c>
      <c r="S447" t="inlineStr">
        <is>
          <t>Sheikh Zayed E11</t>
        </is>
      </c>
      <c r="T447" t="inlineStr">
        <is>
          <t>20</t>
        </is>
      </c>
      <c r="U447" t="inlineStr">
        <is>
          <t>5</t>
        </is>
      </c>
      <c r="V447" t="inlineStr">
        <is>
          <t>25</t>
        </is>
      </c>
      <c r="W447" t="inlineStr">
        <is>
          <t>30</t>
        </is>
      </c>
      <c r="X447" t="inlineStr">
        <is>
          <t>Guild_real_estate_master.csv</t>
        </is>
      </c>
    </row>
    <row r="448">
      <c r="A448" t="n">
        <v>447</v>
      </c>
      <c r="B448" t="n">
        <v>447</v>
      </c>
      <c r="C448" t="inlineStr">
        <is>
          <t>LIV Marina</t>
        </is>
      </c>
      <c r="D448" t="inlineStr">
        <is>
          <t>LIV Developers</t>
        </is>
      </c>
      <c r="E448" t="inlineStr">
        <is>
          <t>Dubai Marina</t>
        </is>
      </c>
      <c r="F448" t="inlineStr">
        <is>
          <t>Luxury Apts</t>
        </is>
      </c>
      <c r="G448" t="inlineStr">
        <is>
          <t>High-Rise / View</t>
        </is>
      </c>
      <c r="H448" t="inlineStr">
        <is>
          <t>Resale (2.5M+)</t>
        </is>
      </c>
      <c r="I448" t="inlineStr">
        <is>
          <t>2800</t>
        </is>
      </c>
      <c r="J448" t="inlineStr">
        <is>
          <t>25</t>
        </is>
      </c>
      <c r="K448" t="inlineStr">
        <is>
          <t>Completed</t>
        </is>
      </c>
      <c r="L448" t="inlineStr">
        <is>
          <t>2021</t>
        </is>
      </c>
      <c r="M448" t="inlineStr">
        <is>
          <t>6.0-6.5</t>
        </is>
      </c>
      <c r="N448" t="inlineStr">
        <is>
          <t>5-7</t>
        </is>
      </c>
      <c r="O448" t="inlineStr">
        <is>
          <t>11.0-13.5</t>
        </is>
      </c>
      <c r="P448" t="inlineStr">
        <is>
          <t>American Univ. Dubai</t>
        </is>
      </c>
      <c r="Q448" t="inlineStr">
        <is>
          <t>Saudi German Hospital</t>
        </is>
      </c>
      <c r="R448" t="inlineStr">
        <is>
          <t>Dubai Marina Mall</t>
        </is>
      </c>
      <c r="S448" t="inlineStr">
        <is>
          <t>Sheikh Zayed E11</t>
        </is>
      </c>
      <c r="T448" t="inlineStr">
        <is>
          <t>20</t>
        </is>
      </c>
      <c r="U448" t="inlineStr">
        <is>
          <t>5</t>
        </is>
      </c>
      <c r="V448" t="inlineStr">
        <is>
          <t>25</t>
        </is>
      </c>
      <c r="W448" t="inlineStr">
        <is>
          <t>30</t>
        </is>
      </c>
      <c r="X448" t="inlineStr">
        <is>
          <t>Guild_real_estate_master.csv</t>
        </is>
      </c>
    </row>
    <row r="449">
      <c r="A449" t="n">
        <v>448</v>
      </c>
      <c r="B449" t="n">
        <v>448</v>
      </c>
      <c r="C449" t="inlineStr">
        <is>
          <t>LIV Residence</t>
        </is>
      </c>
      <c r="D449" t="inlineStr">
        <is>
          <t>LIV Developers</t>
        </is>
      </c>
      <c r="E449" t="inlineStr">
        <is>
          <t>Dubai Marina</t>
        </is>
      </c>
      <c r="F449" t="inlineStr">
        <is>
          <t>Luxury Apts</t>
        </is>
      </c>
      <c r="G449" t="inlineStr">
        <is>
          <t>High-Rise / View</t>
        </is>
      </c>
      <c r="H449" t="inlineStr">
        <is>
          <t>Resale (2.2M+)</t>
        </is>
      </c>
      <c r="I449" t="inlineStr">
        <is>
          <t>2500</t>
        </is>
      </c>
      <c r="J449" t="inlineStr">
        <is>
          <t>25</t>
        </is>
      </c>
      <c r="K449" t="inlineStr">
        <is>
          <t>Completed</t>
        </is>
      </c>
      <c r="L449" t="inlineStr">
        <is>
          <t>2018</t>
        </is>
      </c>
      <c r="M449" t="inlineStr">
        <is>
          <t>6.0-6.5</t>
        </is>
      </c>
      <c r="N449" t="inlineStr">
        <is>
          <t>5-7</t>
        </is>
      </c>
      <c r="O449" t="inlineStr">
        <is>
          <t>11.0-13.5</t>
        </is>
      </c>
      <c r="P449" t="inlineStr">
        <is>
          <t>American Univ. Dubai</t>
        </is>
      </c>
      <c r="Q449" t="inlineStr">
        <is>
          <t>Saudi German Hospital</t>
        </is>
      </c>
      <c r="R449" t="inlineStr">
        <is>
          <t>Dubai Marina Mall</t>
        </is>
      </c>
      <c r="S449" t="inlineStr">
        <is>
          <t>Sheikh Zayed E11</t>
        </is>
      </c>
      <c r="T449" t="inlineStr">
        <is>
          <t>20</t>
        </is>
      </c>
      <c r="U449" t="inlineStr">
        <is>
          <t>5</t>
        </is>
      </c>
      <c r="V449" t="inlineStr">
        <is>
          <t>25</t>
        </is>
      </c>
      <c r="W449" t="inlineStr">
        <is>
          <t>30</t>
        </is>
      </c>
      <c r="X449" t="inlineStr">
        <is>
          <t>Guild_real_estate_master.csv</t>
        </is>
      </c>
    </row>
    <row r="450">
      <c r="A450" t="n">
        <v>449</v>
      </c>
      <c r="B450" t="n">
        <v>449</v>
      </c>
      <c r="C450" t="inlineStr">
        <is>
          <t>LIV Waterside</t>
        </is>
      </c>
      <c r="D450" t="inlineStr">
        <is>
          <t>LIV Developers</t>
        </is>
      </c>
      <c r="E450" t="inlineStr">
        <is>
          <t>Dubai Marina</t>
        </is>
      </c>
      <c r="F450" t="inlineStr">
        <is>
          <t>Luxury Apts/Villas</t>
        </is>
      </c>
      <c r="G450" t="inlineStr">
        <is>
          <t>Waterfront</t>
        </is>
      </c>
      <c r="H450" t="inlineStr">
        <is>
          <t>4.0M</t>
        </is>
      </c>
      <c r="I450" t="inlineStr">
        <is>
          <t>3200</t>
        </is>
      </c>
      <c r="J450" t="inlineStr">
        <is>
          <t>25</t>
        </is>
      </c>
      <c r="K450" t="inlineStr">
        <is>
          <t>60/40</t>
        </is>
      </c>
      <c r="L450" t="inlineStr">
        <is>
          <t>2023</t>
        </is>
      </c>
      <c r="M450" t="inlineStr">
        <is>
          <t>5.0-5.5</t>
        </is>
      </c>
      <c r="N450" t="inlineStr">
        <is>
          <t>8-12</t>
        </is>
      </c>
      <c r="O450" t="inlineStr">
        <is>
          <t>13.0-17.5</t>
        </is>
      </c>
      <c r="P450" t="inlineStr">
        <is>
          <t>American Univ. Dubai</t>
        </is>
      </c>
      <c r="Q450" t="inlineStr">
        <is>
          <t>Saudi German Hospital</t>
        </is>
      </c>
      <c r="R450" t="inlineStr">
        <is>
          <t>Dubai Marina Mall</t>
        </is>
      </c>
      <c r="S450" t="inlineStr">
        <is>
          <t>Sheikh Zayed E11</t>
        </is>
      </c>
      <c r="T450" t="inlineStr">
        <is>
          <t>20</t>
        </is>
      </c>
      <c r="U450" t="inlineStr">
        <is>
          <t>5</t>
        </is>
      </c>
      <c r="V450" t="inlineStr">
        <is>
          <t>25</t>
        </is>
      </c>
      <c r="W450" t="inlineStr">
        <is>
          <t>30</t>
        </is>
      </c>
      <c r="X450" t="inlineStr">
        <is>
          <t>Guild_real_estate_master.csv</t>
        </is>
      </c>
    </row>
    <row r="451">
      <c r="A451" t="n">
        <v>450</v>
      </c>
      <c r="B451" t="n">
        <v>450</v>
      </c>
      <c r="C451" t="inlineStr">
        <is>
          <t>LIV Maritime</t>
        </is>
      </c>
      <c r="D451" t="inlineStr">
        <is>
          <t>LIV Developers</t>
        </is>
      </c>
      <c r="E451" t="inlineStr">
        <is>
          <t>Dubai Maritime City</t>
        </is>
      </c>
      <c r="F451" t="inlineStr">
        <is>
          <t>Apartments</t>
        </is>
      </c>
      <c r="G451" t="inlineStr">
        <is>
          <t>Sea View</t>
        </is>
      </c>
      <c r="H451" t="inlineStr">
        <is>
          <t>1.8M</t>
        </is>
      </c>
      <c r="I451" t="inlineStr">
        <is>
          <t>2200</t>
        </is>
      </c>
      <c r="J451" t="inlineStr">
        <is>
          <t>20</t>
        </is>
      </c>
      <c r="K451" t="inlineStr">
        <is>
          <t>60/40</t>
        </is>
      </c>
      <c r="L451" t="inlineStr">
        <is>
          <t>2024</t>
        </is>
      </c>
      <c r="M451" t="inlineStr">
        <is>
          <t>6.5-7.0</t>
        </is>
      </c>
      <c r="N451" t="inlineStr">
        <is>
          <t>8-10</t>
        </is>
      </c>
      <c r="O451" t="inlineStr">
        <is>
          <t>14.5-17.0</t>
        </is>
      </c>
      <c r="P451" t="inlineStr">
        <is>
          <t>New Academy School</t>
        </is>
      </c>
      <c r="Q451" t="inlineStr">
        <is>
          <t>Aster Hospital Mankhool</t>
        </is>
      </c>
      <c r="R451" t="inlineStr">
        <is>
          <t>Dubai Mall</t>
        </is>
      </c>
      <c r="S451" t="inlineStr">
        <is>
          <t>Al Khaleej / E11</t>
        </is>
      </c>
      <c r="T451" t="inlineStr">
        <is>
          <t>15</t>
        </is>
      </c>
      <c r="U451" t="inlineStr">
        <is>
          <t>25</t>
        </is>
      </c>
      <c r="V451" t="inlineStr">
        <is>
          <t>15</t>
        </is>
      </c>
      <c r="W451" t="inlineStr">
        <is>
          <t>45</t>
        </is>
      </c>
      <c r="X451" t="inlineStr">
        <is>
          <t>Guild_real_estate_master.csv</t>
        </is>
      </c>
    </row>
    <row r="452">
      <c r="A452" t="n">
        <v>451</v>
      </c>
      <c r="B452" t="n">
        <v>451</v>
      </c>
      <c r="C452" t="inlineStr">
        <is>
          <t>LIV Oceanside</t>
        </is>
      </c>
      <c r="D452" t="inlineStr">
        <is>
          <t>LIV Developers</t>
        </is>
      </c>
      <c r="E452" t="inlineStr">
        <is>
          <t>Dubai Maritime City</t>
        </is>
      </c>
      <c r="F452" t="inlineStr">
        <is>
          <t>Apartments</t>
        </is>
      </c>
      <c r="G452" t="inlineStr">
        <is>
          <t>Sea View</t>
        </is>
      </c>
      <c r="H452" t="inlineStr">
        <is>
          <t>1.9M</t>
        </is>
      </c>
      <c r="I452" t="inlineStr">
        <is>
          <t>2300</t>
        </is>
      </c>
      <c r="J452" t="inlineStr">
        <is>
          <t>20</t>
        </is>
      </c>
      <c r="K452" t="inlineStr">
        <is>
          <t>60/40</t>
        </is>
      </c>
      <c r="L452" t="inlineStr">
        <is>
          <t>2024</t>
        </is>
      </c>
      <c r="M452" t="inlineStr">
        <is>
          <t>6.5-7.0</t>
        </is>
      </c>
      <c r="N452" t="inlineStr">
        <is>
          <t>8-10</t>
        </is>
      </c>
      <c r="O452" t="inlineStr">
        <is>
          <t>14.5-17.0</t>
        </is>
      </c>
      <c r="P452" t="inlineStr">
        <is>
          <t>New Academy School</t>
        </is>
      </c>
      <c r="Q452" t="inlineStr">
        <is>
          <t>Aster Hospital Mankhool</t>
        </is>
      </c>
      <c r="R452" t="inlineStr">
        <is>
          <t>Dubai Mall</t>
        </is>
      </c>
      <c r="S452" t="inlineStr">
        <is>
          <t>Al Khaleej / E11</t>
        </is>
      </c>
      <c r="T452" t="inlineStr">
        <is>
          <t>15</t>
        </is>
      </c>
      <c r="U452" t="inlineStr">
        <is>
          <t>25</t>
        </is>
      </c>
      <c r="V452" t="inlineStr">
        <is>
          <t>15</t>
        </is>
      </c>
      <c r="W452" t="inlineStr">
        <is>
          <t>45</t>
        </is>
      </c>
      <c r="X452" t="inlineStr">
        <is>
          <t>Guild_real_estate_master.csv</t>
        </is>
      </c>
    </row>
    <row r="453">
      <c r="A453" t="n">
        <v>452</v>
      </c>
      <c r="B453" t="n">
        <v>452</v>
      </c>
      <c r="C453" t="inlineStr">
        <is>
          <t>Nordic</t>
        </is>
      </c>
      <c r="D453" t="inlineStr">
        <is>
          <t>LIV Developers</t>
        </is>
      </c>
      <c r="E453" t="inlineStr">
        <is>
          <t>JVC (Planned)</t>
        </is>
      </c>
      <c r="F453" t="inlineStr">
        <is>
          <t>Apartments</t>
        </is>
      </c>
      <c r="G453" t="inlineStr">
        <is>
          <t>Scandinavian</t>
        </is>
      </c>
      <c r="H453" t="inlineStr">
        <is>
          <t>TBA</t>
        </is>
      </c>
      <c r="I453" t="inlineStr">
        <is>
          <t>TBA</t>
        </is>
      </c>
      <c r="J453" t="inlineStr">
        <is>
          <t>15</t>
        </is>
      </c>
      <c r="K453" t="inlineStr">
        <is>
          <t>TBA</t>
        </is>
      </c>
      <c r="L453" t="inlineStr">
        <is>
          <t>Planned</t>
        </is>
      </c>
      <c r="M453" t="inlineStr">
        <is>
          <t>7.5-8.0</t>
        </is>
      </c>
      <c r="N453" t="inlineStr">
        <is>
          <t>6-8</t>
        </is>
      </c>
      <c r="O453" t="inlineStr">
        <is>
          <t>13.5-16.0</t>
        </is>
      </c>
      <c r="P453" t="inlineStr">
        <is>
          <t>JSS International</t>
        </is>
      </c>
      <c r="Q453" t="inlineStr">
        <is>
          <t>Saudi German Hospital</t>
        </is>
      </c>
      <c r="R453" t="inlineStr">
        <is>
          <t>Circle Mall</t>
        </is>
      </c>
      <c r="S453" t="inlineStr">
        <is>
          <t>Hessa St / E44</t>
        </is>
      </c>
      <c r="T453" t="inlineStr">
        <is>
          <t>20</t>
        </is>
      </c>
      <c r="U453" t="inlineStr">
        <is>
          <t>15</t>
        </is>
      </c>
      <c r="V453" t="inlineStr">
        <is>
          <t>25</t>
        </is>
      </c>
      <c r="W453" t="inlineStr">
        <is>
          <t>30</t>
        </is>
      </c>
      <c r="X453" t="inlineStr">
        <is>
          <t>Guild_real_estate_master.csv</t>
        </is>
      </c>
    </row>
    <row r="454">
      <c r="A454" t="n">
        <v>453</v>
      </c>
      <c r="B454" t="n">
        <v>453</v>
      </c>
      <c r="C454" t="inlineStr">
        <is>
          <t>Hollywood</t>
        </is>
      </c>
      <c r="D454" t="inlineStr">
        <is>
          <t>LIV Developers</t>
        </is>
      </c>
      <c r="E454" t="inlineStr">
        <is>
          <t>JVC (Planned)</t>
        </is>
      </c>
      <c r="F454" t="inlineStr">
        <is>
          <t>Apartments</t>
        </is>
      </c>
      <c r="G454" t="inlineStr">
        <is>
          <t>Themed</t>
        </is>
      </c>
      <c r="H454" t="inlineStr">
        <is>
          <t>TBA</t>
        </is>
      </c>
      <c r="I454" t="inlineStr">
        <is>
          <t>TBA</t>
        </is>
      </c>
      <c r="J454" t="inlineStr">
        <is>
          <t>15</t>
        </is>
      </c>
      <c r="K454" t="inlineStr">
        <is>
          <t>TBA</t>
        </is>
      </c>
      <c r="L454" t="inlineStr">
        <is>
          <t>Planned</t>
        </is>
      </c>
      <c r="M454" t="inlineStr">
        <is>
          <t>7.5-8.0</t>
        </is>
      </c>
      <c r="N454" t="inlineStr">
        <is>
          <t>6-8</t>
        </is>
      </c>
      <c r="O454" t="inlineStr">
        <is>
          <t>13.5-16.0</t>
        </is>
      </c>
      <c r="P454" t="inlineStr">
        <is>
          <t>JSS International</t>
        </is>
      </c>
      <c r="Q454" t="inlineStr">
        <is>
          <t>Saudi German Hospital</t>
        </is>
      </c>
      <c r="R454" t="inlineStr">
        <is>
          <t>Circle Mall</t>
        </is>
      </c>
      <c r="S454" t="inlineStr">
        <is>
          <t>Hessa St / E44</t>
        </is>
      </c>
      <c r="T454" t="inlineStr">
        <is>
          <t>20</t>
        </is>
      </c>
      <c r="U454" t="inlineStr">
        <is>
          <t>15</t>
        </is>
      </c>
      <c r="V454" t="inlineStr">
        <is>
          <t>25</t>
        </is>
      </c>
      <c r="W454" t="inlineStr">
        <is>
          <t>30</t>
        </is>
      </c>
      <c r="X454" t="inlineStr">
        <is>
          <t>Guild_real_estate_master.csv</t>
        </is>
      </c>
    </row>
    <row r="455">
      <c r="A455" t="n">
        <v>454</v>
      </c>
      <c r="B455" t="n">
        <v>454</v>
      </c>
      <c r="C455" t="inlineStr">
        <is>
          <t>New York</t>
        </is>
      </c>
      <c r="D455" t="inlineStr">
        <is>
          <t>LIV Developers</t>
        </is>
      </c>
      <c r="E455" t="inlineStr">
        <is>
          <t>JVC (Planned)</t>
        </is>
      </c>
      <c r="F455" t="inlineStr">
        <is>
          <t>Apartments</t>
        </is>
      </c>
      <c r="G455" t="inlineStr">
        <is>
          <t>Themed</t>
        </is>
      </c>
      <c r="H455" t="inlineStr">
        <is>
          <t>TBA</t>
        </is>
      </c>
      <c r="I455" t="inlineStr">
        <is>
          <t>TBA</t>
        </is>
      </c>
      <c r="J455" t="inlineStr">
        <is>
          <t>15</t>
        </is>
      </c>
      <c r="K455" t="inlineStr">
        <is>
          <t>TBA</t>
        </is>
      </c>
      <c r="L455" t="inlineStr">
        <is>
          <t>Planned</t>
        </is>
      </c>
      <c r="M455" t="inlineStr">
        <is>
          <t>7.5-8.0</t>
        </is>
      </c>
      <c r="N455" t="inlineStr">
        <is>
          <t>6-8</t>
        </is>
      </c>
      <c r="O455" t="inlineStr">
        <is>
          <t>13.5-16.0</t>
        </is>
      </c>
      <c r="P455" t="inlineStr">
        <is>
          <t>JSS International</t>
        </is>
      </c>
      <c r="Q455" t="inlineStr">
        <is>
          <t>Saudi German Hospital</t>
        </is>
      </c>
      <c r="R455" t="inlineStr">
        <is>
          <t>Circle Mall</t>
        </is>
      </c>
      <c r="S455" t="inlineStr">
        <is>
          <t>Hessa St / E44</t>
        </is>
      </c>
      <c r="T455" t="inlineStr">
        <is>
          <t>20</t>
        </is>
      </c>
      <c r="U455" t="inlineStr">
        <is>
          <t>15</t>
        </is>
      </c>
      <c r="V455" t="inlineStr">
        <is>
          <t>25</t>
        </is>
      </c>
      <c r="W455" t="inlineStr">
        <is>
          <t>30</t>
        </is>
      </c>
      <c r="X455" t="inlineStr">
        <is>
          <t>Guild_real_estate_master.csv</t>
        </is>
      </c>
    </row>
    <row r="456">
      <c r="A456" t="n">
        <v>455</v>
      </c>
      <c r="B456" t="n">
        <v>455</v>
      </c>
      <c r="C456" t="inlineStr">
        <is>
          <t>Luce</t>
        </is>
      </c>
      <c r="D456" t="inlineStr">
        <is>
          <t>Taraf Properties</t>
        </is>
      </c>
      <c r="E456" t="inlineStr">
        <is>
          <t>Palm Jumeirah</t>
        </is>
      </c>
      <c r="F456" t="inlineStr">
        <is>
          <t>Apartments</t>
        </is>
      </c>
      <c r="G456" t="inlineStr">
        <is>
          <t>Luxury / Beach</t>
        </is>
      </c>
      <c r="H456" t="inlineStr">
        <is>
          <t>8.0M+</t>
        </is>
      </c>
      <c r="I456" t="inlineStr">
        <is>
          <t>4000</t>
        </is>
      </c>
      <c r="J456" t="inlineStr">
        <is>
          <t>30</t>
        </is>
      </c>
      <c r="K456" t="inlineStr">
        <is>
          <t>60/40</t>
        </is>
      </c>
      <c r="L456" t="inlineStr">
        <is>
          <t>2023</t>
        </is>
      </c>
      <c r="M456" t="inlineStr">
        <is>
          <t>4.0-4.5</t>
        </is>
      </c>
      <c r="N456" t="inlineStr">
        <is>
          <t>8-10</t>
        </is>
      </c>
      <c r="O456" t="inlineStr">
        <is>
          <t>12.0-14.5</t>
        </is>
      </c>
      <c r="P456" t="inlineStr">
        <is>
          <t>Chevalier College</t>
        </is>
      </c>
      <c r="Q456" t="inlineStr">
        <is>
          <t>Emirates Hospital</t>
        </is>
      </c>
      <c r="R456" t="inlineStr">
        <is>
          <t>Nakheel Mall</t>
        </is>
      </c>
      <c r="S456" t="inlineStr">
        <is>
          <t>Sheikh Zayed E11</t>
        </is>
      </c>
      <c r="T456" t="inlineStr">
        <is>
          <t>20</t>
        </is>
      </c>
      <c r="U456" t="inlineStr">
        <is>
          <t>10</t>
        </is>
      </c>
      <c r="V456" t="inlineStr">
        <is>
          <t>25</t>
        </is>
      </c>
      <c r="W456" t="inlineStr">
        <is>
          <t>35</t>
        </is>
      </c>
      <c r="X456" t="inlineStr">
        <is>
          <t>Guild_real_estate_master.csv</t>
        </is>
      </c>
    </row>
    <row r="457">
      <c r="A457" t="n">
        <v>456</v>
      </c>
      <c r="B457" t="n">
        <v>456</v>
      </c>
      <c r="C457" t="inlineStr">
        <is>
          <t>Terra Golf Collection</t>
        </is>
      </c>
      <c r="D457" t="inlineStr">
        <is>
          <t>Taraf Properties</t>
        </is>
      </c>
      <c r="E457" t="inlineStr">
        <is>
          <t>Jumeirah Golf Estates</t>
        </is>
      </c>
      <c r="F457" t="inlineStr">
        <is>
          <t>Villas</t>
        </is>
      </c>
      <c r="G457" t="inlineStr">
        <is>
          <t>Golf / Luxury</t>
        </is>
      </c>
      <c r="H457" t="inlineStr">
        <is>
          <t>8.0M+</t>
        </is>
      </c>
      <c r="I457" t="inlineStr">
        <is>
          <t>2200</t>
        </is>
      </c>
      <c r="J457" t="inlineStr">
        <is>
          <t>20</t>
        </is>
      </c>
      <c r="K457" t="inlineStr">
        <is>
          <t>60/40</t>
        </is>
      </c>
      <c r="L457" t="inlineStr">
        <is>
          <t>2023</t>
        </is>
      </c>
      <c r="M457" t="inlineStr">
        <is>
          <t>5.0-5.5</t>
        </is>
      </c>
      <c r="N457" t="inlineStr">
        <is>
          <t>8-10</t>
        </is>
      </c>
      <c r="O457" t="inlineStr">
        <is>
          <t>13.0-15.5</t>
        </is>
      </c>
      <c r="P457" t="inlineStr">
        <is>
          <t>Victory Heights</t>
        </is>
      </c>
      <c r="Q457" t="inlineStr">
        <is>
          <t>NMC Royal DIP</t>
        </is>
      </c>
      <c r="R457" t="inlineStr">
        <is>
          <t>City Centre Me'aisem</t>
        </is>
      </c>
      <c r="S457" t="inlineStr">
        <is>
          <t>E311 / Yalayis</t>
        </is>
      </c>
      <c r="T457" t="inlineStr">
        <is>
          <t>25</t>
        </is>
      </c>
      <c r="U457" t="inlineStr">
        <is>
          <t>20</t>
        </is>
      </c>
      <c r="V457" t="inlineStr">
        <is>
          <t>30</t>
        </is>
      </c>
      <c r="W457" t="inlineStr">
        <is>
          <t>20</t>
        </is>
      </c>
      <c r="X457" t="inlineStr">
        <is>
          <t>Guild_real_estate_master.csv</t>
        </is>
      </c>
    </row>
    <row r="458">
      <c r="A458" t="n">
        <v>457</v>
      </c>
      <c r="B458" t="n">
        <v>457</v>
      </c>
      <c r="C458" t="inlineStr">
        <is>
          <t>Terrazzo</t>
        </is>
      </c>
      <c r="D458" t="inlineStr">
        <is>
          <t>Taraf Properties</t>
        </is>
      </c>
      <c r="E458" t="inlineStr">
        <is>
          <t>JVC</t>
        </is>
      </c>
      <c r="F458" t="inlineStr">
        <is>
          <t>Apartments</t>
        </is>
      </c>
      <c r="G458" t="inlineStr">
        <is>
          <t>Modern / Design</t>
        </is>
      </c>
      <c r="H458" t="inlineStr">
        <is>
          <t>1.1M</t>
        </is>
      </c>
      <c r="I458" t="inlineStr">
        <is>
          <t>1400</t>
        </is>
      </c>
      <c r="J458" t="inlineStr">
        <is>
          <t>15</t>
        </is>
      </c>
      <c r="K458" t="inlineStr">
        <is>
          <t>60/40</t>
        </is>
      </c>
      <c r="L458" t="inlineStr">
        <is>
          <t>2023</t>
        </is>
      </c>
      <c r="M458" t="inlineStr">
        <is>
          <t>7.5-8.0</t>
        </is>
      </c>
      <c r="N458" t="inlineStr">
        <is>
          <t>6-8</t>
        </is>
      </c>
      <c r="O458" t="inlineStr">
        <is>
          <t>13.5-16.0</t>
        </is>
      </c>
      <c r="P458" t="inlineStr">
        <is>
          <t>JSS International</t>
        </is>
      </c>
      <c r="Q458" t="inlineStr">
        <is>
          <t>Saudi German Hospital</t>
        </is>
      </c>
      <c r="R458" t="inlineStr">
        <is>
          <t>Circle Mall</t>
        </is>
      </c>
      <c r="S458" t="inlineStr">
        <is>
          <t>Hessa St / E44</t>
        </is>
      </c>
      <c r="T458" t="inlineStr">
        <is>
          <t>20</t>
        </is>
      </c>
      <c r="U458" t="inlineStr">
        <is>
          <t>15</t>
        </is>
      </c>
      <c r="V458" t="inlineStr">
        <is>
          <t>25</t>
        </is>
      </c>
      <c r="W458" t="inlineStr">
        <is>
          <t>30</t>
        </is>
      </c>
      <c r="X458" t="inlineStr">
        <is>
          <t>Guild_real_estate_master.csv</t>
        </is>
      </c>
    </row>
    <row r="459">
      <c r="A459" t="n">
        <v>458</v>
      </c>
      <c r="B459" t="n">
        <v>458</v>
      </c>
      <c r="C459" t="inlineStr">
        <is>
          <t>Cello</t>
        </is>
      </c>
      <c r="D459" t="inlineStr">
        <is>
          <t>Taraf Properties</t>
        </is>
      </c>
      <c r="E459" t="inlineStr">
        <is>
          <t>JVC</t>
        </is>
      </c>
      <c r="F459" t="inlineStr">
        <is>
          <t>Apartments</t>
        </is>
      </c>
      <c r="G459" t="inlineStr">
        <is>
          <t>Music / Design</t>
        </is>
      </c>
      <c r="H459" t="inlineStr">
        <is>
          <t>1.0M</t>
        </is>
      </c>
      <c r="I459" t="inlineStr">
        <is>
          <t>1350</t>
        </is>
      </c>
      <c r="J459" t="inlineStr">
        <is>
          <t>15</t>
        </is>
      </c>
      <c r="K459" t="inlineStr">
        <is>
          <t>60/40</t>
        </is>
      </c>
      <c r="L459" t="inlineStr">
        <is>
          <t>2023</t>
        </is>
      </c>
      <c r="M459" t="inlineStr">
        <is>
          <t>7.5-8.0</t>
        </is>
      </c>
      <c r="N459" t="inlineStr">
        <is>
          <t>6-8</t>
        </is>
      </c>
      <c r="O459" t="inlineStr">
        <is>
          <t>13.5-16.0</t>
        </is>
      </c>
      <c r="P459" t="inlineStr">
        <is>
          <t>JSS International</t>
        </is>
      </c>
      <c r="Q459" t="inlineStr">
        <is>
          <t>Saudi German Hospital</t>
        </is>
      </c>
      <c r="R459" t="inlineStr">
        <is>
          <t>Circle Mall</t>
        </is>
      </c>
      <c r="S459" t="inlineStr">
        <is>
          <t>Hessa St / E44</t>
        </is>
      </c>
      <c r="T459" t="inlineStr">
        <is>
          <t>20</t>
        </is>
      </c>
      <c r="U459" t="inlineStr">
        <is>
          <t>15</t>
        </is>
      </c>
      <c r="V459" t="inlineStr">
        <is>
          <t>25</t>
        </is>
      </c>
      <c r="W459" t="inlineStr">
        <is>
          <t>30</t>
        </is>
      </c>
      <c r="X459" t="inlineStr">
        <is>
          <t>Guild_real_estate_master.csv</t>
        </is>
      </c>
    </row>
    <row r="460">
      <c r="A460" t="n">
        <v>459</v>
      </c>
      <c r="B460" t="n">
        <v>459</v>
      </c>
      <c r="C460" t="inlineStr">
        <is>
          <t>Karl Lagerfeld Villas</t>
        </is>
      </c>
      <c r="D460" t="inlineStr">
        <is>
          <t>Taraf Properties</t>
        </is>
      </c>
      <c r="E460" t="inlineStr">
        <is>
          <t>MBR City (Meydan)</t>
        </is>
      </c>
      <c r="F460" t="inlineStr">
        <is>
          <t>Villas</t>
        </is>
      </c>
      <c r="G460" t="inlineStr">
        <is>
          <t>Branded / Fashion</t>
        </is>
      </c>
      <c r="H460" t="inlineStr">
        <is>
          <t>15M+</t>
        </is>
      </c>
      <c r="I460" t="inlineStr">
        <is>
          <t>3000</t>
        </is>
      </c>
      <c r="J460" t="inlineStr">
        <is>
          <t>25</t>
        </is>
      </c>
      <c r="K460" t="inlineStr">
        <is>
          <t>60/40</t>
        </is>
      </c>
      <c r="L460" t="inlineStr">
        <is>
          <t>2024</t>
        </is>
      </c>
      <c r="M460" t="inlineStr">
        <is>
          <t>4.5-5.0</t>
        </is>
      </c>
      <c r="N460" t="inlineStr">
        <is>
          <t>8-12</t>
        </is>
      </c>
      <c r="O460" t="inlineStr">
        <is>
          <t>12.5-17.0</t>
        </is>
      </c>
      <c r="P460" t="inlineStr">
        <is>
          <t>Hartland Intl</t>
        </is>
      </c>
      <c r="Q460" t="inlineStr">
        <is>
          <t>American Hospital</t>
        </is>
      </c>
      <c r="R460" t="inlineStr">
        <is>
          <t>Dubai Mall</t>
        </is>
      </c>
      <c r="S460" t="inlineStr">
        <is>
          <t>Ras Al Khor / E44</t>
        </is>
      </c>
      <c r="T460" t="inlineStr">
        <is>
          <t>12</t>
        </is>
      </c>
      <c r="U460" t="inlineStr">
        <is>
          <t>25</t>
        </is>
      </c>
      <c r="V460" t="inlineStr">
        <is>
          <t>15</t>
        </is>
      </c>
      <c r="W460" t="inlineStr">
        <is>
          <t>40</t>
        </is>
      </c>
      <c r="X460" t="inlineStr">
        <is>
          <t>Guild_real_estate_master.csv</t>
        </is>
      </c>
    </row>
    <row r="461">
      <c r="A461" t="n">
        <v>460</v>
      </c>
      <c r="B461" t="n">
        <v>460</v>
      </c>
      <c r="C461" t="inlineStr">
        <is>
          <t>Muraba Residences</t>
        </is>
      </c>
      <c r="D461" t="inlineStr">
        <is>
          <t>Muraba</t>
        </is>
      </c>
      <c r="E461" t="inlineStr">
        <is>
          <t>Palm Jumeirah</t>
        </is>
      </c>
      <c r="F461" t="inlineStr">
        <is>
          <t>Apartments</t>
        </is>
      </c>
      <c r="G461" t="inlineStr">
        <is>
          <t>Pritzker Design</t>
        </is>
      </c>
      <c r="H461" t="inlineStr">
        <is>
          <t>Resale (5M+)</t>
        </is>
      </c>
      <c r="I461" t="inlineStr">
        <is>
          <t>3500</t>
        </is>
      </c>
      <c r="J461" t="inlineStr">
        <is>
          <t>30</t>
        </is>
      </c>
      <c r="K461" t="inlineStr">
        <is>
          <t>Completed</t>
        </is>
      </c>
      <c r="L461" t="inlineStr">
        <is>
          <t>2016</t>
        </is>
      </c>
      <c r="M461" t="inlineStr">
        <is>
          <t>4.5-5.0</t>
        </is>
      </c>
      <c r="N461" t="inlineStr">
        <is>
          <t>5-7</t>
        </is>
      </c>
      <c r="O461" t="inlineStr">
        <is>
          <t>9.5-12.0</t>
        </is>
      </c>
      <c r="P461" t="inlineStr">
        <is>
          <t>Chevalier College</t>
        </is>
      </c>
      <c r="Q461" t="inlineStr">
        <is>
          <t>Emirates Hospital</t>
        </is>
      </c>
      <c r="R461" t="inlineStr">
        <is>
          <t>Nakheel Mall</t>
        </is>
      </c>
      <c r="S461" t="inlineStr">
        <is>
          <t>Sheikh Zayed E11</t>
        </is>
      </c>
      <c r="T461" t="inlineStr">
        <is>
          <t>20</t>
        </is>
      </c>
      <c r="U461" t="inlineStr">
        <is>
          <t>10</t>
        </is>
      </c>
      <c r="V461" t="inlineStr">
        <is>
          <t>25</t>
        </is>
      </c>
      <c r="W461" t="inlineStr">
        <is>
          <t>35</t>
        </is>
      </c>
      <c r="X461" t="inlineStr">
        <is>
          <t>Guild_real_estate_master.csv</t>
        </is>
      </c>
    </row>
    <row r="462">
      <c r="A462" t="n">
        <v>461</v>
      </c>
      <c r="B462" t="n">
        <v>461</v>
      </c>
      <c r="C462" t="inlineStr">
        <is>
          <t>Muraba Veil</t>
        </is>
      </c>
      <c r="D462" t="inlineStr">
        <is>
          <t>Muraba</t>
        </is>
      </c>
      <c r="E462" t="inlineStr">
        <is>
          <t>Sheikh Zayed Road</t>
        </is>
      </c>
      <c r="F462" t="inlineStr">
        <is>
          <t>Apartments</t>
        </is>
      </c>
      <c r="G462" t="inlineStr">
        <is>
          <t>Thin Tower</t>
        </is>
      </c>
      <c r="H462" t="inlineStr">
        <is>
          <t>TBA</t>
        </is>
      </c>
      <c r="I462" t="inlineStr">
        <is>
          <t>TBA</t>
        </is>
      </c>
      <c r="J462" t="inlineStr">
        <is>
          <t>30+</t>
        </is>
      </c>
      <c r="K462" t="inlineStr">
        <is>
          <t>TBA</t>
        </is>
      </c>
      <c r="L462" t="inlineStr">
        <is>
          <t>2024</t>
        </is>
      </c>
      <c r="M462" t="inlineStr">
        <is>
          <t>5.0-5.5</t>
        </is>
      </c>
      <c r="N462" t="inlineStr">
        <is>
          <t>8-12</t>
        </is>
      </c>
      <c r="O462" t="inlineStr">
        <is>
          <t>13.0-17.5</t>
        </is>
      </c>
      <c r="P462" t="inlineStr">
        <is>
          <t>JESS Jumeirah</t>
        </is>
      </c>
      <c r="Q462" t="inlineStr">
        <is>
          <t>Medcare Hospital</t>
        </is>
      </c>
      <c r="R462" t="inlineStr">
        <is>
          <t>Dubai Mall</t>
        </is>
      </c>
      <c r="S462" t="inlineStr">
        <is>
          <t>Sheikh Zayed E11</t>
        </is>
      </c>
      <c r="T462" t="inlineStr">
        <is>
          <t>5</t>
        </is>
      </c>
      <c r="U462" t="inlineStr">
        <is>
          <t>15</t>
        </is>
      </c>
      <c r="V462" t="inlineStr">
        <is>
          <t>15</t>
        </is>
      </c>
      <c r="W462" t="inlineStr">
        <is>
          <t>35</t>
        </is>
      </c>
      <c r="X462" t="inlineStr">
        <is>
          <t>Guild_real_estate_master.csv</t>
        </is>
      </c>
    </row>
    <row r="463">
      <c r="A463" t="n">
        <v>462</v>
      </c>
      <c r="B463" t="n">
        <v>462</v>
      </c>
      <c r="C463" t="inlineStr">
        <is>
          <t>Muraba Dia (Planned)</t>
        </is>
      </c>
      <c r="D463" t="inlineStr">
        <is>
          <t>Muraba</t>
        </is>
      </c>
      <c r="E463" t="inlineStr">
        <is>
          <t>TBA</t>
        </is>
      </c>
      <c r="F463" t="inlineStr">
        <is>
          <t>Apartments</t>
        </is>
      </c>
      <c r="G463" t="inlineStr">
        <is>
          <t>Design</t>
        </is>
      </c>
      <c r="H463" t="inlineStr">
        <is>
          <t>TBA</t>
        </is>
      </c>
      <c r="I463" t="inlineStr">
        <is>
          <t>TBA</t>
        </is>
      </c>
      <c r="J463" t="inlineStr">
        <is>
          <t>TBA</t>
        </is>
      </c>
      <c r="K463" t="inlineStr">
        <is>
          <t>TBA</t>
        </is>
      </c>
      <c r="L463" t="inlineStr">
        <is>
          <t>Planned</t>
        </is>
      </c>
      <c r="M463" t="inlineStr">
        <is>
          <t>TBA</t>
        </is>
      </c>
      <c r="N463" t="inlineStr">
        <is>
          <t>TBA</t>
        </is>
      </c>
      <c r="O463" t="inlineStr">
        <is>
          <t>TBA</t>
        </is>
      </c>
      <c r="P463" t="inlineStr">
        <is>
          <t>TBA</t>
        </is>
      </c>
      <c r="Q463" t="inlineStr">
        <is>
          <t>TBA</t>
        </is>
      </c>
      <c r="R463" t="inlineStr">
        <is>
          <t>TBA</t>
        </is>
      </c>
      <c r="S463" t="inlineStr">
        <is>
          <t>TBA</t>
        </is>
      </c>
      <c r="T463" t="inlineStr">
        <is>
          <t>TBA</t>
        </is>
      </c>
      <c r="U463" t="inlineStr">
        <is>
          <t>TBA</t>
        </is>
      </c>
      <c r="V463" t="inlineStr">
        <is>
          <t>TBA</t>
        </is>
      </c>
      <c r="W463" t="inlineStr">
        <is>
          <t>TBA</t>
        </is>
      </c>
      <c r="X463" t="inlineStr">
        <is>
          <t>Guild_real_estate_master.csv</t>
        </is>
      </c>
    </row>
    <row r="464">
      <c r="A464" t="n">
        <v>463</v>
      </c>
      <c r="B464" t="n">
        <v>463</v>
      </c>
      <c r="C464" t="inlineStr">
        <is>
          <t>Eywa</t>
        </is>
      </c>
      <c r="D464" t="inlineStr">
        <is>
          <t>R.Evolution</t>
        </is>
      </c>
      <c r="E464" t="inlineStr">
        <is>
          <t>Business Bay</t>
        </is>
      </c>
      <c r="F464" t="inlineStr">
        <is>
          <t>Apartments</t>
        </is>
      </c>
      <c r="G464" t="inlineStr">
        <is>
          <t>Wellness / Tree of Life</t>
        </is>
      </c>
      <c r="H464" t="inlineStr">
        <is>
          <t>8.0M</t>
        </is>
      </c>
      <c r="I464" t="inlineStr">
        <is>
          <t>4000</t>
        </is>
      </c>
      <c r="J464" t="inlineStr">
        <is>
          <t>35</t>
        </is>
      </c>
      <c r="K464" t="inlineStr">
        <is>
          <t>60/40</t>
        </is>
      </c>
      <c r="L464" t="inlineStr">
        <is>
          <t>2023</t>
        </is>
      </c>
      <c r="M464" t="inlineStr">
        <is>
          <t>5.0-5.5</t>
        </is>
      </c>
      <c r="N464" t="inlineStr">
        <is>
          <t>8-12</t>
        </is>
      </c>
      <c r="O464" t="inlineStr">
        <is>
          <t>13.0-17.5</t>
        </is>
      </c>
      <c r="P464" t="inlineStr">
        <is>
          <t>Hartland Intl</t>
        </is>
      </c>
      <c r="Q464" t="inlineStr">
        <is>
          <t>Emirates Hospital BB</t>
        </is>
      </c>
      <c r="R464" t="inlineStr">
        <is>
          <t>Dubai Mall</t>
        </is>
      </c>
      <c r="S464" t="inlineStr">
        <is>
          <t>Al Khail E44</t>
        </is>
      </c>
      <c r="T464" t="inlineStr">
        <is>
          <t>5</t>
        </is>
      </c>
      <c r="U464" t="inlineStr">
        <is>
          <t>20</t>
        </is>
      </c>
      <c r="V464" t="inlineStr">
        <is>
          <t>15</t>
        </is>
      </c>
      <c r="W464" t="inlineStr">
        <is>
          <t>35</t>
        </is>
      </c>
      <c r="X464" t="inlineStr">
        <is>
          <t>Guild_real_estate_master.csv</t>
        </is>
      </c>
    </row>
    <row r="465">
      <c r="A465" t="n">
        <v>464</v>
      </c>
      <c r="B465" t="n">
        <v>464</v>
      </c>
      <c r="C465" t="inlineStr">
        <is>
          <t>Eywa 2 (Planned)</t>
        </is>
      </c>
      <c r="D465" t="inlineStr">
        <is>
          <t>R.Evolution</t>
        </is>
      </c>
      <c r="E465" t="inlineStr">
        <is>
          <t>TBA</t>
        </is>
      </c>
      <c r="F465" t="inlineStr">
        <is>
          <t>Apartments</t>
        </is>
      </c>
      <c r="G465" t="inlineStr">
        <is>
          <t>Wellness</t>
        </is>
      </c>
      <c r="H465" t="inlineStr">
        <is>
          <t>TBA</t>
        </is>
      </c>
      <c r="I465" t="inlineStr">
        <is>
          <t>TBA</t>
        </is>
      </c>
      <c r="J465" t="inlineStr">
        <is>
          <t>TBA</t>
        </is>
      </c>
      <c r="K465" t="inlineStr">
        <is>
          <t>TBA</t>
        </is>
      </c>
      <c r="L465" t="inlineStr">
        <is>
          <t>Planned</t>
        </is>
      </c>
      <c r="M465" t="inlineStr">
        <is>
          <t>TBA</t>
        </is>
      </c>
      <c r="N465" t="inlineStr">
        <is>
          <t>TBA</t>
        </is>
      </c>
      <c r="O465" t="inlineStr">
        <is>
          <t>TBA</t>
        </is>
      </c>
      <c r="P465" t="inlineStr">
        <is>
          <t>Hartland Intl</t>
        </is>
      </c>
      <c r="Q465" t="inlineStr">
        <is>
          <t>Emirates Hospital BB</t>
        </is>
      </c>
      <c r="R465" t="inlineStr">
        <is>
          <t>Dubai Mall</t>
        </is>
      </c>
      <c r="S465" t="inlineStr">
        <is>
          <t>Al Khail E44</t>
        </is>
      </c>
      <c r="T465" t="inlineStr">
        <is>
          <t>5</t>
        </is>
      </c>
      <c r="U465" t="inlineStr">
        <is>
          <t>20</t>
        </is>
      </c>
      <c r="V465" t="inlineStr">
        <is>
          <t>15</t>
        </is>
      </c>
      <c r="W465" t="inlineStr">
        <is>
          <t>35</t>
        </is>
      </c>
      <c r="X465" t="inlineStr">
        <is>
          <t>Guild_real_estate_master.csv</t>
        </is>
      </c>
    </row>
    <row r="466">
      <c r="A466" t="n">
        <v>465</v>
      </c>
      <c r="B466" t="n">
        <v>465</v>
      </c>
      <c r="C466" t="inlineStr">
        <is>
          <t>The Fields</t>
        </is>
      </c>
      <c r="D466" t="inlineStr">
        <is>
          <t>G&amp;Co</t>
        </is>
      </c>
      <c r="E466" t="inlineStr">
        <is>
          <t>MBR City (District 11)</t>
        </is>
      </c>
      <c r="F466" t="inlineStr">
        <is>
          <t>Townhouses</t>
        </is>
      </c>
      <c r="G466" t="inlineStr">
        <is>
          <t>Gated / Family</t>
        </is>
      </c>
      <c r="H466" t="inlineStr">
        <is>
          <t>Resale (3.5M+)</t>
        </is>
      </c>
      <c r="I466" t="inlineStr">
        <is>
          <t>1200</t>
        </is>
      </c>
      <c r="J466" t="inlineStr">
        <is>
          <t>12</t>
        </is>
      </c>
      <c r="K466" t="inlineStr">
        <is>
          <t>Completed</t>
        </is>
      </c>
      <c r="L466" t="inlineStr">
        <is>
          <t>2019-2023</t>
        </is>
      </c>
      <c r="M466" t="inlineStr">
        <is>
          <t>6.0-6.5</t>
        </is>
      </c>
      <c r="N466" t="inlineStr">
        <is>
          <t>5-7</t>
        </is>
      </c>
      <c r="O466" t="inlineStr">
        <is>
          <t>11.0-13.5</t>
        </is>
      </c>
      <c r="P466" t="inlineStr">
        <is>
          <t>Kent College</t>
        </is>
      </c>
      <c r="Q466" t="inlineStr">
        <is>
          <t>Fakeeh University Hosp</t>
        </is>
      </c>
      <c r="R466" t="inlineStr">
        <is>
          <t>Dubai Outlet Mall</t>
        </is>
      </c>
      <c r="S466" t="inlineStr">
        <is>
          <t>Al Ain Rd E66</t>
        </is>
      </c>
      <c r="T466" t="inlineStr">
        <is>
          <t>15</t>
        </is>
      </c>
      <c r="U466" t="inlineStr">
        <is>
          <t>20</t>
        </is>
      </c>
      <c r="V466" t="inlineStr">
        <is>
          <t>20</t>
        </is>
      </c>
      <c r="W466" t="inlineStr">
        <is>
          <t>30</t>
        </is>
      </c>
      <c r="X466" t="inlineStr">
        <is>
          <t>Guild_real_estate_master.csv</t>
        </is>
      </c>
    </row>
    <row r="467">
      <c r="A467" t="n">
        <v>466</v>
      </c>
      <c r="B467" t="n">
        <v>466</v>
      </c>
      <c r="C467" t="inlineStr">
        <is>
          <t>Elie Saab Townhouses</t>
        </is>
      </c>
      <c r="D467" t="inlineStr">
        <is>
          <t>G&amp;Co</t>
        </is>
      </c>
      <c r="E467" t="inlineStr">
        <is>
          <t>The Fields (MBR City)</t>
        </is>
      </c>
      <c r="F467" t="inlineStr">
        <is>
          <t>Branded TH</t>
        </is>
      </c>
      <c r="G467" t="inlineStr">
        <is>
          <t>Fashion / Design</t>
        </is>
      </c>
      <c r="H467" t="inlineStr">
        <is>
          <t>4.5M</t>
        </is>
      </c>
      <c r="I467" t="inlineStr">
        <is>
          <t>1400</t>
        </is>
      </c>
      <c r="J467" t="inlineStr">
        <is>
          <t>15</t>
        </is>
      </c>
      <c r="K467" t="inlineStr">
        <is>
          <t>Completed</t>
        </is>
      </c>
      <c r="L467" t="inlineStr">
        <is>
          <t>2022</t>
        </is>
      </c>
      <c r="M467" t="inlineStr">
        <is>
          <t>6.0-6.5</t>
        </is>
      </c>
      <c r="N467" t="inlineStr">
        <is>
          <t>5-7</t>
        </is>
      </c>
      <c r="O467" t="inlineStr">
        <is>
          <t>11.0-13.5</t>
        </is>
      </c>
      <c r="P467" t="inlineStr">
        <is>
          <t>Kent College</t>
        </is>
      </c>
      <c r="Q467" t="inlineStr">
        <is>
          <t>Fakeeh University Hosp</t>
        </is>
      </c>
      <c r="R467" t="inlineStr">
        <is>
          <t>Dubai Outlet Mall</t>
        </is>
      </c>
      <c r="S467" t="inlineStr">
        <is>
          <t>Al Ain Rd E66</t>
        </is>
      </c>
      <c r="T467" t="inlineStr">
        <is>
          <t>15</t>
        </is>
      </c>
      <c r="U467" t="inlineStr">
        <is>
          <t>20</t>
        </is>
      </c>
      <c r="V467" t="inlineStr">
        <is>
          <t>20</t>
        </is>
      </c>
      <c r="W467" t="inlineStr">
        <is>
          <t>30</t>
        </is>
      </c>
      <c r="X467" t="inlineStr">
        <is>
          <t>Guild_real_estate_master.csv</t>
        </is>
      </c>
    </row>
    <row r="468">
      <c r="A468" t="n">
        <v>467</v>
      </c>
      <c r="B468" t="n">
        <v>467</v>
      </c>
      <c r="C468" t="inlineStr">
        <is>
          <t>Grand Views</t>
        </is>
      </c>
      <c r="D468" t="inlineStr">
        <is>
          <t>G&amp;Co</t>
        </is>
      </c>
      <c r="E468" t="inlineStr">
        <is>
          <t>MBR City (Millennium)</t>
        </is>
      </c>
      <c r="F468" t="inlineStr">
        <is>
          <t>Villas &amp; TH</t>
        </is>
      </c>
      <c r="G468" t="inlineStr">
        <is>
          <t>Gated / Luxury</t>
        </is>
      </c>
      <c r="H468" t="inlineStr">
        <is>
          <t>Resale (6M+)</t>
        </is>
      </c>
      <c r="I468" t="inlineStr">
        <is>
          <t>1300</t>
        </is>
      </c>
      <c r="J468" t="inlineStr">
        <is>
          <t>12</t>
        </is>
      </c>
      <c r="K468" t="inlineStr">
        <is>
          <t>Completed</t>
        </is>
      </c>
      <c r="L468" t="inlineStr">
        <is>
          <t>2018</t>
        </is>
      </c>
      <c r="M468" t="inlineStr">
        <is>
          <t>5.5-6.0</t>
        </is>
      </c>
      <c r="N468" t="inlineStr">
        <is>
          <t>5-7</t>
        </is>
      </c>
      <c r="O468" t="inlineStr">
        <is>
          <t>10.5-13.0</t>
        </is>
      </c>
      <c r="P468" t="inlineStr">
        <is>
          <t>Repton School</t>
        </is>
      </c>
      <c r="Q468" t="inlineStr">
        <is>
          <t>Nad Al Sheba Health</t>
        </is>
      </c>
      <c r="R468" t="inlineStr">
        <is>
          <t>Meydan One (Planned)</t>
        </is>
      </c>
      <c r="S468" t="inlineStr">
        <is>
          <t>Al Ain Rd E66</t>
        </is>
      </c>
      <c r="T468" t="inlineStr">
        <is>
          <t>15</t>
        </is>
      </c>
      <c r="U468" t="inlineStr">
        <is>
          <t>20</t>
        </is>
      </c>
      <c r="V468" t="inlineStr">
        <is>
          <t>20</t>
        </is>
      </c>
      <c r="W468" t="inlineStr">
        <is>
          <t>30</t>
        </is>
      </c>
      <c r="X468" t="inlineStr">
        <is>
          <t>Guild_real_estate_master.csv</t>
        </is>
      </c>
    </row>
    <row r="469">
      <c r="A469" t="n">
        <v>468</v>
      </c>
      <c r="B469" t="n">
        <v>468</v>
      </c>
      <c r="C469" t="inlineStr">
        <is>
          <t>Millennium Estates</t>
        </is>
      </c>
      <c r="D469" t="inlineStr">
        <is>
          <t>G&amp;Co</t>
        </is>
      </c>
      <c r="E469" t="inlineStr">
        <is>
          <t>MBR City</t>
        </is>
      </c>
      <c r="F469" t="inlineStr">
        <is>
          <t>Villas</t>
        </is>
      </c>
      <c r="G469" t="inlineStr">
        <is>
          <t>Gated / Luxury</t>
        </is>
      </c>
      <c r="H469" t="inlineStr">
        <is>
          <t>Resale (8M+)</t>
        </is>
      </c>
      <c r="I469" t="inlineStr">
        <is>
          <t>1200</t>
        </is>
      </c>
      <c r="J469" t="inlineStr">
        <is>
          <t>12</t>
        </is>
      </c>
      <c r="K469" t="inlineStr">
        <is>
          <t>Completed</t>
        </is>
      </c>
      <c r="L469" t="inlineStr">
        <is>
          <t>2015</t>
        </is>
      </c>
      <c r="M469" t="inlineStr">
        <is>
          <t>5.5-6.0</t>
        </is>
      </c>
      <c r="N469" t="inlineStr">
        <is>
          <t>5-7</t>
        </is>
      </c>
      <c r="O469" t="inlineStr">
        <is>
          <t>10.5-13.0</t>
        </is>
      </c>
      <c r="P469" t="inlineStr">
        <is>
          <t>Repton School</t>
        </is>
      </c>
      <c r="Q469" t="inlineStr">
        <is>
          <t>Nad Al Sheba Health</t>
        </is>
      </c>
      <c r="R469" t="inlineStr">
        <is>
          <t>Meydan One (Planned)</t>
        </is>
      </c>
      <c r="S469" t="inlineStr">
        <is>
          <t>Al Ain Rd E66</t>
        </is>
      </c>
      <c r="T469" t="inlineStr">
        <is>
          <t>15</t>
        </is>
      </c>
      <c r="U469" t="inlineStr">
        <is>
          <t>20</t>
        </is>
      </c>
      <c r="V469" t="inlineStr">
        <is>
          <t>20</t>
        </is>
      </c>
      <c r="W469" t="inlineStr">
        <is>
          <t>30</t>
        </is>
      </c>
      <c r="X469" t="inlineStr">
        <is>
          <t>Guild_real_estate_master.csv</t>
        </is>
      </c>
    </row>
    <row r="470">
      <c r="A470" t="n">
        <v>469</v>
      </c>
      <c r="B470" t="n">
        <v>469</v>
      </c>
      <c r="C470" t="inlineStr">
        <is>
          <t>ZāZEN One</t>
        </is>
      </c>
      <c r="D470" t="inlineStr">
        <is>
          <t>ZāZEN Properties</t>
        </is>
      </c>
      <c r="E470" t="inlineStr">
        <is>
          <t>JVT</t>
        </is>
      </c>
      <c r="F470" t="inlineStr">
        <is>
          <t>Apartments</t>
        </is>
      </c>
      <c r="G470" t="inlineStr">
        <is>
          <t>Sustainable</t>
        </is>
      </c>
      <c r="H470" t="inlineStr">
        <is>
          <t>Resale (1M+)</t>
        </is>
      </c>
      <c r="I470" t="inlineStr">
        <is>
          <t>1100</t>
        </is>
      </c>
      <c r="J470" t="inlineStr">
        <is>
          <t>14</t>
        </is>
      </c>
      <c r="K470" t="inlineStr">
        <is>
          <t>Completed</t>
        </is>
      </c>
      <c r="L470" t="inlineStr">
        <is>
          <t>2021</t>
        </is>
      </c>
      <c r="M470" t="inlineStr">
        <is>
          <t>7.0-7.5</t>
        </is>
      </c>
      <c r="N470" t="inlineStr">
        <is>
          <t>5-7</t>
        </is>
      </c>
      <c r="O470" t="inlineStr">
        <is>
          <t>12.0-14.5</t>
        </is>
      </c>
      <c r="P470" t="inlineStr">
        <is>
          <t>Sunmarke School</t>
        </is>
      </c>
      <c r="Q470" t="inlineStr">
        <is>
          <t>NMC Royal DIP</t>
        </is>
      </c>
      <c r="R470" t="inlineStr">
        <is>
          <t>Circle Mall</t>
        </is>
      </c>
      <c r="S470" t="inlineStr">
        <is>
          <t>E311 / Yalayis</t>
        </is>
      </c>
      <c r="T470" t="inlineStr">
        <is>
          <t>20</t>
        </is>
      </c>
      <c r="U470" t="inlineStr">
        <is>
          <t>15</t>
        </is>
      </c>
      <c r="V470" t="inlineStr">
        <is>
          <t>30</t>
        </is>
      </c>
      <c r="W470" t="inlineStr">
        <is>
          <t>20</t>
        </is>
      </c>
      <c r="X470" t="inlineStr">
        <is>
          <t>Guild_real_estate_master.csv</t>
        </is>
      </c>
    </row>
    <row r="471">
      <c r="A471" t="n">
        <v>470</v>
      </c>
      <c r="B471" t="n">
        <v>470</v>
      </c>
      <c r="C471" t="inlineStr">
        <is>
          <t>ZāZEN Gardens</t>
        </is>
      </c>
      <c r="D471" t="inlineStr">
        <is>
          <t>ZāZEN Properties</t>
        </is>
      </c>
      <c r="E471" t="inlineStr">
        <is>
          <t>Al Furjan</t>
        </is>
      </c>
      <c r="F471" t="inlineStr">
        <is>
          <t>Apartments</t>
        </is>
      </c>
      <c r="G471" t="inlineStr">
        <is>
          <t>LEED Gold</t>
        </is>
      </c>
      <c r="H471" t="inlineStr">
        <is>
          <t>1.2M</t>
        </is>
      </c>
      <c r="I471" t="inlineStr">
        <is>
          <t>1200</t>
        </is>
      </c>
      <c r="J471" t="inlineStr">
        <is>
          <t>14</t>
        </is>
      </c>
      <c r="K471" t="inlineStr">
        <is>
          <t>Completed</t>
        </is>
      </c>
      <c r="L471" t="inlineStr">
        <is>
          <t>2023</t>
        </is>
      </c>
      <c r="M471" t="inlineStr">
        <is>
          <t>7.0-7.5</t>
        </is>
      </c>
      <c r="N471" t="inlineStr">
        <is>
          <t>6-8</t>
        </is>
      </c>
      <c r="O471" t="inlineStr">
        <is>
          <t>13.0-15.5</t>
        </is>
      </c>
      <c r="P471" t="inlineStr">
        <is>
          <t>The Arbor School</t>
        </is>
      </c>
      <c r="Q471" t="inlineStr">
        <is>
          <t>NMC Royal DIP</t>
        </is>
      </c>
      <c r="R471" t="inlineStr">
        <is>
          <t>Ibn Battuta Mall</t>
        </is>
      </c>
      <c r="S471" t="inlineStr">
        <is>
          <t>Yalayis / E311</t>
        </is>
      </c>
      <c r="T471" t="inlineStr">
        <is>
          <t>25</t>
        </is>
      </c>
      <c r="U471" t="inlineStr">
        <is>
          <t>15</t>
        </is>
      </c>
      <c r="V471" t="inlineStr">
        <is>
          <t>30</t>
        </is>
      </c>
      <c r="W471" t="inlineStr">
        <is>
          <t>20</t>
        </is>
      </c>
      <c r="X471" t="inlineStr">
        <is>
          <t>Guild_real_estate_master.csv</t>
        </is>
      </c>
    </row>
    <row r="472">
      <c r="A472" t="n">
        <v>471</v>
      </c>
      <c r="B472" t="n">
        <v>471</v>
      </c>
      <c r="C472" t="inlineStr">
        <is>
          <t>ZāZEN Ivy</t>
        </is>
      </c>
      <c r="D472" t="inlineStr">
        <is>
          <t>ZāZEN Properties</t>
        </is>
      </c>
      <c r="E472" t="inlineStr">
        <is>
          <t>Al Furjan</t>
        </is>
      </c>
      <c r="F472" t="inlineStr">
        <is>
          <t>Apartments</t>
        </is>
      </c>
      <c r="G472" t="inlineStr">
        <is>
          <t>Sustainable</t>
        </is>
      </c>
      <c r="H472" t="inlineStr">
        <is>
          <t>1.3M</t>
        </is>
      </c>
      <c r="I472" t="inlineStr">
        <is>
          <t>1250</t>
        </is>
      </c>
      <c r="J472" t="inlineStr">
        <is>
          <t>14</t>
        </is>
      </c>
      <c r="K472" t="inlineStr">
        <is>
          <t>50/50</t>
        </is>
      </c>
      <c r="L472" t="inlineStr">
        <is>
          <t>2024</t>
        </is>
      </c>
      <c r="M472" t="inlineStr">
        <is>
          <t>7.0-7.5</t>
        </is>
      </c>
      <c r="N472" t="inlineStr">
        <is>
          <t>6-8</t>
        </is>
      </c>
      <c r="O472" t="inlineStr">
        <is>
          <t>13.0-15.5</t>
        </is>
      </c>
      <c r="P472" t="inlineStr">
        <is>
          <t>The Arbor School</t>
        </is>
      </c>
      <c r="Q472" t="inlineStr">
        <is>
          <t>NMC Royal DIP</t>
        </is>
      </c>
      <c r="R472" t="inlineStr">
        <is>
          <t>Ibn Battuta Mall</t>
        </is>
      </c>
      <c r="S472" t="inlineStr">
        <is>
          <t>Yalayis / E311</t>
        </is>
      </c>
      <c r="T472" t="inlineStr">
        <is>
          <t>25</t>
        </is>
      </c>
      <c r="U472" t="inlineStr">
        <is>
          <t>15</t>
        </is>
      </c>
      <c r="V472" t="inlineStr">
        <is>
          <t>30</t>
        </is>
      </c>
      <c r="W472" t="inlineStr">
        <is>
          <t>20</t>
        </is>
      </c>
      <c r="X472" t="inlineStr">
        <is>
          <t>Guild_real_estate_master.csv</t>
        </is>
      </c>
    </row>
    <row r="473">
      <c r="A473" t="n">
        <v>472</v>
      </c>
      <c r="B473" t="n">
        <v>472</v>
      </c>
      <c r="C473" t="inlineStr">
        <is>
          <t>XXII Carat</t>
        </is>
      </c>
      <c r="D473" t="inlineStr">
        <is>
          <t>Forum Group</t>
        </is>
      </c>
      <c r="E473" t="inlineStr">
        <is>
          <t>Palm Jumeirah</t>
        </is>
      </c>
      <c r="F473" t="inlineStr">
        <is>
          <t>Villas</t>
        </is>
      </c>
      <c r="G473" t="inlineStr">
        <is>
          <t>Ultra-Luxury / Classic</t>
        </is>
      </c>
      <c r="H473" t="inlineStr">
        <is>
          <t>40M+</t>
        </is>
      </c>
      <c r="I473" t="inlineStr">
        <is>
          <t>5000+</t>
        </is>
      </c>
      <c r="J473" t="inlineStr">
        <is>
          <t>50+</t>
        </is>
      </c>
      <c r="K473" t="inlineStr">
        <is>
          <t>Completed</t>
        </is>
      </c>
      <c r="L473" t="inlineStr">
        <is>
          <t>2017</t>
        </is>
      </c>
      <c r="M473" t="inlineStr">
        <is>
          <t>3.0-3.5</t>
        </is>
      </c>
      <c r="N473" t="inlineStr">
        <is>
          <t>5-8</t>
        </is>
      </c>
      <c r="O473" t="inlineStr">
        <is>
          <t>8.0-11.5</t>
        </is>
      </c>
      <c r="P473" t="inlineStr">
        <is>
          <t>Chevalier College</t>
        </is>
      </c>
      <c r="Q473" t="inlineStr">
        <is>
          <t>Emirates Hospital</t>
        </is>
      </c>
      <c r="R473" t="inlineStr">
        <is>
          <t>Nakheel Mall</t>
        </is>
      </c>
      <c r="S473" t="inlineStr">
        <is>
          <t>Sheikh Zayed E11</t>
        </is>
      </c>
      <c r="T473" t="inlineStr">
        <is>
          <t>20</t>
        </is>
      </c>
      <c r="U473" t="inlineStr">
        <is>
          <t>10</t>
        </is>
      </c>
      <c r="V473" t="inlineStr">
        <is>
          <t>25</t>
        </is>
      </c>
      <c r="W473" t="inlineStr">
        <is>
          <t>35</t>
        </is>
      </c>
      <c r="X473" t="inlineStr">
        <is>
          <t>Guild_real_estate_master.csv</t>
        </is>
      </c>
    </row>
    <row r="474">
      <c r="A474" t="n">
        <v>473</v>
      </c>
      <c r="B474" t="n">
        <v>473</v>
      </c>
      <c r="C474" t="inlineStr">
        <is>
          <t>FH Residency</t>
        </is>
      </c>
      <c r="D474" t="inlineStr">
        <is>
          <t>Forum Group</t>
        </is>
      </c>
      <c r="E474" t="inlineStr">
        <is>
          <t>JVT</t>
        </is>
      </c>
      <c r="F474" t="inlineStr">
        <is>
          <t>Apartments</t>
        </is>
      </c>
      <c r="G474" t="inlineStr">
        <is>
          <t>Family</t>
        </is>
      </c>
      <c r="H474" t="inlineStr">
        <is>
          <t>800k</t>
        </is>
      </c>
      <c r="I474" t="inlineStr">
        <is>
          <t>1100</t>
        </is>
      </c>
      <c r="J474" t="inlineStr">
        <is>
          <t>15</t>
        </is>
      </c>
      <c r="K474" t="inlineStr">
        <is>
          <t>TBA</t>
        </is>
      </c>
      <c r="L474" t="inlineStr">
        <is>
          <t>2023</t>
        </is>
      </c>
      <c r="M474" t="inlineStr">
        <is>
          <t>7.0-7.5</t>
        </is>
      </c>
      <c r="N474" t="inlineStr">
        <is>
          <t>6-8</t>
        </is>
      </c>
      <c r="O474" t="inlineStr">
        <is>
          <t>13.0-15.5</t>
        </is>
      </c>
      <c r="P474" t="inlineStr">
        <is>
          <t>Sunmarke School</t>
        </is>
      </c>
      <c r="Q474" t="inlineStr">
        <is>
          <t>NMC Royal DIP</t>
        </is>
      </c>
      <c r="R474" t="inlineStr">
        <is>
          <t>Circle Mall</t>
        </is>
      </c>
      <c r="S474" t="inlineStr">
        <is>
          <t>E311 / Yalayis</t>
        </is>
      </c>
      <c r="T474" t="inlineStr">
        <is>
          <t>20</t>
        </is>
      </c>
      <c r="U474" t="inlineStr">
        <is>
          <t>15</t>
        </is>
      </c>
      <c r="V474" t="inlineStr">
        <is>
          <t>30</t>
        </is>
      </c>
      <c r="W474" t="inlineStr">
        <is>
          <t>20</t>
        </is>
      </c>
      <c r="X474" t="inlineStr">
        <is>
          <t>Guild_real_estate_master.csv</t>
        </is>
      </c>
    </row>
    <row r="475">
      <c r="A475" t="n">
        <v>474</v>
      </c>
      <c r="B475" t="n">
        <v>474</v>
      </c>
      <c r="C475" t="inlineStr">
        <is>
          <t>Beach Walk</t>
        </is>
      </c>
      <c r="D475" t="inlineStr">
        <is>
          <t>Imtiaz Developments</t>
        </is>
      </c>
      <c r="E475" t="inlineStr">
        <is>
          <t>Dubai Islands</t>
        </is>
      </c>
      <c r="F475" t="inlineStr">
        <is>
          <t>Apartments</t>
        </is>
      </c>
      <c r="G475" t="inlineStr">
        <is>
          <t>Beachfront</t>
        </is>
      </c>
      <c r="H475" t="inlineStr">
        <is>
          <t>1.8M</t>
        </is>
      </c>
      <c r="I475" t="inlineStr">
        <is>
          <t>1800</t>
        </is>
      </c>
      <c r="J475" t="inlineStr">
        <is>
          <t>18</t>
        </is>
      </c>
      <c r="K475" t="inlineStr">
        <is>
          <t>60/40</t>
        </is>
      </c>
      <c r="L475" t="inlineStr">
        <is>
          <t>2024</t>
        </is>
      </c>
      <c r="M475" t="inlineStr">
        <is>
          <t>6.5-7.0</t>
        </is>
      </c>
      <c r="N475" t="inlineStr">
        <is>
          <t>10-12</t>
        </is>
      </c>
      <c r="O475" t="inlineStr">
        <is>
          <t>16.5-19.0</t>
        </is>
      </c>
      <c r="P475" t="inlineStr">
        <is>
          <t>The Elite English</t>
        </is>
      </c>
      <c r="Q475" t="inlineStr">
        <is>
          <t>Dubai Hospital</t>
        </is>
      </c>
      <c r="R475" t="inlineStr">
        <is>
          <t>City Centre Deira</t>
        </is>
      </c>
      <c r="S475" t="inlineStr">
        <is>
          <t>Infinity Bridge</t>
        </is>
      </c>
      <c r="T475" t="inlineStr">
        <is>
          <t>20</t>
        </is>
      </c>
      <c r="U475" t="inlineStr">
        <is>
          <t>35</t>
        </is>
      </c>
      <c r="V475" t="inlineStr">
        <is>
          <t>15</t>
        </is>
      </c>
      <c r="W475" t="inlineStr">
        <is>
          <t>45</t>
        </is>
      </c>
      <c r="X475" t="inlineStr">
        <is>
          <t>Guild_real_estate_master.csv</t>
        </is>
      </c>
    </row>
    <row r="476">
      <c r="A476" t="n">
        <v>475</v>
      </c>
      <c r="B476" t="n">
        <v>475</v>
      </c>
      <c r="C476" t="inlineStr">
        <is>
          <t>Luxor</t>
        </is>
      </c>
      <c r="D476" t="inlineStr">
        <is>
          <t>Imtiaz Developments</t>
        </is>
      </c>
      <c r="E476" t="inlineStr">
        <is>
          <t>JVC</t>
        </is>
      </c>
      <c r="F476" t="inlineStr">
        <is>
          <t>Apartments</t>
        </is>
      </c>
      <c r="G476" t="inlineStr">
        <is>
          <t>Modern</t>
        </is>
      </c>
      <c r="H476" t="inlineStr">
        <is>
          <t>900k</t>
        </is>
      </c>
      <c r="I476" t="inlineStr">
        <is>
          <t>1300</t>
        </is>
      </c>
      <c r="J476" t="inlineStr">
        <is>
          <t>15</t>
        </is>
      </c>
      <c r="K476" t="inlineStr">
        <is>
          <t>60/40</t>
        </is>
      </c>
      <c r="L476" t="inlineStr">
        <is>
          <t>2023</t>
        </is>
      </c>
      <c r="M476" t="inlineStr">
        <is>
          <t>7.5-8.0</t>
        </is>
      </c>
      <c r="N476" t="inlineStr">
        <is>
          <t>6-8</t>
        </is>
      </c>
      <c r="O476" t="inlineStr">
        <is>
          <t>13.5-16.0</t>
        </is>
      </c>
      <c r="P476" t="inlineStr">
        <is>
          <t>JSS International</t>
        </is>
      </c>
      <c r="Q476" t="inlineStr">
        <is>
          <t>Saudi German Hospital</t>
        </is>
      </c>
      <c r="R476" t="inlineStr">
        <is>
          <t>Circle Mall</t>
        </is>
      </c>
      <c r="S476" t="inlineStr">
        <is>
          <t>Hessa St / E44</t>
        </is>
      </c>
      <c r="T476" t="inlineStr">
        <is>
          <t>20</t>
        </is>
      </c>
      <c r="U476" t="inlineStr">
        <is>
          <t>15</t>
        </is>
      </c>
      <c r="V476" t="inlineStr">
        <is>
          <t>25</t>
        </is>
      </c>
      <c r="W476" t="inlineStr">
        <is>
          <t>30</t>
        </is>
      </c>
      <c r="X476" t="inlineStr">
        <is>
          <t>Guild_real_estate_master.csv</t>
        </is>
      </c>
    </row>
    <row r="477">
      <c r="A477" t="n">
        <v>476</v>
      </c>
      <c r="B477" t="n">
        <v>476</v>
      </c>
      <c r="C477" t="inlineStr">
        <is>
          <t>Pearl House</t>
        </is>
      </c>
      <c r="D477" t="inlineStr">
        <is>
          <t>Imtiaz Developments</t>
        </is>
      </c>
      <c r="E477" t="inlineStr">
        <is>
          <t>JVC</t>
        </is>
      </c>
      <c r="F477" t="inlineStr">
        <is>
          <t>Apartments</t>
        </is>
      </c>
      <c r="G477" t="inlineStr">
        <is>
          <t>Modern</t>
        </is>
      </c>
      <c r="H477" t="inlineStr">
        <is>
          <t>900k</t>
        </is>
      </c>
      <c r="I477" t="inlineStr">
        <is>
          <t>1300</t>
        </is>
      </c>
      <c r="J477" t="inlineStr">
        <is>
          <t>15</t>
        </is>
      </c>
      <c r="K477" t="inlineStr">
        <is>
          <t>60/40</t>
        </is>
      </c>
      <c r="L477" t="inlineStr">
        <is>
          <t>2023</t>
        </is>
      </c>
      <c r="M477" t="inlineStr">
        <is>
          <t>7.5-8.0</t>
        </is>
      </c>
      <c r="N477" t="inlineStr">
        <is>
          <t>6-8</t>
        </is>
      </c>
      <c r="O477" t="inlineStr">
        <is>
          <t>13.5-16.0</t>
        </is>
      </c>
      <c r="P477" t="inlineStr">
        <is>
          <t>JSS International</t>
        </is>
      </c>
      <c r="Q477" t="inlineStr">
        <is>
          <t>Saudi German Hospital</t>
        </is>
      </c>
      <c r="R477" t="inlineStr">
        <is>
          <t>Circle Mall</t>
        </is>
      </c>
      <c r="S477" t="inlineStr">
        <is>
          <t>Hessa St / E44</t>
        </is>
      </c>
      <c r="T477" t="inlineStr">
        <is>
          <t>20</t>
        </is>
      </c>
      <c r="U477" t="inlineStr">
        <is>
          <t>15</t>
        </is>
      </c>
      <c r="V477" t="inlineStr">
        <is>
          <t>25</t>
        </is>
      </c>
      <c r="W477" t="inlineStr">
        <is>
          <t>30</t>
        </is>
      </c>
      <c r="X477" t="inlineStr">
        <is>
          <t>Guild_real_estate_master.csv</t>
        </is>
      </c>
    </row>
    <row r="478">
      <c r="A478" t="n">
        <v>477</v>
      </c>
      <c r="B478" t="n">
        <v>477</v>
      </c>
      <c r="C478" t="inlineStr">
        <is>
          <t>Cove</t>
        </is>
      </c>
      <c r="D478" t="inlineStr">
        <is>
          <t>Imtiaz Developments</t>
        </is>
      </c>
      <c r="E478" t="inlineStr">
        <is>
          <t>Dubailand</t>
        </is>
      </c>
      <c r="F478" t="inlineStr">
        <is>
          <t>Apartments</t>
        </is>
      </c>
      <c r="G478" t="inlineStr">
        <is>
          <t>Hillside</t>
        </is>
      </c>
      <c r="H478" t="inlineStr">
        <is>
          <t>1.2M</t>
        </is>
      </c>
      <c r="I478" t="inlineStr">
        <is>
          <t>1100</t>
        </is>
      </c>
      <c r="J478" t="inlineStr">
        <is>
          <t>15</t>
        </is>
      </c>
      <c r="K478" t="inlineStr">
        <is>
          <t>60/40</t>
        </is>
      </c>
      <c r="L478" t="inlineStr">
        <is>
          <t>2024</t>
        </is>
      </c>
      <c r="M478" t="inlineStr">
        <is>
          <t>7.0-7.5</t>
        </is>
      </c>
      <c r="N478" t="inlineStr">
        <is>
          <t>8-10</t>
        </is>
      </c>
      <c r="O478" t="inlineStr">
        <is>
          <t>15.0-17.5</t>
        </is>
      </c>
      <c r="P478" t="inlineStr">
        <is>
          <t>GEMS Winchester</t>
        </is>
      </c>
      <c r="Q478" t="inlineStr">
        <is>
          <t>Fakeeh University Hosp</t>
        </is>
      </c>
      <c r="R478" t="inlineStr">
        <is>
          <t>Dubai Outlet Mall</t>
        </is>
      </c>
      <c r="S478" t="inlineStr">
        <is>
          <t>E611 / Al Ain Rd</t>
        </is>
      </c>
      <c r="T478" t="inlineStr">
        <is>
          <t>20</t>
        </is>
      </c>
      <c r="U478" t="inlineStr">
        <is>
          <t>25</t>
        </is>
      </c>
      <c r="V478" t="inlineStr">
        <is>
          <t>25</t>
        </is>
      </c>
      <c r="W478" t="inlineStr">
        <is>
          <t>30</t>
        </is>
      </c>
      <c r="X478" t="inlineStr">
        <is>
          <t>Guild_real_estate_master.csv</t>
        </is>
      </c>
    </row>
    <row r="479">
      <c r="A479" t="n">
        <v>478</v>
      </c>
      <c r="B479" t="n">
        <v>478</v>
      </c>
      <c r="C479" t="inlineStr">
        <is>
          <t>Cove Edition 2</t>
        </is>
      </c>
      <c r="D479" t="inlineStr">
        <is>
          <t>Imtiaz Developments</t>
        </is>
      </c>
      <c r="E479" t="inlineStr">
        <is>
          <t>Dubailand</t>
        </is>
      </c>
      <c r="F479" t="inlineStr">
        <is>
          <t>Apartments</t>
        </is>
      </c>
      <c r="G479" t="inlineStr">
        <is>
          <t>Hillside</t>
        </is>
      </c>
      <c r="H479" t="inlineStr">
        <is>
          <t>1.25M</t>
        </is>
      </c>
      <c r="I479" t="inlineStr">
        <is>
          <t>1100</t>
        </is>
      </c>
      <c r="J479" t="inlineStr">
        <is>
          <t>15</t>
        </is>
      </c>
      <c r="K479" t="inlineStr">
        <is>
          <t>60/40</t>
        </is>
      </c>
      <c r="L479" t="inlineStr">
        <is>
          <t>2024</t>
        </is>
      </c>
      <c r="M479" t="inlineStr">
        <is>
          <t>7.0-7.5</t>
        </is>
      </c>
      <c r="N479" t="inlineStr">
        <is>
          <t>8-10</t>
        </is>
      </c>
      <c r="O479" t="inlineStr">
        <is>
          <t>15.0-17.5</t>
        </is>
      </c>
      <c r="P479" t="inlineStr">
        <is>
          <t>GEMS Winchester</t>
        </is>
      </c>
      <c r="Q479" t="inlineStr">
        <is>
          <t>Fakeeh University Hosp</t>
        </is>
      </c>
      <c r="R479" t="inlineStr">
        <is>
          <t>Dubai Outlet Mall</t>
        </is>
      </c>
      <c r="S479" t="inlineStr">
        <is>
          <t>E611 / Al Ain Rd</t>
        </is>
      </c>
      <c r="T479" t="inlineStr">
        <is>
          <t>20</t>
        </is>
      </c>
      <c r="U479" t="inlineStr">
        <is>
          <t>25</t>
        </is>
      </c>
      <c r="V479" t="inlineStr">
        <is>
          <t>25</t>
        </is>
      </c>
      <c r="W479" t="inlineStr">
        <is>
          <t>30</t>
        </is>
      </c>
      <c r="X479" t="inlineStr">
        <is>
          <t>Guild_real_estate_master.csv</t>
        </is>
      </c>
    </row>
    <row r="480">
      <c r="A480" t="n">
        <v>479</v>
      </c>
      <c r="B480" t="n">
        <v>479</v>
      </c>
      <c r="C480" t="inlineStr">
        <is>
          <t>Westwood</t>
        </is>
      </c>
      <c r="D480" t="inlineStr">
        <is>
          <t>Imtiaz Developments</t>
        </is>
      </c>
      <c r="E480" t="inlineStr">
        <is>
          <t>Al Furjan</t>
        </is>
      </c>
      <c r="F480" t="inlineStr">
        <is>
          <t>Apartments</t>
        </is>
      </c>
      <c r="G480" t="inlineStr">
        <is>
          <t>Metro / Family</t>
        </is>
      </c>
      <c r="H480" t="inlineStr">
        <is>
          <t>800k</t>
        </is>
      </c>
      <c r="I480" t="inlineStr">
        <is>
          <t>1100</t>
        </is>
      </c>
      <c r="J480" t="inlineStr">
        <is>
          <t>14</t>
        </is>
      </c>
      <c r="K480" t="inlineStr">
        <is>
          <t>Completed</t>
        </is>
      </c>
      <c r="L480" t="inlineStr">
        <is>
          <t>2022</t>
        </is>
      </c>
      <c r="M480" t="inlineStr">
        <is>
          <t>7.0-7.5</t>
        </is>
      </c>
      <c r="N480" t="inlineStr">
        <is>
          <t>5-7</t>
        </is>
      </c>
      <c r="O480" t="inlineStr">
        <is>
          <t>12.0-14.5</t>
        </is>
      </c>
      <c r="P480" t="inlineStr">
        <is>
          <t>The Arbor School</t>
        </is>
      </c>
      <c r="Q480" t="inlineStr">
        <is>
          <t>NMC Royal DIP</t>
        </is>
      </c>
      <c r="R480" t="inlineStr">
        <is>
          <t>Ibn Battuta Mall</t>
        </is>
      </c>
      <c r="S480" t="inlineStr">
        <is>
          <t>Yalayis / E311</t>
        </is>
      </c>
      <c r="T480" t="inlineStr">
        <is>
          <t>25</t>
        </is>
      </c>
      <c r="U480" t="inlineStr">
        <is>
          <t>15</t>
        </is>
      </c>
      <c r="V480" t="inlineStr">
        <is>
          <t>30</t>
        </is>
      </c>
      <c r="W480" t="inlineStr">
        <is>
          <t>20</t>
        </is>
      </c>
      <c r="X480" t="inlineStr">
        <is>
          <t>Guild_real_estate_master.csv</t>
        </is>
      </c>
    </row>
    <row r="481">
      <c r="A481" t="n">
        <v>480</v>
      </c>
      <c r="B481" t="n">
        <v>480</v>
      </c>
      <c r="C481" t="inlineStr">
        <is>
          <t>Westwood Grande</t>
        </is>
      </c>
      <c r="D481" t="inlineStr">
        <is>
          <t>Imtiaz Developments</t>
        </is>
      </c>
      <c r="E481" t="inlineStr">
        <is>
          <t>Al Furjan</t>
        </is>
      </c>
      <c r="F481" t="inlineStr">
        <is>
          <t>Apartments</t>
        </is>
      </c>
      <c r="G481" t="inlineStr">
        <is>
          <t>Metro / Family</t>
        </is>
      </c>
      <c r="H481" t="inlineStr">
        <is>
          <t>850k</t>
        </is>
      </c>
      <c r="I481" t="inlineStr">
        <is>
          <t>1100</t>
        </is>
      </c>
      <c r="J481" t="inlineStr">
        <is>
          <t>14</t>
        </is>
      </c>
      <c r="K481" t="inlineStr">
        <is>
          <t>60/40</t>
        </is>
      </c>
      <c r="L481" t="inlineStr">
        <is>
          <t>2023</t>
        </is>
      </c>
      <c r="M481" t="inlineStr">
        <is>
          <t>7.0-7.5</t>
        </is>
      </c>
      <c r="N481" t="inlineStr">
        <is>
          <t>6-8</t>
        </is>
      </c>
      <c r="O481" t="inlineStr">
        <is>
          <t>13.0-15.5</t>
        </is>
      </c>
      <c r="P481" t="inlineStr">
        <is>
          <t>The Arbor School</t>
        </is>
      </c>
      <c r="Q481" t="inlineStr">
        <is>
          <t>NMC Royal DIP</t>
        </is>
      </c>
      <c r="R481" t="inlineStr">
        <is>
          <t>Ibn Battuta Mall</t>
        </is>
      </c>
      <c r="S481" t="inlineStr">
        <is>
          <t>Yalayis / E311</t>
        </is>
      </c>
      <c r="T481" t="inlineStr">
        <is>
          <t>25</t>
        </is>
      </c>
      <c r="U481" t="inlineStr">
        <is>
          <t>15</t>
        </is>
      </c>
      <c r="V481" t="inlineStr">
        <is>
          <t>30</t>
        </is>
      </c>
      <c r="W481" t="inlineStr">
        <is>
          <t>20</t>
        </is>
      </c>
      <c r="X481" t="inlineStr">
        <is>
          <t>Guild_real_estate_master.csv</t>
        </is>
      </c>
    </row>
    <row r="482">
      <c r="A482" t="n">
        <v>481</v>
      </c>
      <c r="B482" t="n">
        <v>481</v>
      </c>
      <c r="C482" t="inlineStr">
        <is>
          <t>Yorkville</t>
        </is>
      </c>
      <c r="D482" t="inlineStr">
        <is>
          <t>Imtiaz Developments</t>
        </is>
      </c>
      <c r="E482" t="inlineStr">
        <is>
          <t>Al Furjan</t>
        </is>
      </c>
      <c r="F482" t="inlineStr">
        <is>
          <t>Apartments</t>
        </is>
      </c>
      <c r="G482" t="inlineStr">
        <is>
          <t>Modern</t>
        </is>
      </c>
      <c r="H482" t="inlineStr">
        <is>
          <t>900k</t>
        </is>
      </c>
      <c r="I482" t="inlineStr">
        <is>
          <t>1150</t>
        </is>
      </c>
      <c r="J482" t="inlineStr">
        <is>
          <t>14</t>
        </is>
      </c>
      <c r="K482" t="inlineStr">
        <is>
          <t>60/40</t>
        </is>
      </c>
      <c r="L482" t="inlineStr">
        <is>
          <t>2024</t>
        </is>
      </c>
      <c r="M482" t="inlineStr">
        <is>
          <t>7.0-7.5</t>
        </is>
      </c>
      <c r="N482" t="inlineStr">
        <is>
          <t>6-8</t>
        </is>
      </c>
      <c r="O482" t="inlineStr">
        <is>
          <t>13.0-15.5</t>
        </is>
      </c>
      <c r="P482" t="inlineStr">
        <is>
          <t>The Arbor School</t>
        </is>
      </c>
      <c r="Q482" t="inlineStr">
        <is>
          <t>NMC Royal DIP</t>
        </is>
      </c>
      <c r="R482" t="inlineStr">
        <is>
          <t>Ibn Battuta Mall</t>
        </is>
      </c>
      <c r="S482" t="inlineStr">
        <is>
          <t>Yalayis / E311</t>
        </is>
      </c>
      <c r="T482" t="inlineStr">
        <is>
          <t>25</t>
        </is>
      </c>
      <c r="U482" t="inlineStr">
        <is>
          <t>15</t>
        </is>
      </c>
      <c r="V482" t="inlineStr">
        <is>
          <t>30</t>
        </is>
      </c>
      <c r="W482" t="inlineStr">
        <is>
          <t>20</t>
        </is>
      </c>
      <c r="X482" t="inlineStr">
        <is>
          <t>Guild_real_estate_master.csv</t>
        </is>
      </c>
    </row>
    <row r="483">
      <c r="A483" t="n">
        <v>482</v>
      </c>
      <c r="B483" t="n">
        <v>482</v>
      </c>
      <c r="C483" t="inlineStr">
        <is>
          <t>Le Blanc</t>
        </is>
      </c>
      <c r="D483" t="inlineStr">
        <is>
          <t>Imtiaz Developments</t>
        </is>
      </c>
      <c r="E483" t="inlineStr">
        <is>
          <t>JVC</t>
        </is>
      </c>
      <c r="F483" t="inlineStr">
        <is>
          <t>Apartments</t>
        </is>
      </c>
      <c r="G483" t="inlineStr">
        <is>
          <t>Boutique</t>
        </is>
      </c>
      <c r="H483" t="inlineStr">
        <is>
          <t>Resale</t>
        </is>
      </c>
      <c r="I483" t="inlineStr">
        <is>
          <t>1200</t>
        </is>
      </c>
      <c r="J483" t="inlineStr">
        <is>
          <t>15</t>
        </is>
      </c>
      <c r="K483" t="inlineStr">
        <is>
          <t>Completed</t>
        </is>
      </c>
      <c r="L483" t="inlineStr">
        <is>
          <t>2021</t>
        </is>
      </c>
      <c r="M483" t="inlineStr">
        <is>
          <t>7.5-8.0</t>
        </is>
      </c>
      <c r="N483" t="inlineStr">
        <is>
          <t>5-7</t>
        </is>
      </c>
      <c r="O483" t="inlineStr">
        <is>
          <t>12.5-15.0</t>
        </is>
      </c>
      <c r="P483" t="inlineStr">
        <is>
          <t>JSS International</t>
        </is>
      </c>
      <c r="Q483" t="inlineStr">
        <is>
          <t>Saudi German Hospital</t>
        </is>
      </c>
      <c r="R483" t="inlineStr">
        <is>
          <t>Circle Mall</t>
        </is>
      </c>
      <c r="S483" t="inlineStr">
        <is>
          <t>Hessa St / E44</t>
        </is>
      </c>
      <c r="T483" t="inlineStr">
        <is>
          <t>20</t>
        </is>
      </c>
      <c r="U483" t="inlineStr">
        <is>
          <t>15</t>
        </is>
      </c>
      <c r="V483" t="inlineStr">
        <is>
          <t>25</t>
        </is>
      </c>
      <c r="W483" t="inlineStr">
        <is>
          <t>30</t>
        </is>
      </c>
      <c r="X483" t="inlineStr">
        <is>
          <t>Guild_real_estate_master.csv</t>
        </is>
      </c>
    </row>
    <row r="484">
      <c r="A484" t="n">
        <v>483</v>
      </c>
      <c r="B484" t="n">
        <v>483</v>
      </c>
      <c r="C484" t="inlineStr">
        <is>
          <t>Peace Lagoons Phase 1</t>
        </is>
      </c>
      <c r="D484" t="inlineStr">
        <is>
          <t>Peace Homes</t>
        </is>
      </c>
      <c r="E484" t="inlineStr">
        <is>
          <t>Dubailand</t>
        </is>
      </c>
      <c r="F484" t="inlineStr">
        <is>
          <t>Apartments</t>
        </is>
      </c>
      <c r="G484" t="inlineStr">
        <is>
          <t>Lagoon View</t>
        </is>
      </c>
      <c r="H484" t="inlineStr">
        <is>
          <t>800k</t>
        </is>
      </c>
      <c r="I484" t="inlineStr">
        <is>
          <t>1000</t>
        </is>
      </c>
      <c r="J484" t="inlineStr">
        <is>
          <t>15</t>
        </is>
      </c>
      <c r="K484" t="inlineStr">
        <is>
          <t>60/40</t>
        </is>
      </c>
      <c r="L484" t="inlineStr">
        <is>
          <t>2024</t>
        </is>
      </c>
      <c r="M484" t="inlineStr">
        <is>
          <t>7.0-7.5</t>
        </is>
      </c>
      <c r="N484" t="inlineStr">
        <is>
          <t>8-10</t>
        </is>
      </c>
      <c r="O484" t="inlineStr">
        <is>
          <t>15.0-17.5</t>
        </is>
      </c>
      <c r="P484" t="inlineStr">
        <is>
          <t>GEMS Winchester</t>
        </is>
      </c>
      <c r="Q484" t="inlineStr">
        <is>
          <t>Fakeeh University Hosp</t>
        </is>
      </c>
      <c r="R484" t="inlineStr">
        <is>
          <t>Dubai Outlet Mall</t>
        </is>
      </c>
      <c r="S484" t="inlineStr">
        <is>
          <t>E611 / Al Ain Rd</t>
        </is>
      </c>
      <c r="T484" t="inlineStr">
        <is>
          <t>20</t>
        </is>
      </c>
      <c r="U484" t="inlineStr">
        <is>
          <t>25</t>
        </is>
      </c>
      <c r="V484" t="inlineStr">
        <is>
          <t>25</t>
        </is>
      </c>
      <c r="W484" t="inlineStr">
        <is>
          <t>30</t>
        </is>
      </c>
      <c r="X484" t="inlineStr">
        <is>
          <t>Guild_real_estate_master.csv</t>
        </is>
      </c>
    </row>
    <row r="485">
      <c r="A485" t="n">
        <v>484</v>
      </c>
      <c r="B485" t="n">
        <v>484</v>
      </c>
      <c r="C485" t="inlineStr">
        <is>
          <t>Peace Lagoons Phase 2</t>
        </is>
      </c>
      <c r="D485" t="inlineStr">
        <is>
          <t>Peace Homes</t>
        </is>
      </c>
      <c r="E485" t="inlineStr">
        <is>
          <t>Dubailand</t>
        </is>
      </c>
      <c r="F485" t="inlineStr">
        <is>
          <t>Apartments</t>
        </is>
      </c>
      <c r="G485" t="inlineStr">
        <is>
          <t>Lagoon View</t>
        </is>
      </c>
      <c r="H485" t="inlineStr">
        <is>
          <t>850k</t>
        </is>
      </c>
      <c r="I485" t="inlineStr">
        <is>
          <t>1050</t>
        </is>
      </c>
      <c r="J485" t="inlineStr">
        <is>
          <t>15</t>
        </is>
      </c>
      <c r="K485" t="inlineStr">
        <is>
          <t>60/40</t>
        </is>
      </c>
      <c r="L485" t="inlineStr">
        <is>
          <t>2024</t>
        </is>
      </c>
      <c r="M485" t="inlineStr">
        <is>
          <t>7.0-7.5</t>
        </is>
      </c>
      <c r="N485" t="inlineStr">
        <is>
          <t>8-10</t>
        </is>
      </c>
      <c r="O485" t="inlineStr">
        <is>
          <t>15.0-17.5</t>
        </is>
      </c>
      <c r="P485" t="inlineStr">
        <is>
          <t>GEMS Winchester</t>
        </is>
      </c>
      <c r="Q485" t="inlineStr">
        <is>
          <t>Fakeeh University Hosp</t>
        </is>
      </c>
      <c r="R485" t="inlineStr">
        <is>
          <t>Dubai Outlet Mall</t>
        </is>
      </c>
      <c r="S485" t="inlineStr">
        <is>
          <t>E611 / Al Ain Rd</t>
        </is>
      </c>
      <c r="T485" t="inlineStr">
        <is>
          <t>20</t>
        </is>
      </c>
      <c r="U485" t="inlineStr">
        <is>
          <t>25</t>
        </is>
      </c>
      <c r="V485" t="inlineStr">
        <is>
          <t>25</t>
        </is>
      </c>
      <c r="W485" t="inlineStr">
        <is>
          <t>30</t>
        </is>
      </c>
      <c r="X485" t="inlineStr">
        <is>
          <t>Guild_real_estate_master.csv</t>
        </is>
      </c>
    </row>
    <row r="486">
      <c r="A486" t="n">
        <v>485</v>
      </c>
      <c r="B486" t="n">
        <v>485</v>
      </c>
      <c r="C486" t="inlineStr">
        <is>
          <t>Sky Living</t>
        </is>
      </c>
      <c r="D486" t="inlineStr">
        <is>
          <t>Peace Homes</t>
        </is>
      </c>
      <c r="E486" t="inlineStr">
        <is>
          <t>JVC</t>
        </is>
      </c>
      <c r="F486" t="inlineStr">
        <is>
          <t>Apartments</t>
        </is>
      </c>
      <c r="G486" t="inlineStr">
        <is>
          <t>High-Rise</t>
        </is>
      </c>
      <c r="H486" t="inlineStr">
        <is>
          <t>900k</t>
        </is>
      </c>
      <c r="I486" t="inlineStr">
        <is>
          <t>1200</t>
        </is>
      </c>
      <c r="J486" t="inlineStr">
        <is>
          <t>15</t>
        </is>
      </c>
      <c r="K486" t="inlineStr">
        <is>
          <t>60/40</t>
        </is>
      </c>
      <c r="L486" t="inlineStr">
        <is>
          <t>2023</t>
        </is>
      </c>
      <c r="M486" t="inlineStr">
        <is>
          <t>7.5-8.0</t>
        </is>
      </c>
      <c r="N486" t="inlineStr">
        <is>
          <t>6-8</t>
        </is>
      </c>
      <c r="O486" t="inlineStr">
        <is>
          <t>13.5-16.0</t>
        </is>
      </c>
      <c r="P486" t="inlineStr">
        <is>
          <t>JSS International</t>
        </is>
      </c>
      <c r="Q486" t="inlineStr">
        <is>
          <t>Saudi German Hospital</t>
        </is>
      </c>
      <c r="R486" t="inlineStr">
        <is>
          <t>Circle Mall</t>
        </is>
      </c>
      <c r="S486" t="inlineStr">
        <is>
          <t>Hessa St / E44</t>
        </is>
      </c>
      <c r="T486" t="inlineStr">
        <is>
          <t>20</t>
        </is>
      </c>
      <c r="U486" t="inlineStr">
        <is>
          <t>15</t>
        </is>
      </c>
      <c r="V486" t="inlineStr">
        <is>
          <t>25</t>
        </is>
      </c>
      <c r="W486" t="inlineStr">
        <is>
          <t>30</t>
        </is>
      </c>
      <c r="X486" t="inlineStr">
        <is>
          <t>Guild_real_estate_master.csv</t>
        </is>
      </c>
    </row>
    <row r="487">
      <c r="A487" t="n">
        <v>486</v>
      </c>
      <c r="B487" t="n">
        <v>486</v>
      </c>
      <c r="C487" t="inlineStr">
        <is>
          <t>Sky Suites</t>
        </is>
      </c>
      <c r="D487" t="inlineStr">
        <is>
          <t>Peace Homes</t>
        </is>
      </c>
      <c r="E487" t="inlineStr">
        <is>
          <t>JVC</t>
        </is>
      </c>
      <c r="F487" t="inlineStr">
        <is>
          <t>Apartments</t>
        </is>
      </c>
      <c r="G487" t="inlineStr">
        <is>
          <t>High-Rise</t>
        </is>
      </c>
      <c r="H487" t="inlineStr">
        <is>
          <t>900k</t>
        </is>
      </c>
      <c r="I487" t="inlineStr">
        <is>
          <t>1200</t>
        </is>
      </c>
      <c r="J487" t="inlineStr">
        <is>
          <t>15</t>
        </is>
      </c>
      <c r="K487" t="inlineStr">
        <is>
          <t>60/40</t>
        </is>
      </c>
      <c r="L487" t="inlineStr">
        <is>
          <t>2023</t>
        </is>
      </c>
      <c r="M487" t="inlineStr">
        <is>
          <t>7.5-8.0</t>
        </is>
      </c>
      <c r="N487" t="inlineStr">
        <is>
          <t>6-8</t>
        </is>
      </c>
      <c r="O487" t="inlineStr">
        <is>
          <t>13.5-16.0</t>
        </is>
      </c>
      <c r="P487" t="inlineStr">
        <is>
          <t>JSS International</t>
        </is>
      </c>
      <c r="Q487" t="inlineStr">
        <is>
          <t>Saudi German Hospital</t>
        </is>
      </c>
      <c r="R487" t="inlineStr">
        <is>
          <t>Circle Mall</t>
        </is>
      </c>
      <c r="S487" t="inlineStr">
        <is>
          <t>Hessa St / E44</t>
        </is>
      </c>
      <c r="T487" t="inlineStr">
        <is>
          <t>20</t>
        </is>
      </c>
      <c r="U487" t="inlineStr">
        <is>
          <t>15</t>
        </is>
      </c>
      <c r="V487" t="inlineStr">
        <is>
          <t>25</t>
        </is>
      </c>
      <c r="W487" t="inlineStr">
        <is>
          <t>30</t>
        </is>
      </c>
      <c r="X487" t="inlineStr">
        <is>
          <t>Guild_real_estate_master.csv</t>
        </is>
      </c>
    </row>
    <row r="488">
      <c r="A488" t="n">
        <v>487</v>
      </c>
      <c r="B488" t="n">
        <v>487</v>
      </c>
      <c r="C488" t="inlineStr">
        <is>
          <t>Sky Vista</t>
        </is>
      </c>
      <c r="D488" t="inlineStr">
        <is>
          <t>Peace Homes</t>
        </is>
      </c>
      <c r="E488" t="inlineStr">
        <is>
          <t>JVC</t>
        </is>
      </c>
      <c r="F488" t="inlineStr">
        <is>
          <t>Apartments</t>
        </is>
      </c>
      <c r="G488" t="inlineStr">
        <is>
          <t>High-Rise</t>
        </is>
      </c>
      <c r="H488" t="inlineStr">
        <is>
          <t>900k</t>
        </is>
      </c>
      <c r="I488" t="inlineStr">
        <is>
          <t>1200</t>
        </is>
      </c>
      <c r="J488" t="inlineStr">
        <is>
          <t>15</t>
        </is>
      </c>
      <c r="K488" t="inlineStr">
        <is>
          <t>60/40</t>
        </is>
      </c>
      <c r="L488" t="inlineStr">
        <is>
          <t>2023</t>
        </is>
      </c>
      <c r="M488" t="inlineStr">
        <is>
          <t>7.5-8.0</t>
        </is>
      </c>
      <c r="N488" t="inlineStr">
        <is>
          <t>6-8</t>
        </is>
      </c>
      <c r="O488" t="inlineStr">
        <is>
          <t>13.5-16.0</t>
        </is>
      </c>
      <c r="P488" t="inlineStr">
        <is>
          <t>JSS International</t>
        </is>
      </c>
      <c r="Q488" t="inlineStr">
        <is>
          <t>Saudi German Hospital</t>
        </is>
      </c>
      <c r="R488" t="inlineStr">
        <is>
          <t>Circle Mall</t>
        </is>
      </c>
      <c r="S488" t="inlineStr">
        <is>
          <t>Hessa St / E44</t>
        </is>
      </c>
      <c r="T488" t="inlineStr">
        <is>
          <t>20</t>
        </is>
      </c>
      <c r="U488" t="inlineStr">
        <is>
          <t>15</t>
        </is>
      </c>
      <c r="V488" t="inlineStr">
        <is>
          <t>25</t>
        </is>
      </c>
      <c r="W488" t="inlineStr">
        <is>
          <t>30</t>
        </is>
      </c>
      <c r="X488" t="inlineStr">
        <is>
          <t>Guild_real_estate_master.csv</t>
        </is>
      </c>
    </row>
    <row r="489">
      <c r="A489" t="n">
        <v>488</v>
      </c>
      <c r="B489" t="n">
        <v>488</v>
      </c>
      <c r="C489" t="inlineStr">
        <is>
          <t>Empire Suites</t>
        </is>
      </c>
      <c r="D489" t="inlineStr">
        <is>
          <t>Peace Homes</t>
        </is>
      </c>
      <c r="E489" t="inlineStr">
        <is>
          <t>JVC</t>
        </is>
      </c>
      <c r="F489" t="inlineStr">
        <is>
          <t>Hotel Apts</t>
        </is>
      </c>
      <c r="G489" t="inlineStr">
        <is>
          <t>Luxury / Service</t>
        </is>
      </c>
      <c r="H489" t="inlineStr">
        <is>
          <t>1.1M</t>
        </is>
      </c>
      <c r="I489" t="inlineStr">
        <is>
          <t>1300</t>
        </is>
      </c>
      <c r="J489" t="inlineStr">
        <is>
          <t>18</t>
        </is>
      </c>
      <c r="K489" t="inlineStr">
        <is>
          <t>60/40</t>
        </is>
      </c>
      <c r="L489" t="inlineStr">
        <is>
          <t>2023</t>
        </is>
      </c>
      <c r="M489" t="inlineStr">
        <is>
          <t>8.0-9.0</t>
        </is>
      </c>
      <c r="N489" t="inlineStr">
        <is>
          <t>6-8</t>
        </is>
      </c>
      <c r="O489" t="inlineStr">
        <is>
          <t>14.0-17.0</t>
        </is>
      </c>
      <c r="P489" t="inlineStr">
        <is>
          <t>JSS International</t>
        </is>
      </c>
      <c r="Q489" t="inlineStr">
        <is>
          <t>Saudi German Hospital</t>
        </is>
      </c>
      <c r="R489" t="inlineStr">
        <is>
          <t>Circle Mall</t>
        </is>
      </c>
      <c r="S489" t="inlineStr">
        <is>
          <t>Hessa St / E44</t>
        </is>
      </c>
      <c r="T489" t="inlineStr">
        <is>
          <t>20</t>
        </is>
      </c>
      <c r="U489" t="inlineStr">
        <is>
          <t>15</t>
        </is>
      </c>
      <c r="V489" t="inlineStr">
        <is>
          <t>25</t>
        </is>
      </c>
      <c r="W489" t="inlineStr">
        <is>
          <t>30</t>
        </is>
      </c>
      <c r="X489" t="inlineStr">
        <is>
          <t>Guild_real_estate_master.csv</t>
        </is>
      </c>
    </row>
    <row r="490">
      <c r="A490" t="n">
        <v>489</v>
      </c>
      <c r="B490" t="n">
        <v>489</v>
      </c>
      <c r="C490" t="inlineStr">
        <is>
          <t>Empire Livings</t>
        </is>
      </c>
      <c r="D490" t="inlineStr">
        <is>
          <t>Peace Homes</t>
        </is>
      </c>
      <c r="E490" t="inlineStr">
        <is>
          <t>Dubai Science Park</t>
        </is>
      </c>
      <c r="F490" t="inlineStr">
        <is>
          <t>Apartments</t>
        </is>
      </c>
      <c r="G490" t="inlineStr">
        <is>
          <t>Tech / Modern</t>
        </is>
      </c>
      <c r="H490" t="inlineStr">
        <is>
          <t>800k</t>
        </is>
      </c>
      <c r="I490" t="inlineStr">
        <is>
          <t>1100</t>
        </is>
      </c>
      <c r="J490" t="inlineStr">
        <is>
          <t>15</t>
        </is>
      </c>
      <c r="K490" t="inlineStr">
        <is>
          <t>60/40</t>
        </is>
      </c>
      <c r="L490" t="inlineStr">
        <is>
          <t>2024</t>
        </is>
      </c>
      <c r="M490" t="inlineStr">
        <is>
          <t>7.0-7.5</t>
        </is>
      </c>
      <c r="N490" t="inlineStr">
        <is>
          <t>7-9</t>
        </is>
      </c>
      <c r="O490" t="inlineStr">
        <is>
          <t>14.0-16.5</t>
        </is>
      </c>
      <c r="P490" t="inlineStr">
        <is>
          <t>GEMS Founders</t>
        </is>
      </c>
      <c r="Q490" t="inlineStr">
        <is>
          <t>Mediclinic Parkview</t>
        </is>
      </c>
      <c r="R490" t="inlineStr">
        <is>
          <t>Dubai Hills Mall</t>
        </is>
      </c>
      <c r="S490" t="inlineStr">
        <is>
          <t>Umm Suqeim / E44</t>
        </is>
      </c>
      <c r="T490" t="inlineStr">
        <is>
          <t>20</t>
        </is>
      </c>
      <c r="U490" t="inlineStr">
        <is>
          <t>20</t>
        </is>
      </c>
      <c r="V490" t="inlineStr">
        <is>
          <t>25</t>
        </is>
      </c>
      <c r="W490" t="inlineStr">
        <is>
          <t>30</t>
        </is>
      </c>
      <c r="X490" t="inlineStr">
        <is>
          <t>Guild_real_estate_master.csv</t>
        </is>
      </c>
    </row>
    <row r="491">
      <c r="A491" t="n">
        <v>490</v>
      </c>
      <c r="B491" t="n">
        <v>490</v>
      </c>
      <c r="C491" t="inlineStr">
        <is>
          <t>Empire Estates</t>
        </is>
      </c>
      <c r="D491" t="inlineStr">
        <is>
          <t>Peace Homes</t>
        </is>
      </c>
      <c r="E491" t="inlineStr">
        <is>
          <t>Arjan</t>
        </is>
      </c>
      <c r="F491" t="inlineStr">
        <is>
          <t>Apartments</t>
        </is>
      </c>
      <c r="G491" t="inlineStr">
        <is>
          <t>Family</t>
        </is>
      </c>
      <c r="H491" t="inlineStr">
        <is>
          <t>850k</t>
        </is>
      </c>
      <c r="I491" t="inlineStr">
        <is>
          <t>1100</t>
        </is>
      </c>
      <c r="J491" t="inlineStr">
        <is>
          <t>15</t>
        </is>
      </c>
      <c r="K491" t="inlineStr">
        <is>
          <t>60/40</t>
        </is>
      </c>
      <c r="L491" t="inlineStr">
        <is>
          <t>2023</t>
        </is>
      </c>
      <c r="M491" t="inlineStr">
        <is>
          <t>7.5-8.0</t>
        </is>
      </c>
      <c r="N491" t="inlineStr">
        <is>
          <t>6-8</t>
        </is>
      </c>
      <c r="O491" t="inlineStr">
        <is>
          <t>13.5-16.0</t>
        </is>
      </c>
      <c r="P491" t="inlineStr">
        <is>
          <t>Nord Anglia</t>
        </is>
      </c>
      <c r="Q491" t="inlineStr">
        <is>
          <t>Mediclinic Parkview</t>
        </is>
      </c>
      <c r="R491" t="inlineStr">
        <is>
          <t>Dubai Hills Mall</t>
        </is>
      </c>
      <c r="S491" t="inlineStr">
        <is>
          <t>Umm Suqeim / E311</t>
        </is>
      </c>
      <c r="T491" t="inlineStr">
        <is>
          <t>20</t>
        </is>
      </c>
      <c r="U491" t="inlineStr">
        <is>
          <t>20</t>
        </is>
      </c>
      <c r="V491" t="inlineStr">
        <is>
          <t>30</t>
        </is>
      </c>
      <c r="W491" t="inlineStr">
        <is>
          <t>25</t>
        </is>
      </c>
      <c r="X491" t="inlineStr">
        <is>
          <t>Guild_real_estate_master.csv</t>
        </is>
      </c>
    </row>
    <row r="492">
      <c r="A492" t="n">
        <v>491</v>
      </c>
      <c r="B492" t="n">
        <v>491</v>
      </c>
      <c r="C492" t="inlineStr">
        <is>
          <t>RA1N</t>
        </is>
      </c>
      <c r="D492" t="inlineStr">
        <is>
          <t>Object 1</t>
        </is>
      </c>
      <c r="E492" t="inlineStr">
        <is>
          <t>JVC</t>
        </is>
      </c>
      <c r="F492" t="inlineStr">
        <is>
          <t>Apartments</t>
        </is>
      </c>
      <c r="G492" t="inlineStr">
        <is>
          <t>Modern / Design</t>
        </is>
      </c>
      <c r="H492" t="inlineStr">
        <is>
          <t>900k</t>
        </is>
      </c>
      <c r="I492" t="inlineStr">
        <is>
          <t>1300</t>
        </is>
      </c>
      <c r="J492" t="inlineStr">
        <is>
          <t>15</t>
        </is>
      </c>
      <c r="K492" t="inlineStr">
        <is>
          <t>60/40</t>
        </is>
      </c>
      <c r="L492" t="inlineStr">
        <is>
          <t>2023</t>
        </is>
      </c>
      <c r="M492" t="inlineStr">
        <is>
          <t>7.5-8.0</t>
        </is>
      </c>
      <c r="N492" t="inlineStr">
        <is>
          <t>6-8</t>
        </is>
      </c>
      <c r="O492" t="inlineStr">
        <is>
          <t>13.5-16.0</t>
        </is>
      </c>
      <c r="P492" t="inlineStr">
        <is>
          <t>JSS International</t>
        </is>
      </c>
      <c r="Q492" t="inlineStr">
        <is>
          <t>Saudi German Hospital</t>
        </is>
      </c>
      <c r="R492" t="inlineStr">
        <is>
          <t>Circle Mall</t>
        </is>
      </c>
      <c r="S492" t="inlineStr">
        <is>
          <t>Hessa St / E44</t>
        </is>
      </c>
      <c r="T492" t="inlineStr">
        <is>
          <t>20</t>
        </is>
      </c>
      <c r="U492" t="inlineStr">
        <is>
          <t>15</t>
        </is>
      </c>
      <c r="V492" t="inlineStr">
        <is>
          <t>25</t>
        </is>
      </c>
      <c r="W492" t="inlineStr">
        <is>
          <t>30</t>
        </is>
      </c>
      <c r="X492" t="inlineStr">
        <is>
          <t>Guild_real_estate_master.csv</t>
        </is>
      </c>
    </row>
    <row r="493">
      <c r="A493" t="n">
        <v>492</v>
      </c>
      <c r="B493" t="n">
        <v>492</v>
      </c>
      <c r="C493" t="inlineStr">
        <is>
          <t>F1FTY ONE</t>
        </is>
      </c>
      <c r="D493" t="inlineStr">
        <is>
          <t>Object 1</t>
        </is>
      </c>
      <c r="E493" t="inlineStr">
        <is>
          <t>Business Bay</t>
        </is>
      </c>
      <c r="F493" t="inlineStr">
        <is>
          <t>Apartments</t>
        </is>
      </c>
      <c r="G493" t="inlineStr">
        <is>
          <t>City / Canal</t>
        </is>
      </c>
      <c r="H493" t="inlineStr">
        <is>
          <t>1.8M</t>
        </is>
      </c>
      <c r="I493" t="inlineStr">
        <is>
          <t>2000</t>
        </is>
      </c>
      <c r="J493" t="inlineStr">
        <is>
          <t>18</t>
        </is>
      </c>
      <c r="K493" t="inlineStr">
        <is>
          <t>60/40</t>
        </is>
      </c>
      <c r="L493" t="inlineStr">
        <is>
          <t>2024</t>
        </is>
      </c>
      <c r="M493" t="inlineStr">
        <is>
          <t>6.5-7.0</t>
        </is>
      </c>
      <c r="N493" t="inlineStr">
        <is>
          <t>8-10</t>
        </is>
      </c>
      <c r="O493" t="inlineStr">
        <is>
          <t>14.5-17.0</t>
        </is>
      </c>
      <c r="P493" t="inlineStr">
        <is>
          <t>Hartland Intl</t>
        </is>
      </c>
      <c r="Q493" t="inlineStr">
        <is>
          <t>Emirates Hospital BB</t>
        </is>
      </c>
      <c r="R493" t="inlineStr">
        <is>
          <t>Dubai Mall</t>
        </is>
      </c>
      <c r="S493" t="inlineStr">
        <is>
          <t>Al Khail E44</t>
        </is>
      </c>
      <c r="T493" t="inlineStr">
        <is>
          <t>5</t>
        </is>
      </c>
      <c r="U493" t="inlineStr">
        <is>
          <t>20</t>
        </is>
      </c>
      <c r="V493" t="inlineStr">
        <is>
          <t>15</t>
        </is>
      </c>
      <c r="W493" t="inlineStr">
        <is>
          <t>35</t>
        </is>
      </c>
      <c r="X493" t="inlineStr">
        <is>
          <t>Guild_real_estate_master.csv</t>
        </is>
      </c>
    </row>
    <row r="494">
      <c r="A494" t="n">
        <v>493</v>
      </c>
      <c r="B494" t="n">
        <v>493</v>
      </c>
      <c r="C494" t="inlineStr">
        <is>
          <t>W1NNER</t>
        </is>
      </c>
      <c r="D494" t="inlineStr">
        <is>
          <t>Object 1</t>
        </is>
      </c>
      <c r="E494" t="inlineStr">
        <is>
          <t>JVT</t>
        </is>
      </c>
      <c r="F494" t="inlineStr">
        <is>
          <t>Apartments</t>
        </is>
      </c>
      <c r="G494" t="inlineStr">
        <is>
          <t>Sports / Family</t>
        </is>
      </c>
      <c r="H494" t="inlineStr">
        <is>
          <t>800k</t>
        </is>
      </c>
      <c r="I494" t="inlineStr">
        <is>
          <t>1100</t>
        </is>
      </c>
      <c r="J494" t="inlineStr">
        <is>
          <t>15</t>
        </is>
      </c>
      <c r="K494" t="inlineStr">
        <is>
          <t>60/40</t>
        </is>
      </c>
      <c r="L494" t="inlineStr">
        <is>
          <t>2023</t>
        </is>
      </c>
      <c r="M494" t="inlineStr">
        <is>
          <t>7.0-7.5</t>
        </is>
      </c>
      <c r="N494" t="inlineStr">
        <is>
          <t>6-8</t>
        </is>
      </c>
      <c r="O494" t="inlineStr">
        <is>
          <t>13.0-15.5</t>
        </is>
      </c>
      <c r="P494" t="inlineStr">
        <is>
          <t>Sunmarke School</t>
        </is>
      </c>
      <c r="Q494" t="inlineStr">
        <is>
          <t>NMC Royal DIP</t>
        </is>
      </c>
      <c r="R494" t="inlineStr">
        <is>
          <t>Circle Mall</t>
        </is>
      </c>
      <c r="S494" t="inlineStr">
        <is>
          <t>E311 / Yalayis</t>
        </is>
      </c>
      <c r="T494" t="inlineStr">
        <is>
          <t>20</t>
        </is>
      </c>
      <c r="U494" t="inlineStr">
        <is>
          <t>15</t>
        </is>
      </c>
      <c r="V494" t="inlineStr">
        <is>
          <t>30</t>
        </is>
      </c>
      <c r="W494" t="inlineStr">
        <is>
          <t>20</t>
        </is>
      </c>
      <c r="X494" t="inlineStr">
        <is>
          <t>Guild_real_estate_master.csv</t>
        </is>
      </c>
    </row>
    <row r="495">
      <c r="A495" t="n">
        <v>494</v>
      </c>
      <c r="B495" t="n">
        <v>494</v>
      </c>
      <c r="C495" t="inlineStr">
        <is>
          <t>LUM1NAR</t>
        </is>
      </c>
      <c r="D495" t="inlineStr">
        <is>
          <t>Object 1</t>
        </is>
      </c>
      <c r="E495" t="inlineStr">
        <is>
          <t>JVT</t>
        </is>
      </c>
      <c r="F495" t="inlineStr">
        <is>
          <t>Apartments</t>
        </is>
      </c>
      <c r="G495" t="inlineStr">
        <is>
          <t>Modern</t>
        </is>
      </c>
      <c r="H495" t="inlineStr">
        <is>
          <t>850k</t>
        </is>
      </c>
      <c r="I495" t="inlineStr">
        <is>
          <t>1150</t>
        </is>
      </c>
      <c r="J495" t="inlineStr">
        <is>
          <t>15</t>
        </is>
      </c>
      <c r="K495" t="inlineStr">
        <is>
          <t>60/40</t>
        </is>
      </c>
      <c r="L495" t="inlineStr">
        <is>
          <t>2024</t>
        </is>
      </c>
      <c r="M495" t="inlineStr">
        <is>
          <t>7.0-7.5</t>
        </is>
      </c>
      <c r="N495" t="inlineStr">
        <is>
          <t>6-8</t>
        </is>
      </c>
      <c r="O495" t="inlineStr">
        <is>
          <t>13.0-15.5</t>
        </is>
      </c>
      <c r="P495" t="inlineStr">
        <is>
          <t>Sunmarke School</t>
        </is>
      </c>
      <c r="Q495" t="inlineStr">
        <is>
          <t>NMC Royal DIP</t>
        </is>
      </c>
      <c r="R495" t="inlineStr">
        <is>
          <t>Circle Mall</t>
        </is>
      </c>
      <c r="S495" t="inlineStr">
        <is>
          <t>E311 / Yalayis</t>
        </is>
      </c>
      <c r="T495" t="inlineStr">
        <is>
          <t>20</t>
        </is>
      </c>
      <c r="U495" t="inlineStr">
        <is>
          <t>15</t>
        </is>
      </c>
      <c r="V495" t="inlineStr">
        <is>
          <t>30</t>
        </is>
      </c>
      <c r="W495" t="inlineStr">
        <is>
          <t>20</t>
        </is>
      </c>
      <c r="X495" t="inlineStr">
        <is>
          <t>Guild_real_estate_master.csv</t>
        </is>
      </c>
    </row>
    <row r="496">
      <c r="A496" t="n">
        <v>495</v>
      </c>
      <c r="B496" t="n">
        <v>495</v>
      </c>
      <c r="C496" t="inlineStr">
        <is>
          <t>1WOOD</t>
        </is>
      </c>
      <c r="D496" t="inlineStr">
        <is>
          <t>Object 1</t>
        </is>
      </c>
      <c r="E496" t="inlineStr">
        <is>
          <t>JVC</t>
        </is>
      </c>
      <c r="F496" t="inlineStr">
        <is>
          <t>Apartments</t>
        </is>
      </c>
      <c r="G496" t="inlineStr">
        <is>
          <t>Wood Design</t>
        </is>
      </c>
      <c r="H496" t="inlineStr">
        <is>
          <t>950k</t>
        </is>
      </c>
      <c r="I496" t="inlineStr">
        <is>
          <t>1350</t>
        </is>
      </c>
      <c r="J496" t="inlineStr">
        <is>
          <t>15</t>
        </is>
      </c>
      <c r="K496" t="inlineStr">
        <is>
          <t>60/40</t>
        </is>
      </c>
      <c r="L496" t="inlineStr">
        <is>
          <t>2023</t>
        </is>
      </c>
      <c r="M496" t="inlineStr">
        <is>
          <t>7.5-8.0</t>
        </is>
      </c>
      <c r="N496" t="inlineStr">
        <is>
          <t>6-8</t>
        </is>
      </c>
      <c r="O496" t="inlineStr">
        <is>
          <t>13.5-16.0</t>
        </is>
      </c>
      <c r="P496" t="inlineStr">
        <is>
          <t>JSS International</t>
        </is>
      </c>
      <c r="Q496" t="inlineStr">
        <is>
          <t>Saudi German Hospital</t>
        </is>
      </c>
      <c r="R496" t="inlineStr">
        <is>
          <t>Circle Mall</t>
        </is>
      </c>
      <c r="S496" t="inlineStr">
        <is>
          <t>Hessa St / E44</t>
        </is>
      </c>
      <c r="T496" t="inlineStr">
        <is>
          <t>20</t>
        </is>
      </c>
      <c r="U496" t="inlineStr">
        <is>
          <t>15</t>
        </is>
      </c>
      <c r="V496" t="inlineStr">
        <is>
          <t>25</t>
        </is>
      </c>
      <c r="W496" t="inlineStr">
        <is>
          <t>30</t>
        </is>
      </c>
      <c r="X496" t="inlineStr">
        <is>
          <t>Guild_real_estate_master.csv</t>
        </is>
      </c>
    </row>
    <row r="497">
      <c r="A497" t="n">
        <v>496</v>
      </c>
      <c r="B497" t="n">
        <v>496</v>
      </c>
      <c r="C497" t="inlineStr">
        <is>
          <t>V1TER</t>
        </is>
      </c>
      <c r="D497" t="inlineStr">
        <is>
          <t>Object 1</t>
        </is>
      </c>
      <c r="E497" t="inlineStr">
        <is>
          <t>JVC</t>
        </is>
      </c>
      <c r="F497" t="inlineStr">
        <is>
          <t>Apartments</t>
        </is>
      </c>
      <c r="G497" t="inlineStr">
        <is>
          <t>Glass Design</t>
        </is>
      </c>
      <c r="H497" t="inlineStr">
        <is>
          <t>900k</t>
        </is>
      </c>
      <c r="I497" t="inlineStr">
        <is>
          <t>1300</t>
        </is>
      </c>
      <c r="J497" t="inlineStr">
        <is>
          <t>15</t>
        </is>
      </c>
      <c r="K497" t="inlineStr">
        <is>
          <t>60/40</t>
        </is>
      </c>
      <c r="L497" t="inlineStr">
        <is>
          <t>2024</t>
        </is>
      </c>
      <c r="M497" t="inlineStr">
        <is>
          <t>7.5-8.0</t>
        </is>
      </c>
      <c r="N497" t="inlineStr">
        <is>
          <t>6-8</t>
        </is>
      </c>
      <c r="O497" t="inlineStr">
        <is>
          <t>13.5-16.0</t>
        </is>
      </c>
      <c r="P497" t="inlineStr">
        <is>
          <t>JSS International</t>
        </is>
      </c>
      <c r="Q497" t="inlineStr">
        <is>
          <t>Saudi German Hospital</t>
        </is>
      </c>
      <c r="R497" t="inlineStr">
        <is>
          <t>Circle Mall</t>
        </is>
      </c>
      <c r="S497" t="inlineStr">
        <is>
          <t>Hessa St / E44</t>
        </is>
      </c>
      <c r="T497" t="inlineStr">
        <is>
          <t>20</t>
        </is>
      </c>
      <c r="U497" t="inlineStr">
        <is>
          <t>15</t>
        </is>
      </c>
      <c r="V497" t="inlineStr">
        <is>
          <t>25</t>
        </is>
      </c>
      <c r="W497" t="inlineStr">
        <is>
          <t>30</t>
        </is>
      </c>
      <c r="X497" t="inlineStr">
        <is>
          <t>Guild_real_estate_master.csv</t>
        </is>
      </c>
    </row>
    <row r="498">
      <c r="A498" t="n">
        <v>497</v>
      </c>
      <c r="B498" t="n">
        <v>497</v>
      </c>
      <c r="C498" t="inlineStr">
        <is>
          <t>TETR1S</t>
        </is>
      </c>
      <c r="D498" t="inlineStr">
        <is>
          <t>Object 1</t>
        </is>
      </c>
      <c r="E498" t="inlineStr">
        <is>
          <t>JVC</t>
        </is>
      </c>
      <c r="F498" t="inlineStr">
        <is>
          <t>Apartments</t>
        </is>
      </c>
      <c r="G498" t="inlineStr">
        <is>
          <t>Geometric</t>
        </is>
      </c>
      <c r="H498" t="inlineStr">
        <is>
          <t>900k</t>
        </is>
      </c>
      <c r="I498" t="inlineStr">
        <is>
          <t>1300</t>
        </is>
      </c>
      <c r="J498" t="inlineStr">
        <is>
          <t>15</t>
        </is>
      </c>
      <c r="K498" t="inlineStr">
        <is>
          <t>60/40</t>
        </is>
      </c>
      <c r="L498" t="inlineStr">
        <is>
          <t>2024</t>
        </is>
      </c>
      <c r="M498" t="inlineStr">
        <is>
          <t>7.5-8.0</t>
        </is>
      </c>
      <c r="N498" t="inlineStr">
        <is>
          <t>6-8</t>
        </is>
      </c>
      <c r="O498" t="inlineStr">
        <is>
          <t>13.5-16.0</t>
        </is>
      </c>
      <c r="P498" t="inlineStr">
        <is>
          <t>JSS International</t>
        </is>
      </c>
      <c r="Q498" t="inlineStr">
        <is>
          <t>Saudi German Hospital</t>
        </is>
      </c>
      <c r="R498" t="inlineStr">
        <is>
          <t>Circle Mall</t>
        </is>
      </c>
      <c r="S498" t="inlineStr">
        <is>
          <t>Hessa St / E44</t>
        </is>
      </c>
      <c r="T498" t="inlineStr">
        <is>
          <t>20</t>
        </is>
      </c>
      <c r="U498" t="inlineStr">
        <is>
          <t>15</t>
        </is>
      </c>
      <c r="V498" t="inlineStr">
        <is>
          <t>25</t>
        </is>
      </c>
      <c r="W498" t="inlineStr">
        <is>
          <t>30</t>
        </is>
      </c>
      <c r="X498" t="inlineStr">
        <is>
          <t>Guild_real_estate_master.csv</t>
        </is>
      </c>
    </row>
    <row r="499">
      <c r="A499" t="n">
        <v>498</v>
      </c>
      <c r="B499" t="n">
        <v>498</v>
      </c>
      <c r="C499" t="inlineStr">
        <is>
          <t>VERDAN1A</t>
        </is>
      </c>
      <c r="D499" t="inlineStr">
        <is>
          <t>Object 1</t>
        </is>
      </c>
      <c r="E499" t="inlineStr">
        <is>
          <t>Dubailand</t>
        </is>
      </c>
      <c r="F499" t="inlineStr">
        <is>
          <t>Apartments</t>
        </is>
      </c>
      <c r="G499" t="inlineStr">
        <is>
          <t>Green</t>
        </is>
      </c>
      <c r="H499" t="inlineStr">
        <is>
          <t>800k</t>
        </is>
      </c>
      <c r="I499" t="inlineStr">
        <is>
          <t>1000</t>
        </is>
      </c>
      <c r="J499" t="inlineStr">
        <is>
          <t>15</t>
        </is>
      </c>
      <c r="K499" t="inlineStr">
        <is>
          <t>60/40</t>
        </is>
      </c>
      <c r="L499" t="inlineStr">
        <is>
          <t>2024</t>
        </is>
      </c>
      <c r="M499" t="inlineStr">
        <is>
          <t>7.0-7.5</t>
        </is>
      </c>
      <c r="N499" t="inlineStr">
        <is>
          <t>8-10</t>
        </is>
      </c>
      <c r="O499" t="inlineStr">
        <is>
          <t>15.0-17.5</t>
        </is>
      </c>
      <c r="P499" t="inlineStr">
        <is>
          <t>GEMS Winchester</t>
        </is>
      </c>
      <c r="Q499" t="inlineStr">
        <is>
          <t>Fakeeh University Hosp</t>
        </is>
      </c>
      <c r="R499" t="inlineStr">
        <is>
          <t>Dubai Outlet Mall</t>
        </is>
      </c>
      <c r="S499" t="inlineStr">
        <is>
          <t>E611 / Al Ain Rd</t>
        </is>
      </c>
      <c r="T499" t="inlineStr">
        <is>
          <t>20</t>
        </is>
      </c>
      <c r="U499" t="inlineStr">
        <is>
          <t>25</t>
        </is>
      </c>
      <c r="V499" t="inlineStr">
        <is>
          <t>25</t>
        </is>
      </c>
      <c r="W499" t="inlineStr">
        <is>
          <t>30</t>
        </is>
      </c>
      <c r="X499" t="inlineStr">
        <is>
          <t>Guild_real_estate_master.csv</t>
        </is>
      </c>
    </row>
    <row r="500">
      <c r="A500" t="n">
        <v>499</v>
      </c>
      <c r="B500" t="n">
        <v>499</v>
      </c>
      <c r="C500" t="inlineStr">
        <is>
          <t>Torino</t>
        </is>
      </c>
      <c r="D500" t="inlineStr">
        <is>
          <t>ORO24</t>
        </is>
      </c>
      <c r="E500" t="inlineStr">
        <is>
          <t>Arjan</t>
        </is>
      </c>
      <c r="F500" t="inlineStr">
        <is>
          <t>Apartments</t>
        </is>
      </c>
      <c r="G500" t="inlineStr">
        <is>
          <t>Gated / Garden</t>
        </is>
      </c>
      <c r="H500" t="inlineStr">
        <is>
          <t>700k</t>
        </is>
      </c>
      <c r="I500" t="inlineStr">
        <is>
          <t>1000</t>
        </is>
      </c>
      <c r="J500" t="inlineStr">
        <is>
          <t>14</t>
        </is>
      </c>
      <c r="K500" t="inlineStr">
        <is>
          <t>1% Monthly</t>
        </is>
      </c>
      <c r="L500" t="inlineStr">
        <is>
          <t>2022</t>
        </is>
      </c>
      <c r="M500" t="inlineStr">
        <is>
          <t>7.5-8.0</t>
        </is>
      </c>
      <c r="N500" t="inlineStr">
        <is>
          <t>6-8</t>
        </is>
      </c>
      <c r="O500" t="inlineStr">
        <is>
          <t>13.5-16.0</t>
        </is>
      </c>
      <c r="P500" t="inlineStr">
        <is>
          <t>Nord Anglia</t>
        </is>
      </c>
      <c r="Q500" t="inlineStr">
        <is>
          <t>Mediclinic Parkview</t>
        </is>
      </c>
      <c r="R500" t="inlineStr">
        <is>
          <t>Dubai Hills Mall</t>
        </is>
      </c>
      <c r="S500" t="inlineStr">
        <is>
          <t>Umm Suqeim / E311</t>
        </is>
      </c>
      <c r="T500" t="inlineStr">
        <is>
          <t>20</t>
        </is>
      </c>
      <c r="U500" t="inlineStr">
        <is>
          <t>20</t>
        </is>
      </c>
      <c r="V500" t="inlineStr">
        <is>
          <t>30</t>
        </is>
      </c>
      <c r="W500" t="inlineStr">
        <is>
          <t>25</t>
        </is>
      </c>
      <c r="X500" t="inlineStr">
        <is>
          <t>Guild_real_estate_master.csv</t>
        </is>
      </c>
    </row>
    <row r="501">
      <c r="A501" t="n">
        <v>500</v>
      </c>
      <c r="B501" t="n">
        <v>500</v>
      </c>
      <c r="C501" t="inlineStr">
        <is>
          <t>Levanto</t>
        </is>
      </c>
      <c r="D501" t="inlineStr">
        <is>
          <t>ORO24</t>
        </is>
      </c>
      <c r="E501" t="inlineStr">
        <is>
          <t>JVC</t>
        </is>
      </c>
      <c r="F501" t="inlineStr">
        <is>
          <t>Apartments</t>
        </is>
      </c>
      <c r="G501" t="inlineStr">
        <is>
          <t>High-Rise</t>
        </is>
      </c>
      <c r="H501" t="inlineStr">
        <is>
          <t>800k</t>
        </is>
      </c>
      <c r="I501" t="inlineStr">
        <is>
          <t>1200</t>
        </is>
      </c>
      <c r="J501" t="inlineStr">
        <is>
          <t>15</t>
        </is>
      </c>
      <c r="K501" t="inlineStr">
        <is>
          <t>1% Monthly</t>
        </is>
      </c>
      <c r="L501" t="inlineStr">
        <is>
          <t>2022</t>
        </is>
      </c>
      <c r="M501" t="inlineStr">
        <is>
          <t>7.5-8.0</t>
        </is>
      </c>
      <c r="N501" t="inlineStr">
        <is>
          <t>6-8</t>
        </is>
      </c>
      <c r="O501" t="inlineStr">
        <is>
          <t>13.5-16.0</t>
        </is>
      </c>
      <c r="P501" t="inlineStr">
        <is>
          <t>JSS International</t>
        </is>
      </c>
      <c r="Q501" t="inlineStr">
        <is>
          <t>Saudi German Hospital</t>
        </is>
      </c>
      <c r="R501" t="inlineStr">
        <is>
          <t>Circle Mall</t>
        </is>
      </c>
      <c r="S501" t="inlineStr">
        <is>
          <t>Hessa St / E44</t>
        </is>
      </c>
      <c r="T501" t="inlineStr">
        <is>
          <t>20</t>
        </is>
      </c>
      <c r="U501" t="inlineStr">
        <is>
          <t>15</t>
        </is>
      </c>
      <c r="V501" t="inlineStr">
        <is>
          <t>25</t>
        </is>
      </c>
      <c r="W501" t="inlineStr">
        <is>
          <t>30</t>
        </is>
      </c>
      <c r="X501" t="inlineStr">
        <is>
          <t>Guild_real_estate_master.csv</t>
        </is>
      </c>
    </row>
    <row r="502">
      <c r="A502" t="n">
        <v>501</v>
      </c>
      <c r="B502" t="n">
        <v>501</v>
      </c>
      <c r="C502" t="inlineStr">
        <is>
          <t>Elano</t>
        </is>
      </c>
      <c r="D502" t="inlineStr">
        <is>
          <t>ORO24</t>
        </is>
      </c>
      <c r="E502" t="inlineStr">
        <is>
          <t>Arjan</t>
        </is>
      </c>
      <c r="F502" t="inlineStr">
        <is>
          <t>Apartments</t>
        </is>
      </c>
      <c r="G502" t="inlineStr">
        <is>
          <t>Modern</t>
        </is>
      </c>
      <c r="H502" t="inlineStr">
        <is>
          <t>800k</t>
        </is>
      </c>
      <c r="I502" t="inlineStr">
        <is>
          <t>1100</t>
        </is>
      </c>
      <c r="J502" t="inlineStr">
        <is>
          <t>14</t>
        </is>
      </c>
      <c r="K502" t="inlineStr">
        <is>
          <t>1% Monthly</t>
        </is>
      </c>
      <c r="L502" t="inlineStr">
        <is>
          <t>2023</t>
        </is>
      </c>
      <c r="M502" t="inlineStr">
        <is>
          <t>7.5-8.0</t>
        </is>
      </c>
      <c r="N502" t="inlineStr">
        <is>
          <t>6-8</t>
        </is>
      </c>
      <c r="O502" t="inlineStr">
        <is>
          <t>13.5-16.0</t>
        </is>
      </c>
      <c r="P502" t="inlineStr">
        <is>
          <t>Nord Anglia</t>
        </is>
      </c>
      <c r="Q502" t="inlineStr">
        <is>
          <t>Mediclinic Parkview</t>
        </is>
      </c>
      <c r="R502" t="inlineStr">
        <is>
          <t>Dubai Hills Mall</t>
        </is>
      </c>
      <c r="S502" t="inlineStr">
        <is>
          <t>Umm Suqeim / E311</t>
        </is>
      </c>
      <c r="T502" t="inlineStr">
        <is>
          <t>20</t>
        </is>
      </c>
      <c r="U502" t="inlineStr">
        <is>
          <t>20</t>
        </is>
      </c>
      <c r="V502" t="inlineStr">
        <is>
          <t>30</t>
        </is>
      </c>
      <c r="W502" t="inlineStr">
        <is>
          <t>25</t>
        </is>
      </c>
      <c r="X502" t="inlineStr">
        <is>
          <t>Guild_real_estate_master.csv</t>
        </is>
      </c>
    </row>
    <row r="503">
      <c r="A503" t="n">
        <v>502</v>
      </c>
      <c r="B503" t="n">
        <v>502</v>
      </c>
      <c r="C503" t="inlineStr">
        <is>
          <t>Kyoto</t>
        </is>
      </c>
      <c r="D503" t="inlineStr">
        <is>
          <t>ORO24</t>
        </is>
      </c>
      <c r="E503" t="inlineStr">
        <is>
          <t>Arjan</t>
        </is>
      </c>
      <c r="F503" t="inlineStr">
        <is>
          <t>Apartments</t>
        </is>
      </c>
      <c r="G503" t="inlineStr">
        <is>
          <t>Zen / Japanese</t>
        </is>
      </c>
      <c r="H503" t="inlineStr">
        <is>
          <t>850k</t>
        </is>
      </c>
      <c r="I503" t="inlineStr">
        <is>
          <t>1150</t>
        </is>
      </c>
      <c r="J503" t="inlineStr">
        <is>
          <t>14</t>
        </is>
      </c>
      <c r="K503" t="inlineStr">
        <is>
          <t>1% Monthly</t>
        </is>
      </c>
      <c r="L503" t="inlineStr">
        <is>
          <t>2023</t>
        </is>
      </c>
      <c r="M503" t="inlineStr">
        <is>
          <t>7.5-8.0</t>
        </is>
      </c>
      <c r="N503" t="inlineStr">
        <is>
          <t>6-8</t>
        </is>
      </c>
      <c r="O503" t="inlineStr">
        <is>
          <t>13.5-16.0</t>
        </is>
      </c>
      <c r="P503" t="inlineStr">
        <is>
          <t>Nord Anglia</t>
        </is>
      </c>
      <c r="Q503" t="inlineStr">
        <is>
          <t>Mediclinic Parkview</t>
        </is>
      </c>
      <c r="R503" t="inlineStr">
        <is>
          <t>Dubai Hills Mall</t>
        </is>
      </c>
      <c r="S503" t="inlineStr">
        <is>
          <t>Umm Suqeim / E311</t>
        </is>
      </c>
      <c r="T503" t="inlineStr">
        <is>
          <t>20</t>
        </is>
      </c>
      <c r="U503" t="inlineStr">
        <is>
          <t>20</t>
        </is>
      </c>
      <c r="V503" t="inlineStr">
        <is>
          <t>30</t>
        </is>
      </c>
      <c r="W503" t="inlineStr">
        <is>
          <t>25</t>
        </is>
      </c>
      <c r="X503" t="inlineStr">
        <is>
          <t>Guild_real_estate_master.csv</t>
        </is>
      </c>
    </row>
    <row r="504">
      <c r="A504" t="n">
        <v>503</v>
      </c>
      <c r="B504" t="n">
        <v>503</v>
      </c>
      <c r="C504" t="inlineStr">
        <is>
          <t>Albert</t>
        </is>
      </c>
      <c r="D504" t="inlineStr">
        <is>
          <t>ORO24</t>
        </is>
      </c>
      <c r="E504" t="inlineStr">
        <is>
          <t>JVC (Planned)</t>
        </is>
      </c>
      <c r="F504" t="inlineStr">
        <is>
          <t>Apartments</t>
        </is>
      </c>
      <c r="G504" t="inlineStr">
        <is>
          <t>Modern</t>
        </is>
      </c>
      <c r="H504" t="inlineStr">
        <is>
          <t>TBA</t>
        </is>
      </c>
      <c r="I504" t="inlineStr">
        <is>
          <t>TBA</t>
        </is>
      </c>
      <c r="J504" t="inlineStr">
        <is>
          <t>15</t>
        </is>
      </c>
      <c r="K504" t="inlineStr">
        <is>
          <t>1% Monthly</t>
        </is>
      </c>
      <c r="L504" t="inlineStr">
        <is>
          <t>Planned</t>
        </is>
      </c>
      <c r="M504" t="inlineStr">
        <is>
          <t>7.5-8.0</t>
        </is>
      </c>
      <c r="N504" t="inlineStr">
        <is>
          <t>6-8</t>
        </is>
      </c>
      <c r="O504" t="inlineStr">
        <is>
          <t>13.5-16.0</t>
        </is>
      </c>
      <c r="P504" t="inlineStr">
        <is>
          <t>JSS International</t>
        </is>
      </c>
      <c r="Q504" t="inlineStr">
        <is>
          <t>Saudi German Hospital</t>
        </is>
      </c>
      <c r="R504" t="inlineStr">
        <is>
          <t>Circle Mall</t>
        </is>
      </c>
      <c r="S504" t="inlineStr">
        <is>
          <t>Hessa St / E44</t>
        </is>
      </c>
      <c r="T504" t="inlineStr">
        <is>
          <t>20</t>
        </is>
      </c>
      <c r="U504" t="inlineStr">
        <is>
          <t>15</t>
        </is>
      </c>
      <c r="V504" t="inlineStr">
        <is>
          <t>25</t>
        </is>
      </c>
      <c r="W504" t="inlineStr">
        <is>
          <t>30</t>
        </is>
      </c>
      <c r="X504" t="inlineStr">
        <is>
          <t>Guild_real_estate_master.csv</t>
        </is>
      </c>
    </row>
    <row r="505">
      <c r="A505" t="n">
        <v>504</v>
      </c>
      <c r="B505" t="n">
        <v>504</v>
      </c>
      <c r="C505" t="inlineStr">
        <is>
          <t>Wadi</t>
        </is>
      </c>
      <c r="D505" t="inlineStr">
        <is>
          <t>ORO24</t>
        </is>
      </c>
      <c r="E505" t="inlineStr">
        <is>
          <t>Meydan</t>
        </is>
      </c>
      <c r="F505" t="inlineStr">
        <is>
          <t>Apartments</t>
        </is>
      </c>
      <c r="G505" t="inlineStr">
        <is>
          <t>Valley View</t>
        </is>
      </c>
      <c r="H505" t="inlineStr">
        <is>
          <t>1.0M</t>
        </is>
      </c>
      <c r="I505" t="inlineStr">
        <is>
          <t>1300</t>
        </is>
      </c>
      <c r="J505" t="inlineStr">
        <is>
          <t>16</t>
        </is>
      </c>
      <c r="K505" t="inlineStr">
        <is>
          <t>1% Monthly</t>
        </is>
      </c>
      <c r="L505" t="inlineStr">
        <is>
          <t>2024</t>
        </is>
      </c>
      <c r="M505" t="inlineStr">
        <is>
          <t>7.0-7.5</t>
        </is>
      </c>
      <c r="N505" t="inlineStr">
        <is>
          <t>8-10</t>
        </is>
      </c>
      <c r="O505" t="inlineStr">
        <is>
          <t>15.0-17.5</t>
        </is>
      </c>
      <c r="P505" t="inlineStr">
        <is>
          <t>Hartland Intl</t>
        </is>
      </c>
      <c r="Q505" t="inlineStr">
        <is>
          <t>American Hospital</t>
        </is>
      </c>
      <c r="R505" t="inlineStr">
        <is>
          <t>Dubai Mall</t>
        </is>
      </c>
      <c r="S505" t="inlineStr">
        <is>
          <t>Ras Al Khor / E44</t>
        </is>
      </c>
      <c r="T505" t="inlineStr">
        <is>
          <t>12</t>
        </is>
      </c>
      <c r="U505" t="inlineStr">
        <is>
          <t>25</t>
        </is>
      </c>
      <c r="V505" t="inlineStr">
        <is>
          <t>15</t>
        </is>
      </c>
      <c r="W505" t="inlineStr">
        <is>
          <t>40</t>
        </is>
      </c>
      <c r="X505" t="inlineStr">
        <is>
          <t>Guild_real_estate_master.csv</t>
        </is>
      </c>
    </row>
    <row r="506">
      <c r="A506" t="n">
        <v>505</v>
      </c>
      <c r="B506" t="n">
        <v>505</v>
      </c>
      <c r="C506" t="inlineStr">
        <is>
          <t>Mimeo</t>
        </is>
      </c>
      <c r="D506" t="inlineStr">
        <is>
          <t>ORO24</t>
        </is>
      </c>
      <c r="E506" t="inlineStr">
        <is>
          <t>JVC</t>
        </is>
      </c>
      <c r="F506" t="inlineStr">
        <is>
          <t>Apartments</t>
        </is>
      </c>
      <c r="G506" t="inlineStr">
        <is>
          <t>Modern</t>
        </is>
      </c>
      <c r="H506" t="inlineStr">
        <is>
          <t>850k</t>
        </is>
      </c>
      <c r="I506" t="inlineStr">
        <is>
          <t>1200</t>
        </is>
      </c>
      <c r="J506" t="inlineStr">
        <is>
          <t>15</t>
        </is>
      </c>
      <c r="K506" t="inlineStr">
        <is>
          <t>1% Monthly</t>
        </is>
      </c>
      <c r="L506" t="inlineStr">
        <is>
          <t>2023</t>
        </is>
      </c>
      <c r="M506" t="inlineStr">
        <is>
          <t>7.5-8.0</t>
        </is>
      </c>
      <c r="N506" t="inlineStr">
        <is>
          <t>6-8</t>
        </is>
      </c>
      <c r="O506" t="inlineStr">
        <is>
          <t>13.5-16.0</t>
        </is>
      </c>
      <c r="P506" t="inlineStr">
        <is>
          <t>JSS International</t>
        </is>
      </c>
      <c r="Q506" t="inlineStr">
        <is>
          <t>Saudi German Hospital</t>
        </is>
      </c>
      <c r="R506" t="inlineStr">
        <is>
          <t>Circle Mall</t>
        </is>
      </c>
      <c r="S506" t="inlineStr">
        <is>
          <t>Hessa St / E44</t>
        </is>
      </c>
      <c r="T506" t="inlineStr">
        <is>
          <t>20</t>
        </is>
      </c>
      <c r="U506" t="inlineStr">
        <is>
          <t>15</t>
        </is>
      </c>
      <c r="V506" t="inlineStr">
        <is>
          <t>25</t>
        </is>
      </c>
      <c r="W506" t="inlineStr">
        <is>
          <t>30</t>
        </is>
      </c>
      <c r="X506" t="inlineStr">
        <is>
          <t>Guild_real_estate_master.csv</t>
        </is>
      </c>
    </row>
    <row r="507">
      <c r="A507" t="n">
        <v>506</v>
      </c>
      <c r="B507" t="n">
        <v>506</v>
      </c>
      <c r="C507" t="inlineStr">
        <is>
          <t>Nagoya</t>
        </is>
      </c>
      <c r="D507" t="inlineStr">
        <is>
          <t>ORO24</t>
        </is>
      </c>
      <c r="E507" t="inlineStr">
        <is>
          <t>Al Furjan</t>
        </is>
      </c>
      <c r="F507" t="inlineStr">
        <is>
          <t>Apartments</t>
        </is>
      </c>
      <c r="G507" t="inlineStr">
        <is>
          <t>Japanese Style</t>
        </is>
      </c>
      <c r="H507" t="inlineStr">
        <is>
          <t>900k</t>
        </is>
      </c>
      <c r="I507" t="inlineStr">
        <is>
          <t>1100</t>
        </is>
      </c>
      <c r="J507" t="inlineStr">
        <is>
          <t>14</t>
        </is>
      </c>
      <c r="K507" t="inlineStr">
        <is>
          <t>1% Monthly</t>
        </is>
      </c>
      <c r="L507" t="inlineStr">
        <is>
          <t>2024</t>
        </is>
      </c>
      <c r="M507" t="inlineStr">
        <is>
          <t>7.0-7.5</t>
        </is>
      </c>
      <c r="N507" t="inlineStr">
        <is>
          <t>6-8</t>
        </is>
      </c>
      <c r="O507" t="inlineStr">
        <is>
          <t>13.0-15.5</t>
        </is>
      </c>
      <c r="P507" t="inlineStr">
        <is>
          <t>The Arbor School</t>
        </is>
      </c>
      <c r="Q507" t="inlineStr">
        <is>
          <t>NMC Royal DIP</t>
        </is>
      </c>
      <c r="R507" t="inlineStr">
        <is>
          <t>Ibn Battuta Mall</t>
        </is>
      </c>
      <c r="S507" t="inlineStr">
        <is>
          <t>Yalayis / E311</t>
        </is>
      </c>
      <c r="T507" t="inlineStr">
        <is>
          <t>25</t>
        </is>
      </c>
      <c r="U507" t="inlineStr">
        <is>
          <t>15</t>
        </is>
      </c>
      <c r="V507" t="inlineStr">
        <is>
          <t>30</t>
        </is>
      </c>
      <c r="W507" t="inlineStr">
        <is>
          <t>20</t>
        </is>
      </c>
      <c r="X507" t="inlineStr">
        <is>
          <t>Guild_real_estate_master.csv</t>
        </is>
      </c>
    </row>
    <row r="508">
      <c r="A508" t="n">
        <v>507</v>
      </c>
      <c r="B508" t="n">
        <v>507</v>
      </c>
      <c r="C508" t="inlineStr">
        <is>
          <t>Fortunato</t>
        </is>
      </c>
      <c r="D508" t="inlineStr">
        <is>
          <t>ORO24</t>
        </is>
      </c>
      <c r="E508" t="inlineStr">
        <is>
          <t>JVC</t>
        </is>
      </c>
      <c r="F508" t="inlineStr">
        <is>
          <t>Townhouses</t>
        </is>
      </c>
      <c r="G508" t="inlineStr">
        <is>
          <t>Family</t>
        </is>
      </c>
      <c r="H508" t="inlineStr">
        <is>
          <t>Resale (2M+)</t>
        </is>
      </c>
      <c r="I508" t="inlineStr">
        <is>
          <t>900</t>
        </is>
      </c>
      <c r="J508" t="inlineStr">
        <is>
          <t>10</t>
        </is>
      </c>
      <c r="K508" t="inlineStr">
        <is>
          <t>Completed</t>
        </is>
      </c>
      <c r="L508" t="inlineStr">
        <is>
          <t>2016</t>
        </is>
      </c>
      <c r="M508" t="inlineStr">
        <is>
          <t>6.5-7.0</t>
        </is>
      </c>
      <c r="N508" t="inlineStr">
        <is>
          <t>5-7</t>
        </is>
      </c>
      <c r="O508" t="inlineStr">
        <is>
          <t>11.5-14.0</t>
        </is>
      </c>
      <c r="P508" t="inlineStr">
        <is>
          <t>JSS International</t>
        </is>
      </c>
      <c r="Q508" t="inlineStr">
        <is>
          <t>Saudi German Hospital</t>
        </is>
      </c>
      <c r="R508" t="inlineStr">
        <is>
          <t>Circle Mall</t>
        </is>
      </c>
      <c r="S508" t="inlineStr">
        <is>
          <t>Hessa St / E44</t>
        </is>
      </c>
      <c r="T508" t="inlineStr">
        <is>
          <t>20</t>
        </is>
      </c>
      <c r="U508" t="inlineStr">
        <is>
          <t>15</t>
        </is>
      </c>
      <c r="V508" t="inlineStr">
        <is>
          <t>25</t>
        </is>
      </c>
      <c r="W508" t="inlineStr">
        <is>
          <t>30</t>
        </is>
      </c>
      <c r="X508" t="inlineStr">
        <is>
          <t>Guild_real_estate_master.csv</t>
        </is>
      </c>
    </row>
    <row r="509">
      <c r="A509" t="n">
        <v>508</v>
      </c>
      <c r="B509" t="n">
        <v>508</v>
      </c>
      <c r="C509" t="inlineStr">
        <is>
          <t>Franck Muller Aeternitas</t>
        </is>
      </c>
      <c r="D509" t="inlineStr">
        <is>
          <t>London Gate</t>
        </is>
      </c>
      <c r="E509" t="inlineStr">
        <is>
          <t>Dubai Marina</t>
        </is>
      </c>
      <c r="F509" t="inlineStr">
        <is>
          <t>Branded Apts</t>
        </is>
      </c>
      <c r="G509" t="inlineStr">
        <is>
          <t>World's Tallest Clocktower</t>
        </is>
      </c>
      <c r="H509" t="inlineStr">
        <is>
          <t>2.5M</t>
        </is>
      </c>
      <c r="I509" t="inlineStr">
        <is>
          <t>3500</t>
        </is>
      </c>
      <c r="J509" t="inlineStr">
        <is>
          <t>30+</t>
        </is>
      </c>
      <c r="K509" t="inlineStr">
        <is>
          <t>60/40</t>
        </is>
      </c>
      <c r="L509" t="inlineStr">
        <is>
          <t>2024</t>
        </is>
      </c>
      <c r="M509" t="inlineStr">
        <is>
          <t>5.0-5.5</t>
        </is>
      </c>
      <c r="N509" t="inlineStr">
        <is>
          <t>10-12</t>
        </is>
      </c>
      <c r="O509" t="inlineStr">
        <is>
          <t>15.0-17.5</t>
        </is>
      </c>
      <c r="P509" t="inlineStr">
        <is>
          <t>American Univ. Dubai</t>
        </is>
      </c>
      <c r="Q509" t="inlineStr">
        <is>
          <t>Saudi German Hospital</t>
        </is>
      </c>
      <c r="R509" t="inlineStr">
        <is>
          <t>Dubai Marina Mall</t>
        </is>
      </c>
      <c r="S509" t="inlineStr">
        <is>
          <t>Sheikh Zayed E11</t>
        </is>
      </c>
      <c r="T509" t="inlineStr">
        <is>
          <t>20</t>
        </is>
      </c>
      <c r="U509" t="inlineStr">
        <is>
          <t>5</t>
        </is>
      </c>
      <c r="V509" t="inlineStr">
        <is>
          <t>25</t>
        </is>
      </c>
      <c r="W509" t="inlineStr">
        <is>
          <t>30</t>
        </is>
      </c>
      <c r="X509" t="inlineStr">
        <is>
          <t>Guild_real_estate_master.csv</t>
        </is>
      </c>
    </row>
    <row r="510">
      <c r="A510" t="n">
        <v>509</v>
      </c>
      <c r="B510" t="n">
        <v>509</v>
      </c>
      <c r="C510" t="inlineStr">
        <is>
          <t>Franck Muller Vanguard</t>
        </is>
      </c>
      <c r="D510" t="inlineStr">
        <is>
          <t>London Gate</t>
        </is>
      </c>
      <c r="E510" t="inlineStr">
        <is>
          <t>Dubai Marina</t>
        </is>
      </c>
      <c r="F510" t="inlineStr">
        <is>
          <t>Branded Apts</t>
        </is>
      </c>
      <c r="G510" t="inlineStr">
        <is>
          <t>Luxury</t>
        </is>
      </c>
      <c r="H510" t="inlineStr">
        <is>
          <t>2.8M</t>
        </is>
      </c>
      <c r="I510" t="inlineStr">
        <is>
          <t>3600</t>
        </is>
      </c>
      <c r="J510" t="inlineStr">
        <is>
          <t>30+</t>
        </is>
      </c>
      <c r="K510" t="inlineStr">
        <is>
          <t>60/40</t>
        </is>
      </c>
      <c r="L510" t="inlineStr">
        <is>
          <t>2024</t>
        </is>
      </c>
      <c r="M510" t="inlineStr">
        <is>
          <t>5.0-5.5</t>
        </is>
      </c>
      <c r="N510" t="inlineStr">
        <is>
          <t>10-12</t>
        </is>
      </c>
      <c r="O510" t="inlineStr">
        <is>
          <t>15.0-17.5</t>
        </is>
      </c>
      <c r="P510" t="inlineStr">
        <is>
          <t>American Univ. Dubai</t>
        </is>
      </c>
      <c r="Q510" t="inlineStr">
        <is>
          <t>Saudi German Hospital</t>
        </is>
      </c>
      <c r="R510" t="inlineStr">
        <is>
          <t>Dubai Marina Mall</t>
        </is>
      </c>
      <c r="S510" t="inlineStr">
        <is>
          <t>Sheikh Zayed E11</t>
        </is>
      </c>
      <c r="T510" t="inlineStr">
        <is>
          <t>20</t>
        </is>
      </c>
      <c r="U510" t="inlineStr">
        <is>
          <t>5</t>
        </is>
      </c>
      <c r="V510" t="inlineStr">
        <is>
          <t>25</t>
        </is>
      </c>
      <c r="W510" t="inlineStr">
        <is>
          <t>30</t>
        </is>
      </c>
      <c r="X510" t="inlineStr">
        <is>
          <t>Guild_real_estate_master.csv</t>
        </is>
      </c>
    </row>
    <row r="511">
      <c r="A511" t="n">
        <v>510</v>
      </c>
      <c r="B511" t="n">
        <v>510</v>
      </c>
      <c r="C511" t="inlineStr">
        <is>
          <t>Maya V</t>
        </is>
      </c>
      <c r="D511" t="inlineStr">
        <is>
          <t>London Gate</t>
        </is>
      </c>
      <c r="E511" t="inlineStr">
        <is>
          <t>JVT</t>
        </is>
      </c>
      <c r="F511" t="inlineStr">
        <is>
          <t>Apartments</t>
        </is>
      </c>
      <c r="G511" t="inlineStr">
        <is>
          <t>Family</t>
        </is>
      </c>
      <c r="H511" t="inlineStr">
        <is>
          <t>900k</t>
        </is>
      </c>
      <c r="I511" t="inlineStr">
        <is>
          <t>1100</t>
        </is>
      </c>
      <c r="J511" t="inlineStr">
        <is>
          <t>15</t>
        </is>
      </c>
      <c r="K511" t="inlineStr">
        <is>
          <t>60/40</t>
        </is>
      </c>
      <c r="L511" t="inlineStr">
        <is>
          <t>2023</t>
        </is>
      </c>
      <c r="M511" t="inlineStr">
        <is>
          <t>7.0-7.5</t>
        </is>
      </c>
      <c r="N511" t="inlineStr">
        <is>
          <t>6-8</t>
        </is>
      </c>
      <c r="O511" t="inlineStr">
        <is>
          <t>13.0-15.5</t>
        </is>
      </c>
      <c r="P511" t="inlineStr">
        <is>
          <t>Sunmarke School</t>
        </is>
      </c>
      <c r="Q511" t="inlineStr">
        <is>
          <t>NMC Royal DIP</t>
        </is>
      </c>
      <c r="R511" t="inlineStr">
        <is>
          <t>Circle Mall</t>
        </is>
      </c>
      <c r="S511" t="inlineStr">
        <is>
          <t>E311 / Yalayis</t>
        </is>
      </c>
      <c r="T511" t="inlineStr">
        <is>
          <t>20</t>
        </is>
      </c>
      <c r="U511" t="inlineStr">
        <is>
          <t>15</t>
        </is>
      </c>
      <c r="V511" t="inlineStr">
        <is>
          <t>30</t>
        </is>
      </c>
      <c r="W511" t="inlineStr">
        <is>
          <t>20</t>
        </is>
      </c>
      <c r="X511" t="inlineStr">
        <is>
          <t>Guild_real_estate_master.csv</t>
        </is>
      </c>
    </row>
    <row r="512">
      <c r="A512" t="n">
        <v>511</v>
      </c>
      <c r="B512" t="n">
        <v>511</v>
      </c>
      <c r="C512" t="inlineStr">
        <is>
          <t>Nadine 1</t>
        </is>
      </c>
      <c r="D512" t="inlineStr">
        <is>
          <t>London Gate</t>
        </is>
      </c>
      <c r="E512" t="inlineStr">
        <is>
          <t>Al Furjan</t>
        </is>
      </c>
      <c r="F512" t="inlineStr">
        <is>
          <t>Apartments</t>
        </is>
      </c>
      <c r="G512" t="inlineStr">
        <is>
          <t>Architecture</t>
        </is>
      </c>
      <c r="H512" t="inlineStr">
        <is>
          <t>1.0M</t>
        </is>
      </c>
      <c r="I512" t="inlineStr">
        <is>
          <t>1200</t>
        </is>
      </c>
      <c r="J512" t="inlineStr">
        <is>
          <t>14</t>
        </is>
      </c>
      <c r="K512" t="inlineStr">
        <is>
          <t>60/40</t>
        </is>
      </c>
      <c r="L512" t="inlineStr">
        <is>
          <t>2023</t>
        </is>
      </c>
      <c r="M512" t="inlineStr">
        <is>
          <t>7.0-7.5</t>
        </is>
      </c>
      <c r="N512" t="inlineStr">
        <is>
          <t>6-8</t>
        </is>
      </c>
      <c r="O512" t="inlineStr">
        <is>
          <t>13.0-15.5</t>
        </is>
      </c>
      <c r="P512" t="inlineStr">
        <is>
          <t>The Arbor School</t>
        </is>
      </c>
      <c r="Q512" t="inlineStr">
        <is>
          <t>NMC Royal DIP</t>
        </is>
      </c>
      <c r="R512" t="inlineStr">
        <is>
          <t>Ibn Battuta Mall</t>
        </is>
      </c>
      <c r="S512" t="inlineStr">
        <is>
          <t>Yalayis / E311</t>
        </is>
      </c>
      <c r="T512" t="inlineStr">
        <is>
          <t>25</t>
        </is>
      </c>
      <c r="U512" t="inlineStr">
        <is>
          <t>15</t>
        </is>
      </c>
      <c r="V512" t="inlineStr">
        <is>
          <t>30</t>
        </is>
      </c>
      <c r="W512" t="inlineStr">
        <is>
          <t>20</t>
        </is>
      </c>
      <c r="X512" t="inlineStr">
        <is>
          <t>Guild_real_estate_master.csv</t>
        </is>
      </c>
    </row>
    <row r="513">
      <c r="A513" t="n">
        <v>512</v>
      </c>
      <c r="B513" t="n">
        <v>512</v>
      </c>
      <c r="C513" t="inlineStr">
        <is>
          <t>Nadine 2</t>
        </is>
      </c>
      <c r="D513" t="inlineStr">
        <is>
          <t>London Gate</t>
        </is>
      </c>
      <c r="E513" t="inlineStr">
        <is>
          <t>Al Furjan</t>
        </is>
      </c>
      <c r="F513" t="inlineStr">
        <is>
          <t>Apartments</t>
        </is>
      </c>
      <c r="G513" t="inlineStr">
        <is>
          <t>Architecture</t>
        </is>
      </c>
      <c r="H513" t="inlineStr">
        <is>
          <t>1.0M</t>
        </is>
      </c>
      <c r="I513" t="inlineStr">
        <is>
          <t>1200</t>
        </is>
      </c>
      <c r="J513" t="inlineStr">
        <is>
          <t>14</t>
        </is>
      </c>
      <c r="K513" t="inlineStr">
        <is>
          <t>60/40</t>
        </is>
      </c>
      <c r="L513" t="inlineStr">
        <is>
          <t>2023</t>
        </is>
      </c>
      <c r="M513" t="inlineStr">
        <is>
          <t>7.0-7.5</t>
        </is>
      </c>
      <c r="N513" t="inlineStr">
        <is>
          <t>6-8</t>
        </is>
      </c>
      <c r="O513" t="inlineStr">
        <is>
          <t>13.0-15.5</t>
        </is>
      </c>
      <c r="P513" t="inlineStr">
        <is>
          <t>The Arbor School</t>
        </is>
      </c>
      <c r="Q513" t="inlineStr">
        <is>
          <t>NMC Royal DIP</t>
        </is>
      </c>
      <c r="R513" t="inlineStr">
        <is>
          <t>Ibn Battuta Mall</t>
        </is>
      </c>
      <c r="S513" t="inlineStr">
        <is>
          <t>Yalayis / E311</t>
        </is>
      </c>
      <c r="T513" t="inlineStr">
        <is>
          <t>25</t>
        </is>
      </c>
      <c r="U513" t="inlineStr">
        <is>
          <t>15</t>
        </is>
      </c>
      <c r="V513" t="inlineStr">
        <is>
          <t>30</t>
        </is>
      </c>
      <c r="W513" t="inlineStr">
        <is>
          <t>20</t>
        </is>
      </c>
      <c r="X513" t="inlineStr">
        <is>
          <t>Guild_real_estate_master.csv</t>
        </is>
      </c>
    </row>
    <row r="514">
      <c r="A514" t="n">
        <v>513</v>
      </c>
      <c r="B514" t="n">
        <v>513</v>
      </c>
      <c r="C514" t="inlineStr">
        <is>
          <t>Lilian</t>
        </is>
      </c>
      <c r="D514" t="inlineStr">
        <is>
          <t>London Gate</t>
        </is>
      </c>
      <c r="E514" t="inlineStr">
        <is>
          <t>Al Furjan</t>
        </is>
      </c>
      <c r="F514" t="inlineStr">
        <is>
          <t>Apartments</t>
        </is>
      </c>
      <c r="G514" t="inlineStr">
        <is>
          <t>Modern</t>
        </is>
      </c>
      <c r="H514" t="inlineStr">
        <is>
          <t>1.0M</t>
        </is>
      </c>
      <c r="I514" t="inlineStr">
        <is>
          <t>1200</t>
        </is>
      </c>
      <c r="J514" t="inlineStr">
        <is>
          <t>14</t>
        </is>
      </c>
      <c r="K514" t="inlineStr">
        <is>
          <t>60/40</t>
        </is>
      </c>
      <c r="L514" t="inlineStr">
        <is>
          <t>2024</t>
        </is>
      </c>
      <c r="M514" t="inlineStr">
        <is>
          <t>7.0-7.5</t>
        </is>
      </c>
      <c r="N514" t="inlineStr">
        <is>
          <t>6-8</t>
        </is>
      </c>
      <c r="O514" t="inlineStr">
        <is>
          <t>13.0-15.5</t>
        </is>
      </c>
      <c r="P514" t="inlineStr">
        <is>
          <t>The Arbor School</t>
        </is>
      </c>
      <c r="Q514" t="inlineStr">
        <is>
          <t>NMC Royal DIP</t>
        </is>
      </c>
      <c r="R514" t="inlineStr">
        <is>
          <t>Ibn Battuta Mall</t>
        </is>
      </c>
      <c r="S514" t="inlineStr">
        <is>
          <t>Yalayis / E311</t>
        </is>
      </c>
      <c r="T514" t="inlineStr">
        <is>
          <t>25</t>
        </is>
      </c>
      <c r="U514" t="inlineStr">
        <is>
          <t>15</t>
        </is>
      </c>
      <c r="V514" t="inlineStr">
        <is>
          <t>30</t>
        </is>
      </c>
      <c r="W514" t="inlineStr">
        <is>
          <t>20</t>
        </is>
      </c>
      <c r="X514" t="inlineStr">
        <is>
          <t>Guild_real_estate_master.csv</t>
        </is>
      </c>
    </row>
    <row r="515">
      <c r="A515" t="n">
        <v>514</v>
      </c>
      <c r="B515" t="n">
        <v>514</v>
      </c>
      <c r="C515" t="inlineStr">
        <is>
          <t>The Muse</t>
        </is>
      </c>
      <c r="D515" t="inlineStr">
        <is>
          <t>London Gate</t>
        </is>
      </c>
      <c r="E515" t="inlineStr">
        <is>
          <t>JVC</t>
        </is>
      </c>
      <c r="F515" t="inlineStr">
        <is>
          <t>Apartments</t>
        </is>
      </c>
      <c r="G515" t="inlineStr">
        <is>
          <t>Boutique</t>
        </is>
      </c>
      <c r="H515" t="inlineStr">
        <is>
          <t>900k</t>
        </is>
      </c>
      <c r="I515" t="inlineStr">
        <is>
          <t>1300</t>
        </is>
      </c>
      <c r="J515" t="inlineStr">
        <is>
          <t>15</t>
        </is>
      </c>
      <c r="K515" t="inlineStr">
        <is>
          <t>60/40</t>
        </is>
      </c>
      <c r="L515" t="inlineStr">
        <is>
          <t>2024</t>
        </is>
      </c>
      <c r="M515" t="inlineStr">
        <is>
          <t>7.5-8.0</t>
        </is>
      </c>
      <c r="N515" t="inlineStr">
        <is>
          <t>6-8</t>
        </is>
      </c>
      <c r="O515" t="inlineStr">
        <is>
          <t>13.5-16.0</t>
        </is>
      </c>
      <c r="P515" t="inlineStr">
        <is>
          <t>JSS International</t>
        </is>
      </c>
      <c r="Q515" t="inlineStr">
        <is>
          <t>Saudi German Hospital</t>
        </is>
      </c>
      <c r="R515" t="inlineStr">
        <is>
          <t>Circle Mall</t>
        </is>
      </c>
      <c r="S515" t="inlineStr">
        <is>
          <t>Hessa St / E44</t>
        </is>
      </c>
      <c r="T515" t="inlineStr">
        <is>
          <t>20</t>
        </is>
      </c>
      <c r="U515" t="inlineStr">
        <is>
          <t>15</t>
        </is>
      </c>
      <c r="V515" t="inlineStr">
        <is>
          <t>25</t>
        </is>
      </c>
      <c r="W515" t="inlineStr">
        <is>
          <t>30</t>
        </is>
      </c>
      <c r="X515" t="inlineStr">
        <is>
          <t>Guild_real_estate_master.csv</t>
        </is>
      </c>
    </row>
    <row r="516">
      <c r="A516" t="n">
        <v>515</v>
      </c>
      <c r="B516" t="n">
        <v>515</v>
      </c>
      <c r="C516" t="inlineStr">
        <is>
          <t>One Sankari</t>
        </is>
      </c>
      <c r="D516" t="inlineStr">
        <is>
          <t>Sankari Properties</t>
        </is>
      </c>
      <c r="E516" t="inlineStr">
        <is>
          <t>Business Bay (Marasi)</t>
        </is>
      </c>
      <c r="F516" t="inlineStr">
        <is>
          <t>Ultra-Luxury Apts</t>
        </is>
      </c>
      <c r="G516" t="inlineStr">
        <is>
          <t>Iconic / Canal</t>
        </is>
      </c>
      <c r="H516" t="inlineStr">
        <is>
          <t>40M+</t>
        </is>
      </c>
      <c r="I516" t="inlineStr">
        <is>
          <t>6000+</t>
        </is>
      </c>
      <c r="J516" t="inlineStr">
        <is>
          <t>50+</t>
        </is>
      </c>
      <c r="K516" t="inlineStr">
        <is>
          <t>50/50</t>
        </is>
      </c>
      <c r="L516" t="inlineStr">
        <is>
          <t>2024</t>
        </is>
      </c>
      <c r="M516" t="inlineStr">
        <is>
          <t>3.5-4.0</t>
        </is>
      </c>
      <c r="N516" t="inlineStr">
        <is>
          <t>10-15</t>
        </is>
      </c>
      <c r="O516" t="inlineStr">
        <is>
          <t>13.5-19.0</t>
        </is>
      </c>
      <c r="P516" t="inlineStr">
        <is>
          <t>Hartland Intl</t>
        </is>
      </c>
      <c r="Q516" t="inlineStr">
        <is>
          <t>Emirates Hospital BB</t>
        </is>
      </c>
      <c r="R516" t="inlineStr">
        <is>
          <t>Dubai Mall</t>
        </is>
      </c>
      <c r="S516" t="inlineStr">
        <is>
          <t>Al Khail E44</t>
        </is>
      </c>
      <c r="T516" t="inlineStr">
        <is>
          <t>5</t>
        </is>
      </c>
      <c r="U516" t="inlineStr">
        <is>
          <t>20</t>
        </is>
      </c>
      <c r="V516" t="inlineStr">
        <is>
          <t>15</t>
        </is>
      </c>
      <c r="W516" t="inlineStr">
        <is>
          <t>35</t>
        </is>
      </c>
      <c r="X516" t="inlineStr">
        <is>
          <t>Guild_real_estate_master.csv</t>
        </is>
      </c>
    </row>
    <row r="517">
      <c r="A517" t="n">
        <v>516</v>
      </c>
      <c r="B517" t="n">
        <v>516</v>
      </c>
      <c r="C517" t="inlineStr">
        <is>
          <t>Regent Residences Dubai</t>
        </is>
      </c>
      <c r="D517" t="inlineStr">
        <is>
          <t>Sankari Properties</t>
        </is>
      </c>
      <c r="E517" t="inlineStr">
        <is>
          <t>Business Bay (Marasi)</t>
        </is>
      </c>
      <c r="F517" t="inlineStr">
        <is>
          <t>Branded Apts</t>
        </is>
      </c>
      <c r="G517" t="inlineStr">
        <is>
          <t>Hotel / Luxury</t>
        </is>
      </c>
      <c r="H517" t="inlineStr">
        <is>
          <t>35M+</t>
        </is>
      </c>
      <c r="I517" t="inlineStr">
        <is>
          <t>5500+</t>
        </is>
      </c>
      <c r="J517" t="inlineStr">
        <is>
          <t>50+</t>
        </is>
      </c>
      <c r="K517" t="inlineStr">
        <is>
          <t>50/50</t>
        </is>
      </c>
      <c r="L517" t="inlineStr">
        <is>
          <t>2024</t>
        </is>
      </c>
      <c r="M517" t="inlineStr">
        <is>
          <t>3.5-4.0</t>
        </is>
      </c>
      <c r="N517" t="inlineStr">
        <is>
          <t>10-15</t>
        </is>
      </c>
      <c r="O517" t="inlineStr">
        <is>
          <t>13.5-19.0</t>
        </is>
      </c>
      <c r="P517" t="inlineStr">
        <is>
          <t>Hartland Intl</t>
        </is>
      </c>
      <c r="Q517" t="inlineStr">
        <is>
          <t>Emirates Hospital BB</t>
        </is>
      </c>
      <c r="R517" t="inlineStr">
        <is>
          <t>Dubai Mall</t>
        </is>
      </c>
      <c r="S517" t="inlineStr">
        <is>
          <t>Al Khail E44</t>
        </is>
      </c>
      <c r="T517" t="inlineStr">
        <is>
          <t>5</t>
        </is>
      </c>
      <c r="U517" t="inlineStr">
        <is>
          <t>20</t>
        </is>
      </c>
      <c r="V517" t="inlineStr">
        <is>
          <t>15</t>
        </is>
      </c>
      <c r="W517" t="inlineStr">
        <is>
          <t>35</t>
        </is>
      </c>
      <c r="X517" t="inlineStr">
        <is>
          <t>Guild_real_estate_master.csv</t>
        </is>
      </c>
    </row>
    <row r="518">
      <c r="A518" t="n">
        <v>517</v>
      </c>
      <c r="B518" t="n">
        <v>517</v>
      </c>
      <c r="C518" t="inlineStr">
        <is>
          <t>Palm Signature Villas</t>
        </is>
      </c>
      <c r="D518" t="inlineStr">
        <is>
          <t>Sankari Properties</t>
        </is>
      </c>
      <c r="E518" t="inlineStr">
        <is>
          <t>Palm Jumeirah</t>
        </is>
      </c>
      <c r="F518" t="inlineStr">
        <is>
          <t>Villas</t>
        </is>
      </c>
      <c r="G518" t="inlineStr">
        <is>
          <t>Custom / Ultra</t>
        </is>
      </c>
      <c r="H518" t="inlineStr">
        <is>
          <t>100M+</t>
        </is>
      </c>
      <c r="I518" t="inlineStr">
        <is>
          <t>8000+</t>
        </is>
      </c>
      <c r="J518" t="inlineStr">
        <is>
          <t>50+</t>
        </is>
      </c>
      <c r="K518" t="inlineStr">
        <is>
          <t>Completed</t>
        </is>
      </c>
      <c r="L518" t="inlineStr">
        <is>
          <t>Varies</t>
        </is>
      </c>
      <c r="M518" t="inlineStr">
        <is>
          <t>3.0-3.5</t>
        </is>
      </c>
      <c r="N518" t="inlineStr">
        <is>
          <t>5-8</t>
        </is>
      </c>
      <c r="O518" t="inlineStr">
        <is>
          <t>8.0-11.5</t>
        </is>
      </c>
      <c r="P518" t="inlineStr">
        <is>
          <t>Chevalier College</t>
        </is>
      </c>
      <c r="Q518" t="inlineStr">
        <is>
          <t>Emirates Hospital</t>
        </is>
      </c>
      <c r="R518" t="inlineStr">
        <is>
          <t>Nakheel Mall</t>
        </is>
      </c>
      <c r="S518" t="inlineStr">
        <is>
          <t>Sheikh Zayed E11</t>
        </is>
      </c>
      <c r="T518" t="inlineStr">
        <is>
          <t>20</t>
        </is>
      </c>
      <c r="U518" t="inlineStr">
        <is>
          <t>10</t>
        </is>
      </c>
      <c r="V518" t="inlineStr">
        <is>
          <t>25</t>
        </is>
      </c>
      <c r="W518" t="inlineStr">
        <is>
          <t>35</t>
        </is>
      </c>
      <c r="X518" t="inlineStr">
        <is>
          <t>Guild_real_estate_master.csv</t>
        </is>
      </c>
    </row>
    <row r="519">
      <c r="A519" t="n">
        <v>518</v>
      </c>
      <c r="B519" t="n">
        <v>518</v>
      </c>
      <c r="C519" t="inlineStr">
        <is>
          <t>Seven Palm</t>
        </is>
      </c>
      <c r="D519" t="inlineStr">
        <is>
          <t>Seven Tides</t>
        </is>
      </c>
      <c r="E519" t="inlineStr">
        <is>
          <t>Palm Jumeirah</t>
        </is>
      </c>
      <c r="F519" t="inlineStr">
        <is>
          <t>Hotel/Residences</t>
        </is>
      </c>
      <c r="G519" t="inlineStr">
        <is>
          <t>Beach / Pool</t>
        </is>
      </c>
      <c r="H519" t="inlineStr">
        <is>
          <t>Resale (1.5M+)</t>
        </is>
      </c>
      <c r="I519" t="inlineStr">
        <is>
          <t>2500</t>
        </is>
      </c>
      <c r="J519" t="inlineStr">
        <is>
          <t>30</t>
        </is>
      </c>
      <c r="K519" t="inlineStr">
        <is>
          <t>Completed</t>
        </is>
      </c>
      <c r="L519" t="inlineStr">
        <is>
          <t>2021</t>
        </is>
      </c>
      <c r="M519" t="inlineStr">
        <is>
          <t>5.5-6.5</t>
        </is>
      </c>
      <c r="N519" t="inlineStr">
        <is>
          <t>5-7</t>
        </is>
      </c>
      <c r="O519" t="inlineStr">
        <is>
          <t>10.5-13.5</t>
        </is>
      </c>
      <c r="P519" t="inlineStr">
        <is>
          <t>Chevalier College</t>
        </is>
      </c>
      <c r="Q519" t="inlineStr">
        <is>
          <t>Emirates Hospital</t>
        </is>
      </c>
      <c r="R519" t="inlineStr">
        <is>
          <t>Nakheel Mall</t>
        </is>
      </c>
      <c r="S519" t="inlineStr">
        <is>
          <t>Sheikh Zayed E11</t>
        </is>
      </c>
      <c r="T519" t="inlineStr">
        <is>
          <t>20</t>
        </is>
      </c>
      <c r="U519" t="inlineStr">
        <is>
          <t>10</t>
        </is>
      </c>
      <c r="V519" t="inlineStr">
        <is>
          <t>25</t>
        </is>
      </c>
      <c r="W519" t="inlineStr">
        <is>
          <t>35</t>
        </is>
      </c>
      <c r="X519" t="inlineStr">
        <is>
          <t>Guild_real_estate_master.csv</t>
        </is>
      </c>
    </row>
    <row r="520">
      <c r="A520" t="n">
        <v>519</v>
      </c>
      <c r="B520" t="n">
        <v>519</v>
      </c>
      <c r="C520" t="inlineStr">
        <is>
          <t>Anantara The Palm Residences</t>
        </is>
      </c>
      <c r="D520" t="inlineStr">
        <is>
          <t>Seven Tides</t>
        </is>
      </c>
      <c r="E520" t="inlineStr">
        <is>
          <t>Palm Jumeirah</t>
        </is>
      </c>
      <c r="F520" t="inlineStr">
        <is>
          <t>Hotel/Residences</t>
        </is>
      </c>
      <c r="G520" t="inlineStr">
        <is>
          <t>Thai Resort / Beach</t>
        </is>
      </c>
      <c r="H520" t="inlineStr">
        <is>
          <t>Resale (2.5M+)</t>
        </is>
      </c>
      <c r="I520" t="inlineStr">
        <is>
          <t>2800</t>
        </is>
      </c>
      <c r="J520" t="inlineStr">
        <is>
          <t>35</t>
        </is>
      </c>
      <c r="K520" t="inlineStr">
        <is>
          <t>Completed</t>
        </is>
      </c>
      <c r="L520" t="inlineStr">
        <is>
          <t>2014</t>
        </is>
      </c>
      <c r="M520" t="inlineStr">
        <is>
          <t>5.0-5.5</t>
        </is>
      </c>
      <c r="N520" t="inlineStr">
        <is>
          <t>5-7</t>
        </is>
      </c>
      <c r="O520" t="inlineStr">
        <is>
          <t>10.0-12.5</t>
        </is>
      </c>
      <c r="P520" t="inlineStr">
        <is>
          <t>Chevalier College</t>
        </is>
      </c>
      <c r="Q520" t="inlineStr">
        <is>
          <t>Emirates Hospital</t>
        </is>
      </c>
      <c r="R520" t="inlineStr">
        <is>
          <t>Nakheel Mall</t>
        </is>
      </c>
      <c r="S520" t="inlineStr">
        <is>
          <t>Sheikh Zayed E11</t>
        </is>
      </c>
      <c r="T520" t="inlineStr">
        <is>
          <t>20</t>
        </is>
      </c>
      <c r="U520" t="inlineStr">
        <is>
          <t>10</t>
        </is>
      </c>
      <c r="V520" t="inlineStr">
        <is>
          <t>25</t>
        </is>
      </c>
      <c r="W520" t="inlineStr">
        <is>
          <t>35</t>
        </is>
      </c>
      <c r="X520" t="inlineStr">
        <is>
          <t>Guild_real_estate_master.csv</t>
        </is>
      </c>
    </row>
    <row r="521">
      <c r="A521" t="n">
        <v>520</v>
      </c>
      <c r="B521" t="n">
        <v>520</v>
      </c>
      <c r="C521" t="inlineStr">
        <is>
          <t>Dukes The Palm</t>
        </is>
      </c>
      <c r="D521" t="inlineStr">
        <is>
          <t>Seven Tides</t>
        </is>
      </c>
      <c r="E521" t="inlineStr">
        <is>
          <t>Palm Jumeirah</t>
        </is>
      </c>
      <c r="F521" t="inlineStr">
        <is>
          <t>Hotel/Residences</t>
        </is>
      </c>
      <c r="G521" t="inlineStr">
        <is>
          <t>British / Beach</t>
        </is>
      </c>
      <c r="H521" t="inlineStr">
        <is>
          <t>Resale (1.2M+)</t>
        </is>
      </c>
      <c r="I521" t="inlineStr">
        <is>
          <t>2500</t>
        </is>
      </c>
      <c r="J521" t="inlineStr">
        <is>
          <t>30</t>
        </is>
      </c>
      <c r="K521" t="inlineStr">
        <is>
          <t>Completed</t>
        </is>
      </c>
      <c r="L521" t="inlineStr">
        <is>
          <t>2017</t>
        </is>
      </c>
      <c r="M521" t="inlineStr">
        <is>
          <t>5.5-6.5</t>
        </is>
      </c>
      <c r="N521" t="inlineStr">
        <is>
          <t>5-7</t>
        </is>
      </c>
      <c r="O521" t="inlineStr">
        <is>
          <t>10.5-13.5</t>
        </is>
      </c>
      <c r="P521" t="inlineStr">
        <is>
          <t>Chevalier College</t>
        </is>
      </c>
      <c r="Q521" t="inlineStr">
        <is>
          <t>Emirates Hospital</t>
        </is>
      </c>
      <c r="R521" t="inlineStr">
        <is>
          <t>Nakheel Mall</t>
        </is>
      </c>
      <c r="S521" t="inlineStr">
        <is>
          <t>Sheikh Zayed E11</t>
        </is>
      </c>
      <c r="T521" t="inlineStr">
        <is>
          <t>20</t>
        </is>
      </c>
      <c r="U521" t="inlineStr">
        <is>
          <t>10</t>
        </is>
      </c>
      <c r="V521" t="inlineStr">
        <is>
          <t>25</t>
        </is>
      </c>
      <c r="W521" t="inlineStr">
        <is>
          <t>35</t>
        </is>
      </c>
      <c r="X521" t="inlineStr">
        <is>
          <t>Guild_real_estate_master.csv</t>
        </is>
      </c>
    </row>
    <row r="522">
      <c r="A522" t="n">
        <v>521</v>
      </c>
      <c r="B522" t="n">
        <v>521</v>
      </c>
      <c r="C522" t="inlineStr">
        <is>
          <t>Oceana</t>
        </is>
      </c>
      <c r="D522" t="inlineStr">
        <is>
          <t>Seven Tides</t>
        </is>
      </c>
      <c r="E522" t="inlineStr">
        <is>
          <t>Palm Jumeirah</t>
        </is>
      </c>
      <c r="F522" t="inlineStr">
        <is>
          <t>Apartments</t>
        </is>
      </c>
      <c r="G522" t="inlineStr">
        <is>
          <t>Beach / Club</t>
        </is>
      </c>
      <c r="H522" t="inlineStr">
        <is>
          <t>Resale (3M+)</t>
        </is>
      </c>
      <c r="I522" t="inlineStr">
        <is>
          <t>2200</t>
        </is>
      </c>
      <c r="J522" t="inlineStr">
        <is>
          <t>28</t>
        </is>
      </c>
      <c r="K522" t="inlineStr">
        <is>
          <t>Completed</t>
        </is>
      </c>
      <c r="L522" t="inlineStr">
        <is>
          <t>2009</t>
        </is>
      </c>
      <c r="M522" t="inlineStr">
        <is>
          <t>5.0-5.5</t>
        </is>
      </c>
      <c r="N522" t="inlineStr">
        <is>
          <t>5-7</t>
        </is>
      </c>
      <c r="O522" t="inlineStr">
        <is>
          <t>10.0-12.5</t>
        </is>
      </c>
      <c r="P522" t="inlineStr">
        <is>
          <t>Chevalier College</t>
        </is>
      </c>
      <c r="Q522" t="inlineStr">
        <is>
          <t>Emirates Hospital</t>
        </is>
      </c>
      <c r="R522" t="inlineStr">
        <is>
          <t>Nakheel Mall</t>
        </is>
      </c>
      <c r="S522" t="inlineStr">
        <is>
          <t>Sheikh Zayed E11</t>
        </is>
      </c>
      <c r="T522" t="inlineStr">
        <is>
          <t>20</t>
        </is>
      </c>
      <c r="U522" t="inlineStr">
        <is>
          <t>10</t>
        </is>
      </c>
      <c r="V522" t="inlineStr">
        <is>
          <t>25</t>
        </is>
      </c>
      <c r="W522" t="inlineStr">
        <is>
          <t>35</t>
        </is>
      </c>
      <c r="X522" t="inlineStr">
        <is>
          <t>Guild_real_estate_master.csv</t>
        </is>
      </c>
    </row>
    <row r="523">
      <c r="A523" t="n">
        <v>522</v>
      </c>
      <c r="B523" t="n">
        <v>522</v>
      </c>
      <c r="C523" t="inlineStr">
        <is>
          <t>Seven City (Golf Views)</t>
        </is>
      </c>
      <c r="D523" t="inlineStr">
        <is>
          <t>Seven Tides</t>
        </is>
      </c>
      <c r="E523" t="inlineStr">
        <is>
          <t>JLT</t>
        </is>
      </c>
      <c r="F523" t="inlineStr">
        <is>
          <t>Apartments</t>
        </is>
      </c>
      <c r="G523" t="inlineStr">
        <is>
          <t>Golf / High-Rise</t>
        </is>
      </c>
      <c r="H523" t="inlineStr">
        <is>
          <t>600k</t>
        </is>
      </c>
      <c r="I523" t="inlineStr">
        <is>
          <t>1400</t>
        </is>
      </c>
      <c r="J523" t="inlineStr">
        <is>
          <t>18</t>
        </is>
      </c>
      <c r="K523" t="inlineStr">
        <is>
          <t>50/50</t>
        </is>
      </c>
      <c r="L523" t="inlineStr">
        <is>
          <t>2018</t>
        </is>
      </c>
      <c r="M523" t="inlineStr">
        <is>
          <t>6.5-7.0</t>
        </is>
      </c>
      <c r="N523" t="inlineStr">
        <is>
          <t>5-7</t>
        </is>
      </c>
      <c r="O523" t="inlineStr">
        <is>
          <t>11.5-14.0</t>
        </is>
      </c>
      <c r="P523" t="inlineStr">
        <is>
          <t>Emirates Intl School</t>
        </is>
      </c>
      <c r="Q523" t="inlineStr">
        <is>
          <t>Saudi German Hospital</t>
        </is>
      </c>
      <c r="R523" t="inlineStr">
        <is>
          <t>Dubai Marina Mall</t>
        </is>
      </c>
      <c r="S523" t="inlineStr">
        <is>
          <t>Sheikh Zayed E11</t>
        </is>
      </c>
      <c r="T523" t="inlineStr">
        <is>
          <t>20</t>
        </is>
      </c>
      <c r="U523" t="inlineStr">
        <is>
          <t>5</t>
        </is>
      </c>
      <c r="V523" t="inlineStr">
        <is>
          <t>25</t>
        </is>
      </c>
      <c r="W523" t="inlineStr">
        <is>
          <t>30</t>
        </is>
      </c>
      <c r="X523" t="inlineStr">
        <is>
          <t>Guild_real_estate_master.csv</t>
        </is>
      </c>
    </row>
    <row r="524">
      <c r="A524" t="n">
        <v>523</v>
      </c>
      <c r="B524" t="n">
        <v>523</v>
      </c>
      <c r="C524" t="inlineStr">
        <is>
          <t>Banyan Tree Residences</t>
        </is>
      </c>
      <c r="D524" t="inlineStr">
        <is>
          <t>Sweid &amp; Sweid</t>
        </is>
      </c>
      <c r="E524" t="inlineStr">
        <is>
          <t>JLT (Hillside)</t>
        </is>
      </c>
      <c r="F524" t="inlineStr">
        <is>
          <t>Branded Apts</t>
        </is>
      </c>
      <c r="G524" t="inlineStr">
        <is>
          <t>Resort / Hill</t>
        </is>
      </c>
      <c r="H524" t="inlineStr">
        <is>
          <t>Resale (2.5M+)</t>
        </is>
      </c>
      <c r="I524" t="inlineStr">
        <is>
          <t>1800</t>
        </is>
      </c>
      <c r="J524" t="inlineStr">
        <is>
          <t>22</t>
        </is>
      </c>
      <c r="K524" t="inlineStr">
        <is>
          <t>Completed</t>
        </is>
      </c>
      <c r="L524" t="inlineStr">
        <is>
          <t>2019</t>
        </is>
      </c>
      <c r="M524" t="inlineStr">
        <is>
          <t>6.0-6.5</t>
        </is>
      </c>
      <c r="N524" t="inlineStr">
        <is>
          <t>5-7</t>
        </is>
      </c>
      <c r="O524" t="inlineStr">
        <is>
          <t>11.0-13.5</t>
        </is>
      </c>
      <c r="P524" t="inlineStr">
        <is>
          <t>Emirates Intl School</t>
        </is>
      </c>
      <c r="Q524" t="inlineStr">
        <is>
          <t>Saudi German Hospital</t>
        </is>
      </c>
      <c r="R524" t="inlineStr">
        <is>
          <t>Dubai Marina Mall</t>
        </is>
      </c>
      <c r="S524" t="inlineStr">
        <is>
          <t>Sheikh Zayed E11</t>
        </is>
      </c>
      <c r="T524" t="inlineStr">
        <is>
          <t>20</t>
        </is>
      </c>
      <c r="U524" t="inlineStr">
        <is>
          <t>5</t>
        </is>
      </c>
      <c r="V524" t="inlineStr">
        <is>
          <t>25</t>
        </is>
      </c>
      <c r="W524" t="inlineStr">
        <is>
          <t>30</t>
        </is>
      </c>
      <c r="X524" t="inlineStr">
        <is>
          <t>Guild_real_estate_master.csv</t>
        </is>
      </c>
    </row>
    <row r="525">
      <c r="A525" t="n">
        <v>524</v>
      </c>
      <c r="B525" t="n">
        <v>524</v>
      </c>
      <c r="C525" t="inlineStr">
        <is>
          <t>The Edge</t>
        </is>
      </c>
      <c r="D525" t="inlineStr">
        <is>
          <t>Sweid &amp; Sweid</t>
        </is>
      </c>
      <c r="E525" t="inlineStr">
        <is>
          <t>Dubai Internet City</t>
        </is>
      </c>
      <c r="F525" t="inlineStr">
        <is>
          <t>Office/Commercial</t>
        </is>
      </c>
      <c r="G525" t="inlineStr">
        <is>
          <t>Class A Office</t>
        </is>
      </c>
      <c r="H525" t="inlineStr">
        <is>
          <t>Lease Only</t>
        </is>
      </c>
      <c r="J525" t="inlineStr">
        <is>
          <t>25</t>
        </is>
      </c>
      <c r="K525" t="inlineStr">
        <is>
          <t>Completed</t>
        </is>
      </c>
      <c r="L525" t="inlineStr">
        <is>
          <t>2016</t>
        </is>
      </c>
      <c r="M525" t="inlineStr">
        <is>
          <t>8.0-9.0</t>
        </is>
      </c>
      <c r="P525" t="inlineStr">
        <is>
          <t>American Univ. Dubai</t>
        </is>
      </c>
      <c r="Q525" t="inlineStr">
        <is>
          <t>Saudi German Hospital</t>
        </is>
      </c>
      <c r="R525" t="inlineStr">
        <is>
          <t>Dubai Marina Mall</t>
        </is>
      </c>
      <c r="S525" t="inlineStr">
        <is>
          <t>Sheikh Zayed E11</t>
        </is>
      </c>
      <c r="T525" t="inlineStr">
        <is>
          <t>20</t>
        </is>
      </c>
      <c r="U525" t="inlineStr">
        <is>
          <t>2</t>
        </is>
      </c>
      <c r="V525" t="inlineStr">
        <is>
          <t>25</t>
        </is>
      </c>
      <c r="W525" t="inlineStr">
        <is>
          <t>30</t>
        </is>
      </c>
      <c r="X525" t="inlineStr">
        <is>
          <t>Guild_real_estate_master.csv</t>
        </is>
      </c>
    </row>
    <row r="526">
      <c r="A526" t="n">
        <v>525</v>
      </c>
      <c r="B526" t="n">
        <v>525</v>
      </c>
      <c r="C526" t="inlineStr">
        <is>
          <t>The 47th</t>
        </is>
      </c>
      <c r="D526" t="inlineStr">
        <is>
          <t>Sweid &amp; Sweid</t>
        </is>
      </c>
      <c r="E526" t="inlineStr">
        <is>
          <t>Sheikh Zayed Road</t>
        </is>
      </c>
      <c r="F526" t="inlineStr">
        <is>
          <t>Office/Commercial</t>
        </is>
      </c>
      <c r="G526" t="inlineStr">
        <is>
          <t>Class A Office</t>
        </is>
      </c>
      <c r="H526" t="inlineStr">
        <is>
          <t>Lease Only</t>
        </is>
      </c>
      <c r="J526" t="inlineStr">
        <is>
          <t>25</t>
        </is>
      </c>
      <c r="K526" t="inlineStr">
        <is>
          <t>Under Const</t>
        </is>
      </c>
      <c r="L526" t="inlineStr">
        <is>
          <t>2023</t>
        </is>
      </c>
      <c r="M526" t="inlineStr">
        <is>
          <t>8.0-9.0</t>
        </is>
      </c>
      <c r="P526" t="inlineStr">
        <is>
          <t>Hartland Intl</t>
        </is>
      </c>
      <c r="Q526" t="inlineStr">
        <is>
          <t>Mediclinic Dubai Mall</t>
        </is>
      </c>
      <c r="R526" t="inlineStr">
        <is>
          <t>Dubai Mall</t>
        </is>
      </c>
      <c r="S526" t="inlineStr">
        <is>
          <t>Sheikh Zayed E11</t>
        </is>
      </c>
      <c r="T526" t="inlineStr">
        <is>
          <t>5</t>
        </is>
      </c>
      <c r="U526" t="inlineStr">
        <is>
          <t>15</t>
        </is>
      </c>
      <c r="V526" t="inlineStr">
        <is>
          <t>15</t>
        </is>
      </c>
      <c r="W526" t="inlineStr">
        <is>
          <t>35</t>
        </is>
      </c>
      <c r="X526" t="inlineStr">
        <is>
          <t>Guild_real_estate_master.csv</t>
        </is>
      </c>
    </row>
    <row r="527">
      <c r="A527" t="n">
        <v>526</v>
      </c>
      <c r="B527" t="n">
        <v>526</v>
      </c>
      <c r="C527" t="inlineStr">
        <is>
          <t>6 Falak</t>
        </is>
      </c>
      <c r="D527" t="inlineStr">
        <is>
          <t>Sweid &amp; Sweid</t>
        </is>
      </c>
      <c r="E527" t="inlineStr">
        <is>
          <t>Dubai Internet City</t>
        </is>
      </c>
      <c r="F527" t="inlineStr">
        <is>
          <t>Office/Commercial</t>
        </is>
      </c>
      <c r="G527" t="inlineStr">
        <is>
          <t>Class A Office</t>
        </is>
      </c>
      <c r="H527" t="inlineStr">
        <is>
          <t>Lease Only</t>
        </is>
      </c>
      <c r="J527" t="inlineStr">
        <is>
          <t>25</t>
        </is>
      </c>
      <c r="K527" t="inlineStr">
        <is>
          <t>Completed</t>
        </is>
      </c>
      <c r="L527" t="inlineStr">
        <is>
          <t>2023</t>
        </is>
      </c>
      <c r="M527" t="inlineStr">
        <is>
          <t>8.0-9.0</t>
        </is>
      </c>
      <c r="P527" t="inlineStr">
        <is>
          <t>American Univ. Dubai</t>
        </is>
      </c>
      <c r="Q527" t="inlineStr">
        <is>
          <t>Saudi German Hospital</t>
        </is>
      </c>
      <c r="R527" t="inlineStr">
        <is>
          <t>Dubai Marina Mall</t>
        </is>
      </c>
      <c r="S527" t="inlineStr">
        <is>
          <t>Sheikh Zayed E11</t>
        </is>
      </c>
      <c r="T527" t="inlineStr">
        <is>
          <t>20</t>
        </is>
      </c>
      <c r="U527" t="inlineStr">
        <is>
          <t>2</t>
        </is>
      </c>
      <c r="V527" t="inlineStr">
        <is>
          <t>25</t>
        </is>
      </c>
      <c r="W527" t="inlineStr">
        <is>
          <t>30</t>
        </is>
      </c>
      <c r="X527" t="inlineStr">
        <is>
          <t>Guild_real_estate_master.csv</t>
        </is>
      </c>
    </row>
    <row r="528">
      <c r="A528" t="n">
        <v>527</v>
      </c>
      <c r="B528" t="n">
        <v>527</v>
      </c>
      <c r="C528" t="inlineStr">
        <is>
          <t>The Ritz-Carlton Residences</t>
        </is>
      </c>
      <c r="D528" t="inlineStr">
        <is>
          <t>Khamas Group</t>
        </is>
      </c>
      <c r="E528" t="inlineStr">
        <is>
          <t>Business Bay</t>
        </is>
      </c>
      <c r="F528" t="inlineStr">
        <is>
          <t>Branded Apts</t>
        </is>
      </c>
      <c r="G528" t="inlineStr">
        <is>
          <t>Service / Luxury</t>
        </is>
      </c>
      <c r="H528" t="inlineStr">
        <is>
          <t>5.5M</t>
        </is>
      </c>
      <c r="I528" t="inlineStr">
        <is>
          <t>3500</t>
        </is>
      </c>
      <c r="J528" t="inlineStr">
        <is>
          <t>40+</t>
        </is>
      </c>
      <c r="K528" t="inlineStr">
        <is>
          <t>60/40</t>
        </is>
      </c>
      <c r="L528" t="inlineStr">
        <is>
          <t>2022</t>
        </is>
      </c>
      <c r="M528" t="inlineStr">
        <is>
          <t>4.0-4.5</t>
        </is>
      </c>
      <c r="N528" t="inlineStr">
        <is>
          <t>8-10</t>
        </is>
      </c>
      <c r="O528" t="inlineStr">
        <is>
          <t>12.0-14.5</t>
        </is>
      </c>
      <c r="P528" t="inlineStr">
        <is>
          <t>Hartland Intl</t>
        </is>
      </c>
      <c r="Q528" t="inlineStr">
        <is>
          <t>Emirates Hospital BB</t>
        </is>
      </c>
      <c r="R528" t="inlineStr">
        <is>
          <t>Dubai Mall</t>
        </is>
      </c>
      <c r="S528" t="inlineStr">
        <is>
          <t>Al Khail E44</t>
        </is>
      </c>
      <c r="T528" t="inlineStr">
        <is>
          <t>5</t>
        </is>
      </c>
      <c r="U528" t="inlineStr">
        <is>
          <t>20</t>
        </is>
      </c>
      <c r="V528" t="inlineStr">
        <is>
          <t>15</t>
        </is>
      </c>
      <c r="W528" t="inlineStr">
        <is>
          <t>35</t>
        </is>
      </c>
      <c r="X528" t="inlineStr">
        <is>
          <t>Guild_real_estate_master.csv</t>
        </is>
      </c>
    </row>
    <row r="529">
      <c r="A529" t="n">
        <v>528</v>
      </c>
      <c r="B529" t="n">
        <v>528</v>
      </c>
      <c r="C529" t="inlineStr">
        <is>
          <t>Mama Residences</t>
        </is>
      </c>
      <c r="D529" t="inlineStr">
        <is>
          <t>Khamas Group</t>
        </is>
      </c>
      <c r="E529" t="inlineStr">
        <is>
          <t>Business Bay</t>
        </is>
      </c>
      <c r="F529" t="inlineStr">
        <is>
          <t>Branded Apts</t>
        </is>
      </c>
      <c r="G529" t="inlineStr">
        <is>
          <t>Trendy / Ennismore</t>
        </is>
      </c>
      <c r="H529" t="inlineStr">
        <is>
          <t>2.2M</t>
        </is>
      </c>
      <c r="I529" t="inlineStr">
        <is>
          <t>2500</t>
        </is>
      </c>
      <c r="J529" t="inlineStr">
        <is>
          <t>25</t>
        </is>
      </c>
      <c r="K529" t="inlineStr">
        <is>
          <t>60/40</t>
        </is>
      </c>
      <c r="L529" t="inlineStr">
        <is>
          <t>2022</t>
        </is>
      </c>
      <c r="M529" t="inlineStr">
        <is>
          <t>6.0-6.5</t>
        </is>
      </c>
      <c r="N529" t="inlineStr">
        <is>
          <t>7-9</t>
        </is>
      </c>
      <c r="O529" t="inlineStr">
        <is>
          <t>13.0-15.5</t>
        </is>
      </c>
      <c r="P529" t="inlineStr">
        <is>
          <t>Hartland Intl</t>
        </is>
      </c>
      <c r="Q529" t="inlineStr">
        <is>
          <t>Emirates Hospital BB</t>
        </is>
      </c>
      <c r="R529" t="inlineStr">
        <is>
          <t>Dubai Mall</t>
        </is>
      </c>
      <c r="S529" t="inlineStr">
        <is>
          <t>Al Khail E44</t>
        </is>
      </c>
      <c r="T529" t="inlineStr">
        <is>
          <t>5</t>
        </is>
      </c>
      <c r="U529" t="inlineStr">
        <is>
          <t>20</t>
        </is>
      </c>
      <c r="V529" t="inlineStr">
        <is>
          <t>15</t>
        </is>
      </c>
      <c r="W529" t="inlineStr">
        <is>
          <t>35</t>
        </is>
      </c>
      <c r="X529" t="inlineStr">
        <is>
          <t>Guild_real_estate_master.csv</t>
        </is>
      </c>
    </row>
    <row r="530">
      <c r="A530" t="n">
        <v>529</v>
      </c>
      <c r="B530" t="n">
        <v>529</v>
      </c>
      <c r="C530" t="inlineStr">
        <is>
          <t>Marriott Residences JVC</t>
        </is>
      </c>
      <c r="D530" t="inlineStr">
        <is>
          <t>Khamas Group</t>
        </is>
      </c>
      <c r="E530" t="inlineStr">
        <is>
          <t>JVC</t>
        </is>
      </c>
      <c r="F530" t="inlineStr">
        <is>
          <t>Branded Apts</t>
        </is>
      </c>
      <c r="G530" t="inlineStr">
        <is>
          <t>Hotel Service</t>
        </is>
      </c>
      <c r="H530" t="inlineStr">
        <is>
          <t>1.5M</t>
        </is>
      </c>
      <c r="I530" t="inlineStr">
        <is>
          <t>1600</t>
        </is>
      </c>
      <c r="J530" t="inlineStr">
        <is>
          <t>20</t>
        </is>
      </c>
      <c r="K530" t="inlineStr">
        <is>
          <t>60/40</t>
        </is>
      </c>
      <c r="L530" t="inlineStr">
        <is>
          <t>2023</t>
        </is>
      </c>
      <c r="M530" t="inlineStr">
        <is>
          <t>7.0-7.5</t>
        </is>
      </c>
      <c r="N530" t="inlineStr">
        <is>
          <t>6-8</t>
        </is>
      </c>
      <c r="O530" t="inlineStr">
        <is>
          <t>13.0-15.5</t>
        </is>
      </c>
      <c r="P530" t="inlineStr">
        <is>
          <t>JSS International</t>
        </is>
      </c>
      <c r="Q530" t="inlineStr">
        <is>
          <t>Saudi German Hospital</t>
        </is>
      </c>
      <c r="R530" t="inlineStr">
        <is>
          <t>Circle Mall</t>
        </is>
      </c>
      <c r="S530" t="inlineStr">
        <is>
          <t>Hessa St / E44</t>
        </is>
      </c>
      <c r="T530" t="inlineStr">
        <is>
          <t>20</t>
        </is>
      </c>
      <c r="U530" t="inlineStr">
        <is>
          <t>15</t>
        </is>
      </c>
      <c r="V530" t="inlineStr">
        <is>
          <t>25</t>
        </is>
      </c>
      <c r="W530" t="inlineStr">
        <is>
          <t>30</t>
        </is>
      </c>
      <c r="X530" t="inlineStr">
        <is>
          <t>Guild_real_estate_master.csv</t>
        </is>
      </c>
    </row>
    <row r="531">
      <c r="A531" t="n">
        <v>530</v>
      </c>
      <c r="B531" t="n">
        <v>530</v>
      </c>
      <c r="C531" t="inlineStr">
        <is>
          <t>The Autograph S Series</t>
        </is>
      </c>
      <c r="D531" t="inlineStr">
        <is>
          <t>Green Group</t>
        </is>
      </c>
      <c r="E531" t="inlineStr">
        <is>
          <t>JVC (District 15)</t>
        </is>
      </c>
      <c r="F531" t="inlineStr">
        <is>
          <t>Apartments</t>
        </is>
      </c>
      <c r="G531" t="inlineStr">
        <is>
          <t>Boutique / Design</t>
        </is>
      </c>
      <c r="H531" t="inlineStr">
        <is>
          <t>1.2M</t>
        </is>
      </c>
      <c r="I531" t="inlineStr">
        <is>
          <t>1450</t>
        </is>
      </c>
      <c r="J531" t="inlineStr">
        <is>
          <t>16</t>
        </is>
      </c>
      <c r="K531" t="inlineStr">
        <is>
          <t>50/50</t>
        </is>
      </c>
      <c r="L531" t="inlineStr">
        <is>
          <t>2024</t>
        </is>
      </c>
      <c r="M531" t="inlineStr">
        <is>
          <t>7.5-8.0</t>
        </is>
      </c>
      <c r="N531" t="inlineStr">
        <is>
          <t>8-10</t>
        </is>
      </c>
      <c r="O531" t="inlineStr">
        <is>
          <t>15.5-18.0</t>
        </is>
      </c>
      <c r="P531" t="inlineStr">
        <is>
          <t>JSS International</t>
        </is>
      </c>
      <c r="Q531" t="inlineStr">
        <is>
          <t>Saudi German Hospital</t>
        </is>
      </c>
      <c r="R531" t="inlineStr">
        <is>
          <t>Circle Mall</t>
        </is>
      </c>
      <c r="S531" t="inlineStr">
        <is>
          <t>Hessa St / E44</t>
        </is>
      </c>
      <c r="T531" t="inlineStr">
        <is>
          <t>20</t>
        </is>
      </c>
      <c r="U531" t="inlineStr">
        <is>
          <t>15</t>
        </is>
      </c>
      <c r="V531" t="inlineStr">
        <is>
          <t>25</t>
        </is>
      </c>
      <c r="W531" t="inlineStr">
        <is>
          <t>30</t>
        </is>
      </c>
      <c r="X531" t="inlineStr">
        <is>
          <t>Guild_real_estate_master.csv</t>
        </is>
      </c>
    </row>
    <row r="532">
      <c r="A532" t="n">
        <v>531</v>
      </c>
      <c r="B532" t="n">
        <v>531</v>
      </c>
      <c r="C532" t="inlineStr">
        <is>
          <t>The Autograph X Series</t>
        </is>
      </c>
      <c r="D532" t="inlineStr">
        <is>
          <t>Green Group</t>
        </is>
      </c>
      <c r="E532" t="inlineStr">
        <is>
          <t>JVC (District 13)</t>
        </is>
      </c>
      <c r="F532" t="inlineStr">
        <is>
          <t>Townhouses</t>
        </is>
      </c>
      <c r="G532" t="inlineStr">
        <is>
          <t>Boutique / Luxury</t>
        </is>
      </c>
      <c r="H532" t="inlineStr">
        <is>
          <t>3.6M</t>
        </is>
      </c>
      <c r="I532" t="inlineStr">
        <is>
          <t>1100</t>
        </is>
      </c>
      <c r="J532" t="inlineStr">
        <is>
          <t>12</t>
        </is>
      </c>
      <c r="K532" t="inlineStr">
        <is>
          <t>50/50</t>
        </is>
      </c>
      <c r="L532" t="inlineStr">
        <is>
          <t>2023</t>
        </is>
      </c>
      <c r="M532" t="inlineStr">
        <is>
          <t>7.0-7.5</t>
        </is>
      </c>
      <c r="N532" t="inlineStr">
        <is>
          <t>8-10</t>
        </is>
      </c>
      <c r="O532" t="inlineStr">
        <is>
          <t>15.0-17.5</t>
        </is>
      </c>
      <c r="P532" t="inlineStr">
        <is>
          <t>JSS International</t>
        </is>
      </c>
      <c r="Q532" t="inlineStr">
        <is>
          <t>Saudi German Hospital</t>
        </is>
      </c>
      <c r="R532" t="inlineStr">
        <is>
          <t>Circle Mall</t>
        </is>
      </c>
      <c r="S532" t="inlineStr">
        <is>
          <t>Hessa St / E44</t>
        </is>
      </c>
      <c r="T532" t="inlineStr">
        <is>
          <t>20</t>
        </is>
      </c>
      <c r="U532" t="inlineStr">
        <is>
          <t>15</t>
        </is>
      </c>
      <c r="V532" t="inlineStr">
        <is>
          <t>25</t>
        </is>
      </c>
      <c r="W532" t="inlineStr">
        <is>
          <t>30</t>
        </is>
      </c>
      <c r="X532" t="inlineStr">
        <is>
          <t>Guild_real_estate_master.csv</t>
        </is>
      </c>
    </row>
    <row r="533">
      <c r="A533" t="n">
        <v>532</v>
      </c>
      <c r="B533" t="n">
        <v>532</v>
      </c>
      <c r="C533" t="inlineStr">
        <is>
          <t>The Autograph I Series</t>
        </is>
      </c>
      <c r="D533" t="inlineStr">
        <is>
          <t>Green Group</t>
        </is>
      </c>
      <c r="E533" t="inlineStr">
        <is>
          <t>JVC</t>
        </is>
      </c>
      <c r="F533" t="inlineStr">
        <is>
          <t>Apartments</t>
        </is>
      </c>
      <c r="G533" t="inlineStr">
        <is>
          <t>Boutique / Smart</t>
        </is>
      </c>
      <c r="H533" t="inlineStr">
        <is>
          <t>1.1M</t>
        </is>
      </c>
      <c r="I533" t="inlineStr">
        <is>
          <t>1400</t>
        </is>
      </c>
      <c r="J533" t="inlineStr">
        <is>
          <t>16</t>
        </is>
      </c>
      <c r="K533" t="inlineStr">
        <is>
          <t>50/50</t>
        </is>
      </c>
      <c r="L533" t="inlineStr">
        <is>
          <t>2024</t>
        </is>
      </c>
      <c r="M533" t="inlineStr">
        <is>
          <t>7.5-8.0</t>
        </is>
      </c>
      <c r="N533" t="inlineStr">
        <is>
          <t>8-10</t>
        </is>
      </c>
      <c r="O533" t="inlineStr">
        <is>
          <t>15.5-18.0</t>
        </is>
      </c>
      <c r="P533" t="inlineStr">
        <is>
          <t>JSS International</t>
        </is>
      </c>
      <c r="Q533" t="inlineStr">
        <is>
          <t>Saudi German Hospital</t>
        </is>
      </c>
      <c r="R533" t="inlineStr">
        <is>
          <t>Circle Mall</t>
        </is>
      </c>
      <c r="S533" t="inlineStr">
        <is>
          <t>Hessa St / E44</t>
        </is>
      </c>
      <c r="T533" t="inlineStr">
        <is>
          <t>20</t>
        </is>
      </c>
      <c r="U533" t="inlineStr">
        <is>
          <t>15</t>
        </is>
      </c>
      <c r="V533" t="inlineStr">
        <is>
          <t>25</t>
        </is>
      </c>
      <c r="W533" t="inlineStr">
        <is>
          <t>30</t>
        </is>
      </c>
      <c r="X533" t="inlineStr">
        <is>
          <t>Guild_real_estate_master.csv</t>
        </is>
      </c>
    </row>
    <row r="534">
      <c r="A534" t="n">
        <v>533</v>
      </c>
      <c r="B534" t="n">
        <v>533</v>
      </c>
      <c r="C534" t="inlineStr">
        <is>
          <t>Paradise Lakes (Resale)</t>
        </is>
      </c>
      <c r="D534" t="inlineStr">
        <is>
          <t>Sweet Homes (Orig.)</t>
        </is>
      </c>
      <c r="E534" t="inlineStr">
        <is>
          <t>Emirates City (Ajman)</t>
        </is>
      </c>
      <c r="F534" t="inlineStr">
        <is>
          <t>Apartments</t>
        </is>
      </c>
      <c r="G534" t="inlineStr">
        <is>
          <t>Budget / Resale</t>
        </is>
      </c>
      <c r="H534" t="inlineStr">
        <is>
          <t>250k</t>
        </is>
      </c>
      <c r="I534" t="inlineStr">
        <is>
          <t>350</t>
        </is>
      </c>
      <c r="J534" t="inlineStr">
        <is>
          <t>10</t>
        </is>
      </c>
      <c r="K534" t="inlineStr">
        <is>
          <t>Cash</t>
        </is>
      </c>
      <c r="L534" t="inlineStr">
        <is>
          <t>2008</t>
        </is>
      </c>
      <c r="M534" t="inlineStr">
        <is>
          <t>9.0-10.0</t>
        </is>
      </c>
      <c r="N534" t="inlineStr">
        <is>
          <t>3-5</t>
        </is>
      </c>
      <c r="O534" t="inlineStr">
        <is>
          <t>12.0-15.0</t>
        </is>
      </c>
      <c r="P534" t="inlineStr">
        <is>
          <t>Ajman Academy</t>
        </is>
      </c>
      <c r="Q534" t="inlineStr">
        <is>
          <t>Saudi German Ajman</t>
        </is>
      </c>
      <c r="R534" t="inlineStr">
        <is>
          <t>China Mall Ajman</t>
        </is>
      </c>
      <c r="S534" t="inlineStr">
        <is>
          <t>E311 (Ajman)</t>
        </is>
      </c>
      <c r="T534" t="inlineStr">
        <is>
          <t>40</t>
        </is>
      </c>
      <c r="U534" t="inlineStr">
        <is>
          <t>60</t>
        </is>
      </c>
      <c r="V534" t="inlineStr">
        <is>
          <t>25</t>
        </is>
      </c>
      <c r="W534" t="inlineStr">
        <is>
          <t>60</t>
        </is>
      </c>
      <c r="X534" t="inlineStr">
        <is>
          <t>Guild_real_estate_master.csv</t>
        </is>
      </c>
    </row>
    <row r="535">
      <c r="A535" t="n">
        <v>534</v>
      </c>
      <c r="B535" t="n">
        <v>534</v>
      </c>
      <c r="C535" t="inlineStr">
        <is>
          <t>Helvetia Residences</t>
        </is>
      </c>
      <c r="D535" t="inlineStr">
        <is>
          <t>DHG Properties</t>
        </is>
      </c>
      <c r="E535" t="inlineStr">
        <is>
          <t>JVC</t>
        </is>
      </c>
      <c r="F535" t="inlineStr">
        <is>
          <t>Apartments</t>
        </is>
      </c>
      <c r="G535" t="inlineStr">
        <is>
          <t>Swiss Quality</t>
        </is>
      </c>
      <c r="H535" t="inlineStr">
        <is>
          <t>900k</t>
        </is>
      </c>
      <c r="I535" t="inlineStr">
        <is>
          <t>1200</t>
        </is>
      </c>
      <c r="J535" t="inlineStr">
        <is>
          <t>15</t>
        </is>
      </c>
      <c r="K535" t="inlineStr">
        <is>
          <t>60/40</t>
        </is>
      </c>
      <c r="L535" t="inlineStr">
        <is>
          <t>2023</t>
        </is>
      </c>
      <c r="M535" t="inlineStr">
        <is>
          <t>7.5-8.0</t>
        </is>
      </c>
      <c r="N535" t="inlineStr">
        <is>
          <t>6-8</t>
        </is>
      </c>
      <c r="O535" t="inlineStr">
        <is>
          <t>13.5-16.0</t>
        </is>
      </c>
      <c r="P535" t="inlineStr">
        <is>
          <t>JSS International</t>
        </is>
      </c>
      <c r="Q535" t="inlineStr">
        <is>
          <t>Saudi German Hospital</t>
        </is>
      </c>
      <c r="R535" t="inlineStr">
        <is>
          <t>Circle Mall</t>
        </is>
      </c>
      <c r="S535" t="inlineStr">
        <is>
          <t>Hessa St / E44</t>
        </is>
      </c>
      <c r="T535" t="inlineStr">
        <is>
          <t>20</t>
        </is>
      </c>
      <c r="U535" t="inlineStr">
        <is>
          <t>15</t>
        </is>
      </c>
      <c r="V535" t="inlineStr">
        <is>
          <t>25</t>
        </is>
      </c>
      <c r="W535" t="inlineStr">
        <is>
          <t>30</t>
        </is>
      </c>
      <c r="X535" t="inlineStr">
        <is>
          <t>Guild_real_estate_master.csv</t>
        </is>
      </c>
    </row>
    <row r="536">
      <c r="A536" t="n">
        <v>535</v>
      </c>
      <c r="B536" t="n">
        <v>535</v>
      </c>
      <c r="C536" t="inlineStr">
        <is>
          <t>Helvetia Marine</t>
        </is>
      </c>
      <c r="D536" t="inlineStr">
        <is>
          <t>DHG Properties</t>
        </is>
      </c>
      <c r="E536" t="inlineStr">
        <is>
          <t>Dubai Maritime City</t>
        </is>
      </c>
      <c r="F536" t="inlineStr">
        <is>
          <t>Apartments</t>
        </is>
      </c>
      <c r="G536" t="inlineStr">
        <is>
          <t>Sea View</t>
        </is>
      </c>
      <c r="H536" t="inlineStr">
        <is>
          <t>1.5M</t>
        </is>
      </c>
      <c r="I536" t="inlineStr">
        <is>
          <t>1600</t>
        </is>
      </c>
      <c r="J536" t="inlineStr">
        <is>
          <t>18</t>
        </is>
      </c>
      <c r="K536" t="inlineStr">
        <is>
          <t>60/40</t>
        </is>
      </c>
      <c r="L536" t="inlineStr">
        <is>
          <t>2024</t>
        </is>
      </c>
      <c r="M536" t="inlineStr">
        <is>
          <t>6.5-7.0</t>
        </is>
      </c>
      <c r="N536" t="inlineStr">
        <is>
          <t>8-10</t>
        </is>
      </c>
      <c r="O536" t="inlineStr">
        <is>
          <t>14.5-17.0</t>
        </is>
      </c>
      <c r="P536" t="inlineStr">
        <is>
          <t>New Academy School</t>
        </is>
      </c>
      <c r="Q536" t="inlineStr">
        <is>
          <t>Aster Hospital Mankhool</t>
        </is>
      </c>
      <c r="R536" t="inlineStr">
        <is>
          <t>Dubai Mall</t>
        </is>
      </c>
      <c r="S536" t="inlineStr">
        <is>
          <t>Al Khaleej / E11</t>
        </is>
      </c>
      <c r="T536" t="inlineStr">
        <is>
          <t>15</t>
        </is>
      </c>
      <c r="U536" t="inlineStr">
        <is>
          <t>25</t>
        </is>
      </c>
      <c r="V536" t="inlineStr">
        <is>
          <t>15</t>
        </is>
      </c>
      <c r="W536" t="inlineStr">
        <is>
          <t>45</t>
        </is>
      </c>
      <c r="X536" t="inlineStr">
        <is>
          <t>Guild_real_estate_master.csv</t>
        </is>
      </c>
    </row>
    <row r="537">
      <c r="A537" t="n">
        <v>536</v>
      </c>
      <c r="B537" t="n">
        <v>536</v>
      </c>
      <c r="C537" t="inlineStr">
        <is>
          <t>Helvetia Verde</t>
        </is>
      </c>
      <c r="D537" t="inlineStr">
        <is>
          <t>DHG Properties</t>
        </is>
      </c>
      <c r="E537" t="inlineStr">
        <is>
          <t>JVC</t>
        </is>
      </c>
      <c r="F537" t="inlineStr">
        <is>
          <t>Apartments</t>
        </is>
      </c>
      <c r="G537" t="inlineStr">
        <is>
          <t>Green</t>
        </is>
      </c>
      <c r="H537" t="inlineStr">
        <is>
          <t>950k</t>
        </is>
      </c>
      <c r="I537" t="inlineStr">
        <is>
          <t>1250</t>
        </is>
      </c>
      <c r="J537" t="inlineStr">
        <is>
          <t>15</t>
        </is>
      </c>
      <c r="K537" t="inlineStr">
        <is>
          <t>60/40</t>
        </is>
      </c>
      <c r="L537" t="inlineStr">
        <is>
          <t>2024</t>
        </is>
      </c>
      <c r="M537" t="inlineStr">
        <is>
          <t>7.5-8.0</t>
        </is>
      </c>
      <c r="N537" t="inlineStr">
        <is>
          <t>6-8</t>
        </is>
      </c>
      <c r="O537" t="inlineStr">
        <is>
          <t>13.5-16.0</t>
        </is>
      </c>
      <c r="P537" t="inlineStr">
        <is>
          <t>JSS International</t>
        </is>
      </c>
      <c r="Q537" t="inlineStr">
        <is>
          <t>Saudi German Hospital</t>
        </is>
      </c>
      <c r="R537" t="inlineStr">
        <is>
          <t>Circle Mall</t>
        </is>
      </c>
      <c r="S537" t="inlineStr">
        <is>
          <t>Hessa St / E44</t>
        </is>
      </c>
      <c r="T537" t="inlineStr">
        <is>
          <t>20</t>
        </is>
      </c>
      <c r="U537" t="inlineStr">
        <is>
          <t>15</t>
        </is>
      </c>
      <c r="V537" t="inlineStr">
        <is>
          <t>25</t>
        </is>
      </c>
      <c r="W537" t="inlineStr">
        <is>
          <t>30</t>
        </is>
      </c>
      <c r="X537" t="inlineStr">
        <is>
          <t>Guild_real_estate_master.csv</t>
        </is>
      </c>
    </row>
    <row r="538">
      <c r="A538" t="n">
        <v>537</v>
      </c>
      <c r="B538" t="n">
        <v>1</v>
      </c>
      <c r="C538" t="inlineStr">
        <is>
          <t>Grand Polo Club &amp; Resort</t>
        </is>
      </c>
      <c r="D538" t="inlineStr">
        <is>
          <t>Emaar Properties</t>
        </is>
      </c>
      <c r="E538" t="inlineStr">
        <is>
          <t>Near The Oasis/DIP</t>
        </is>
      </c>
      <c r="F538" t="inlineStr">
        <is>
          <t>Villas &amp; Townhouses</t>
        </is>
      </c>
      <c r="G538" t="inlineStr">
        <is>
          <t>Gated / Golf / Equine</t>
        </is>
      </c>
      <c r="H538" t="inlineStr">
        <is>
          <t>3.6M (TH) / 5.7M (Villa)</t>
        </is>
      </c>
      <c r="I538" t="inlineStr">
        <is>
          <t>1400-1600</t>
        </is>
      </c>
      <c r="J538" t="inlineStr">
        <is>
          <t>TBA</t>
        </is>
      </c>
      <c r="K538" t="inlineStr">
        <is>
          <t>80/20</t>
        </is>
      </c>
      <c r="L538" t="inlineStr">
        <is>
          <t>Q1 2025</t>
        </is>
      </c>
      <c r="M538" t="inlineStr">
        <is>
          <t>5.5-6.5</t>
        </is>
      </c>
      <c r="N538" t="inlineStr">
        <is>
          <t>8-12</t>
        </is>
      </c>
      <c r="O538" t="inlineStr">
        <is>
          <t>13.5-18.5</t>
        </is>
      </c>
      <c r="P538" t="inlineStr">
        <is>
          <t>Victory Heights / South View</t>
        </is>
      </c>
      <c r="Q538" t="inlineStr">
        <is>
          <t>NMC Royal DIP</t>
        </is>
      </c>
      <c r="R538" t="inlineStr">
        <is>
          <t>Damac Mall / First Ave</t>
        </is>
      </c>
      <c r="S538" t="inlineStr">
        <is>
          <t>Yalayis St / E611</t>
        </is>
      </c>
      <c r="T538" t="inlineStr">
        <is>
          <t>25</t>
        </is>
      </c>
      <c r="U538" t="inlineStr">
        <is>
          <t>20</t>
        </is>
      </c>
      <c r="V538" t="inlineStr">
        <is>
          <t>30</t>
        </is>
      </c>
      <c r="W538" t="inlineStr">
        <is>
          <t>18</t>
        </is>
      </c>
      <c r="X538" t="inlineStr">
        <is>
          <t>Guild.csv</t>
        </is>
      </c>
    </row>
    <row r="539">
      <c r="A539" t="n">
        <v>538</v>
      </c>
      <c r="B539" t="n">
        <v>2</v>
      </c>
      <c r="C539" t="inlineStr">
        <is>
          <t>Equiterra (Phases 1 &amp; 2)</t>
        </is>
      </c>
      <c r="D539" t="inlineStr">
        <is>
          <t>Emaar Properties</t>
        </is>
      </c>
      <c r="E539" t="inlineStr">
        <is>
          <t>Grand Polo Club</t>
        </is>
      </c>
      <c r="F539" t="inlineStr">
        <is>
          <t>Townhouses</t>
        </is>
      </c>
      <c r="G539" t="inlineStr">
        <is>
          <t>Gated Community</t>
        </is>
      </c>
      <c r="H539" t="inlineStr">
        <is>
          <t>3.6M</t>
        </is>
      </c>
      <c r="I539" t="inlineStr">
        <is>
          <t>1450</t>
        </is>
      </c>
      <c r="J539" t="inlineStr">
        <is>
          <t>TBA</t>
        </is>
      </c>
      <c r="K539" t="inlineStr">
        <is>
          <t>80/20</t>
        </is>
      </c>
      <c r="L539" t="inlineStr">
        <is>
          <t>Q1 2025</t>
        </is>
      </c>
      <c r="M539" t="inlineStr">
        <is>
          <t>5.5-6.0</t>
        </is>
      </c>
      <c r="N539" t="inlineStr">
        <is>
          <t>8-12</t>
        </is>
      </c>
      <c r="O539" t="inlineStr">
        <is>
          <t>13.5-18.0</t>
        </is>
      </c>
      <c r="P539" t="inlineStr">
        <is>
          <t>Victory Heights / South View</t>
        </is>
      </c>
      <c r="Q539" t="inlineStr">
        <is>
          <t>NMC Royal DIP</t>
        </is>
      </c>
      <c r="R539" t="inlineStr">
        <is>
          <t>Damac Mall / First Ave</t>
        </is>
      </c>
      <c r="S539" t="inlineStr">
        <is>
          <t>Yalayis St / E611</t>
        </is>
      </c>
      <c r="T539" t="inlineStr">
        <is>
          <t>25</t>
        </is>
      </c>
      <c r="U539" t="inlineStr">
        <is>
          <t>20</t>
        </is>
      </c>
      <c r="V539" t="inlineStr">
        <is>
          <t>30</t>
        </is>
      </c>
      <c r="W539" t="inlineStr">
        <is>
          <t>18</t>
        </is>
      </c>
      <c r="X539" t="inlineStr">
        <is>
          <t>Guild.csv</t>
        </is>
      </c>
    </row>
    <row r="540">
      <c r="A540" t="n">
        <v>539</v>
      </c>
      <c r="B540" t="n">
        <v>3</v>
      </c>
      <c r="C540" t="inlineStr">
        <is>
          <t>Equestra</t>
        </is>
      </c>
      <c r="D540" t="inlineStr">
        <is>
          <t>Emaar Properties</t>
        </is>
      </c>
      <c r="E540" t="inlineStr">
        <is>
          <t>Grand Polo Club</t>
        </is>
      </c>
      <c r="F540" t="inlineStr">
        <is>
          <t>Townhouses</t>
        </is>
      </c>
      <c r="G540" t="inlineStr">
        <is>
          <t>Gated Community</t>
        </is>
      </c>
      <c r="H540" t="inlineStr">
        <is>
          <t>3.7M</t>
        </is>
      </c>
      <c r="I540" t="inlineStr">
        <is>
          <t>1450</t>
        </is>
      </c>
      <c r="J540" t="inlineStr">
        <is>
          <t>TBA</t>
        </is>
      </c>
      <c r="K540" t="inlineStr">
        <is>
          <t>80/20</t>
        </is>
      </c>
      <c r="L540" t="inlineStr">
        <is>
          <t>Q1 2025</t>
        </is>
      </c>
      <c r="M540" t="inlineStr">
        <is>
          <t>5.5-6.0</t>
        </is>
      </c>
      <c r="N540" t="inlineStr">
        <is>
          <t>8-12</t>
        </is>
      </c>
      <c r="O540" t="inlineStr">
        <is>
          <t>13.5-18.0</t>
        </is>
      </c>
      <c r="P540" t="inlineStr">
        <is>
          <t>Victory Heights / South View</t>
        </is>
      </c>
      <c r="Q540" t="inlineStr">
        <is>
          <t>NMC Royal DIP</t>
        </is>
      </c>
      <c r="R540" t="inlineStr">
        <is>
          <t>Damac Mall / First Ave</t>
        </is>
      </c>
      <c r="S540" t="inlineStr">
        <is>
          <t>Yalayis St / E611</t>
        </is>
      </c>
      <c r="T540" t="inlineStr">
        <is>
          <t>25</t>
        </is>
      </c>
      <c r="U540" t="inlineStr">
        <is>
          <t>20</t>
        </is>
      </c>
      <c r="V540" t="inlineStr">
        <is>
          <t>30</t>
        </is>
      </c>
      <c r="W540" t="inlineStr">
        <is>
          <t>18</t>
        </is>
      </c>
      <c r="X540" t="inlineStr">
        <is>
          <t>Guild.csv</t>
        </is>
      </c>
    </row>
    <row r="541">
      <c r="A541" t="n">
        <v>540</v>
      </c>
      <c r="B541" t="n">
        <v>4</v>
      </c>
      <c r="C541" t="inlineStr">
        <is>
          <t>Chevalia Estate 2</t>
        </is>
      </c>
      <c r="D541" t="inlineStr">
        <is>
          <t>Emaar Properties</t>
        </is>
      </c>
      <c r="E541" t="inlineStr">
        <is>
          <t>Grand Polo Club</t>
        </is>
      </c>
      <c r="F541" t="inlineStr">
        <is>
          <t>Villas (Large)</t>
        </is>
      </c>
      <c r="G541" t="inlineStr">
        <is>
          <t>Gated Community</t>
        </is>
      </c>
      <c r="H541" t="inlineStr">
        <is>
          <t>7.9M</t>
        </is>
      </c>
      <c r="I541" t="inlineStr">
        <is>
          <t>1600</t>
        </is>
      </c>
      <c r="J541" t="inlineStr">
        <is>
          <t>TBA</t>
        </is>
      </c>
      <c r="K541" t="inlineStr">
        <is>
          <t>80/20</t>
        </is>
      </c>
      <c r="L541" t="inlineStr">
        <is>
          <t>Q1 2025</t>
        </is>
      </c>
      <c r="M541" t="inlineStr">
        <is>
          <t>4.5-5.5</t>
        </is>
      </c>
      <c r="N541" t="inlineStr">
        <is>
          <t>8-12</t>
        </is>
      </c>
      <c r="O541" t="inlineStr">
        <is>
          <t>12.5-17.5</t>
        </is>
      </c>
      <c r="P541" t="inlineStr">
        <is>
          <t>Victory Heights / South View</t>
        </is>
      </c>
      <c r="Q541" t="inlineStr">
        <is>
          <t>NMC Royal DIP</t>
        </is>
      </c>
      <c r="R541" t="inlineStr">
        <is>
          <t>Damac Mall / First Ave</t>
        </is>
      </c>
      <c r="S541" t="inlineStr">
        <is>
          <t>Yalayis St / E611</t>
        </is>
      </c>
      <c r="T541" t="inlineStr">
        <is>
          <t>25</t>
        </is>
      </c>
      <c r="U541" t="inlineStr">
        <is>
          <t>20</t>
        </is>
      </c>
      <c r="V541" t="inlineStr">
        <is>
          <t>30</t>
        </is>
      </c>
      <c r="W541" t="inlineStr">
        <is>
          <t>18</t>
        </is>
      </c>
      <c r="X541" t="inlineStr">
        <is>
          <t>Guild.csv</t>
        </is>
      </c>
    </row>
    <row r="542">
      <c r="A542" t="n">
        <v>541</v>
      </c>
      <c r="B542" t="n">
        <v>5</v>
      </c>
      <c r="C542" t="inlineStr">
        <is>
          <t>Selvara (Phases 3 &amp; 4)</t>
        </is>
      </c>
      <c r="D542" t="inlineStr">
        <is>
          <t>Emaar Properties</t>
        </is>
      </c>
      <c r="E542" t="inlineStr">
        <is>
          <t>Grand Polo Club</t>
        </is>
      </c>
      <c r="F542" t="inlineStr">
        <is>
          <t>Villas</t>
        </is>
      </c>
      <c r="G542" t="inlineStr">
        <is>
          <t>Gated Community</t>
        </is>
      </c>
      <c r="H542" t="inlineStr">
        <is>
          <t>6.2M</t>
        </is>
      </c>
      <c r="I542" t="inlineStr">
        <is>
          <t>1550</t>
        </is>
      </c>
      <c r="J542" t="inlineStr">
        <is>
          <t>TBA</t>
        </is>
      </c>
      <c r="K542" t="inlineStr">
        <is>
          <t>80/20</t>
        </is>
      </c>
      <c r="L542" t="inlineStr">
        <is>
          <t>Q1 2025</t>
        </is>
      </c>
      <c r="M542" t="inlineStr">
        <is>
          <t>5.0-5.5</t>
        </is>
      </c>
      <c r="N542" t="inlineStr">
        <is>
          <t>8-12</t>
        </is>
      </c>
      <c r="O542" t="inlineStr">
        <is>
          <t>13.0-17.5</t>
        </is>
      </c>
      <c r="P542" t="inlineStr">
        <is>
          <t>Victory Heights / South View</t>
        </is>
      </c>
      <c r="Q542" t="inlineStr">
        <is>
          <t>NMC Royal DIP</t>
        </is>
      </c>
      <c r="R542" t="inlineStr">
        <is>
          <t>Damac Mall / First Ave</t>
        </is>
      </c>
      <c r="S542" t="inlineStr">
        <is>
          <t>Yalayis St / E611</t>
        </is>
      </c>
      <c r="T542" t="inlineStr">
        <is>
          <t>25</t>
        </is>
      </c>
      <c r="U542" t="inlineStr">
        <is>
          <t>20</t>
        </is>
      </c>
      <c r="V542" t="inlineStr">
        <is>
          <t>30</t>
        </is>
      </c>
      <c r="W542" t="inlineStr">
        <is>
          <t>18</t>
        </is>
      </c>
      <c r="X542" t="inlineStr">
        <is>
          <t>Guild.csv</t>
        </is>
      </c>
    </row>
    <row r="543">
      <c r="A543" t="n">
        <v>542</v>
      </c>
      <c r="B543" t="n">
        <v>6</v>
      </c>
      <c r="C543" t="inlineStr">
        <is>
          <t>Rashid Yachts &amp; Marina</t>
        </is>
      </c>
      <c r="D543" t="inlineStr">
        <is>
          <t>Emaar Properties</t>
        </is>
      </c>
      <c r="E543" t="inlineStr">
        <is>
          <t>Mina Rashid</t>
        </is>
      </c>
      <c r="F543" t="inlineStr">
        <is>
          <t>Mixed</t>
        </is>
      </c>
      <c r="G543" t="inlineStr">
        <is>
          <t>Waterfront / Marina</t>
        </is>
      </c>
      <c r="J543" t="inlineStr">
        <is>
          <t>25-30</t>
        </is>
      </c>
      <c r="K543" t="inlineStr">
        <is>
          <t>Varies</t>
        </is>
      </c>
      <c r="L543" t="inlineStr">
        <is>
          <t>2023-2025</t>
        </is>
      </c>
      <c r="M543" t="inlineStr">
        <is>
          <t>5.5-6.5</t>
        </is>
      </c>
      <c r="N543" t="inlineStr">
        <is>
          <t>10-15</t>
        </is>
      </c>
      <c r="O543" t="inlineStr">
        <is>
          <t>15.5-21.5</t>
        </is>
      </c>
      <c r="P543" t="inlineStr">
        <is>
          <t>New Academy School</t>
        </is>
      </c>
      <c r="Q543" t="inlineStr">
        <is>
          <t>Aster Hospital Mankhool</t>
        </is>
      </c>
      <c r="R543" t="inlineStr">
        <is>
          <t>Dubai Mall / City Centre</t>
        </is>
      </c>
      <c r="S543" t="inlineStr">
        <is>
          <t>Al Khaleej / E11</t>
        </is>
      </c>
      <c r="T543" t="inlineStr">
        <is>
          <t>15</t>
        </is>
      </c>
      <c r="U543" t="inlineStr">
        <is>
          <t>25</t>
        </is>
      </c>
      <c r="V543" t="inlineStr">
        <is>
          <t>15</t>
        </is>
      </c>
      <c r="W543" t="inlineStr">
        <is>
          <t>45</t>
        </is>
      </c>
      <c r="X543" t="inlineStr">
        <is>
          <t>Guild.csv</t>
        </is>
      </c>
    </row>
    <row r="544">
      <c r="A544" t="n">
        <v>543</v>
      </c>
      <c r="B544" t="n">
        <v>7</v>
      </c>
      <c r="C544" t="inlineStr">
        <is>
          <t>Aurea</t>
        </is>
      </c>
      <c r="D544" t="inlineStr">
        <is>
          <t>Emaar Properties</t>
        </is>
      </c>
      <c r="E544" t="inlineStr">
        <is>
          <t>Rashid Yachts &amp; Marina</t>
        </is>
      </c>
      <c r="F544" t="inlineStr">
        <is>
          <t>Apartments</t>
        </is>
      </c>
      <c r="G544" t="inlineStr">
        <is>
          <t>Waterfront</t>
        </is>
      </c>
      <c r="H544" t="inlineStr">
        <is>
          <t>1.8M</t>
        </is>
      </c>
      <c r="I544" t="inlineStr">
        <is>
          <t>2200</t>
        </is>
      </c>
      <c r="J544" t="inlineStr">
        <is>
          <t>25</t>
        </is>
      </c>
      <c r="K544" t="inlineStr">
        <is>
          <t>80/20</t>
        </is>
      </c>
      <c r="L544" t="inlineStr">
        <is>
          <t>2024</t>
        </is>
      </c>
      <c r="M544" t="inlineStr">
        <is>
          <t>5.5-6.0</t>
        </is>
      </c>
      <c r="N544" t="inlineStr">
        <is>
          <t>10-12</t>
        </is>
      </c>
      <c r="O544" t="inlineStr">
        <is>
          <t>15.5-18.0</t>
        </is>
      </c>
      <c r="P544" t="inlineStr">
        <is>
          <t>New Academy School</t>
        </is>
      </c>
      <c r="Q544" t="inlineStr">
        <is>
          <t>Aster Hospital Mankhool</t>
        </is>
      </c>
      <c r="R544" t="inlineStr">
        <is>
          <t>Dubai Mall / City Centre</t>
        </is>
      </c>
      <c r="S544" t="inlineStr">
        <is>
          <t>Al Khaleej / E11</t>
        </is>
      </c>
      <c r="T544" t="inlineStr">
        <is>
          <t>15</t>
        </is>
      </c>
      <c r="U544" t="inlineStr">
        <is>
          <t>25</t>
        </is>
      </c>
      <c r="V544" t="inlineStr">
        <is>
          <t>15</t>
        </is>
      </c>
      <c r="W544" t="inlineStr">
        <is>
          <t>45</t>
        </is>
      </c>
      <c r="X544" t="inlineStr">
        <is>
          <t>Guild.csv</t>
        </is>
      </c>
    </row>
    <row r="545">
      <c r="A545" t="n">
        <v>544</v>
      </c>
      <c r="B545" t="n">
        <v>8</v>
      </c>
      <c r="C545" t="inlineStr">
        <is>
          <t>Pier Point</t>
        </is>
      </c>
      <c r="D545" t="inlineStr">
        <is>
          <t>Emaar Properties</t>
        </is>
      </c>
      <c r="E545" t="inlineStr">
        <is>
          <t>Rashid Yachts &amp; Marina</t>
        </is>
      </c>
      <c r="F545" t="inlineStr">
        <is>
          <t>Apartments</t>
        </is>
      </c>
      <c r="G545" t="inlineStr">
        <is>
          <t>Waterfront</t>
        </is>
      </c>
      <c r="H545" t="inlineStr">
        <is>
          <t>2.1M</t>
        </is>
      </c>
      <c r="I545" t="inlineStr">
        <is>
          <t>2300</t>
        </is>
      </c>
      <c r="J545" t="inlineStr">
        <is>
          <t>25</t>
        </is>
      </c>
      <c r="K545" t="inlineStr">
        <is>
          <t>80/20</t>
        </is>
      </c>
      <c r="L545" t="inlineStr">
        <is>
          <t>2024</t>
        </is>
      </c>
      <c r="M545" t="inlineStr">
        <is>
          <t>5.5-6.0</t>
        </is>
      </c>
      <c r="N545" t="inlineStr">
        <is>
          <t>10-12</t>
        </is>
      </c>
      <c r="O545" t="inlineStr">
        <is>
          <t>15.5-18.0</t>
        </is>
      </c>
      <c r="P545" t="inlineStr">
        <is>
          <t>New Academy School</t>
        </is>
      </c>
      <c r="Q545" t="inlineStr">
        <is>
          <t>Aster Hospital Mankhool</t>
        </is>
      </c>
      <c r="R545" t="inlineStr">
        <is>
          <t>Dubai Mall / City Centre</t>
        </is>
      </c>
      <c r="S545" t="inlineStr">
        <is>
          <t>Al Khaleej / E11</t>
        </is>
      </c>
      <c r="T545" t="inlineStr">
        <is>
          <t>15</t>
        </is>
      </c>
      <c r="U545" t="inlineStr">
        <is>
          <t>25</t>
        </is>
      </c>
      <c r="V545" t="inlineStr">
        <is>
          <t>15</t>
        </is>
      </c>
      <c r="W545" t="inlineStr">
        <is>
          <t>45</t>
        </is>
      </c>
      <c r="X545" t="inlineStr">
        <is>
          <t>Guild.csv</t>
        </is>
      </c>
    </row>
    <row r="546">
      <c r="A546" t="n">
        <v>545</v>
      </c>
      <c r="B546" t="n">
        <v>9</v>
      </c>
      <c r="C546" t="inlineStr">
        <is>
          <t>Marina Cove</t>
        </is>
      </c>
      <c r="D546" t="inlineStr">
        <is>
          <t>Emaar Properties</t>
        </is>
      </c>
      <c r="E546" t="inlineStr">
        <is>
          <t>Rashid Yachts &amp; Marina</t>
        </is>
      </c>
      <c r="F546" t="inlineStr">
        <is>
          <t>Apartments</t>
        </is>
      </c>
      <c r="G546" t="inlineStr">
        <is>
          <t>Waterfront</t>
        </is>
      </c>
      <c r="H546" t="inlineStr">
        <is>
          <t>1.9M</t>
        </is>
      </c>
      <c r="I546" t="inlineStr">
        <is>
          <t>2250</t>
        </is>
      </c>
      <c r="J546" t="inlineStr">
        <is>
          <t>25</t>
        </is>
      </c>
      <c r="K546" t="inlineStr">
        <is>
          <t>80/20</t>
        </is>
      </c>
      <c r="L546" t="inlineStr">
        <is>
          <t>2024</t>
        </is>
      </c>
      <c r="M546" t="inlineStr">
        <is>
          <t>5.5-6.0</t>
        </is>
      </c>
      <c r="N546" t="inlineStr">
        <is>
          <t>10-12</t>
        </is>
      </c>
      <c r="O546" t="inlineStr">
        <is>
          <t>15.5-18.0</t>
        </is>
      </c>
      <c r="P546" t="inlineStr">
        <is>
          <t>New Academy School</t>
        </is>
      </c>
      <c r="Q546" t="inlineStr">
        <is>
          <t>Aster Hospital Mankhool</t>
        </is>
      </c>
      <c r="R546" t="inlineStr">
        <is>
          <t>Dubai Mall / City Centre</t>
        </is>
      </c>
      <c r="S546" t="inlineStr">
        <is>
          <t>Al Khaleej / E11</t>
        </is>
      </c>
      <c r="T546" t="inlineStr">
        <is>
          <t>15</t>
        </is>
      </c>
      <c r="U546" t="inlineStr">
        <is>
          <t>25</t>
        </is>
      </c>
      <c r="V546" t="inlineStr">
        <is>
          <t>15</t>
        </is>
      </c>
      <c r="W546" t="inlineStr">
        <is>
          <t>45</t>
        </is>
      </c>
      <c r="X546" t="inlineStr">
        <is>
          <t>Guild.csv</t>
        </is>
      </c>
    </row>
    <row r="547">
      <c r="A547" t="n">
        <v>546</v>
      </c>
      <c r="B547" t="n">
        <v>10</v>
      </c>
      <c r="C547" t="inlineStr">
        <is>
          <t>Sera 2</t>
        </is>
      </c>
      <c r="D547" t="inlineStr">
        <is>
          <t>Emaar Properties</t>
        </is>
      </c>
      <c r="E547" t="inlineStr">
        <is>
          <t>Rashid Yachts &amp; Marina</t>
        </is>
      </c>
      <c r="F547" t="inlineStr">
        <is>
          <t>Apartments</t>
        </is>
      </c>
      <c r="G547" t="inlineStr">
        <is>
          <t>Waterfront</t>
        </is>
      </c>
      <c r="H547" t="inlineStr">
        <is>
          <t>1.7M</t>
        </is>
      </c>
      <c r="I547" t="inlineStr">
        <is>
          <t>2100</t>
        </is>
      </c>
      <c r="J547" t="inlineStr">
        <is>
          <t>25</t>
        </is>
      </c>
      <c r="K547" t="inlineStr">
        <is>
          <t>80/20</t>
        </is>
      </c>
      <c r="L547" t="inlineStr">
        <is>
          <t>2024</t>
        </is>
      </c>
      <c r="M547" t="inlineStr">
        <is>
          <t>6.0-6.5</t>
        </is>
      </c>
      <c r="N547" t="inlineStr">
        <is>
          <t>10-12</t>
        </is>
      </c>
      <c r="O547" t="inlineStr">
        <is>
          <t>16.0-18.5</t>
        </is>
      </c>
      <c r="P547" t="inlineStr">
        <is>
          <t>New Academy School</t>
        </is>
      </c>
      <c r="Q547" t="inlineStr">
        <is>
          <t>Aster Hospital Mankhool</t>
        </is>
      </c>
      <c r="R547" t="inlineStr">
        <is>
          <t>Dubai Mall / City Centre</t>
        </is>
      </c>
      <c r="S547" t="inlineStr">
        <is>
          <t>Al Khaleej / E11</t>
        </is>
      </c>
      <c r="T547" t="inlineStr">
        <is>
          <t>15</t>
        </is>
      </c>
      <c r="U547" t="inlineStr">
        <is>
          <t>25</t>
        </is>
      </c>
      <c r="V547" t="inlineStr">
        <is>
          <t>15</t>
        </is>
      </c>
      <c r="W547" t="inlineStr">
        <is>
          <t>45</t>
        </is>
      </c>
      <c r="X547" t="inlineStr">
        <is>
          <t>Guild.csv</t>
        </is>
      </c>
    </row>
    <row r="548">
      <c r="A548" t="n">
        <v>547</v>
      </c>
      <c r="B548" t="n">
        <v>11</v>
      </c>
      <c r="C548" t="inlineStr">
        <is>
          <t>Ocean Cove</t>
        </is>
      </c>
      <c r="D548" t="inlineStr">
        <is>
          <t>Emaar Properties</t>
        </is>
      </c>
      <c r="E548" t="inlineStr">
        <is>
          <t>Rashid Yachts &amp; Marina</t>
        </is>
      </c>
      <c r="F548" t="inlineStr">
        <is>
          <t>Apartments</t>
        </is>
      </c>
      <c r="G548" t="inlineStr">
        <is>
          <t>Waterfront</t>
        </is>
      </c>
      <c r="H548" t="inlineStr">
        <is>
          <t>1.8M</t>
        </is>
      </c>
      <c r="I548" t="inlineStr">
        <is>
          <t>2200</t>
        </is>
      </c>
      <c r="J548" t="inlineStr">
        <is>
          <t>25</t>
        </is>
      </c>
      <c r="K548" t="inlineStr">
        <is>
          <t>80/20</t>
        </is>
      </c>
      <c r="L548" t="inlineStr">
        <is>
          <t>2024</t>
        </is>
      </c>
      <c r="M548" t="inlineStr">
        <is>
          <t>5.5-6.0</t>
        </is>
      </c>
      <c r="N548" t="inlineStr">
        <is>
          <t>10-12</t>
        </is>
      </c>
      <c r="O548" t="inlineStr">
        <is>
          <t>15.5-18.0</t>
        </is>
      </c>
      <c r="P548" t="inlineStr">
        <is>
          <t>New Academy School</t>
        </is>
      </c>
      <c r="Q548" t="inlineStr">
        <is>
          <t>Aster Hospital Mankhool</t>
        </is>
      </c>
      <c r="R548" t="inlineStr">
        <is>
          <t>Dubai Mall / City Centre</t>
        </is>
      </c>
      <c r="S548" t="inlineStr">
        <is>
          <t>Al Khaleej / E11</t>
        </is>
      </c>
      <c r="T548" t="inlineStr">
        <is>
          <t>15</t>
        </is>
      </c>
      <c r="U548" t="inlineStr">
        <is>
          <t>25</t>
        </is>
      </c>
      <c r="V548" t="inlineStr">
        <is>
          <t>15</t>
        </is>
      </c>
      <c r="W548" t="inlineStr">
        <is>
          <t>45</t>
        </is>
      </c>
      <c r="X548" t="inlineStr">
        <is>
          <t>Guild.csv</t>
        </is>
      </c>
    </row>
    <row r="549">
      <c r="A549" t="n">
        <v>548</v>
      </c>
      <c r="B549" t="n">
        <v>12</v>
      </c>
      <c r="C549" t="inlineStr">
        <is>
          <t>Baystar</t>
        </is>
      </c>
      <c r="D549" t="inlineStr">
        <is>
          <t>Emaar Properties</t>
        </is>
      </c>
      <c r="E549" t="inlineStr">
        <is>
          <t>Rashid Yachts &amp; Marina</t>
        </is>
      </c>
      <c r="F549" t="inlineStr">
        <is>
          <t>Apartments</t>
        </is>
      </c>
      <c r="G549" t="inlineStr">
        <is>
          <t>Waterfront</t>
        </is>
      </c>
      <c r="H549" t="inlineStr">
        <is>
          <t>1.75M</t>
        </is>
      </c>
      <c r="I549" t="inlineStr">
        <is>
          <t>2150</t>
        </is>
      </c>
      <c r="J549" t="inlineStr">
        <is>
          <t>25</t>
        </is>
      </c>
      <c r="K549" t="inlineStr">
        <is>
          <t>80/20</t>
        </is>
      </c>
      <c r="L549" t="inlineStr">
        <is>
          <t>2024</t>
        </is>
      </c>
      <c r="M549" t="inlineStr">
        <is>
          <t>5.5-6.0</t>
        </is>
      </c>
      <c r="N549" t="inlineStr">
        <is>
          <t>10-12</t>
        </is>
      </c>
      <c r="O549" t="inlineStr">
        <is>
          <t>15.5-18.0</t>
        </is>
      </c>
      <c r="P549" t="inlineStr">
        <is>
          <t>New Academy School</t>
        </is>
      </c>
      <c r="Q549" t="inlineStr">
        <is>
          <t>Aster Hospital Mankhool</t>
        </is>
      </c>
      <c r="R549" t="inlineStr">
        <is>
          <t>Dubai Mall / City Centre</t>
        </is>
      </c>
      <c r="S549" t="inlineStr">
        <is>
          <t>Al Khaleej / E11</t>
        </is>
      </c>
      <c r="T549" t="inlineStr">
        <is>
          <t>15</t>
        </is>
      </c>
      <c r="U549" t="inlineStr">
        <is>
          <t>25</t>
        </is>
      </c>
      <c r="V549" t="inlineStr">
        <is>
          <t>15</t>
        </is>
      </c>
      <c r="W549" t="inlineStr">
        <is>
          <t>45</t>
        </is>
      </c>
      <c r="X549" t="inlineStr">
        <is>
          <t>Guild.csv</t>
        </is>
      </c>
    </row>
    <row r="550">
      <c r="A550" t="n">
        <v>549</v>
      </c>
      <c r="B550" t="n">
        <v>13</v>
      </c>
      <c r="C550" t="inlineStr">
        <is>
          <t>Seagate</t>
        </is>
      </c>
      <c r="D550" t="inlineStr">
        <is>
          <t>Emaar Properties</t>
        </is>
      </c>
      <c r="E550" t="inlineStr">
        <is>
          <t>Rashid Yachts &amp; Marina</t>
        </is>
      </c>
      <c r="F550" t="inlineStr">
        <is>
          <t>Apartments</t>
        </is>
      </c>
      <c r="G550" t="inlineStr">
        <is>
          <t>Waterfront</t>
        </is>
      </c>
      <c r="H550" t="inlineStr">
        <is>
          <t>1.6M</t>
        </is>
      </c>
      <c r="I550" t="inlineStr">
        <is>
          <t>2000</t>
        </is>
      </c>
      <c r="J550" t="inlineStr">
        <is>
          <t>25</t>
        </is>
      </c>
      <c r="K550" t="inlineStr">
        <is>
          <t>80/20</t>
        </is>
      </c>
      <c r="L550" t="inlineStr">
        <is>
          <t>2023</t>
        </is>
      </c>
      <c r="M550" t="inlineStr">
        <is>
          <t>6.0-6.5</t>
        </is>
      </c>
      <c r="N550" t="inlineStr">
        <is>
          <t>8-10</t>
        </is>
      </c>
      <c r="O550" t="inlineStr">
        <is>
          <t>14.0-16.5</t>
        </is>
      </c>
      <c r="P550" t="inlineStr">
        <is>
          <t>New Academy School</t>
        </is>
      </c>
      <c r="Q550" t="inlineStr">
        <is>
          <t>Aster Hospital Mankhool</t>
        </is>
      </c>
      <c r="R550" t="inlineStr">
        <is>
          <t>Dubai Mall / City Centre</t>
        </is>
      </c>
      <c r="S550" t="inlineStr">
        <is>
          <t>Al Khaleej / E11</t>
        </is>
      </c>
      <c r="T550" t="inlineStr">
        <is>
          <t>15</t>
        </is>
      </c>
      <c r="U550" t="inlineStr">
        <is>
          <t>25</t>
        </is>
      </c>
      <c r="V550" t="inlineStr">
        <is>
          <t>15</t>
        </is>
      </c>
      <c r="W550" t="inlineStr">
        <is>
          <t>45</t>
        </is>
      </c>
      <c r="X550" t="inlineStr">
        <is>
          <t>Guild.csv</t>
        </is>
      </c>
    </row>
    <row r="551">
      <c r="A551" t="n">
        <v>550</v>
      </c>
      <c r="B551" t="n">
        <v>14</v>
      </c>
      <c r="C551" t="inlineStr">
        <is>
          <t>Clearpoint</t>
        </is>
      </c>
      <c r="D551" t="inlineStr">
        <is>
          <t>Emaar Properties</t>
        </is>
      </c>
      <c r="E551" t="inlineStr">
        <is>
          <t>Rashid Yachts &amp; Marina</t>
        </is>
      </c>
      <c r="F551" t="inlineStr">
        <is>
          <t>Apartments</t>
        </is>
      </c>
      <c r="G551" t="inlineStr">
        <is>
          <t>Waterfront</t>
        </is>
      </c>
      <c r="H551" t="inlineStr">
        <is>
          <t>1.6M</t>
        </is>
      </c>
      <c r="I551" t="inlineStr">
        <is>
          <t>2000</t>
        </is>
      </c>
      <c r="J551" t="inlineStr">
        <is>
          <t>25</t>
        </is>
      </c>
      <c r="K551" t="inlineStr">
        <is>
          <t>80/20</t>
        </is>
      </c>
      <c r="L551" t="inlineStr">
        <is>
          <t>2023</t>
        </is>
      </c>
      <c r="M551" t="inlineStr">
        <is>
          <t>6.0-6.5</t>
        </is>
      </c>
      <c r="N551" t="inlineStr">
        <is>
          <t>8-10</t>
        </is>
      </c>
      <c r="O551" t="inlineStr">
        <is>
          <t>14.0-16.5</t>
        </is>
      </c>
      <c r="P551" t="inlineStr">
        <is>
          <t>New Academy School</t>
        </is>
      </c>
      <c r="Q551" t="inlineStr">
        <is>
          <t>Aster Hospital Mankhool</t>
        </is>
      </c>
      <c r="R551" t="inlineStr">
        <is>
          <t>Dubai Mall / City Centre</t>
        </is>
      </c>
      <c r="S551" t="inlineStr">
        <is>
          <t>Al Khaleej / E11</t>
        </is>
      </c>
      <c r="T551" t="inlineStr">
        <is>
          <t>15</t>
        </is>
      </c>
      <c r="U551" t="inlineStr">
        <is>
          <t>25</t>
        </is>
      </c>
      <c r="V551" t="inlineStr">
        <is>
          <t>15</t>
        </is>
      </c>
      <c r="W551" t="inlineStr">
        <is>
          <t>45</t>
        </is>
      </c>
      <c r="X551" t="inlineStr">
        <is>
          <t>Guild.csv</t>
        </is>
      </c>
    </row>
    <row r="552">
      <c r="A552" t="n">
        <v>551</v>
      </c>
      <c r="B552" t="n">
        <v>15</v>
      </c>
      <c r="C552" t="inlineStr">
        <is>
          <t>Sunridge</t>
        </is>
      </c>
      <c r="D552" t="inlineStr">
        <is>
          <t>Emaar Properties</t>
        </is>
      </c>
      <c r="E552" t="inlineStr">
        <is>
          <t>Rashid Yachts &amp; Marina</t>
        </is>
      </c>
      <c r="F552" t="inlineStr">
        <is>
          <t>Apartments</t>
        </is>
      </c>
      <c r="G552" t="inlineStr">
        <is>
          <t>Waterfront</t>
        </is>
      </c>
      <c r="H552" t="inlineStr">
        <is>
          <t>1.55M</t>
        </is>
      </c>
      <c r="I552" t="inlineStr">
        <is>
          <t>1950</t>
        </is>
      </c>
      <c r="J552" t="inlineStr">
        <is>
          <t>25</t>
        </is>
      </c>
      <c r="K552" t="inlineStr">
        <is>
          <t>80/20</t>
        </is>
      </c>
      <c r="L552" t="inlineStr">
        <is>
          <t>2023</t>
        </is>
      </c>
      <c r="M552" t="inlineStr">
        <is>
          <t>6.0-6.5</t>
        </is>
      </c>
      <c r="N552" t="inlineStr">
        <is>
          <t>8-10</t>
        </is>
      </c>
      <c r="O552" t="inlineStr">
        <is>
          <t>14.0-16.5</t>
        </is>
      </c>
      <c r="P552" t="inlineStr">
        <is>
          <t>New Academy School</t>
        </is>
      </c>
      <c r="Q552" t="inlineStr">
        <is>
          <t>Aster Hospital Mankhool</t>
        </is>
      </c>
      <c r="R552" t="inlineStr">
        <is>
          <t>Dubai Mall / City Centre</t>
        </is>
      </c>
      <c r="S552" t="inlineStr">
        <is>
          <t>Al Khaleej / E11</t>
        </is>
      </c>
      <c r="T552" t="inlineStr">
        <is>
          <t>15</t>
        </is>
      </c>
      <c r="U552" t="inlineStr">
        <is>
          <t>25</t>
        </is>
      </c>
      <c r="V552" t="inlineStr">
        <is>
          <t>15</t>
        </is>
      </c>
      <c r="W552" t="inlineStr">
        <is>
          <t>45</t>
        </is>
      </c>
      <c r="X552" t="inlineStr">
        <is>
          <t>Guild.csv</t>
        </is>
      </c>
    </row>
    <row r="553">
      <c r="A553" t="n">
        <v>552</v>
      </c>
      <c r="B553" t="n">
        <v>16</v>
      </c>
      <c r="C553" t="inlineStr">
        <is>
          <t>Dubai Creek Harbour</t>
        </is>
      </c>
      <c r="D553" t="inlineStr">
        <is>
          <t>Emaar Properties</t>
        </is>
      </c>
      <c r="E553" t="inlineStr">
        <is>
          <t>The Creek</t>
        </is>
      </c>
      <c r="F553" t="inlineStr">
        <is>
          <t>Mixed</t>
        </is>
      </c>
      <c r="G553" t="inlineStr">
        <is>
          <t>Waterfront / City</t>
        </is>
      </c>
      <c r="J553" t="inlineStr">
        <is>
          <t>25-30</t>
        </is>
      </c>
      <c r="K553" t="inlineStr">
        <is>
          <t>Varies</t>
        </is>
      </c>
      <c r="L553" t="inlineStr">
        <is>
          <t>Ongoing</t>
        </is>
      </c>
      <c r="M553" t="inlineStr">
        <is>
          <t>5.5-6.5</t>
        </is>
      </c>
      <c r="N553" t="inlineStr">
        <is>
          <t>9-12</t>
        </is>
      </c>
      <c r="O553" t="inlineStr">
        <is>
          <t>14.5-18.5</t>
        </is>
      </c>
      <c r="P553" t="inlineStr">
        <is>
          <t>Swiss Intl School</t>
        </is>
      </c>
      <c r="Q553" t="inlineStr">
        <is>
          <t>American Hospital</t>
        </is>
      </c>
      <c r="R553" t="inlineStr">
        <is>
          <t>Dubai Festival City</t>
        </is>
      </c>
      <c r="S553" t="inlineStr">
        <is>
          <t>Ras Al Khor / E44</t>
        </is>
      </c>
      <c r="T553" t="inlineStr">
        <is>
          <t>12</t>
        </is>
      </c>
      <c r="U553" t="inlineStr">
        <is>
          <t>25</t>
        </is>
      </c>
      <c r="V553" t="inlineStr">
        <is>
          <t>10</t>
        </is>
      </c>
      <c r="W553" t="inlineStr">
        <is>
          <t>40</t>
        </is>
      </c>
      <c r="X553" t="inlineStr">
        <is>
          <t>Guild.csv</t>
        </is>
      </c>
    </row>
    <row r="554">
      <c r="A554" t="n">
        <v>553</v>
      </c>
      <c r="B554" t="n">
        <v>17</v>
      </c>
      <c r="C554" t="inlineStr">
        <is>
          <t>Valo</t>
        </is>
      </c>
      <c r="D554" t="inlineStr">
        <is>
          <t>Emaar Properties</t>
        </is>
      </c>
      <c r="E554" t="inlineStr">
        <is>
          <t>Dubai Creek Harbour</t>
        </is>
      </c>
      <c r="F554" t="inlineStr">
        <is>
          <t>Apartments</t>
        </is>
      </c>
      <c r="G554" t="inlineStr">
        <is>
          <t>Waterfront / Metro</t>
        </is>
      </c>
      <c r="H554" t="inlineStr">
        <is>
          <t>1.9M</t>
        </is>
      </c>
      <c r="I554" t="inlineStr">
        <is>
          <t>2300</t>
        </is>
      </c>
      <c r="J554" t="inlineStr">
        <is>
          <t>25</t>
        </is>
      </c>
      <c r="K554" t="inlineStr">
        <is>
          <t>80/20</t>
        </is>
      </c>
      <c r="L554" t="inlineStr">
        <is>
          <t>2024</t>
        </is>
      </c>
      <c r="M554" t="inlineStr">
        <is>
          <t>5.5-6.0</t>
        </is>
      </c>
      <c r="N554" t="inlineStr">
        <is>
          <t>9-12</t>
        </is>
      </c>
      <c r="O554" t="inlineStr">
        <is>
          <t>14.5-18.0</t>
        </is>
      </c>
      <c r="P554" t="inlineStr">
        <is>
          <t>Swiss Intl School</t>
        </is>
      </c>
      <c r="Q554" t="inlineStr">
        <is>
          <t>American Hospital</t>
        </is>
      </c>
      <c r="R554" t="inlineStr">
        <is>
          <t>Dubai Festival City</t>
        </is>
      </c>
      <c r="S554" t="inlineStr">
        <is>
          <t>Ras Al Khor / E44</t>
        </is>
      </c>
      <c r="T554" t="inlineStr">
        <is>
          <t>12</t>
        </is>
      </c>
      <c r="U554" t="inlineStr">
        <is>
          <t>25</t>
        </is>
      </c>
      <c r="V554" t="inlineStr">
        <is>
          <t>10</t>
        </is>
      </c>
      <c r="W554" t="inlineStr">
        <is>
          <t>40</t>
        </is>
      </c>
      <c r="X554" t="inlineStr">
        <is>
          <t>Guild.csv</t>
        </is>
      </c>
    </row>
    <row r="555">
      <c r="A555" t="n">
        <v>554</v>
      </c>
      <c r="B555" t="n">
        <v>18</v>
      </c>
      <c r="C555" t="inlineStr">
        <is>
          <t>Aeon</t>
        </is>
      </c>
      <c r="D555" t="inlineStr">
        <is>
          <t>Emaar Properties</t>
        </is>
      </c>
      <c r="E555" t="inlineStr">
        <is>
          <t>Dubai Creek Harbour</t>
        </is>
      </c>
      <c r="F555" t="inlineStr">
        <is>
          <t>Apartments</t>
        </is>
      </c>
      <c r="G555" t="inlineStr">
        <is>
          <t>Waterfront</t>
        </is>
      </c>
      <c r="H555" t="inlineStr">
        <is>
          <t>1.8M</t>
        </is>
      </c>
      <c r="I555" t="inlineStr">
        <is>
          <t>2200</t>
        </is>
      </c>
      <c r="J555" t="inlineStr">
        <is>
          <t>25</t>
        </is>
      </c>
      <c r="K555" t="inlineStr">
        <is>
          <t>80/20</t>
        </is>
      </c>
      <c r="L555" t="inlineStr">
        <is>
          <t>2024</t>
        </is>
      </c>
      <c r="M555" t="inlineStr">
        <is>
          <t>5.5-6.0</t>
        </is>
      </c>
      <c r="N555" t="inlineStr">
        <is>
          <t>9-12</t>
        </is>
      </c>
      <c r="O555" t="inlineStr">
        <is>
          <t>14.5-18.0</t>
        </is>
      </c>
      <c r="P555" t="inlineStr">
        <is>
          <t>Swiss Intl School</t>
        </is>
      </c>
      <c r="Q555" t="inlineStr">
        <is>
          <t>American Hospital</t>
        </is>
      </c>
      <c r="R555" t="inlineStr">
        <is>
          <t>Dubai Festival City</t>
        </is>
      </c>
      <c r="S555" t="inlineStr">
        <is>
          <t>Ras Al Khor / E44</t>
        </is>
      </c>
      <c r="T555" t="inlineStr">
        <is>
          <t>12</t>
        </is>
      </c>
      <c r="U555" t="inlineStr">
        <is>
          <t>25</t>
        </is>
      </c>
      <c r="V555" t="inlineStr">
        <is>
          <t>10</t>
        </is>
      </c>
      <c r="W555" t="inlineStr">
        <is>
          <t>40</t>
        </is>
      </c>
      <c r="X555" t="inlineStr">
        <is>
          <t>Guild.csv</t>
        </is>
      </c>
    </row>
    <row r="556">
      <c r="A556" t="n">
        <v>555</v>
      </c>
      <c r="B556" t="n">
        <v>19</v>
      </c>
      <c r="C556" t="inlineStr">
        <is>
          <t>Oria</t>
        </is>
      </c>
      <c r="D556" t="inlineStr">
        <is>
          <t>Emaar Properties</t>
        </is>
      </c>
      <c r="E556" t="inlineStr">
        <is>
          <t>Dubai Creek Harbour</t>
        </is>
      </c>
      <c r="F556" t="inlineStr">
        <is>
          <t>Apartments</t>
        </is>
      </c>
      <c r="G556" t="inlineStr">
        <is>
          <t>Waterfront</t>
        </is>
      </c>
      <c r="H556" t="inlineStr">
        <is>
          <t>1.7M</t>
        </is>
      </c>
      <c r="I556" t="inlineStr">
        <is>
          <t>2100</t>
        </is>
      </c>
      <c r="J556" t="inlineStr">
        <is>
          <t>25</t>
        </is>
      </c>
      <c r="K556" t="inlineStr">
        <is>
          <t>80/20</t>
        </is>
      </c>
      <c r="L556" t="inlineStr">
        <is>
          <t>2024</t>
        </is>
      </c>
      <c r="M556" t="inlineStr">
        <is>
          <t>6.0-6.5</t>
        </is>
      </c>
      <c r="N556" t="inlineStr">
        <is>
          <t>9-12</t>
        </is>
      </c>
      <c r="O556" t="inlineStr">
        <is>
          <t>15.0-18.5</t>
        </is>
      </c>
      <c r="P556" t="inlineStr">
        <is>
          <t>Swiss Intl School</t>
        </is>
      </c>
      <c r="Q556" t="inlineStr">
        <is>
          <t>American Hospital</t>
        </is>
      </c>
      <c r="R556" t="inlineStr">
        <is>
          <t>Dubai Festival City</t>
        </is>
      </c>
      <c r="S556" t="inlineStr">
        <is>
          <t>Ras Al Khor / E44</t>
        </is>
      </c>
      <c r="T556" t="inlineStr">
        <is>
          <t>12</t>
        </is>
      </c>
      <c r="U556" t="inlineStr">
        <is>
          <t>25</t>
        </is>
      </c>
      <c r="V556" t="inlineStr">
        <is>
          <t>10</t>
        </is>
      </c>
      <c r="W556" t="inlineStr">
        <is>
          <t>40</t>
        </is>
      </c>
      <c r="X556" t="inlineStr">
        <is>
          <t>Guild.csv</t>
        </is>
      </c>
    </row>
    <row r="557">
      <c r="A557" t="n">
        <v>556</v>
      </c>
      <c r="B557" t="n">
        <v>20</v>
      </c>
      <c r="C557" t="inlineStr">
        <is>
          <t>Mangrove (Creek Beach)</t>
        </is>
      </c>
      <c r="D557" t="inlineStr">
        <is>
          <t>Emaar Properties</t>
        </is>
      </c>
      <c r="E557" t="inlineStr">
        <is>
          <t>Dubai Creek Harbour</t>
        </is>
      </c>
      <c r="F557" t="inlineStr">
        <is>
          <t>Apartments</t>
        </is>
      </c>
      <c r="G557" t="inlineStr">
        <is>
          <t>Beachfront</t>
        </is>
      </c>
      <c r="H557" t="inlineStr">
        <is>
          <t>1.6M</t>
        </is>
      </c>
      <c r="I557" t="inlineStr">
        <is>
          <t>2000</t>
        </is>
      </c>
      <c r="J557" t="inlineStr">
        <is>
          <t>25</t>
        </is>
      </c>
      <c r="K557" t="inlineStr">
        <is>
          <t>80/20</t>
        </is>
      </c>
      <c r="L557" t="inlineStr">
        <is>
          <t>2024</t>
        </is>
      </c>
      <c r="M557" t="inlineStr">
        <is>
          <t>6.0-6.5</t>
        </is>
      </c>
      <c r="N557" t="inlineStr">
        <is>
          <t>9-12</t>
        </is>
      </c>
      <c r="O557" t="inlineStr">
        <is>
          <t>15.0-18.5</t>
        </is>
      </c>
      <c r="P557" t="inlineStr">
        <is>
          <t>Swiss Intl School</t>
        </is>
      </c>
      <c r="Q557" t="inlineStr">
        <is>
          <t>American Hospital</t>
        </is>
      </c>
      <c r="R557" t="inlineStr">
        <is>
          <t>Dubai Festival City</t>
        </is>
      </c>
      <c r="S557" t="inlineStr">
        <is>
          <t>Ras Al Khor / E44</t>
        </is>
      </c>
      <c r="T557" t="inlineStr">
        <is>
          <t>12</t>
        </is>
      </c>
      <c r="U557" t="inlineStr">
        <is>
          <t>25</t>
        </is>
      </c>
      <c r="V557" t="inlineStr">
        <is>
          <t>10</t>
        </is>
      </c>
      <c r="W557" t="inlineStr">
        <is>
          <t>40</t>
        </is>
      </c>
      <c r="X557" t="inlineStr">
        <is>
          <t>Guild.csv</t>
        </is>
      </c>
    </row>
    <row r="558">
      <c r="A558" t="n">
        <v>557</v>
      </c>
      <c r="B558" t="n">
        <v>21</v>
      </c>
      <c r="C558" t="inlineStr">
        <is>
          <t>Altan</t>
        </is>
      </c>
      <c r="D558" t="inlineStr">
        <is>
          <t>Emaar Properties</t>
        </is>
      </c>
      <c r="E558" t="inlineStr">
        <is>
          <t>Dubai Creek Harbour</t>
        </is>
      </c>
      <c r="F558" t="inlineStr">
        <is>
          <t>Apartments</t>
        </is>
      </c>
      <c r="G558" t="inlineStr">
        <is>
          <t>Waterfront</t>
        </is>
      </c>
      <c r="H558" t="inlineStr">
        <is>
          <t>1.8M</t>
        </is>
      </c>
      <c r="I558" t="inlineStr">
        <is>
          <t>2200</t>
        </is>
      </c>
      <c r="J558" t="inlineStr">
        <is>
          <t>25</t>
        </is>
      </c>
      <c r="K558" t="inlineStr">
        <is>
          <t>80/20</t>
        </is>
      </c>
      <c r="L558" t="inlineStr">
        <is>
          <t>2024</t>
        </is>
      </c>
      <c r="M558" t="inlineStr">
        <is>
          <t>5.5-6.0</t>
        </is>
      </c>
      <c r="N558" t="inlineStr">
        <is>
          <t>9-12</t>
        </is>
      </c>
      <c r="O558" t="inlineStr">
        <is>
          <t>14.5-18.0</t>
        </is>
      </c>
      <c r="P558" t="inlineStr">
        <is>
          <t>Swiss Intl School</t>
        </is>
      </c>
      <c r="Q558" t="inlineStr">
        <is>
          <t>American Hospital</t>
        </is>
      </c>
      <c r="R558" t="inlineStr">
        <is>
          <t>Dubai Festival City</t>
        </is>
      </c>
      <c r="S558" t="inlineStr">
        <is>
          <t>Ras Al Khor / E44</t>
        </is>
      </c>
      <c r="T558" t="inlineStr">
        <is>
          <t>12</t>
        </is>
      </c>
      <c r="U558" t="inlineStr">
        <is>
          <t>25</t>
        </is>
      </c>
      <c r="V558" t="inlineStr">
        <is>
          <t>10</t>
        </is>
      </c>
      <c r="W558" t="inlineStr">
        <is>
          <t>40</t>
        </is>
      </c>
      <c r="X558" t="inlineStr">
        <is>
          <t>Guild.csv</t>
        </is>
      </c>
    </row>
    <row r="559">
      <c r="A559" t="n">
        <v>558</v>
      </c>
      <c r="B559" t="n">
        <v>22</v>
      </c>
      <c r="C559" t="inlineStr">
        <is>
          <t>Silva</t>
        </is>
      </c>
      <c r="D559" t="inlineStr">
        <is>
          <t>Emaar Properties</t>
        </is>
      </c>
      <c r="E559" t="inlineStr">
        <is>
          <t>Dubai Creek Harbour</t>
        </is>
      </c>
      <c r="F559" t="inlineStr">
        <is>
          <t>Apartments</t>
        </is>
      </c>
      <c r="G559" t="inlineStr">
        <is>
          <t>Waterfront</t>
        </is>
      </c>
      <c r="H559" t="inlineStr">
        <is>
          <t>1.85M</t>
        </is>
      </c>
      <c r="I559" t="inlineStr">
        <is>
          <t>2250</t>
        </is>
      </c>
      <c r="J559" t="inlineStr">
        <is>
          <t>25</t>
        </is>
      </c>
      <c r="K559" t="inlineStr">
        <is>
          <t>80/20</t>
        </is>
      </c>
      <c r="L559" t="inlineStr">
        <is>
          <t>2024</t>
        </is>
      </c>
      <c r="M559" t="inlineStr">
        <is>
          <t>5.5-6.0</t>
        </is>
      </c>
      <c r="N559" t="inlineStr">
        <is>
          <t>9-12</t>
        </is>
      </c>
      <c r="O559" t="inlineStr">
        <is>
          <t>14.5-18.0</t>
        </is>
      </c>
      <c r="P559" t="inlineStr">
        <is>
          <t>Swiss Intl School</t>
        </is>
      </c>
      <c r="Q559" t="inlineStr">
        <is>
          <t>American Hospital</t>
        </is>
      </c>
      <c r="R559" t="inlineStr">
        <is>
          <t>Dubai Festival City</t>
        </is>
      </c>
      <c r="S559" t="inlineStr">
        <is>
          <t>Ras Al Khor / E44</t>
        </is>
      </c>
      <c r="T559" t="inlineStr">
        <is>
          <t>12</t>
        </is>
      </c>
      <c r="U559" t="inlineStr">
        <is>
          <t>25</t>
        </is>
      </c>
      <c r="V559" t="inlineStr">
        <is>
          <t>10</t>
        </is>
      </c>
      <c r="W559" t="inlineStr">
        <is>
          <t>40</t>
        </is>
      </c>
      <c r="X559" t="inlineStr">
        <is>
          <t>Guild.csv</t>
        </is>
      </c>
    </row>
    <row r="560">
      <c r="A560" t="n">
        <v>559</v>
      </c>
      <c r="B560" t="n">
        <v>23</v>
      </c>
      <c r="C560" t="inlineStr">
        <is>
          <t>Albero</t>
        </is>
      </c>
      <c r="D560" t="inlineStr">
        <is>
          <t>Emaar Properties</t>
        </is>
      </c>
      <c r="E560" t="inlineStr">
        <is>
          <t>Dubai Creek Harbour</t>
        </is>
      </c>
      <c r="F560" t="inlineStr">
        <is>
          <t>Apartments</t>
        </is>
      </c>
      <c r="G560" t="inlineStr">
        <is>
          <t>Waterfront</t>
        </is>
      </c>
      <c r="H560" t="inlineStr">
        <is>
          <t>1.75M</t>
        </is>
      </c>
      <c r="I560" t="inlineStr">
        <is>
          <t>2150</t>
        </is>
      </c>
      <c r="J560" t="inlineStr">
        <is>
          <t>25</t>
        </is>
      </c>
      <c r="K560" t="inlineStr">
        <is>
          <t>80/20</t>
        </is>
      </c>
      <c r="L560" t="inlineStr">
        <is>
          <t>2024</t>
        </is>
      </c>
      <c r="M560" t="inlineStr">
        <is>
          <t>5.5-6.0</t>
        </is>
      </c>
      <c r="N560" t="inlineStr">
        <is>
          <t>9-12</t>
        </is>
      </c>
      <c r="O560" t="inlineStr">
        <is>
          <t>14.5-18.0</t>
        </is>
      </c>
      <c r="P560" t="inlineStr">
        <is>
          <t>Swiss Intl School</t>
        </is>
      </c>
      <c r="Q560" t="inlineStr">
        <is>
          <t>American Hospital</t>
        </is>
      </c>
      <c r="R560" t="inlineStr">
        <is>
          <t>Dubai Festival City</t>
        </is>
      </c>
      <c r="S560" t="inlineStr">
        <is>
          <t>Ras Al Khor / E44</t>
        </is>
      </c>
      <c r="T560" t="inlineStr">
        <is>
          <t>12</t>
        </is>
      </c>
      <c r="U560" t="inlineStr">
        <is>
          <t>25</t>
        </is>
      </c>
      <c r="V560" t="inlineStr">
        <is>
          <t>10</t>
        </is>
      </c>
      <c r="W560" t="inlineStr">
        <is>
          <t>40</t>
        </is>
      </c>
      <c r="X560" t="inlineStr">
        <is>
          <t>Guild.csv</t>
        </is>
      </c>
    </row>
    <row r="561">
      <c r="A561" t="n">
        <v>560</v>
      </c>
      <c r="B561" t="n">
        <v>24</v>
      </c>
      <c r="C561" t="inlineStr">
        <is>
          <t>Montiva</t>
        </is>
      </c>
      <c r="D561" t="inlineStr">
        <is>
          <t>Emaar Properties</t>
        </is>
      </c>
      <c r="E561" t="inlineStr">
        <is>
          <t>Dubai Creek Harbour</t>
        </is>
      </c>
      <c r="F561" t="inlineStr">
        <is>
          <t>Apartments</t>
        </is>
      </c>
      <c r="G561" t="inlineStr">
        <is>
          <t>Waterfront</t>
        </is>
      </c>
      <c r="H561" t="inlineStr">
        <is>
          <t>1.8M</t>
        </is>
      </c>
      <c r="I561" t="inlineStr">
        <is>
          <t>2200</t>
        </is>
      </c>
      <c r="J561" t="inlineStr">
        <is>
          <t>25</t>
        </is>
      </c>
      <c r="K561" t="inlineStr">
        <is>
          <t>80/20</t>
        </is>
      </c>
      <c r="L561" t="inlineStr">
        <is>
          <t>2024</t>
        </is>
      </c>
      <c r="M561" t="inlineStr">
        <is>
          <t>5.5-6.0</t>
        </is>
      </c>
      <c r="N561" t="inlineStr">
        <is>
          <t>9-12</t>
        </is>
      </c>
      <c r="O561" t="inlineStr">
        <is>
          <t>14.5-18.0</t>
        </is>
      </c>
      <c r="P561" t="inlineStr">
        <is>
          <t>Swiss Intl School</t>
        </is>
      </c>
      <c r="Q561" t="inlineStr">
        <is>
          <t>American Hospital</t>
        </is>
      </c>
      <c r="R561" t="inlineStr">
        <is>
          <t>Dubai Festival City</t>
        </is>
      </c>
      <c r="S561" t="inlineStr">
        <is>
          <t>Ras Al Khor / E44</t>
        </is>
      </c>
      <c r="T561" t="inlineStr">
        <is>
          <t>12</t>
        </is>
      </c>
      <c r="U561" t="inlineStr">
        <is>
          <t>25</t>
        </is>
      </c>
      <c r="V561" t="inlineStr">
        <is>
          <t>10</t>
        </is>
      </c>
      <c r="W561" t="inlineStr">
        <is>
          <t>40</t>
        </is>
      </c>
      <c r="X561" t="inlineStr">
        <is>
          <t>Guild.csv</t>
        </is>
      </c>
    </row>
    <row r="562">
      <c r="A562" t="n">
        <v>561</v>
      </c>
      <c r="B562" t="n">
        <v>25</v>
      </c>
      <c r="C562" t="inlineStr">
        <is>
          <t>Creek Waters 1</t>
        </is>
      </c>
      <c r="D562" t="inlineStr">
        <is>
          <t>Emaar Properties</t>
        </is>
      </c>
      <c r="E562" t="inlineStr">
        <is>
          <t>Dubai Creek Harbour</t>
        </is>
      </c>
      <c r="F562" t="inlineStr">
        <is>
          <t>Apartments</t>
        </is>
      </c>
      <c r="G562" t="inlineStr">
        <is>
          <t>Waterfront / Island</t>
        </is>
      </c>
      <c r="H562" t="inlineStr">
        <is>
          <t>2.2M</t>
        </is>
      </c>
      <c r="I562" t="inlineStr">
        <is>
          <t>2400</t>
        </is>
      </c>
      <c r="J562" t="inlineStr">
        <is>
          <t>25</t>
        </is>
      </c>
      <c r="K562" t="inlineStr">
        <is>
          <t>80/20</t>
        </is>
      </c>
      <c r="L562" t="inlineStr">
        <is>
          <t>2023</t>
        </is>
      </c>
      <c r="M562" t="inlineStr">
        <is>
          <t>5.0-5.5</t>
        </is>
      </c>
      <c r="N562" t="inlineStr">
        <is>
          <t>8-10</t>
        </is>
      </c>
      <c r="O562" t="inlineStr">
        <is>
          <t>13.0-15.5</t>
        </is>
      </c>
      <c r="P562" t="inlineStr">
        <is>
          <t>Swiss Intl School</t>
        </is>
      </c>
      <c r="Q562" t="inlineStr">
        <is>
          <t>American Hospital</t>
        </is>
      </c>
      <c r="R562" t="inlineStr">
        <is>
          <t>Dubai Festival City</t>
        </is>
      </c>
      <c r="S562" t="inlineStr">
        <is>
          <t>Ras Al Khor / E44</t>
        </is>
      </c>
      <c r="T562" t="inlineStr">
        <is>
          <t>12</t>
        </is>
      </c>
      <c r="U562" t="inlineStr">
        <is>
          <t>25</t>
        </is>
      </c>
      <c r="V562" t="inlineStr">
        <is>
          <t>10</t>
        </is>
      </c>
      <c r="W562" t="inlineStr">
        <is>
          <t>40</t>
        </is>
      </c>
      <c r="X562" t="inlineStr">
        <is>
          <t>Guild.csv</t>
        </is>
      </c>
    </row>
    <row r="563">
      <c r="A563" t="n">
        <v>562</v>
      </c>
      <c r="B563" t="n">
        <v>26</v>
      </c>
      <c r="C563" t="inlineStr">
        <is>
          <t>Creek Waters 2</t>
        </is>
      </c>
      <c r="D563" t="inlineStr">
        <is>
          <t>Emaar Properties</t>
        </is>
      </c>
      <c r="E563" t="inlineStr">
        <is>
          <t>Dubai Creek Harbour</t>
        </is>
      </c>
      <c r="F563" t="inlineStr">
        <is>
          <t>Apartments</t>
        </is>
      </c>
      <c r="G563" t="inlineStr">
        <is>
          <t>Waterfront / Island</t>
        </is>
      </c>
      <c r="H563" t="inlineStr">
        <is>
          <t>2.3M</t>
        </is>
      </c>
      <c r="I563" t="inlineStr">
        <is>
          <t>2450</t>
        </is>
      </c>
      <c r="J563" t="inlineStr">
        <is>
          <t>25</t>
        </is>
      </c>
      <c r="K563" t="inlineStr">
        <is>
          <t>80/20</t>
        </is>
      </c>
      <c r="L563" t="inlineStr">
        <is>
          <t>2023</t>
        </is>
      </c>
      <c r="M563" t="inlineStr">
        <is>
          <t>5.0-5.5</t>
        </is>
      </c>
      <c r="N563" t="inlineStr">
        <is>
          <t>8-10</t>
        </is>
      </c>
      <c r="O563" t="inlineStr">
        <is>
          <t>13.0-15.5</t>
        </is>
      </c>
      <c r="P563" t="inlineStr">
        <is>
          <t>Swiss Intl School</t>
        </is>
      </c>
      <c r="Q563" t="inlineStr">
        <is>
          <t>American Hospital</t>
        </is>
      </c>
      <c r="R563" t="inlineStr">
        <is>
          <t>Dubai Festival City</t>
        </is>
      </c>
      <c r="S563" t="inlineStr">
        <is>
          <t>Ras Al Khor / E44</t>
        </is>
      </c>
      <c r="T563" t="inlineStr">
        <is>
          <t>12</t>
        </is>
      </c>
      <c r="U563" t="inlineStr">
        <is>
          <t>25</t>
        </is>
      </c>
      <c r="V563" t="inlineStr">
        <is>
          <t>10</t>
        </is>
      </c>
      <c r="W563" t="inlineStr">
        <is>
          <t>40</t>
        </is>
      </c>
      <c r="X563" t="inlineStr">
        <is>
          <t>Guild.csv</t>
        </is>
      </c>
    </row>
    <row r="564">
      <c r="A564" t="n">
        <v>563</v>
      </c>
      <c r="B564" t="n">
        <v>27</v>
      </c>
      <c r="C564" t="inlineStr">
        <is>
          <t>Creek Gate</t>
        </is>
      </c>
      <c r="D564" t="inlineStr">
        <is>
          <t>Emaar Properties</t>
        </is>
      </c>
      <c r="E564" t="inlineStr">
        <is>
          <t>Dubai Creek Harbour</t>
        </is>
      </c>
      <c r="F564" t="inlineStr">
        <is>
          <t>Apartments</t>
        </is>
      </c>
      <c r="G564" t="inlineStr">
        <is>
          <t>Waterfront</t>
        </is>
      </c>
      <c r="H564" t="inlineStr">
        <is>
          <t>Resale</t>
        </is>
      </c>
      <c r="I564" t="inlineStr">
        <is>
          <t>1800</t>
        </is>
      </c>
      <c r="J564" t="inlineStr">
        <is>
          <t>25</t>
        </is>
      </c>
      <c r="K564" t="inlineStr">
        <is>
          <t>Completed</t>
        </is>
      </c>
      <c r="L564" t="inlineStr">
        <is>
          <t>2017</t>
        </is>
      </c>
      <c r="M564" t="inlineStr">
        <is>
          <t>6.0-6.5</t>
        </is>
      </c>
      <c r="N564" t="inlineStr">
        <is>
          <t>5-7</t>
        </is>
      </c>
      <c r="O564" t="inlineStr">
        <is>
          <t>11.0-13.5</t>
        </is>
      </c>
      <c r="P564" t="inlineStr">
        <is>
          <t>Swiss Intl School</t>
        </is>
      </c>
      <c r="Q564" t="inlineStr">
        <is>
          <t>American Hospital</t>
        </is>
      </c>
      <c r="R564" t="inlineStr">
        <is>
          <t>Dubai Festival City</t>
        </is>
      </c>
      <c r="S564" t="inlineStr">
        <is>
          <t>Ras Al Khor / E44</t>
        </is>
      </c>
      <c r="T564" t="inlineStr">
        <is>
          <t>12</t>
        </is>
      </c>
      <c r="U564" t="inlineStr">
        <is>
          <t>25</t>
        </is>
      </c>
      <c r="V564" t="inlineStr">
        <is>
          <t>10</t>
        </is>
      </c>
      <c r="W564" t="inlineStr">
        <is>
          <t>40</t>
        </is>
      </c>
      <c r="X564" t="inlineStr">
        <is>
          <t>Guild.csv</t>
        </is>
      </c>
    </row>
    <row r="565">
      <c r="A565" t="n">
        <v>564</v>
      </c>
      <c r="B565" t="n">
        <v>28</v>
      </c>
      <c r="C565" t="inlineStr">
        <is>
          <t>Address Grand Creek</t>
        </is>
      </c>
      <c r="D565" t="inlineStr">
        <is>
          <t>Emaar Properties</t>
        </is>
      </c>
      <c r="E565" t="inlineStr">
        <is>
          <t>Dubai Creek Harbour</t>
        </is>
      </c>
      <c r="F565" t="inlineStr">
        <is>
          <t>Branded Residences</t>
        </is>
      </c>
      <c r="G565" t="inlineStr">
        <is>
          <t>Luxury Hotel</t>
        </is>
      </c>
      <c r="H565" t="inlineStr">
        <is>
          <t>3.5M</t>
        </is>
      </c>
      <c r="I565" t="inlineStr">
        <is>
          <t>3500</t>
        </is>
      </c>
      <c r="J565" t="inlineStr">
        <is>
          <t>45+</t>
        </is>
      </c>
      <c r="K565" t="inlineStr">
        <is>
          <t>Varies</t>
        </is>
      </c>
      <c r="L565" t="inlineStr">
        <is>
          <t>2023</t>
        </is>
      </c>
      <c r="M565" t="inlineStr">
        <is>
          <t>4.0-5.0</t>
        </is>
      </c>
      <c r="N565" t="inlineStr">
        <is>
          <t>8-10</t>
        </is>
      </c>
      <c r="O565" t="inlineStr">
        <is>
          <t>12.0-15.0</t>
        </is>
      </c>
      <c r="P565" t="inlineStr">
        <is>
          <t>Swiss Intl School</t>
        </is>
      </c>
      <c r="Q565" t="inlineStr">
        <is>
          <t>American Hospital</t>
        </is>
      </c>
      <c r="R565" t="inlineStr">
        <is>
          <t>Dubai Festival City</t>
        </is>
      </c>
      <c r="S565" t="inlineStr">
        <is>
          <t>Ras Al Khor / E44</t>
        </is>
      </c>
      <c r="T565" t="inlineStr">
        <is>
          <t>12</t>
        </is>
      </c>
      <c r="U565" t="inlineStr">
        <is>
          <t>25</t>
        </is>
      </c>
      <c r="V565" t="inlineStr">
        <is>
          <t>10</t>
        </is>
      </c>
      <c r="W565" t="inlineStr">
        <is>
          <t>40</t>
        </is>
      </c>
      <c r="X565" t="inlineStr">
        <is>
          <t>Guild.csv</t>
        </is>
      </c>
    </row>
    <row r="566">
      <c r="A566" t="n">
        <v>565</v>
      </c>
      <c r="B566" t="n">
        <v>29</v>
      </c>
      <c r="C566" t="inlineStr">
        <is>
          <t>Dubai Hills Estate</t>
        </is>
      </c>
      <c r="D566" t="inlineStr">
        <is>
          <t>Emaar Properties</t>
        </is>
      </c>
      <c r="E566" t="inlineStr">
        <is>
          <t>Al Khail Road</t>
        </is>
      </c>
      <c r="F566" t="inlineStr">
        <is>
          <t>Mixed</t>
        </is>
      </c>
      <c r="G566" t="inlineStr">
        <is>
          <t>Golf / Central Park</t>
        </is>
      </c>
      <c r="J566" t="inlineStr">
        <is>
          <t>20-25</t>
        </is>
      </c>
      <c r="K566" t="inlineStr">
        <is>
          <t>Varies</t>
        </is>
      </c>
      <c r="L566" t="inlineStr">
        <is>
          <t>Ongoing</t>
        </is>
      </c>
      <c r="M566" t="inlineStr">
        <is>
          <t>5.5-6.5</t>
        </is>
      </c>
      <c r="N566" t="inlineStr">
        <is>
          <t>8-12</t>
        </is>
      </c>
      <c r="O566" t="inlineStr">
        <is>
          <t>13.5-18.5</t>
        </is>
      </c>
      <c r="P566" t="inlineStr">
        <is>
          <t>GEMS Wellington</t>
        </is>
      </c>
      <c r="Q566" t="inlineStr">
        <is>
          <t>King's College Hospital</t>
        </is>
      </c>
      <c r="R566" t="inlineStr">
        <is>
          <t>Dubai Hills Mall</t>
        </is>
      </c>
      <c r="S566" t="inlineStr">
        <is>
          <t>Al Khail E44</t>
        </is>
      </c>
      <c r="T566" t="inlineStr">
        <is>
          <t>15</t>
        </is>
      </c>
      <c r="U566" t="inlineStr">
        <is>
          <t>15</t>
        </is>
      </c>
      <c r="V566" t="inlineStr">
        <is>
          <t>20</t>
        </is>
      </c>
      <c r="W566" t="inlineStr">
        <is>
          <t>30</t>
        </is>
      </c>
      <c r="X566" t="inlineStr">
        <is>
          <t>Guild.csv</t>
        </is>
      </c>
    </row>
    <row r="567">
      <c r="A567" t="n">
        <v>566</v>
      </c>
      <c r="B567" t="n">
        <v>30</v>
      </c>
      <c r="C567" t="inlineStr">
        <is>
          <t>Park Gate 2</t>
        </is>
      </c>
      <c r="D567" t="inlineStr">
        <is>
          <t>Emaar Properties</t>
        </is>
      </c>
      <c r="E567" t="inlineStr">
        <is>
          <t>Dubai Hills Estate</t>
        </is>
      </c>
      <c r="F567" t="inlineStr">
        <is>
          <t>Villas</t>
        </is>
      </c>
      <c r="G567" t="inlineStr">
        <is>
          <t>Gated / Park</t>
        </is>
      </c>
      <c r="H567" t="inlineStr">
        <is>
          <t>4.5M</t>
        </is>
      </c>
      <c r="I567" t="inlineStr">
        <is>
          <t>1800</t>
        </is>
      </c>
      <c r="J567" t="inlineStr">
        <is>
          <t>20</t>
        </is>
      </c>
      <c r="K567" t="inlineStr">
        <is>
          <t>80/20</t>
        </is>
      </c>
      <c r="L567" t="inlineStr">
        <is>
          <t>2024</t>
        </is>
      </c>
      <c r="M567" t="inlineStr">
        <is>
          <t>5.0-5.5</t>
        </is>
      </c>
      <c r="N567" t="inlineStr">
        <is>
          <t>8-12</t>
        </is>
      </c>
      <c r="O567" t="inlineStr">
        <is>
          <t>13.0-17.5</t>
        </is>
      </c>
      <c r="P567" t="inlineStr">
        <is>
          <t>GEMS Wellington</t>
        </is>
      </c>
      <c r="Q567" t="inlineStr">
        <is>
          <t>King's College Hospital</t>
        </is>
      </c>
      <c r="R567" t="inlineStr">
        <is>
          <t>Dubai Hills Mall</t>
        </is>
      </c>
      <c r="S567" t="inlineStr">
        <is>
          <t>Al Khail E44</t>
        </is>
      </c>
      <c r="T567" t="inlineStr">
        <is>
          <t>15</t>
        </is>
      </c>
      <c r="U567" t="inlineStr">
        <is>
          <t>15</t>
        </is>
      </c>
      <c r="V567" t="inlineStr">
        <is>
          <t>20</t>
        </is>
      </c>
      <c r="W567" t="inlineStr">
        <is>
          <t>30</t>
        </is>
      </c>
      <c r="X567" t="inlineStr">
        <is>
          <t>Guild.csv</t>
        </is>
      </c>
    </row>
    <row r="568">
      <c r="A568" t="n">
        <v>567</v>
      </c>
      <c r="B568" t="n">
        <v>31</v>
      </c>
      <c r="C568" t="inlineStr">
        <is>
          <t>Rosehill</t>
        </is>
      </c>
      <c r="D568" t="inlineStr">
        <is>
          <t>Emaar Properties</t>
        </is>
      </c>
      <c r="E568" t="inlineStr">
        <is>
          <t>Dubai Hills Estate</t>
        </is>
      </c>
      <c r="F568" t="inlineStr">
        <is>
          <t>Apartments</t>
        </is>
      </c>
      <c r="G568" t="inlineStr">
        <is>
          <t>Community View</t>
        </is>
      </c>
      <c r="H568" t="inlineStr">
        <is>
          <t>1.6M</t>
        </is>
      </c>
      <c r="I568" t="inlineStr">
        <is>
          <t>1900</t>
        </is>
      </c>
      <c r="J568" t="inlineStr">
        <is>
          <t>22</t>
        </is>
      </c>
      <c r="K568" t="inlineStr">
        <is>
          <t>80/20</t>
        </is>
      </c>
      <c r="L568" t="inlineStr">
        <is>
          <t>2024</t>
        </is>
      </c>
      <c r="M568" t="inlineStr">
        <is>
          <t>6.0-6.5</t>
        </is>
      </c>
      <c r="N568" t="inlineStr">
        <is>
          <t>8-12</t>
        </is>
      </c>
      <c r="O568" t="inlineStr">
        <is>
          <t>14.0-18.5</t>
        </is>
      </c>
      <c r="P568" t="inlineStr">
        <is>
          <t>GEMS Wellington</t>
        </is>
      </c>
      <c r="Q568" t="inlineStr">
        <is>
          <t>King's College Hospital</t>
        </is>
      </c>
      <c r="R568" t="inlineStr">
        <is>
          <t>Dubai Hills Mall</t>
        </is>
      </c>
      <c r="S568" t="inlineStr">
        <is>
          <t>Al Khail E44</t>
        </is>
      </c>
      <c r="T568" t="inlineStr">
        <is>
          <t>15</t>
        </is>
      </c>
      <c r="U568" t="inlineStr">
        <is>
          <t>15</t>
        </is>
      </c>
      <c r="V568" t="inlineStr">
        <is>
          <t>20</t>
        </is>
      </c>
      <c r="W568" t="inlineStr">
        <is>
          <t>30</t>
        </is>
      </c>
      <c r="X568" t="inlineStr">
        <is>
          <t>Guild.csv</t>
        </is>
      </c>
    </row>
    <row r="569">
      <c r="A569" t="n">
        <v>568</v>
      </c>
      <c r="B569" t="n">
        <v>32</v>
      </c>
      <c r="C569" t="inlineStr">
        <is>
          <t>Greencrest</t>
        </is>
      </c>
      <c r="D569" t="inlineStr">
        <is>
          <t>Emaar Properties</t>
        </is>
      </c>
      <c r="E569" t="inlineStr">
        <is>
          <t>Dubai Hills Estate</t>
        </is>
      </c>
      <c r="F569" t="inlineStr">
        <is>
          <t>Apartments</t>
        </is>
      </c>
      <c r="G569" t="inlineStr">
        <is>
          <t>Community View</t>
        </is>
      </c>
      <c r="H569" t="inlineStr">
        <is>
          <t>1.55M</t>
        </is>
      </c>
      <c r="I569" t="inlineStr">
        <is>
          <t>1850</t>
        </is>
      </c>
      <c r="J569" t="inlineStr">
        <is>
          <t>22</t>
        </is>
      </c>
      <c r="K569" t="inlineStr">
        <is>
          <t>80/20</t>
        </is>
      </c>
      <c r="L569" t="inlineStr">
        <is>
          <t>2024</t>
        </is>
      </c>
      <c r="M569" t="inlineStr">
        <is>
          <t>6.0-6.5</t>
        </is>
      </c>
      <c r="N569" t="inlineStr">
        <is>
          <t>8-12</t>
        </is>
      </c>
      <c r="O569" t="inlineStr">
        <is>
          <t>14.0-18.5</t>
        </is>
      </c>
      <c r="P569" t="inlineStr">
        <is>
          <t>GEMS Wellington</t>
        </is>
      </c>
      <c r="Q569" t="inlineStr">
        <is>
          <t>King's College Hospital</t>
        </is>
      </c>
      <c r="R569" t="inlineStr">
        <is>
          <t>Dubai Hills Mall</t>
        </is>
      </c>
      <c r="S569" t="inlineStr">
        <is>
          <t>Al Khail E44</t>
        </is>
      </c>
      <c r="T569" t="inlineStr">
        <is>
          <t>15</t>
        </is>
      </c>
      <c r="U569" t="inlineStr">
        <is>
          <t>15</t>
        </is>
      </c>
      <c r="V569" t="inlineStr">
        <is>
          <t>20</t>
        </is>
      </c>
      <c r="W569" t="inlineStr">
        <is>
          <t>30</t>
        </is>
      </c>
      <c r="X569" t="inlineStr">
        <is>
          <t>Guild.csv</t>
        </is>
      </c>
    </row>
    <row r="570">
      <c r="A570" t="n">
        <v>569</v>
      </c>
      <c r="B570" t="n">
        <v>33</v>
      </c>
      <c r="C570" t="inlineStr">
        <is>
          <t>Palace Residences Hillside</t>
        </is>
      </c>
      <c r="D570" t="inlineStr">
        <is>
          <t>Emaar Properties</t>
        </is>
      </c>
      <c r="E570" t="inlineStr">
        <is>
          <t>Dubai Hills Estate</t>
        </is>
      </c>
      <c r="F570" t="inlineStr">
        <is>
          <t>Branded Apartments</t>
        </is>
      </c>
      <c r="G570" t="inlineStr">
        <is>
          <t>Golf / Park</t>
        </is>
      </c>
      <c r="H570" t="inlineStr">
        <is>
          <t>2.5M</t>
        </is>
      </c>
      <c r="I570" t="inlineStr">
        <is>
          <t>2400</t>
        </is>
      </c>
      <c r="J570" t="inlineStr">
        <is>
          <t>35</t>
        </is>
      </c>
      <c r="K570" t="inlineStr">
        <is>
          <t>80/20</t>
        </is>
      </c>
      <c r="L570" t="inlineStr">
        <is>
          <t>2024</t>
        </is>
      </c>
      <c r="M570" t="inlineStr">
        <is>
          <t>4.5-5.0</t>
        </is>
      </c>
      <c r="N570" t="inlineStr">
        <is>
          <t>8-12</t>
        </is>
      </c>
      <c r="O570" t="inlineStr">
        <is>
          <t>12.5-17.0</t>
        </is>
      </c>
      <c r="P570" t="inlineStr">
        <is>
          <t>GEMS Wellington</t>
        </is>
      </c>
      <c r="Q570" t="inlineStr">
        <is>
          <t>King's College Hospital</t>
        </is>
      </c>
      <c r="R570" t="inlineStr">
        <is>
          <t>Dubai Hills Mall</t>
        </is>
      </c>
      <c r="S570" t="inlineStr">
        <is>
          <t>Al Khail E44</t>
        </is>
      </c>
      <c r="T570" t="inlineStr">
        <is>
          <t>15</t>
        </is>
      </c>
      <c r="U570" t="inlineStr">
        <is>
          <t>15</t>
        </is>
      </c>
      <c r="V570" t="inlineStr">
        <is>
          <t>20</t>
        </is>
      </c>
      <c r="W570" t="inlineStr">
        <is>
          <t>30</t>
        </is>
      </c>
      <c r="X570" t="inlineStr">
        <is>
          <t>Guild.csv</t>
        </is>
      </c>
    </row>
    <row r="571">
      <c r="A571" t="n">
        <v>570</v>
      </c>
      <c r="B571" t="n">
        <v>34</v>
      </c>
      <c r="C571" t="inlineStr">
        <is>
          <t>Vida Residences Hillside</t>
        </is>
      </c>
      <c r="D571" t="inlineStr">
        <is>
          <t>Emaar Properties</t>
        </is>
      </c>
      <c r="E571" t="inlineStr">
        <is>
          <t>Dubai Hills Estate</t>
        </is>
      </c>
      <c r="F571" t="inlineStr">
        <is>
          <t>Branded Apartments</t>
        </is>
      </c>
      <c r="G571" t="inlineStr">
        <is>
          <t>Golf / Park</t>
        </is>
      </c>
      <c r="H571" t="inlineStr">
        <is>
          <t>2.2M</t>
        </is>
      </c>
      <c r="I571" t="inlineStr">
        <is>
          <t>2200</t>
        </is>
      </c>
      <c r="J571" t="inlineStr">
        <is>
          <t>30</t>
        </is>
      </c>
      <c r="K571" t="inlineStr">
        <is>
          <t>80/20</t>
        </is>
      </c>
      <c r="L571" t="inlineStr">
        <is>
          <t>2024</t>
        </is>
      </c>
      <c r="M571" t="inlineStr">
        <is>
          <t>5.0-5.5</t>
        </is>
      </c>
      <c r="N571" t="inlineStr">
        <is>
          <t>8-12</t>
        </is>
      </c>
      <c r="O571" t="inlineStr">
        <is>
          <t>13.0-17.5</t>
        </is>
      </c>
      <c r="P571" t="inlineStr">
        <is>
          <t>GEMS Wellington</t>
        </is>
      </c>
      <c r="Q571" t="inlineStr">
        <is>
          <t>King's College Hospital</t>
        </is>
      </c>
      <c r="R571" t="inlineStr">
        <is>
          <t>Dubai Hills Mall</t>
        </is>
      </c>
      <c r="S571" t="inlineStr">
        <is>
          <t>Al Khail E44</t>
        </is>
      </c>
      <c r="T571" t="inlineStr">
        <is>
          <t>15</t>
        </is>
      </c>
      <c r="U571" t="inlineStr">
        <is>
          <t>15</t>
        </is>
      </c>
      <c r="V571" t="inlineStr">
        <is>
          <t>20</t>
        </is>
      </c>
      <c r="W571" t="inlineStr">
        <is>
          <t>30</t>
        </is>
      </c>
      <c r="X571" t="inlineStr">
        <is>
          <t>Guild.csv</t>
        </is>
      </c>
    </row>
    <row r="572">
      <c r="A572" t="n">
        <v>571</v>
      </c>
      <c r="B572" t="n">
        <v>35</v>
      </c>
      <c r="C572" t="inlineStr">
        <is>
          <t>Golf Hillside</t>
        </is>
      </c>
      <c r="D572" t="inlineStr">
        <is>
          <t>Emaar Properties</t>
        </is>
      </c>
      <c r="E572" t="inlineStr">
        <is>
          <t>Dubai Hills Estate</t>
        </is>
      </c>
      <c r="F572" t="inlineStr">
        <is>
          <t>Apartments</t>
        </is>
      </c>
      <c r="G572" t="inlineStr">
        <is>
          <t>Golf Course</t>
        </is>
      </c>
      <c r="H572" t="inlineStr">
        <is>
          <t>1.8M</t>
        </is>
      </c>
      <c r="I572" t="inlineStr">
        <is>
          <t>2000</t>
        </is>
      </c>
      <c r="J572" t="inlineStr">
        <is>
          <t>22</t>
        </is>
      </c>
      <c r="K572" t="inlineStr">
        <is>
          <t>80/20</t>
        </is>
      </c>
      <c r="L572" t="inlineStr">
        <is>
          <t>2024</t>
        </is>
      </c>
      <c r="M572" t="inlineStr">
        <is>
          <t>5.5-6.0</t>
        </is>
      </c>
      <c r="N572" t="inlineStr">
        <is>
          <t>8-12</t>
        </is>
      </c>
      <c r="O572" t="inlineStr">
        <is>
          <t>13.5-18.0</t>
        </is>
      </c>
      <c r="P572" t="inlineStr">
        <is>
          <t>GEMS Wellington</t>
        </is>
      </c>
      <c r="Q572" t="inlineStr">
        <is>
          <t>King's College Hospital</t>
        </is>
      </c>
      <c r="R572" t="inlineStr">
        <is>
          <t>Dubai Hills Mall</t>
        </is>
      </c>
      <c r="S572" t="inlineStr">
        <is>
          <t>Al Khail E44</t>
        </is>
      </c>
      <c r="T572" t="inlineStr">
        <is>
          <t>15</t>
        </is>
      </c>
      <c r="U572" t="inlineStr">
        <is>
          <t>15</t>
        </is>
      </c>
      <c r="V572" t="inlineStr">
        <is>
          <t>20</t>
        </is>
      </c>
      <c r="W572" t="inlineStr">
        <is>
          <t>30</t>
        </is>
      </c>
      <c r="X572" t="inlineStr">
        <is>
          <t>Guild.csv</t>
        </is>
      </c>
    </row>
    <row r="573">
      <c r="A573" t="n">
        <v>572</v>
      </c>
      <c r="B573" t="n">
        <v>36</v>
      </c>
      <c r="C573" t="inlineStr">
        <is>
          <t>Parkland</t>
        </is>
      </c>
      <c r="D573" t="inlineStr">
        <is>
          <t>Emaar Properties</t>
        </is>
      </c>
      <c r="E573" t="inlineStr">
        <is>
          <t>Dubai Hills Estate</t>
        </is>
      </c>
      <c r="F573" t="inlineStr">
        <is>
          <t>Apartments</t>
        </is>
      </c>
      <c r="G573" t="inlineStr">
        <is>
          <t>Park View</t>
        </is>
      </c>
      <c r="H573" t="inlineStr">
        <is>
          <t>1.7M</t>
        </is>
      </c>
      <c r="I573" t="inlineStr">
        <is>
          <t>1950</t>
        </is>
      </c>
      <c r="J573" t="inlineStr">
        <is>
          <t>22</t>
        </is>
      </c>
      <c r="K573" t="inlineStr">
        <is>
          <t>80/20</t>
        </is>
      </c>
      <c r="L573" t="inlineStr">
        <is>
          <t>2024</t>
        </is>
      </c>
      <c r="M573" t="inlineStr">
        <is>
          <t>5.5-6.0</t>
        </is>
      </c>
      <c r="N573" t="inlineStr">
        <is>
          <t>8-12</t>
        </is>
      </c>
      <c r="O573" t="inlineStr">
        <is>
          <t>13.5-18.0</t>
        </is>
      </c>
      <c r="P573" t="inlineStr">
        <is>
          <t>GEMS Wellington</t>
        </is>
      </c>
      <c r="Q573" t="inlineStr">
        <is>
          <t>King's College Hospital</t>
        </is>
      </c>
      <c r="R573" t="inlineStr">
        <is>
          <t>Dubai Hills Mall</t>
        </is>
      </c>
      <c r="S573" t="inlineStr">
        <is>
          <t>Al Khail E44</t>
        </is>
      </c>
      <c r="T573" t="inlineStr">
        <is>
          <t>15</t>
        </is>
      </c>
      <c r="U573" t="inlineStr">
        <is>
          <t>15</t>
        </is>
      </c>
      <c r="V573" t="inlineStr">
        <is>
          <t>20</t>
        </is>
      </c>
      <c r="W573" t="inlineStr">
        <is>
          <t>30</t>
        </is>
      </c>
      <c r="X573" t="inlineStr">
        <is>
          <t>Guild.csv</t>
        </is>
      </c>
    </row>
    <row r="574">
      <c r="A574" t="n">
        <v>573</v>
      </c>
      <c r="B574" t="n">
        <v>37</v>
      </c>
      <c r="C574" t="inlineStr">
        <is>
          <t>Sidra Villas</t>
        </is>
      </c>
      <c r="D574" t="inlineStr">
        <is>
          <t>Emaar Properties</t>
        </is>
      </c>
      <c r="E574" t="inlineStr">
        <is>
          <t>Dubai Hills Estate</t>
        </is>
      </c>
      <c r="F574" t="inlineStr">
        <is>
          <t>Villas</t>
        </is>
      </c>
      <c r="G574" t="inlineStr">
        <is>
          <t>Gated Community</t>
        </is>
      </c>
      <c r="H574" t="inlineStr">
        <is>
          <t>Resale (5M+)</t>
        </is>
      </c>
      <c r="I574" t="inlineStr">
        <is>
          <t>1600</t>
        </is>
      </c>
      <c r="J574" t="inlineStr">
        <is>
          <t>15</t>
        </is>
      </c>
      <c r="K574" t="inlineStr">
        <is>
          <t>Completed</t>
        </is>
      </c>
      <c r="L574" t="inlineStr">
        <is>
          <t>2016</t>
        </is>
      </c>
      <c r="M574" t="inlineStr">
        <is>
          <t>5.5-6.0</t>
        </is>
      </c>
      <c r="N574" t="inlineStr">
        <is>
          <t>6-8</t>
        </is>
      </c>
      <c r="O574" t="inlineStr">
        <is>
          <t>11.5-14.0</t>
        </is>
      </c>
      <c r="P574" t="inlineStr">
        <is>
          <t>GEMS Wellington</t>
        </is>
      </c>
      <c r="Q574" t="inlineStr">
        <is>
          <t>King's College Hospital</t>
        </is>
      </c>
      <c r="R574" t="inlineStr">
        <is>
          <t>Dubai Hills Mall</t>
        </is>
      </c>
      <c r="S574" t="inlineStr">
        <is>
          <t>Al Khail E44</t>
        </is>
      </c>
      <c r="T574" t="inlineStr">
        <is>
          <t>15</t>
        </is>
      </c>
      <c r="U574" t="inlineStr">
        <is>
          <t>15</t>
        </is>
      </c>
      <c r="V574" t="inlineStr">
        <is>
          <t>20</t>
        </is>
      </c>
      <c r="W574" t="inlineStr">
        <is>
          <t>30</t>
        </is>
      </c>
      <c r="X574" t="inlineStr">
        <is>
          <t>Guild.csv</t>
        </is>
      </c>
    </row>
    <row r="575">
      <c r="A575" t="n">
        <v>574</v>
      </c>
      <c r="B575" t="n">
        <v>38</v>
      </c>
      <c r="C575" t="inlineStr">
        <is>
          <t>Maple Townhouses</t>
        </is>
      </c>
      <c r="D575" t="inlineStr">
        <is>
          <t>Emaar Properties</t>
        </is>
      </c>
      <c r="E575" t="inlineStr">
        <is>
          <t>Dubai Hills Estate</t>
        </is>
      </c>
      <c r="F575" t="inlineStr">
        <is>
          <t>Townhouses</t>
        </is>
      </c>
      <c r="G575" t="inlineStr">
        <is>
          <t>Gated Community</t>
        </is>
      </c>
      <c r="H575" t="inlineStr">
        <is>
          <t>Resale (3.5M+)</t>
        </is>
      </c>
      <c r="I575" t="inlineStr">
        <is>
          <t>1500</t>
        </is>
      </c>
      <c r="J575" t="inlineStr">
        <is>
          <t>15</t>
        </is>
      </c>
      <c r="K575" t="inlineStr">
        <is>
          <t>Completed</t>
        </is>
      </c>
      <c r="L575" t="inlineStr">
        <is>
          <t>2016</t>
        </is>
      </c>
      <c r="M575" t="inlineStr">
        <is>
          <t>6.0-6.5</t>
        </is>
      </c>
      <c r="N575" t="inlineStr">
        <is>
          <t>6-8</t>
        </is>
      </c>
      <c r="O575" t="inlineStr">
        <is>
          <t>12.0-14.5</t>
        </is>
      </c>
      <c r="P575" t="inlineStr">
        <is>
          <t>GEMS Wellington</t>
        </is>
      </c>
      <c r="Q575" t="inlineStr">
        <is>
          <t>King's College Hospital</t>
        </is>
      </c>
      <c r="R575" t="inlineStr">
        <is>
          <t>Dubai Hills Mall</t>
        </is>
      </c>
      <c r="S575" t="inlineStr">
        <is>
          <t>Al Khail E44</t>
        </is>
      </c>
      <c r="T575" t="inlineStr">
        <is>
          <t>15</t>
        </is>
      </c>
      <c r="U575" t="inlineStr">
        <is>
          <t>15</t>
        </is>
      </c>
      <c r="V575" t="inlineStr">
        <is>
          <t>20</t>
        </is>
      </c>
      <c r="W575" t="inlineStr">
        <is>
          <t>30</t>
        </is>
      </c>
      <c r="X575" t="inlineStr">
        <is>
          <t>Guild.csv</t>
        </is>
      </c>
    </row>
    <row r="576">
      <c r="A576" t="n">
        <v>575</v>
      </c>
      <c r="B576" t="n">
        <v>39</v>
      </c>
      <c r="C576" t="inlineStr">
        <is>
          <t>Address Villas Hillcrest</t>
        </is>
      </c>
      <c r="D576" t="inlineStr">
        <is>
          <t>Emaar Properties</t>
        </is>
      </c>
      <c r="E576" t="inlineStr">
        <is>
          <t>Dubai Hills Estate</t>
        </is>
      </c>
      <c r="F576" t="inlineStr">
        <is>
          <t>Villas</t>
        </is>
      </c>
      <c r="G576" t="inlineStr">
        <is>
          <t>Luxury / Golf</t>
        </is>
      </c>
      <c r="H576" t="inlineStr">
        <is>
          <t>8.0M</t>
        </is>
      </c>
      <c r="I576" t="inlineStr">
        <is>
          <t>2200</t>
        </is>
      </c>
      <c r="J576" t="inlineStr">
        <is>
          <t>25</t>
        </is>
      </c>
      <c r="K576" t="inlineStr">
        <is>
          <t>80/20</t>
        </is>
      </c>
      <c r="L576" t="inlineStr">
        <is>
          <t>2023</t>
        </is>
      </c>
      <c r="M576" t="inlineStr">
        <is>
          <t>4.5-5.0</t>
        </is>
      </c>
      <c r="N576" t="inlineStr">
        <is>
          <t>8-10</t>
        </is>
      </c>
      <c r="O576" t="inlineStr">
        <is>
          <t>12.5-15.0</t>
        </is>
      </c>
      <c r="P576" t="inlineStr">
        <is>
          <t>GEMS Wellington</t>
        </is>
      </c>
      <c r="Q576" t="inlineStr">
        <is>
          <t>King's College Hospital</t>
        </is>
      </c>
      <c r="R576" t="inlineStr">
        <is>
          <t>Dubai Hills Mall</t>
        </is>
      </c>
      <c r="S576" t="inlineStr">
        <is>
          <t>Al Khail E44</t>
        </is>
      </c>
      <c r="T576" t="inlineStr">
        <is>
          <t>15</t>
        </is>
      </c>
      <c r="U576" t="inlineStr">
        <is>
          <t>15</t>
        </is>
      </c>
      <c r="V576" t="inlineStr">
        <is>
          <t>20</t>
        </is>
      </c>
      <c r="W576" t="inlineStr">
        <is>
          <t>30</t>
        </is>
      </c>
      <c r="X576" t="inlineStr">
        <is>
          <t>Guild.csv</t>
        </is>
      </c>
    </row>
    <row r="577">
      <c r="A577" t="n">
        <v>576</v>
      </c>
      <c r="B577" t="n">
        <v>40</v>
      </c>
      <c r="C577" t="inlineStr">
        <is>
          <t>The Valley (Master Community)</t>
        </is>
      </c>
      <c r="D577" t="inlineStr">
        <is>
          <t>Emaar Properties</t>
        </is>
      </c>
      <c r="E577" t="inlineStr">
        <is>
          <t>Dubailand (Al Ain Rd)</t>
        </is>
      </c>
      <c r="F577" t="inlineStr">
        <is>
          <t>Mixed</t>
        </is>
      </c>
      <c r="G577" t="inlineStr">
        <is>
          <t>Suburban / Family</t>
        </is>
      </c>
      <c r="J577" t="inlineStr">
        <is>
          <t>12-15</t>
        </is>
      </c>
      <c r="K577" t="inlineStr">
        <is>
          <t>Varies</t>
        </is>
      </c>
      <c r="L577" t="inlineStr">
        <is>
          <t>Ongoing</t>
        </is>
      </c>
      <c r="M577" t="inlineStr">
        <is>
          <t>6.5-7.5</t>
        </is>
      </c>
      <c r="N577" t="inlineStr">
        <is>
          <t>10-15</t>
        </is>
      </c>
      <c r="O577" t="inlineStr">
        <is>
          <t>16.5-22.5</t>
        </is>
      </c>
      <c r="P577" t="inlineStr">
        <is>
          <t>The Aquila School</t>
        </is>
      </c>
      <c r="Q577" t="inlineStr">
        <is>
          <t>Fakeeh University Hosp</t>
        </is>
      </c>
      <c r="R577" t="inlineStr">
        <is>
          <t>Dubai Outlet Mall</t>
        </is>
      </c>
      <c r="S577" t="inlineStr">
        <is>
          <t>Al Ain Rd E66</t>
        </is>
      </c>
      <c r="T577" t="inlineStr">
        <is>
          <t>25</t>
        </is>
      </c>
      <c r="U577" t="inlineStr">
        <is>
          <t>35</t>
        </is>
      </c>
      <c r="V577" t="inlineStr">
        <is>
          <t>25</t>
        </is>
      </c>
      <c r="W577" t="inlineStr">
        <is>
          <t>35</t>
        </is>
      </c>
      <c r="X577" t="inlineStr">
        <is>
          <t>Guild.csv</t>
        </is>
      </c>
    </row>
    <row r="578">
      <c r="A578" t="n">
        <v>577</v>
      </c>
      <c r="B578" t="n">
        <v>41</v>
      </c>
      <c r="C578" t="inlineStr">
        <is>
          <t>Velora</t>
        </is>
      </c>
      <c r="D578" t="inlineStr">
        <is>
          <t>Emaar Properties</t>
        </is>
      </c>
      <c r="E578" t="inlineStr">
        <is>
          <t>The Valley (Phase 2)</t>
        </is>
      </c>
      <c r="F578" t="inlineStr">
        <is>
          <t>Townhouses</t>
        </is>
      </c>
      <c r="G578" t="inlineStr">
        <is>
          <t>Nature / Hills</t>
        </is>
      </c>
      <c r="H578" t="inlineStr">
        <is>
          <t>2.48M</t>
        </is>
      </c>
      <c r="I578" t="inlineStr">
        <is>
          <t>1100</t>
        </is>
      </c>
      <c r="J578" t="inlineStr">
        <is>
          <t>15</t>
        </is>
      </c>
      <c r="K578" t="inlineStr">
        <is>
          <t>80/20</t>
        </is>
      </c>
      <c r="L578" t="inlineStr">
        <is>
          <t>Aug 2028</t>
        </is>
      </c>
      <c r="M578" t="inlineStr">
        <is>
          <t>6.5-7.0</t>
        </is>
      </c>
      <c r="N578" t="inlineStr">
        <is>
          <t>10-15</t>
        </is>
      </c>
      <c r="O578" t="inlineStr">
        <is>
          <t>16.5-22.0</t>
        </is>
      </c>
      <c r="P578" t="inlineStr">
        <is>
          <t>The Aquila School</t>
        </is>
      </c>
      <c r="Q578" t="inlineStr">
        <is>
          <t>Fakeeh University Hosp</t>
        </is>
      </c>
      <c r="R578" t="inlineStr">
        <is>
          <t>Dubai Outlet Mall</t>
        </is>
      </c>
      <c r="S578" t="inlineStr">
        <is>
          <t>Al Ain Rd E66</t>
        </is>
      </c>
      <c r="T578" t="inlineStr">
        <is>
          <t>25</t>
        </is>
      </c>
      <c r="U578" t="inlineStr">
        <is>
          <t>35</t>
        </is>
      </c>
      <c r="V578" t="inlineStr">
        <is>
          <t>25</t>
        </is>
      </c>
      <c r="W578" t="inlineStr">
        <is>
          <t>35</t>
        </is>
      </c>
      <c r="X578" t="inlineStr">
        <is>
          <t>Guild.csv</t>
        </is>
      </c>
    </row>
    <row r="579">
      <c r="A579" t="n">
        <v>578</v>
      </c>
      <c r="B579" t="n">
        <v>42</v>
      </c>
      <c r="C579" t="inlineStr">
        <is>
          <t>Venera</t>
        </is>
      </c>
      <c r="D579" t="inlineStr">
        <is>
          <t>Emaar Properties</t>
        </is>
      </c>
      <c r="E579" t="inlineStr">
        <is>
          <t>The Valley (Phase 2)</t>
        </is>
      </c>
      <c r="F579" t="inlineStr">
        <is>
          <t>Townhouses</t>
        </is>
      </c>
      <c r="G579" t="inlineStr">
        <is>
          <t>Nature / Hills</t>
        </is>
      </c>
      <c r="H579" t="inlineStr">
        <is>
          <t>2.5M</t>
        </is>
      </c>
      <c r="I579" t="inlineStr">
        <is>
          <t>1100</t>
        </is>
      </c>
      <c r="J579" t="inlineStr">
        <is>
          <t>15</t>
        </is>
      </c>
      <c r="K579" t="inlineStr">
        <is>
          <t>80/20</t>
        </is>
      </c>
      <c r="L579" t="inlineStr">
        <is>
          <t>2024</t>
        </is>
      </c>
      <c r="M579" t="inlineStr">
        <is>
          <t>6.5-7.0</t>
        </is>
      </c>
      <c r="N579" t="inlineStr">
        <is>
          <t>10-15</t>
        </is>
      </c>
      <c r="O579" t="inlineStr">
        <is>
          <t>16.5-22.0</t>
        </is>
      </c>
      <c r="P579" t="inlineStr">
        <is>
          <t>The Aquila School</t>
        </is>
      </c>
      <c r="Q579" t="inlineStr">
        <is>
          <t>Fakeeh University Hosp</t>
        </is>
      </c>
      <c r="R579" t="inlineStr">
        <is>
          <t>Dubai Outlet Mall</t>
        </is>
      </c>
      <c r="S579" t="inlineStr">
        <is>
          <t>Al Ain Rd E66</t>
        </is>
      </c>
      <c r="T579" t="inlineStr">
        <is>
          <t>25</t>
        </is>
      </c>
      <c r="U579" t="inlineStr">
        <is>
          <t>35</t>
        </is>
      </c>
      <c r="V579" t="inlineStr">
        <is>
          <t>25</t>
        </is>
      </c>
      <c r="W579" t="inlineStr">
        <is>
          <t>35</t>
        </is>
      </c>
      <c r="X579" t="inlineStr">
        <is>
          <t>Guild.csv</t>
        </is>
      </c>
    </row>
    <row r="580">
      <c r="A580" t="n">
        <v>579</v>
      </c>
      <c r="B580" t="n">
        <v>43</v>
      </c>
      <c r="C580" t="inlineStr">
        <is>
          <t>Rivera</t>
        </is>
      </c>
      <c r="D580" t="inlineStr">
        <is>
          <t>Emaar Properties</t>
        </is>
      </c>
      <c r="E580" t="inlineStr">
        <is>
          <t>The Valley</t>
        </is>
      </c>
      <c r="F580" t="inlineStr">
        <is>
          <t>Townhouses</t>
        </is>
      </c>
      <c r="G580" t="inlineStr">
        <is>
          <t>Water / Lagoon</t>
        </is>
      </c>
      <c r="H580" t="inlineStr">
        <is>
          <t>2.6M</t>
        </is>
      </c>
      <c r="I580" t="inlineStr">
        <is>
          <t>1150</t>
        </is>
      </c>
      <c r="J580" t="inlineStr">
        <is>
          <t>15</t>
        </is>
      </c>
      <c r="K580" t="inlineStr">
        <is>
          <t>80/20</t>
        </is>
      </c>
      <c r="L580" t="inlineStr">
        <is>
          <t>2024</t>
        </is>
      </c>
      <c r="M580" t="inlineStr">
        <is>
          <t>6.5-7.0</t>
        </is>
      </c>
      <c r="N580" t="inlineStr">
        <is>
          <t>10-15</t>
        </is>
      </c>
      <c r="O580" t="inlineStr">
        <is>
          <t>16.5-22.0</t>
        </is>
      </c>
      <c r="P580" t="inlineStr">
        <is>
          <t>The Aquila School</t>
        </is>
      </c>
      <c r="Q580" t="inlineStr">
        <is>
          <t>Fakeeh University Hosp</t>
        </is>
      </c>
      <c r="R580" t="inlineStr">
        <is>
          <t>Dubai Outlet Mall</t>
        </is>
      </c>
      <c r="S580" t="inlineStr">
        <is>
          <t>Al Ain Rd E66</t>
        </is>
      </c>
      <c r="T580" t="inlineStr">
        <is>
          <t>25</t>
        </is>
      </c>
      <c r="U580" t="inlineStr">
        <is>
          <t>35</t>
        </is>
      </c>
      <c r="V580" t="inlineStr">
        <is>
          <t>25</t>
        </is>
      </c>
      <c r="W580" t="inlineStr">
        <is>
          <t>35</t>
        </is>
      </c>
      <c r="X580" t="inlineStr">
        <is>
          <t>Guild.csv</t>
        </is>
      </c>
    </row>
    <row r="581">
      <c r="A581" t="n">
        <v>580</v>
      </c>
      <c r="B581" t="n">
        <v>44</v>
      </c>
      <c r="C581" t="inlineStr">
        <is>
          <t>Avena</t>
        </is>
      </c>
      <c r="D581" t="inlineStr">
        <is>
          <t>Emaar Properties</t>
        </is>
      </c>
      <c r="E581" t="inlineStr">
        <is>
          <t>The Valley</t>
        </is>
      </c>
      <c r="F581" t="inlineStr">
        <is>
          <t>Villas</t>
        </is>
      </c>
      <c r="G581" t="inlineStr">
        <is>
          <t>Nature</t>
        </is>
      </c>
      <c r="H581" t="inlineStr">
        <is>
          <t>3.2M</t>
        </is>
      </c>
      <c r="I581" t="inlineStr">
        <is>
          <t>1200</t>
        </is>
      </c>
      <c r="J581" t="inlineStr">
        <is>
          <t>15</t>
        </is>
      </c>
      <c r="K581" t="inlineStr">
        <is>
          <t>80/20</t>
        </is>
      </c>
      <c r="L581" t="inlineStr">
        <is>
          <t>2024</t>
        </is>
      </c>
      <c r="M581" t="inlineStr">
        <is>
          <t>6.0-6.5</t>
        </is>
      </c>
      <c r="N581" t="inlineStr">
        <is>
          <t>10-15</t>
        </is>
      </c>
      <c r="O581" t="inlineStr">
        <is>
          <t>16.0-21.5</t>
        </is>
      </c>
      <c r="P581" t="inlineStr">
        <is>
          <t>The Aquila School</t>
        </is>
      </c>
      <c r="Q581" t="inlineStr">
        <is>
          <t>Fakeeh University Hosp</t>
        </is>
      </c>
      <c r="R581" t="inlineStr">
        <is>
          <t>Dubai Outlet Mall</t>
        </is>
      </c>
      <c r="S581" t="inlineStr">
        <is>
          <t>Al Ain Rd E66</t>
        </is>
      </c>
      <c r="T581" t="inlineStr">
        <is>
          <t>25</t>
        </is>
      </c>
      <c r="U581" t="inlineStr">
        <is>
          <t>35</t>
        </is>
      </c>
      <c r="V581" t="inlineStr">
        <is>
          <t>25</t>
        </is>
      </c>
      <c r="W581" t="inlineStr">
        <is>
          <t>35</t>
        </is>
      </c>
      <c r="X581" t="inlineStr">
        <is>
          <t>Guild.csv</t>
        </is>
      </c>
    </row>
    <row r="582">
      <c r="A582" t="n">
        <v>581</v>
      </c>
      <c r="B582" t="n">
        <v>45</v>
      </c>
      <c r="C582" t="inlineStr">
        <is>
          <t>Ovelle</t>
        </is>
      </c>
      <c r="D582" t="inlineStr">
        <is>
          <t>Emaar Properties</t>
        </is>
      </c>
      <c r="E582" t="inlineStr">
        <is>
          <t>The Valley</t>
        </is>
      </c>
      <c r="F582" t="inlineStr">
        <is>
          <t>Townhouses</t>
        </is>
      </c>
      <c r="G582" t="inlineStr">
        <is>
          <t>Family</t>
        </is>
      </c>
      <c r="H582" t="inlineStr">
        <is>
          <t>2.4M</t>
        </is>
      </c>
      <c r="I582" t="inlineStr">
        <is>
          <t>1050</t>
        </is>
      </c>
      <c r="J582" t="inlineStr">
        <is>
          <t>15</t>
        </is>
      </c>
      <c r="K582" t="inlineStr">
        <is>
          <t>80/20</t>
        </is>
      </c>
      <c r="L582" t="inlineStr">
        <is>
          <t>2024</t>
        </is>
      </c>
      <c r="M582" t="inlineStr">
        <is>
          <t>6.5-7.0</t>
        </is>
      </c>
      <c r="N582" t="inlineStr">
        <is>
          <t>10-15</t>
        </is>
      </c>
      <c r="O582" t="inlineStr">
        <is>
          <t>16.5-22.0</t>
        </is>
      </c>
      <c r="P582" t="inlineStr">
        <is>
          <t>The Aquila School</t>
        </is>
      </c>
      <c r="Q582" t="inlineStr">
        <is>
          <t>Fakeeh University Hosp</t>
        </is>
      </c>
      <c r="R582" t="inlineStr">
        <is>
          <t>Dubai Outlet Mall</t>
        </is>
      </c>
      <c r="S582" t="inlineStr">
        <is>
          <t>Al Ain Rd E66</t>
        </is>
      </c>
      <c r="T582" t="inlineStr">
        <is>
          <t>25</t>
        </is>
      </c>
      <c r="U582" t="inlineStr">
        <is>
          <t>35</t>
        </is>
      </c>
      <c r="V582" t="inlineStr">
        <is>
          <t>25</t>
        </is>
      </c>
      <c r="W582" t="inlineStr">
        <is>
          <t>35</t>
        </is>
      </c>
      <c r="X582" t="inlineStr">
        <is>
          <t>Guild.csv</t>
        </is>
      </c>
    </row>
    <row r="583">
      <c r="A583" t="n">
        <v>582</v>
      </c>
      <c r="B583" t="n">
        <v>46</v>
      </c>
      <c r="C583" t="inlineStr">
        <is>
          <t>Avelia</t>
        </is>
      </c>
      <c r="D583" t="inlineStr">
        <is>
          <t>Emaar Properties</t>
        </is>
      </c>
      <c r="E583" t="inlineStr">
        <is>
          <t>The Valley</t>
        </is>
      </c>
      <c r="F583" t="inlineStr">
        <is>
          <t>Townhouses</t>
        </is>
      </c>
      <c r="G583" t="inlineStr">
        <is>
          <t>Family</t>
        </is>
      </c>
      <c r="H583" t="inlineStr">
        <is>
          <t>2.3M</t>
        </is>
      </c>
      <c r="I583" t="inlineStr">
        <is>
          <t>1000</t>
        </is>
      </c>
      <c r="J583" t="inlineStr">
        <is>
          <t>15</t>
        </is>
      </c>
      <c r="K583" t="inlineStr">
        <is>
          <t>80/20</t>
        </is>
      </c>
      <c r="L583" t="inlineStr">
        <is>
          <t>2024</t>
        </is>
      </c>
      <c r="M583" t="inlineStr">
        <is>
          <t>6.5-7.0</t>
        </is>
      </c>
      <c r="N583" t="inlineStr">
        <is>
          <t>10-15</t>
        </is>
      </c>
      <c r="O583" t="inlineStr">
        <is>
          <t>16.5-22.0</t>
        </is>
      </c>
      <c r="P583" t="inlineStr">
        <is>
          <t>The Aquila School</t>
        </is>
      </c>
      <c r="Q583" t="inlineStr">
        <is>
          <t>Fakeeh University Hosp</t>
        </is>
      </c>
      <c r="R583" t="inlineStr">
        <is>
          <t>Dubai Outlet Mall</t>
        </is>
      </c>
      <c r="S583" t="inlineStr">
        <is>
          <t>Al Ain Rd E66</t>
        </is>
      </c>
      <c r="T583" t="inlineStr">
        <is>
          <t>25</t>
        </is>
      </c>
      <c r="U583" t="inlineStr">
        <is>
          <t>35</t>
        </is>
      </c>
      <c r="V583" t="inlineStr">
        <is>
          <t>25</t>
        </is>
      </c>
      <c r="W583" t="inlineStr">
        <is>
          <t>35</t>
        </is>
      </c>
      <c r="X583" t="inlineStr">
        <is>
          <t>Guild.csv</t>
        </is>
      </c>
    </row>
    <row r="584">
      <c r="A584" t="n">
        <v>583</v>
      </c>
      <c r="B584" t="n">
        <v>47</v>
      </c>
      <c r="C584" t="inlineStr">
        <is>
          <t>Elora</t>
        </is>
      </c>
      <c r="D584" t="inlineStr">
        <is>
          <t>Emaar Properties</t>
        </is>
      </c>
      <c r="E584" t="inlineStr">
        <is>
          <t>The Valley</t>
        </is>
      </c>
      <c r="F584" t="inlineStr">
        <is>
          <t>Townhouses</t>
        </is>
      </c>
      <c r="G584" t="inlineStr">
        <is>
          <t>Family</t>
        </is>
      </c>
      <c r="H584" t="inlineStr">
        <is>
          <t>2.1M</t>
        </is>
      </c>
      <c r="I584" t="inlineStr">
        <is>
          <t>1000</t>
        </is>
      </c>
      <c r="J584" t="inlineStr">
        <is>
          <t>15</t>
        </is>
      </c>
      <c r="K584" t="inlineStr">
        <is>
          <t>80/20</t>
        </is>
      </c>
      <c r="L584" t="inlineStr">
        <is>
          <t>2023</t>
        </is>
      </c>
      <c r="M584" t="inlineStr">
        <is>
          <t>7.0-7.5</t>
        </is>
      </c>
      <c r="N584" t="inlineStr">
        <is>
          <t>10-12</t>
        </is>
      </c>
      <c r="O584" t="inlineStr">
        <is>
          <t>17.0-19.5</t>
        </is>
      </c>
      <c r="P584" t="inlineStr">
        <is>
          <t>The Aquila School</t>
        </is>
      </c>
      <c r="Q584" t="inlineStr">
        <is>
          <t>Fakeeh University Hosp</t>
        </is>
      </c>
      <c r="R584" t="inlineStr">
        <is>
          <t>Dubai Outlet Mall</t>
        </is>
      </c>
      <c r="S584" t="inlineStr">
        <is>
          <t>Al Ain Rd E66</t>
        </is>
      </c>
      <c r="T584" t="inlineStr">
        <is>
          <t>25</t>
        </is>
      </c>
      <c r="U584" t="inlineStr">
        <is>
          <t>35</t>
        </is>
      </c>
      <c r="V584" t="inlineStr">
        <is>
          <t>25</t>
        </is>
      </c>
      <c r="W584" t="inlineStr">
        <is>
          <t>35</t>
        </is>
      </c>
      <c r="X584" t="inlineStr">
        <is>
          <t>Guild.csv</t>
        </is>
      </c>
    </row>
    <row r="585">
      <c r="A585" t="n">
        <v>584</v>
      </c>
      <c r="B585" t="n">
        <v>48</v>
      </c>
      <c r="C585" t="inlineStr">
        <is>
          <t>Rivana</t>
        </is>
      </c>
      <c r="D585" t="inlineStr">
        <is>
          <t>Emaar Properties</t>
        </is>
      </c>
      <c r="E585" t="inlineStr">
        <is>
          <t>The Valley</t>
        </is>
      </c>
      <c r="F585" t="inlineStr">
        <is>
          <t>Villas</t>
        </is>
      </c>
      <c r="G585" t="inlineStr">
        <is>
          <t>Twin Villas</t>
        </is>
      </c>
      <c r="H585" t="inlineStr">
        <is>
          <t>2.8M</t>
        </is>
      </c>
      <c r="I585" t="inlineStr">
        <is>
          <t>1100</t>
        </is>
      </c>
      <c r="J585" t="inlineStr">
        <is>
          <t>15</t>
        </is>
      </c>
      <c r="K585" t="inlineStr">
        <is>
          <t>80/20</t>
        </is>
      </c>
      <c r="L585" t="inlineStr">
        <is>
          <t>2023</t>
        </is>
      </c>
      <c r="M585" t="inlineStr">
        <is>
          <t>6.5-7.0</t>
        </is>
      </c>
      <c r="N585" t="inlineStr">
        <is>
          <t>10-12</t>
        </is>
      </c>
      <c r="O585" t="inlineStr">
        <is>
          <t>16.5-19.0</t>
        </is>
      </c>
      <c r="P585" t="inlineStr">
        <is>
          <t>The Aquila School</t>
        </is>
      </c>
      <c r="Q585" t="inlineStr">
        <is>
          <t>Fakeeh University Hosp</t>
        </is>
      </c>
      <c r="R585" t="inlineStr">
        <is>
          <t>Dubai Outlet Mall</t>
        </is>
      </c>
      <c r="S585" t="inlineStr">
        <is>
          <t>Al Ain Rd E66</t>
        </is>
      </c>
      <c r="T585" t="inlineStr">
        <is>
          <t>25</t>
        </is>
      </c>
      <c r="U585" t="inlineStr">
        <is>
          <t>35</t>
        </is>
      </c>
      <c r="V585" t="inlineStr">
        <is>
          <t>25</t>
        </is>
      </c>
      <c r="W585" t="inlineStr">
        <is>
          <t>35</t>
        </is>
      </c>
      <c r="X585" t="inlineStr">
        <is>
          <t>Guild.csv</t>
        </is>
      </c>
    </row>
    <row r="586">
      <c r="A586" t="n">
        <v>585</v>
      </c>
      <c r="B586" t="n">
        <v>49</v>
      </c>
      <c r="C586" t="inlineStr">
        <is>
          <t>Farm Gardens</t>
        </is>
      </c>
      <c r="D586" t="inlineStr">
        <is>
          <t>Emaar Properties</t>
        </is>
      </c>
      <c r="E586" t="inlineStr">
        <is>
          <t>The Valley</t>
        </is>
      </c>
      <c r="F586" t="inlineStr">
        <is>
          <t>Villas (Estate)</t>
        </is>
      </c>
      <c r="G586" t="inlineStr">
        <is>
          <t>Farm / Luxury</t>
        </is>
      </c>
      <c r="H586" t="inlineStr">
        <is>
          <t>5.5M</t>
        </is>
      </c>
      <c r="I586" t="inlineStr">
        <is>
          <t>1300</t>
        </is>
      </c>
      <c r="J586" t="inlineStr">
        <is>
          <t>15</t>
        </is>
      </c>
      <c r="K586" t="inlineStr">
        <is>
          <t>80/20</t>
        </is>
      </c>
      <c r="L586" t="inlineStr">
        <is>
          <t>2023</t>
        </is>
      </c>
      <c r="M586" t="inlineStr">
        <is>
          <t>5.5-6.0</t>
        </is>
      </c>
      <c r="N586" t="inlineStr">
        <is>
          <t>10-12</t>
        </is>
      </c>
      <c r="O586" t="inlineStr">
        <is>
          <t>15.5-18.0</t>
        </is>
      </c>
      <c r="P586" t="inlineStr">
        <is>
          <t>The Aquila School</t>
        </is>
      </c>
      <c r="Q586" t="inlineStr">
        <is>
          <t>Fakeeh University Hosp</t>
        </is>
      </c>
      <c r="R586" t="inlineStr">
        <is>
          <t>Dubai Outlet Mall</t>
        </is>
      </c>
      <c r="S586" t="inlineStr">
        <is>
          <t>Al Ain Rd E66</t>
        </is>
      </c>
      <c r="T586" t="inlineStr">
        <is>
          <t>25</t>
        </is>
      </c>
      <c r="U586" t="inlineStr">
        <is>
          <t>35</t>
        </is>
      </c>
      <c r="V586" t="inlineStr">
        <is>
          <t>25</t>
        </is>
      </c>
      <c r="W586" t="inlineStr">
        <is>
          <t>35</t>
        </is>
      </c>
      <c r="X586" t="inlineStr">
        <is>
          <t>Guild.csv</t>
        </is>
      </c>
    </row>
    <row r="587">
      <c r="A587" t="n">
        <v>586</v>
      </c>
      <c r="B587" t="n">
        <v>50</v>
      </c>
      <c r="C587" t="inlineStr">
        <is>
          <t>The Oasis (Master Community)</t>
        </is>
      </c>
      <c r="D587" t="inlineStr">
        <is>
          <t>Emaar Properties</t>
        </is>
      </c>
      <c r="E587" t="inlineStr">
        <is>
          <t>Near DIP</t>
        </is>
      </c>
      <c r="F587" t="inlineStr">
        <is>
          <t>Villas &amp; Mansions</t>
        </is>
      </c>
      <c r="G587" t="inlineStr">
        <is>
          <t>Blue Lagoons / Luxury</t>
        </is>
      </c>
      <c r="J587" t="inlineStr">
        <is>
          <t>TBA</t>
        </is>
      </c>
      <c r="K587" t="inlineStr">
        <is>
          <t>Varies</t>
        </is>
      </c>
      <c r="L587" t="inlineStr">
        <is>
          <t>2024</t>
        </is>
      </c>
      <c r="M587" t="inlineStr">
        <is>
          <t>4.5-5.5</t>
        </is>
      </c>
      <c r="N587" t="inlineStr">
        <is>
          <t>12-18</t>
        </is>
      </c>
      <c r="O587" t="inlineStr">
        <is>
          <t>16.5-23.5</t>
        </is>
      </c>
      <c r="P587" t="inlineStr">
        <is>
          <t>Victory Heights</t>
        </is>
      </c>
      <c r="Q587" t="inlineStr">
        <is>
          <t>NMC Royal DIP</t>
        </is>
      </c>
      <c r="R587" t="inlineStr">
        <is>
          <t>First Avenue Mall</t>
        </is>
      </c>
      <c r="S587" t="inlineStr">
        <is>
          <t>Yalayis St / E611</t>
        </is>
      </c>
      <c r="T587" t="inlineStr">
        <is>
          <t>25</t>
        </is>
      </c>
      <c r="U587" t="inlineStr">
        <is>
          <t>20</t>
        </is>
      </c>
      <c r="V587" t="inlineStr">
        <is>
          <t>30</t>
        </is>
      </c>
      <c r="W587" t="inlineStr">
        <is>
          <t>18</t>
        </is>
      </c>
      <c r="X587" t="inlineStr">
        <is>
          <t>Guild.csv</t>
        </is>
      </c>
    </row>
    <row r="588">
      <c r="A588" t="n">
        <v>587</v>
      </c>
      <c r="B588" t="n">
        <v>51</v>
      </c>
      <c r="C588" t="inlineStr">
        <is>
          <t>Palmiera</t>
        </is>
      </c>
      <c r="D588" t="inlineStr">
        <is>
          <t>Emaar Properties</t>
        </is>
      </c>
      <c r="E588" t="inlineStr">
        <is>
          <t>The Oasis</t>
        </is>
      </c>
      <c r="F588" t="inlineStr">
        <is>
          <t>Villas</t>
        </is>
      </c>
      <c r="G588" t="inlineStr">
        <is>
          <t>Luxury / Water</t>
        </is>
      </c>
      <c r="H588" t="inlineStr">
        <is>
          <t>8.5M</t>
        </is>
      </c>
      <c r="I588" t="inlineStr">
        <is>
          <t>1800</t>
        </is>
      </c>
      <c r="J588" t="inlineStr">
        <is>
          <t>20</t>
        </is>
      </c>
      <c r="K588" t="inlineStr">
        <is>
          <t>80/20</t>
        </is>
      </c>
      <c r="L588" t="inlineStr">
        <is>
          <t>2024</t>
        </is>
      </c>
      <c r="M588" t="inlineStr">
        <is>
          <t>4.5-5.0</t>
        </is>
      </c>
      <c r="N588" t="inlineStr">
        <is>
          <t>12-18</t>
        </is>
      </c>
      <c r="O588" t="inlineStr">
        <is>
          <t>16.5-23.0</t>
        </is>
      </c>
      <c r="P588" t="inlineStr">
        <is>
          <t>Victory Heights</t>
        </is>
      </c>
      <c r="Q588" t="inlineStr">
        <is>
          <t>NMC Royal DIP</t>
        </is>
      </c>
      <c r="R588" t="inlineStr">
        <is>
          <t>First Avenue Mall</t>
        </is>
      </c>
      <c r="S588" t="inlineStr">
        <is>
          <t>Yalayis St / E611</t>
        </is>
      </c>
      <c r="T588" t="inlineStr">
        <is>
          <t>25</t>
        </is>
      </c>
      <c r="U588" t="inlineStr">
        <is>
          <t>20</t>
        </is>
      </c>
      <c r="V588" t="inlineStr">
        <is>
          <t>30</t>
        </is>
      </c>
      <c r="W588" t="inlineStr">
        <is>
          <t>18</t>
        </is>
      </c>
      <c r="X588" t="inlineStr">
        <is>
          <t>Guild.csv</t>
        </is>
      </c>
    </row>
    <row r="589">
      <c r="A589" t="n">
        <v>588</v>
      </c>
      <c r="B589" t="n">
        <v>52</v>
      </c>
      <c r="C589" t="inlineStr">
        <is>
          <t>Marèva 1</t>
        </is>
      </c>
      <c r="D589" t="inlineStr">
        <is>
          <t>Emaar Properties</t>
        </is>
      </c>
      <c r="E589" t="inlineStr">
        <is>
          <t>The Oasis</t>
        </is>
      </c>
      <c r="F589" t="inlineStr">
        <is>
          <t>Villas</t>
        </is>
      </c>
      <c r="G589" t="inlineStr">
        <is>
          <t>Luxury / Water</t>
        </is>
      </c>
      <c r="H589" t="inlineStr">
        <is>
          <t>9.0M</t>
        </is>
      </c>
      <c r="I589" t="inlineStr">
        <is>
          <t>1900</t>
        </is>
      </c>
      <c r="J589" t="inlineStr">
        <is>
          <t>20</t>
        </is>
      </c>
      <c r="K589" t="inlineStr">
        <is>
          <t>80/20</t>
        </is>
      </c>
      <c r="L589" t="inlineStr">
        <is>
          <t>2024</t>
        </is>
      </c>
      <c r="M589" t="inlineStr">
        <is>
          <t>4.5-5.0</t>
        </is>
      </c>
      <c r="N589" t="inlineStr">
        <is>
          <t>12-18</t>
        </is>
      </c>
      <c r="O589" t="inlineStr">
        <is>
          <t>16.5-23.0</t>
        </is>
      </c>
      <c r="P589" t="inlineStr">
        <is>
          <t>Victory Heights</t>
        </is>
      </c>
      <c r="Q589" t="inlineStr">
        <is>
          <t>NMC Royal DIP</t>
        </is>
      </c>
      <c r="R589" t="inlineStr">
        <is>
          <t>First Avenue Mall</t>
        </is>
      </c>
      <c r="S589" t="inlineStr">
        <is>
          <t>Yalayis St / E611</t>
        </is>
      </c>
      <c r="T589" t="inlineStr">
        <is>
          <t>25</t>
        </is>
      </c>
      <c r="U589" t="inlineStr">
        <is>
          <t>20</t>
        </is>
      </c>
      <c r="V589" t="inlineStr">
        <is>
          <t>30</t>
        </is>
      </c>
      <c r="W589" t="inlineStr">
        <is>
          <t>18</t>
        </is>
      </c>
      <c r="X589" t="inlineStr">
        <is>
          <t>Guild.csv</t>
        </is>
      </c>
    </row>
    <row r="590">
      <c r="A590" t="n">
        <v>589</v>
      </c>
      <c r="B590" t="n">
        <v>53</v>
      </c>
      <c r="C590" t="inlineStr">
        <is>
          <t>Marèva 2</t>
        </is>
      </c>
      <c r="D590" t="inlineStr">
        <is>
          <t>Emaar Properties</t>
        </is>
      </c>
      <c r="E590" t="inlineStr">
        <is>
          <t>The Oasis</t>
        </is>
      </c>
      <c r="F590" t="inlineStr">
        <is>
          <t>Villas</t>
        </is>
      </c>
      <c r="G590" t="inlineStr">
        <is>
          <t>Luxury / Water</t>
        </is>
      </c>
      <c r="H590" t="inlineStr">
        <is>
          <t>13.47M</t>
        </is>
      </c>
      <c r="I590" t="inlineStr">
        <is>
          <t>2000</t>
        </is>
      </c>
      <c r="J590" t="inlineStr">
        <is>
          <t>20</t>
        </is>
      </c>
      <c r="K590" t="inlineStr">
        <is>
          <t>80/20</t>
        </is>
      </c>
      <c r="L590" t="inlineStr">
        <is>
          <t>2024</t>
        </is>
      </c>
      <c r="M590" t="inlineStr">
        <is>
          <t>4.0-4.5</t>
        </is>
      </c>
      <c r="N590" t="inlineStr">
        <is>
          <t>12-18</t>
        </is>
      </c>
      <c r="O590" t="inlineStr">
        <is>
          <t>16.0-22.5</t>
        </is>
      </c>
      <c r="P590" t="inlineStr">
        <is>
          <t>Victory Heights</t>
        </is>
      </c>
      <c r="Q590" t="inlineStr">
        <is>
          <t>NMC Royal DIP</t>
        </is>
      </c>
      <c r="R590" t="inlineStr">
        <is>
          <t>First Avenue Mall</t>
        </is>
      </c>
      <c r="S590" t="inlineStr">
        <is>
          <t>Yalayis St / E611</t>
        </is>
      </c>
      <c r="T590" t="inlineStr">
        <is>
          <t>25</t>
        </is>
      </c>
      <c r="U590" t="inlineStr">
        <is>
          <t>20</t>
        </is>
      </c>
      <c r="V590" t="inlineStr">
        <is>
          <t>30</t>
        </is>
      </c>
      <c r="W590" t="inlineStr">
        <is>
          <t>18</t>
        </is>
      </c>
      <c r="X590" t="inlineStr">
        <is>
          <t>Guild.csv</t>
        </is>
      </c>
    </row>
    <row r="591">
      <c r="A591" t="n">
        <v>590</v>
      </c>
      <c r="B591" t="n">
        <v>54</v>
      </c>
      <c r="C591" t="inlineStr">
        <is>
          <t>Emaar South (Master Community)</t>
        </is>
      </c>
      <c r="D591" t="inlineStr">
        <is>
          <t>Emaar Properties</t>
        </is>
      </c>
      <c r="E591" t="inlineStr">
        <is>
          <t>Dubai South (Airport)</t>
        </is>
      </c>
      <c r="F591" t="inlineStr">
        <is>
          <t>Mixed</t>
        </is>
      </c>
      <c r="G591" t="inlineStr">
        <is>
          <t>Golf / Airport</t>
        </is>
      </c>
      <c r="J591" t="inlineStr">
        <is>
          <t>10-12</t>
        </is>
      </c>
      <c r="K591" t="inlineStr">
        <is>
          <t>Varies</t>
        </is>
      </c>
      <c r="L591" t="inlineStr">
        <is>
          <t>Ongoing</t>
        </is>
      </c>
      <c r="M591" t="inlineStr">
        <is>
          <t>7.0-8.5</t>
        </is>
      </c>
      <c r="N591" t="inlineStr">
        <is>
          <t>8-12</t>
        </is>
      </c>
      <c r="O591" t="inlineStr">
        <is>
          <t>15.0-20.5</t>
        </is>
      </c>
      <c r="P591" t="inlineStr">
        <is>
          <t>Greenfield Intl</t>
        </is>
      </c>
      <c r="Q591" t="inlineStr">
        <is>
          <t>NMC Royal DIP</t>
        </is>
      </c>
      <c r="R591" t="inlineStr">
        <is>
          <t>Urban Centre (Local)</t>
        </is>
      </c>
      <c r="S591" t="inlineStr">
        <is>
          <t>Expo Rd / E611</t>
        </is>
      </c>
      <c r="T591" t="inlineStr">
        <is>
          <t>40</t>
        </is>
      </c>
      <c r="U591" t="inlineStr">
        <is>
          <t>25</t>
        </is>
      </c>
      <c r="V591" t="inlineStr">
        <is>
          <t>45</t>
        </is>
      </c>
      <c r="W591" t="inlineStr">
        <is>
          <t>7</t>
        </is>
      </c>
      <c r="X591" t="inlineStr">
        <is>
          <t>Guild.csv</t>
        </is>
      </c>
    </row>
    <row r="592">
      <c r="A592" t="n">
        <v>591</v>
      </c>
      <c r="B592" t="n">
        <v>55</v>
      </c>
      <c r="C592" t="inlineStr">
        <is>
          <t>Golf Hills 2</t>
        </is>
      </c>
      <c r="D592" t="inlineStr">
        <is>
          <t>Emaar Properties</t>
        </is>
      </c>
      <c r="E592" t="inlineStr">
        <is>
          <t>Emaar South</t>
        </is>
      </c>
      <c r="F592" t="inlineStr">
        <is>
          <t>Apartments</t>
        </is>
      </c>
      <c r="G592" t="inlineStr">
        <is>
          <t>Golf View</t>
        </is>
      </c>
      <c r="H592" t="inlineStr">
        <is>
          <t>1.1M</t>
        </is>
      </c>
      <c r="I592" t="inlineStr">
        <is>
          <t>1200</t>
        </is>
      </c>
      <c r="J592" t="inlineStr">
        <is>
          <t>15</t>
        </is>
      </c>
      <c r="K592" t="inlineStr">
        <is>
          <t>80/20</t>
        </is>
      </c>
      <c r="L592" t="inlineStr">
        <is>
          <t>2024</t>
        </is>
      </c>
      <c r="M592" t="inlineStr">
        <is>
          <t>7.0-7.5</t>
        </is>
      </c>
      <c r="N592" t="inlineStr">
        <is>
          <t>8-12</t>
        </is>
      </c>
      <c r="O592" t="inlineStr">
        <is>
          <t>15.0-19.5</t>
        </is>
      </c>
      <c r="P592" t="inlineStr">
        <is>
          <t>Greenfield Intl</t>
        </is>
      </c>
      <c r="Q592" t="inlineStr">
        <is>
          <t>NMC Royal DIP</t>
        </is>
      </c>
      <c r="R592" t="inlineStr">
        <is>
          <t>Urban Centre (Local)</t>
        </is>
      </c>
      <c r="S592" t="inlineStr">
        <is>
          <t>Expo Rd / E611</t>
        </is>
      </c>
      <c r="T592" t="inlineStr">
        <is>
          <t>40</t>
        </is>
      </c>
      <c r="U592" t="inlineStr">
        <is>
          <t>25</t>
        </is>
      </c>
      <c r="V592" t="inlineStr">
        <is>
          <t>45</t>
        </is>
      </c>
      <c r="W592" t="inlineStr">
        <is>
          <t>7</t>
        </is>
      </c>
      <c r="X592" t="inlineStr">
        <is>
          <t>Guild.csv</t>
        </is>
      </c>
    </row>
    <row r="593">
      <c r="A593" t="n">
        <v>592</v>
      </c>
      <c r="B593" t="n">
        <v>56</v>
      </c>
      <c r="C593" t="inlineStr">
        <is>
          <t>Vista Ridge</t>
        </is>
      </c>
      <c r="D593" t="inlineStr">
        <is>
          <t>Emaar Properties</t>
        </is>
      </c>
      <c r="E593" t="inlineStr">
        <is>
          <t>Emaar South</t>
        </is>
      </c>
      <c r="F593" t="inlineStr">
        <is>
          <t>Townhouses</t>
        </is>
      </c>
      <c r="G593" t="inlineStr">
        <is>
          <t>Golf View</t>
        </is>
      </c>
      <c r="H593" t="inlineStr">
        <is>
          <t>1.8M</t>
        </is>
      </c>
      <c r="I593" t="inlineStr">
        <is>
          <t>1100</t>
        </is>
      </c>
      <c r="J593" t="inlineStr">
        <is>
          <t>15</t>
        </is>
      </c>
      <c r="K593" t="inlineStr">
        <is>
          <t>80/20</t>
        </is>
      </c>
      <c r="L593" t="inlineStr">
        <is>
          <t>2024</t>
        </is>
      </c>
      <c r="M593" t="inlineStr">
        <is>
          <t>6.5-7.0</t>
        </is>
      </c>
      <c r="N593" t="inlineStr">
        <is>
          <t>8-12</t>
        </is>
      </c>
      <c r="O593" t="inlineStr">
        <is>
          <t>14.5-19.0</t>
        </is>
      </c>
      <c r="P593" t="inlineStr">
        <is>
          <t>Greenfield Intl</t>
        </is>
      </c>
      <c r="Q593" t="inlineStr">
        <is>
          <t>NMC Royal DIP</t>
        </is>
      </c>
      <c r="R593" t="inlineStr">
        <is>
          <t>Urban Centre (Local)</t>
        </is>
      </c>
      <c r="S593" t="inlineStr">
        <is>
          <t>Expo Rd / E611</t>
        </is>
      </c>
      <c r="T593" t="inlineStr">
        <is>
          <t>40</t>
        </is>
      </c>
      <c r="U593" t="inlineStr">
        <is>
          <t>25</t>
        </is>
      </c>
      <c r="V593" t="inlineStr">
        <is>
          <t>45</t>
        </is>
      </c>
      <c r="W593" t="inlineStr">
        <is>
          <t>7</t>
        </is>
      </c>
      <c r="X593" t="inlineStr">
        <is>
          <t>Guild.csv</t>
        </is>
      </c>
    </row>
    <row r="594">
      <c r="A594" t="n">
        <v>593</v>
      </c>
      <c r="B594" t="n">
        <v>57</v>
      </c>
      <c r="C594" t="inlineStr">
        <is>
          <t>Grove Ridge</t>
        </is>
      </c>
      <c r="D594" t="inlineStr">
        <is>
          <t>Emaar Properties</t>
        </is>
      </c>
      <c r="E594" t="inlineStr">
        <is>
          <t>Emaar South</t>
        </is>
      </c>
      <c r="F594" t="inlineStr">
        <is>
          <t>Townhouses</t>
        </is>
      </c>
      <c r="G594" t="inlineStr">
        <is>
          <t>Family</t>
        </is>
      </c>
      <c r="H594" t="inlineStr">
        <is>
          <t>1.7M</t>
        </is>
      </c>
      <c r="I594" t="inlineStr">
        <is>
          <t>1050</t>
        </is>
      </c>
      <c r="J594" t="inlineStr">
        <is>
          <t>15</t>
        </is>
      </c>
      <c r="K594" t="inlineStr">
        <is>
          <t>80/20</t>
        </is>
      </c>
      <c r="L594" t="inlineStr">
        <is>
          <t>2024</t>
        </is>
      </c>
      <c r="M594" t="inlineStr">
        <is>
          <t>6.5-7.0</t>
        </is>
      </c>
      <c r="N594" t="inlineStr">
        <is>
          <t>8-12</t>
        </is>
      </c>
      <c r="O594" t="inlineStr">
        <is>
          <t>14.5-19.0</t>
        </is>
      </c>
      <c r="P594" t="inlineStr">
        <is>
          <t>Greenfield Intl</t>
        </is>
      </c>
      <c r="Q594" t="inlineStr">
        <is>
          <t>NMC Royal DIP</t>
        </is>
      </c>
      <c r="R594" t="inlineStr">
        <is>
          <t>Urban Centre (Local)</t>
        </is>
      </c>
      <c r="S594" t="inlineStr">
        <is>
          <t>Expo Rd / E611</t>
        </is>
      </c>
      <c r="T594" t="inlineStr">
        <is>
          <t>40</t>
        </is>
      </c>
      <c r="U594" t="inlineStr">
        <is>
          <t>25</t>
        </is>
      </c>
      <c r="V594" t="inlineStr">
        <is>
          <t>45</t>
        </is>
      </c>
      <c r="W594" t="inlineStr">
        <is>
          <t>7</t>
        </is>
      </c>
      <c r="X594" t="inlineStr">
        <is>
          <t>Guild.csv</t>
        </is>
      </c>
    </row>
    <row r="595">
      <c r="A595" t="n">
        <v>594</v>
      </c>
      <c r="B595" t="n">
        <v>58</v>
      </c>
      <c r="C595" t="inlineStr">
        <is>
          <t>Expo Golf Villas</t>
        </is>
      </c>
      <c r="D595" t="inlineStr">
        <is>
          <t>Emaar Properties</t>
        </is>
      </c>
      <c r="E595" t="inlineStr">
        <is>
          <t>Emaar South</t>
        </is>
      </c>
      <c r="F595" t="inlineStr">
        <is>
          <t>Villas</t>
        </is>
      </c>
      <c r="G595" t="inlineStr">
        <is>
          <t>Golf</t>
        </is>
      </c>
      <c r="H595" t="inlineStr">
        <is>
          <t>Resale (1.5M+)</t>
        </is>
      </c>
      <c r="I595" t="inlineStr">
        <is>
          <t>1000</t>
        </is>
      </c>
      <c r="J595" t="inlineStr">
        <is>
          <t>15</t>
        </is>
      </c>
      <c r="K595" t="inlineStr">
        <is>
          <t>Completed</t>
        </is>
      </c>
      <c r="L595" t="inlineStr">
        <is>
          <t>2019</t>
        </is>
      </c>
      <c r="M595" t="inlineStr">
        <is>
          <t>7.0-7.5</t>
        </is>
      </c>
      <c r="N595" t="inlineStr">
        <is>
          <t>6-8</t>
        </is>
      </c>
      <c r="O595" t="inlineStr">
        <is>
          <t>13.0-15.5</t>
        </is>
      </c>
      <c r="P595" t="inlineStr">
        <is>
          <t>Greenfield Intl</t>
        </is>
      </c>
      <c r="Q595" t="inlineStr">
        <is>
          <t>NMC Royal DIP</t>
        </is>
      </c>
      <c r="R595" t="inlineStr">
        <is>
          <t>Urban Centre (Local)</t>
        </is>
      </c>
      <c r="S595" t="inlineStr">
        <is>
          <t>Expo Rd / E611</t>
        </is>
      </c>
      <c r="T595" t="inlineStr">
        <is>
          <t>40</t>
        </is>
      </c>
      <c r="U595" t="inlineStr">
        <is>
          <t>25</t>
        </is>
      </c>
      <c r="V595" t="inlineStr">
        <is>
          <t>45</t>
        </is>
      </c>
      <c r="W595" t="inlineStr">
        <is>
          <t>7</t>
        </is>
      </c>
      <c r="X595" t="inlineStr">
        <is>
          <t>Guild.csv</t>
        </is>
      </c>
    </row>
    <row r="596">
      <c r="A596" t="n">
        <v>595</v>
      </c>
      <c r="B596" t="n">
        <v>59</v>
      </c>
      <c r="C596" t="inlineStr">
        <is>
          <t>Urbana</t>
        </is>
      </c>
      <c r="D596" t="inlineStr">
        <is>
          <t>Emaar Properties</t>
        </is>
      </c>
      <c r="E596" t="inlineStr">
        <is>
          <t>Emaar South</t>
        </is>
      </c>
      <c r="F596" t="inlineStr">
        <is>
          <t>Townhouses</t>
        </is>
      </c>
      <c r="G596" t="inlineStr">
        <is>
          <t>Gated</t>
        </is>
      </c>
      <c r="H596" t="inlineStr">
        <is>
          <t>Resale (1.2M+)</t>
        </is>
      </c>
      <c r="I596" t="inlineStr">
        <is>
          <t>950</t>
        </is>
      </c>
      <c r="J596" t="inlineStr">
        <is>
          <t>15</t>
        </is>
      </c>
      <c r="K596" t="inlineStr">
        <is>
          <t>Completed</t>
        </is>
      </c>
      <c r="L596" t="inlineStr">
        <is>
          <t>2018</t>
        </is>
      </c>
      <c r="M596" t="inlineStr">
        <is>
          <t>7.5-8.0</t>
        </is>
      </c>
      <c r="N596" t="inlineStr">
        <is>
          <t>6-8</t>
        </is>
      </c>
      <c r="O596" t="inlineStr">
        <is>
          <t>13.5-16.0</t>
        </is>
      </c>
      <c r="P596" t="inlineStr">
        <is>
          <t>Greenfield Intl</t>
        </is>
      </c>
      <c r="Q596" t="inlineStr">
        <is>
          <t>NMC Royal DIP</t>
        </is>
      </c>
      <c r="R596" t="inlineStr">
        <is>
          <t>Urban Centre (Local)</t>
        </is>
      </c>
      <c r="S596" t="inlineStr">
        <is>
          <t>Expo Rd / E611</t>
        </is>
      </c>
      <c r="T596" t="inlineStr">
        <is>
          <t>40</t>
        </is>
      </c>
      <c r="U596" t="inlineStr">
        <is>
          <t>25</t>
        </is>
      </c>
      <c r="V596" t="inlineStr">
        <is>
          <t>45</t>
        </is>
      </c>
      <c r="W596" t="inlineStr">
        <is>
          <t>7</t>
        </is>
      </c>
      <c r="X596" t="inlineStr">
        <is>
          <t>Guild.csv</t>
        </is>
      </c>
    </row>
    <row r="597">
      <c r="A597" t="n">
        <v>596</v>
      </c>
      <c r="B597" t="n">
        <v>60</v>
      </c>
      <c r="C597" t="inlineStr">
        <is>
          <t>Expo Living (Master Community)</t>
        </is>
      </c>
      <c r="D597" t="inlineStr">
        <is>
          <t>Emaar Properties</t>
        </is>
      </c>
      <c r="E597" t="inlineStr">
        <is>
          <t>Dubai South</t>
        </is>
      </c>
      <c r="F597" t="inlineStr">
        <is>
          <t>Apartments</t>
        </is>
      </c>
      <c r="G597" t="inlineStr">
        <is>
          <t>Expo City Proximity</t>
        </is>
      </c>
      <c r="J597" t="inlineStr">
        <is>
          <t>15</t>
        </is>
      </c>
      <c r="K597" t="inlineStr">
        <is>
          <t>Varies</t>
        </is>
      </c>
      <c r="L597" t="inlineStr">
        <is>
          <t>2024</t>
        </is>
      </c>
      <c r="M597" t="inlineStr">
        <is>
          <t>7.0-8.0</t>
        </is>
      </c>
      <c r="N597" t="inlineStr">
        <is>
          <t>10-12</t>
        </is>
      </c>
      <c r="O597" t="inlineStr">
        <is>
          <t>17.0-20.0</t>
        </is>
      </c>
      <c r="P597" t="inlineStr">
        <is>
          <t>Dove Green</t>
        </is>
      </c>
      <c r="Q597" t="inlineStr">
        <is>
          <t>NMC Royal DIP</t>
        </is>
      </c>
      <c r="R597" t="inlineStr">
        <is>
          <t>Expo City Mall</t>
        </is>
      </c>
      <c r="S597" t="inlineStr">
        <is>
          <t>Expo Rd</t>
        </is>
      </c>
      <c r="T597" t="inlineStr">
        <is>
          <t>35</t>
        </is>
      </c>
      <c r="U597" t="inlineStr">
        <is>
          <t>20</t>
        </is>
      </c>
      <c r="V597" t="inlineStr">
        <is>
          <t>40</t>
        </is>
      </c>
      <c r="W597" t="inlineStr">
        <is>
          <t>10</t>
        </is>
      </c>
      <c r="X597" t="inlineStr">
        <is>
          <t>Guild.csv</t>
        </is>
      </c>
    </row>
    <row r="598">
      <c r="A598" t="n">
        <v>597</v>
      </c>
      <c r="B598" t="n">
        <v>61</v>
      </c>
      <c r="C598" t="inlineStr">
        <is>
          <t>Terra Gardens</t>
        </is>
      </c>
      <c r="D598" t="inlineStr">
        <is>
          <t>Emaar Properties</t>
        </is>
      </c>
      <c r="E598" t="inlineStr">
        <is>
          <t>Expo Living</t>
        </is>
      </c>
      <c r="F598" t="inlineStr">
        <is>
          <t>Apartments</t>
        </is>
      </c>
      <c r="G598" t="inlineStr">
        <is>
          <t>Green / Modern</t>
        </is>
      </c>
      <c r="H598" t="inlineStr">
        <is>
          <t>1.3M</t>
        </is>
      </c>
      <c r="I598" t="inlineStr">
        <is>
          <t>1400</t>
        </is>
      </c>
      <c r="J598" t="inlineStr">
        <is>
          <t>15</t>
        </is>
      </c>
      <c r="K598" t="inlineStr">
        <is>
          <t>80/20</t>
        </is>
      </c>
      <c r="L598" t="inlineStr">
        <is>
          <t>2024</t>
        </is>
      </c>
      <c r="M598" t="inlineStr">
        <is>
          <t>7.0-7.5</t>
        </is>
      </c>
      <c r="N598" t="inlineStr">
        <is>
          <t>10-12</t>
        </is>
      </c>
      <c r="O598" t="inlineStr">
        <is>
          <t>17.0-19.5</t>
        </is>
      </c>
      <c r="P598" t="inlineStr">
        <is>
          <t>Dove Green</t>
        </is>
      </c>
      <c r="Q598" t="inlineStr">
        <is>
          <t>NMC Royal DIP</t>
        </is>
      </c>
      <c r="R598" t="inlineStr">
        <is>
          <t>Expo City Mall</t>
        </is>
      </c>
      <c r="S598" t="inlineStr">
        <is>
          <t>Expo Rd</t>
        </is>
      </c>
      <c r="T598" t="inlineStr">
        <is>
          <t>35</t>
        </is>
      </c>
      <c r="U598" t="inlineStr">
        <is>
          <t>20</t>
        </is>
      </c>
      <c r="V598" t="inlineStr">
        <is>
          <t>40</t>
        </is>
      </c>
      <c r="W598" t="inlineStr">
        <is>
          <t>10</t>
        </is>
      </c>
      <c r="X598" t="inlineStr">
        <is>
          <t>Guild.csv</t>
        </is>
      </c>
    </row>
    <row r="599">
      <c r="A599" t="n">
        <v>598</v>
      </c>
      <c r="B599" t="n">
        <v>62</v>
      </c>
      <c r="C599" t="inlineStr">
        <is>
          <t>St. Regis Residences</t>
        </is>
      </c>
      <c r="D599" t="inlineStr">
        <is>
          <t>Emaar Properties</t>
        </is>
      </c>
      <c r="E599" t="inlineStr">
        <is>
          <t>Downtown Dubai</t>
        </is>
      </c>
      <c r="F599" t="inlineStr">
        <is>
          <t>Branded Apartments</t>
        </is>
      </c>
      <c r="G599" t="inlineStr">
        <is>
          <t>Luxury / Burj View</t>
        </is>
      </c>
      <c r="H599" t="inlineStr">
        <is>
          <t>3.8M</t>
        </is>
      </c>
      <c r="I599" t="inlineStr">
        <is>
          <t>3500</t>
        </is>
      </c>
      <c r="J599" t="inlineStr">
        <is>
          <t>45+</t>
        </is>
      </c>
      <c r="K599" t="inlineStr">
        <is>
          <t>70/30</t>
        </is>
      </c>
      <c r="L599" t="inlineStr">
        <is>
          <t>2022</t>
        </is>
      </c>
      <c r="M599" t="inlineStr">
        <is>
          <t>4.0-4.5</t>
        </is>
      </c>
      <c r="N599" t="inlineStr">
        <is>
          <t>10-15</t>
        </is>
      </c>
      <c r="O599" t="inlineStr">
        <is>
          <t>14.0-19.5</t>
        </is>
      </c>
      <c r="P599" t="inlineStr">
        <is>
          <t>Hartland Intl</t>
        </is>
      </c>
      <c r="Q599" t="inlineStr">
        <is>
          <t>Mediclinic Dubai Mall</t>
        </is>
      </c>
      <c r="R599" t="inlineStr">
        <is>
          <t>Dubai Mall</t>
        </is>
      </c>
      <c r="S599" t="inlineStr">
        <is>
          <t>Financial Ctr Rd</t>
        </is>
      </c>
      <c r="T599" t="inlineStr">
        <is>
          <t>5</t>
        </is>
      </c>
      <c r="U599" t="inlineStr">
        <is>
          <t>20</t>
        </is>
      </c>
      <c r="V599" t="inlineStr">
        <is>
          <t>15</t>
        </is>
      </c>
      <c r="W599" t="inlineStr">
        <is>
          <t>35</t>
        </is>
      </c>
      <c r="X599" t="inlineStr">
        <is>
          <t>Guild.csv</t>
        </is>
      </c>
    </row>
    <row r="600">
      <c r="A600" t="n">
        <v>599</v>
      </c>
      <c r="B600" t="n">
        <v>63</v>
      </c>
      <c r="C600" t="inlineStr">
        <is>
          <t>Burj Crown</t>
        </is>
      </c>
      <c r="D600" t="inlineStr">
        <is>
          <t>Emaar Properties</t>
        </is>
      </c>
      <c r="E600" t="inlineStr">
        <is>
          <t>Downtown Dubai</t>
        </is>
      </c>
      <c r="F600" t="inlineStr">
        <is>
          <t>Apartments</t>
        </is>
      </c>
      <c r="G600" t="inlineStr">
        <is>
          <t>City Centre</t>
        </is>
      </c>
      <c r="H600" t="inlineStr">
        <is>
          <t>2.2M</t>
        </is>
      </c>
      <c r="I600" t="inlineStr">
        <is>
          <t>2800</t>
        </is>
      </c>
      <c r="J600" t="inlineStr">
        <is>
          <t>30</t>
        </is>
      </c>
      <c r="K600" t="inlineStr">
        <is>
          <t>Completed</t>
        </is>
      </c>
      <c r="L600" t="inlineStr">
        <is>
          <t>2020</t>
        </is>
      </c>
      <c r="M600" t="inlineStr">
        <is>
          <t>5.0-5.5</t>
        </is>
      </c>
      <c r="N600" t="inlineStr">
        <is>
          <t>8-10</t>
        </is>
      </c>
      <c r="O600" t="inlineStr">
        <is>
          <t>13.0-15.5</t>
        </is>
      </c>
      <c r="P600" t="inlineStr">
        <is>
          <t>Hartland Intl</t>
        </is>
      </c>
      <c r="Q600" t="inlineStr">
        <is>
          <t>Mediclinic Dubai Mall</t>
        </is>
      </c>
      <c r="R600" t="inlineStr">
        <is>
          <t>Dubai Mall</t>
        </is>
      </c>
      <c r="S600" t="inlineStr">
        <is>
          <t>Financial Ctr Rd</t>
        </is>
      </c>
      <c r="T600" t="inlineStr">
        <is>
          <t>5</t>
        </is>
      </c>
      <c r="U600" t="inlineStr">
        <is>
          <t>20</t>
        </is>
      </c>
      <c r="V600" t="inlineStr">
        <is>
          <t>15</t>
        </is>
      </c>
      <c r="W600" t="inlineStr">
        <is>
          <t>35</t>
        </is>
      </c>
      <c r="X600" t="inlineStr">
        <is>
          <t>Guild.csv</t>
        </is>
      </c>
    </row>
    <row r="601">
      <c r="A601" t="n">
        <v>600</v>
      </c>
      <c r="B601" t="n">
        <v>64</v>
      </c>
      <c r="C601" t="inlineStr">
        <is>
          <t>Grande</t>
        </is>
      </c>
      <c r="D601" t="inlineStr">
        <is>
          <t>Emaar Properties</t>
        </is>
      </c>
      <c r="E601" t="inlineStr">
        <is>
          <t>Downtown Dubai</t>
        </is>
      </c>
      <c r="F601" t="inlineStr">
        <is>
          <t>Apartments</t>
        </is>
      </c>
      <c r="G601" t="inlineStr">
        <is>
          <t>Opera District</t>
        </is>
      </c>
      <c r="H601" t="inlineStr">
        <is>
          <t>2.5M</t>
        </is>
      </c>
      <c r="I601" t="inlineStr">
        <is>
          <t>3000</t>
        </is>
      </c>
      <c r="J601" t="inlineStr">
        <is>
          <t>30</t>
        </is>
      </c>
      <c r="K601" t="inlineStr">
        <is>
          <t>Completed</t>
        </is>
      </c>
      <c r="L601" t="inlineStr">
        <is>
          <t>2019</t>
        </is>
      </c>
      <c r="M601" t="inlineStr">
        <is>
          <t>5.0-5.5</t>
        </is>
      </c>
      <c r="N601" t="inlineStr">
        <is>
          <t>8-10</t>
        </is>
      </c>
      <c r="O601" t="inlineStr">
        <is>
          <t>13.0-15.5</t>
        </is>
      </c>
      <c r="P601" t="inlineStr">
        <is>
          <t>Hartland Intl</t>
        </is>
      </c>
      <c r="Q601" t="inlineStr">
        <is>
          <t>Mediclinic Dubai Mall</t>
        </is>
      </c>
      <c r="R601" t="inlineStr">
        <is>
          <t>Dubai Mall</t>
        </is>
      </c>
      <c r="S601" t="inlineStr">
        <is>
          <t>Financial Ctr Rd</t>
        </is>
      </c>
      <c r="T601" t="inlineStr">
        <is>
          <t>5</t>
        </is>
      </c>
      <c r="U601" t="inlineStr">
        <is>
          <t>20</t>
        </is>
      </c>
      <c r="V601" t="inlineStr">
        <is>
          <t>15</t>
        </is>
      </c>
      <c r="W601" t="inlineStr">
        <is>
          <t>35</t>
        </is>
      </c>
      <c r="X601" t="inlineStr">
        <is>
          <t>Guild.csv</t>
        </is>
      </c>
    </row>
    <row r="602">
      <c r="A602" t="n">
        <v>601</v>
      </c>
      <c r="B602" t="n">
        <v>65</v>
      </c>
      <c r="C602" t="inlineStr">
        <is>
          <t>Act One | Act Two</t>
        </is>
      </c>
      <c r="D602" t="inlineStr">
        <is>
          <t>Emaar Properties</t>
        </is>
      </c>
      <c r="E602" t="inlineStr">
        <is>
          <t>Downtown Dubai</t>
        </is>
      </c>
      <c r="F602" t="inlineStr">
        <is>
          <t>Apartments</t>
        </is>
      </c>
      <c r="G602" t="inlineStr">
        <is>
          <t>Opera District</t>
        </is>
      </c>
      <c r="H602" t="inlineStr">
        <is>
          <t>2.1M</t>
        </is>
      </c>
      <c r="I602" t="inlineStr">
        <is>
          <t>2600</t>
        </is>
      </c>
      <c r="J602" t="inlineStr">
        <is>
          <t>30</t>
        </is>
      </c>
      <c r="K602" t="inlineStr">
        <is>
          <t>Completed</t>
        </is>
      </c>
      <c r="L602" t="inlineStr">
        <is>
          <t>2018</t>
        </is>
      </c>
      <c r="M602" t="inlineStr">
        <is>
          <t>5.5-6.0</t>
        </is>
      </c>
      <c r="N602" t="inlineStr">
        <is>
          <t>7-9</t>
        </is>
      </c>
      <c r="O602" t="inlineStr">
        <is>
          <t>12.5-15.0</t>
        </is>
      </c>
      <c r="P602" t="inlineStr">
        <is>
          <t>Hartland Intl</t>
        </is>
      </c>
      <c r="Q602" t="inlineStr">
        <is>
          <t>Mediclinic Dubai Mall</t>
        </is>
      </c>
      <c r="R602" t="inlineStr">
        <is>
          <t>Dubai Mall</t>
        </is>
      </c>
      <c r="S602" t="inlineStr">
        <is>
          <t>Financial Ctr Rd</t>
        </is>
      </c>
      <c r="T602" t="inlineStr">
        <is>
          <t>5</t>
        </is>
      </c>
      <c r="U602" t="inlineStr">
        <is>
          <t>20</t>
        </is>
      </c>
      <c r="V602" t="inlineStr">
        <is>
          <t>15</t>
        </is>
      </c>
      <c r="W602" t="inlineStr">
        <is>
          <t>35</t>
        </is>
      </c>
      <c r="X602" t="inlineStr">
        <is>
          <t>Guild.csv</t>
        </is>
      </c>
    </row>
    <row r="603">
      <c r="A603" t="n">
        <v>602</v>
      </c>
      <c r="B603" t="n">
        <v>66</v>
      </c>
      <c r="C603" t="inlineStr">
        <is>
          <t>Il Primo</t>
        </is>
      </c>
      <c r="D603" t="inlineStr">
        <is>
          <t>Emaar Properties</t>
        </is>
      </c>
      <c r="E603" t="inlineStr">
        <is>
          <t>Downtown Dubai</t>
        </is>
      </c>
      <c r="F603" t="inlineStr">
        <is>
          <t>Penthouse/Luxury</t>
        </is>
      </c>
      <c r="G603" t="inlineStr">
        <is>
          <t>Opera District</t>
        </is>
      </c>
      <c r="H603" t="inlineStr">
        <is>
          <t>18M+</t>
        </is>
      </c>
      <c r="I603" t="inlineStr">
        <is>
          <t>4500</t>
        </is>
      </c>
      <c r="J603" t="inlineStr">
        <is>
          <t>45+</t>
        </is>
      </c>
      <c r="K603" t="inlineStr">
        <is>
          <t>Completed</t>
        </is>
      </c>
      <c r="L603" t="inlineStr">
        <is>
          <t>2018</t>
        </is>
      </c>
      <c r="M603" t="inlineStr">
        <is>
          <t>3.5-4.0</t>
        </is>
      </c>
      <c r="N603" t="inlineStr">
        <is>
          <t>8-10</t>
        </is>
      </c>
      <c r="O603" t="inlineStr">
        <is>
          <t>11.5-14.0</t>
        </is>
      </c>
      <c r="P603" t="inlineStr">
        <is>
          <t>Hartland Intl</t>
        </is>
      </c>
      <c r="Q603" t="inlineStr">
        <is>
          <t>Mediclinic Dubai Mall</t>
        </is>
      </c>
      <c r="R603" t="inlineStr">
        <is>
          <t>Dubai Mall</t>
        </is>
      </c>
      <c r="S603" t="inlineStr">
        <is>
          <t>Financial Ctr Rd</t>
        </is>
      </c>
      <c r="T603" t="inlineStr">
        <is>
          <t>5</t>
        </is>
      </c>
      <c r="U603" t="inlineStr">
        <is>
          <t>20</t>
        </is>
      </c>
      <c r="V603" t="inlineStr">
        <is>
          <t>15</t>
        </is>
      </c>
      <c r="W603" t="inlineStr">
        <is>
          <t>35</t>
        </is>
      </c>
      <c r="X603" t="inlineStr">
        <is>
          <t>Guild.csv</t>
        </is>
      </c>
    </row>
    <row r="604">
      <c r="A604" t="n">
        <v>603</v>
      </c>
      <c r="B604" t="n">
        <v>67</v>
      </c>
      <c r="C604" t="inlineStr">
        <is>
          <t>Palm Jebel Ali</t>
        </is>
      </c>
      <c r="D604" t="inlineStr">
        <is>
          <t>Nakheel</t>
        </is>
      </c>
      <c r="E604" t="inlineStr">
        <is>
          <t>Jebel Ali Waterfront</t>
        </is>
      </c>
      <c r="F604" t="inlineStr">
        <is>
          <t>Villas &amp; Plots</t>
        </is>
      </c>
      <c r="G604" t="inlineStr">
        <is>
          <t>Mega Island / Beach</t>
        </is>
      </c>
      <c r="H604" t="inlineStr">
        <is>
          <t>18.5M</t>
        </is>
      </c>
      <c r="I604" t="inlineStr">
        <is>
          <t>2500+</t>
        </is>
      </c>
      <c r="J604" t="inlineStr">
        <is>
          <t>TBA</t>
        </is>
      </c>
      <c r="K604" t="inlineStr">
        <is>
          <t>80/20</t>
        </is>
      </c>
      <c r="L604" t="inlineStr">
        <is>
          <t>2023</t>
        </is>
      </c>
      <c r="M604" t="inlineStr">
        <is>
          <t>3.5-4.5</t>
        </is>
      </c>
      <c r="N604" t="inlineStr">
        <is>
          <t>15-20</t>
        </is>
      </c>
      <c r="O604" t="inlineStr">
        <is>
          <t>18.5-24.5</t>
        </is>
      </c>
      <c r="P604" t="inlineStr">
        <is>
          <t>Dove Green (DIP)</t>
        </is>
      </c>
      <c r="Q604" t="inlineStr">
        <is>
          <t>Aster Cedars Jebel Ali</t>
        </is>
      </c>
      <c r="R604" t="inlineStr">
        <is>
          <t>Ibn Battuta Mall</t>
        </is>
      </c>
      <c r="S604" t="inlineStr">
        <is>
          <t>Sheikh Zayed E11</t>
        </is>
      </c>
      <c r="T604" t="inlineStr">
        <is>
          <t>40</t>
        </is>
      </c>
      <c r="U604" t="inlineStr">
        <is>
          <t>20</t>
        </is>
      </c>
      <c r="V604" t="inlineStr">
        <is>
          <t>45</t>
        </is>
      </c>
      <c r="W604" t="inlineStr">
        <is>
          <t>20</t>
        </is>
      </c>
      <c r="X604" t="inlineStr">
        <is>
          <t>Guild.csv</t>
        </is>
      </c>
    </row>
    <row r="605">
      <c r="A605" t="n">
        <v>604</v>
      </c>
      <c r="B605" t="n">
        <v>68</v>
      </c>
      <c r="C605" t="inlineStr">
        <is>
          <t>The Fronds: Coral Collection</t>
        </is>
      </c>
      <c r="D605" t="inlineStr">
        <is>
          <t>Nakheel</t>
        </is>
      </c>
      <c r="E605" t="inlineStr">
        <is>
          <t>Palm Jebel Ali</t>
        </is>
      </c>
      <c r="F605" t="inlineStr">
        <is>
          <t>Villas (7 Beds)</t>
        </is>
      </c>
      <c r="G605" t="inlineStr">
        <is>
          <t>Luxury Beachfront</t>
        </is>
      </c>
      <c r="H605" t="inlineStr">
        <is>
          <t>22M+</t>
        </is>
      </c>
      <c r="I605" t="inlineStr">
        <is>
          <t>2800</t>
        </is>
      </c>
      <c r="J605" t="inlineStr">
        <is>
          <t>TBA</t>
        </is>
      </c>
      <c r="K605" t="inlineStr">
        <is>
          <t>80/20</t>
        </is>
      </c>
      <c r="L605" t="inlineStr">
        <is>
          <t>2023</t>
        </is>
      </c>
      <c r="M605" t="inlineStr">
        <is>
          <t>3.5-4.0</t>
        </is>
      </c>
      <c r="N605" t="inlineStr">
        <is>
          <t>15-20</t>
        </is>
      </c>
      <c r="O605" t="inlineStr">
        <is>
          <t>18.5-24.0</t>
        </is>
      </c>
      <c r="P605" t="inlineStr">
        <is>
          <t>Dove Green (DIP)</t>
        </is>
      </c>
      <c r="Q605" t="inlineStr">
        <is>
          <t>Aster Cedars Jebel Ali</t>
        </is>
      </c>
      <c r="R605" t="inlineStr">
        <is>
          <t>Ibn Battuta Mall</t>
        </is>
      </c>
      <c r="S605" t="inlineStr">
        <is>
          <t>Sheikh Zayed E11</t>
        </is>
      </c>
      <c r="T605" t="inlineStr">
        <is>
          <t>40</t>
        </is>
      </c>
      <c r="U605" t="inlineStr">
        <is>
          <t>20</t>
        </is>
      </c>
      <c r="V605" t="inlineStr">
        <is>
          <t>45</t>
        </is>
      </c>
      <c r="W605" t="inlineStr">
        <is>
          <t>20</t>
        </is>
      </c>
      <c r="X605" t="inlineStr">
        <is>
          <t>Guild.csv</t>
        </is>
      </c>
    </row>
    <row r="606">
      <c r="A606" t="n">
        <v>605</v>
      </c>
      <c r="B606" t="n">
        <v>69</v>
      </c>
      <c r="C606" t="inlineStr">
        <is>
          <t>The Fronds: Beach Collection</t>
        </is>
      </c>
      <c r="D606" t="inlineStr">
        <is>
          <t>Nakheel</t>
        </is>
      </c>
      <c r="E606" t="inlineStr">
        <is>
          <t>Palm Jebel Ali</t>
        </is>
      </c>
      <c r="F606" t="inlineStr">
        <is>
          <t>Villas (5-6 Beds)</t>
        </is>
      </c>
      <c r="G606" t="inlineStr">
        <is>
          <t>Luxury Beachfront</t>
        </is>
      </c>
      <c r="H606" t="inlineStr">
        <is>
          <t>18.5M</t>
        </is>
      </c>
      <c r="I606" t="inlineStr">
        <is>
          <t>2600</t>
        </is>
      </c>
      <c r="J606" t="inlineStr">
        <is>
          <t>TBA</t>
        </is>
      </c>
      <c r="K606" t="inlineStr">
        <is>
          <t>80/20</t>
        </is>
      </c>
      <c r="L606" t="inlineStr">
        <is>
          <t>2023</t>
        </is>
      </c>
      <c r="M606" t="inlineStr">
        <is>
          <t>3.5-4.5</t>
        </is>
      </c>
      <c r="N606" t="inlineStr">
        <is>
          <t>15-20</t>
        </is>
      </c>
      <c r="O606" t="inlineStr">
        <is>
          <t>18.5-24.5</t>
        </is>
      </c>
      <c r="P606" t="inlineStr">
        <is>
          <t>Dove Green (DIP)</t>
        </is>
      </c>
      <c r="Q606" t="inlineStr">
        <is>
          <t>Aster Cedars Jebel Ali</t>
        </is>
      </c>
      <c r="R606" t="inlineStr">
        <is>
          <t>Ibn Battuta Mall</t>
        </is>
      </c>
      <c r="S606" t="inlineStr">
        <is>
          <t>Sheikh Zayed E11</t>
        </is>
      </c>
      <c r="T606" t="inlineStr">
        <is>
          <t>40</t>
        </is>
      </c>
      <c r="U606" t="inlineStr">
        <is>
          <t>20</t>
        </is>
      </c>
      <c r="V606" t="inlineStr">
        <is>
          <t>45</t>
        </is>
      </c>
      <c r="W606" t="inlineStr">
        <is>
          <t>20</t>
        </is>
      </c>
      <c r="X606" t="inlineStr">
        <is>
          <t>Guild.csv</t>
        </is>
      </c>
    </row>
    <row r="607">
      <c r="A607" t="n">
        <v>606</v>
      </c>
      <c r="B607" t="n">
        <v>70</v>
      </c>
      <c r="C607" t="inlineStr">
        <is>
          <t>Dubai Islands</t>
        </is>
      </c>
      <c r="D607" t="inlineStr">
        <is>
          <t>Nakheel</t>
        </is>
      </c>
      <c r="E607" t="inlineStr">
        <is>
          <t>Deira Waterfront</t>
        </is>
      </c>
      <c r="F607" t="inlineStr">
        <is>
          <t>Mixed</t>
        </is>
      </c>
      <c r="G607" t="inlineStr">
        <is>
          <t>Islands / Resort</t>
        </is>
      </c>
      <c r="J607" t="inlineStr">
        <is>
          <t>20</t>
        </is>
      </c>
      <c r="K607" t="inlineStr">
        <is>
          <t>Varies</t>
        </is>
      </c>
      <c r="L607" t="inlineStr">
        <is>
          <t>Ongoing</t>
        </is>
      </c>
      <c r="M607" t="inlineStr">
        <is>
          <t>6.0-7.0</t>
        </is>
      </c>
      <c r="N607" t="inlineStr">
        <is>
          <t>12-15</t>
        </is>
      </c>
      <c r="O607" t="inlineStr">
        <is>
          <t>18.0-22.0</t>
        </is>
      </c>
      <c r="P607" t="inlineStr">
        <is>
          <t>The Elite English</t>
        </is>
      </c>
      <c r="Q607" t="inlineStr">
        <is>
          <t>Dubai Hospital</t>
        </is>
      </c>
      <c r="R607" t="inlineStr">
        <is>
          <t>City Centre Deira</t>
        </is>
      </c>
      <c r="S607" t="inlineStr">
        <is>
          <t>Infinity Bridge</t>
        </is>
      </c>
      <c r="T607" t="inlineStr">
        <is>
          <t>20</t>
        </is>
      </c>
      <c r="U607" t="inlineStr">
        <is>
          <t>35</t>
        </is>
      </c>
      <c r="V607" t="inlineStr">
        <is>
          <t>15</t>
        </is>
      </c>
      <c r="W607" t="inlineStr">
        <is>
          <t>45</t>
        </is>
      </c>
      <c r="X607" t="inlineStr">
        <is>
          <t>Guild.csv</t>
        </is>
      </c>
    </row>
    <row r="608">
      <c r="A608" t="n">
        <v>607</v>
      </c>
      <c r="B608" t="n">
        <v>71</v>
      </c>
      <c r="C608" t="inlineStr">
        <is>
          <t>Rixos Dubai Islands</t>
        </is>
      </c>
      <c r="D608" t="inlineStr">
        <is>
          <t>Nakheel</t>
        </is>
      </c>
      <c r="E608" t="inlineStr">
        <is>
          <t>Dubai Islands</t>
        </is>
      </c>
      <c r="F608" t="inlineStr">
        <is>
          <t>Branded Residences</t>
        </is>
      </c>
      <c r="G608" t="inlineStr">
        <is>
          <t>Resort / Beach</t>
        </is>
      </c>
      <c r="H608" t="inlineStr">
        <is>
          <t>2.6M</t>
        </is>
      </c>
      <c r="I608" t="inlineStr">
        <is>
          <t>2400</t>
        </is>
      </c>
      <c r="J608" t="inlineStr">
        <is>
          <t>40</t>
        </is>
      </c>
      <c r="K608" t="inlineStr">
        <is>
          <t>80/20</t>
        </is>
      </c>
      <c r="L608" t="inlineStr">
        <is>
          <t>2023</t>
        </is>
      </c>
      <c r="M608" t="inlineStr">
        <is>
          <t>5.0-5.5</t>
        </is>
      </c>
      <c r="N608" t="inlineStr">
        <is>
          <t>12-15</t>
        </is>
      </c>
      <c r="O608" t="inlineStr">
        <is>
          <t>17.0-20.5</t>
        </is>
      </c>
      <c r="P608" t="inlineStr">
        <is>
          <t>The Elite English</t>
        </is>
      </c>
      <c r="Q608" t="inlineStr">
        <is>
          <t>Dubai Hospital</t>
        </is>
      </c>
      <c r="R608" t="inlineStr">
        <is>
          <t>City Centre Deira</t>
        </is>
      </c>
      <c r="S608" t="inlineStr">
        <is>
          <t>Infinity Bridge</t>
        </is>
      </c>
      <c r="T608" t="inlineStr">
        <is>
          <t>20</t>
        </is>
      </c>
      <c r="U608" t="inlineStr">
        <is>
          <t>35</t>
        </is>
      </c>
      <c r="V608" t="inlineStr">
        <is>
          <t>15</t>
        </is>
      </c>
      <c r="W608" t="inlineStr">
        <is>
          <t>45</t>
        </is>
      </c>
      <c r="X608" t="inlineStr">
        <is>
          <t>Guild.csv</t>
        </is>
      </c>
    </row>
    <row r="609">
      <c r="A609" t="n">
        <v>608</v>
      </c>
      <c r="B609" t="n">
        <v>72</v>
      </c>
      <c r="C609" t="inlineStr">
        <is>
          <t>Bay Villas</t>
        </is>
      </c>
      <c r="D609" t="inlineStr">
        <is>
          <t>Nakheel</t>
        </is>
      </c>
      <c r="E609" t="inlineStr">
        <is>
          <t>Dubai Islands</t>
        </is>
      </c>
      <c r="F609" t="inlineStr">
        <is>
          <t>Villas</t>
        </is>
      </c>
      <c r="G609" t="inlineStr">
        <is>
          <t>Waterfront</t>
        </is>
      </c>
      <c r="H609" t="inlineStr">
        <is>
          <t>4.5M</t>
        </is>
      </c>
      <c r="I609" t="inlineStr">
        <is>
          <t>1600</t>
        </is>
      </c>
      <c r="J609" t="inlineStr">
        <is>
          <t>20</t>
        </is>
      </c>
      <c r="K609" t="inlineStr">
        <is>
          <t>80/20</t>
        </is>
      </c>
      <c r="L609" t="inlineStr">
        <is>
          <t>2024</t>
        </is>
      </c>
      <c r="M609" t="inlineStr">
        <is>
          <t>5.0-5.5</t>
        </is>
      </c>
      <c r="N609" t="inlineStr">
        <is>
          <t>12-15</t>
        </is>
      </c>
      <c r="O609" t="inlineStr">
        <is>
          <t>17.0-20.5</t>
        </is>
      </c>
      <c r="P609" t="inlineStr">
        <is>
          <t>The Elite English</t>
        </is>
      </c>
      <c r="Q609" t="inlineStr">
        <is>
          <t>Dubai Hospital</t>
        </is>
      </c>
      <c r="R609" t="inlineStr">
        <is>
          <t>City Centre Deira</t>
        </is>
      </c>
      <c r="S609" t="inlineStr">
        <is>
          <t>Infinity Bridge</t>
        </is>
      </c>
      <c r="T609" t="inlineStr">
        <is>
          <t>20</t>
        </is>
      </c>
      <c r="U609" t="inlineStr">
        <is>
          <t>35</t>
        </is>
      </c>
      <c r="V609" t="inlineStr">
        <is>
          <t>15</t>
        </is>
      </c>
      <c r="W609" t="inlineStr">
        <is>
          <t>45</t>
        </is>
      </c>
      <c r="X609" t="inlineStr">
        <is>
          <t>Guild.csv</t>
        </is>
      </c>
    </row>
    <row r="610">
      <c r="A610" t="n">
        <v>609</v>
      </c>
      <c r="B610" t="n">
        <v>73</v>
      </c>
      <c r="C610" t="inlineStr">
        <is>
          <t>Beach Walk Residences</t>
        </is>
      </c>
      <c r="D610" t="inlineStr">
        <is>
          <t>Nakheel</t>
        </is>
      </c>
      <c r="E610" t="inlineStr">
        <is>
          <t>Dubai Islands</t>
        </is>
      </c>
      <c r="F610" t="inlineStr">
        <is>
          <t>Apartments</t>
        </is>
      </c>
      <c r="G610" t="inlineStr">
        <is>
          <t>Beachfront</t>
        </is>
      </c>
      <c r="H610" t="inlineStr">
        <is>
          <t>1.9M</t>
        </is>
      </c>
      <c r="I610" t="inlineStr">
        <is>
          <t>1800</t>
        </is>
      </c>
      <c r="J610" t="inlineStr">
        <is>
          <t>20</t>
        </is>
      </c>
      <c r="K610" t="inlineStr">
        <is>
          <t>80/20</t>
        </is>
      </c>
      <c r="L610" t="inlineStr">
        <is>
          <t>2024</t>
        </is>
      </c>
      <c r="M610" t="inlineStr">
        <is>
          <t>6.0-6.5</t>
        </is>
      </c>
      <c r="N610" t="inlineStr">
        <is>
          <t>12-15</t>
        </is>
      </c>
      <c r="O610" t="inlineStr">
        <is>
          <t>18.0-21.5</t>
        </is>
      </c>
      <c r="P610" t="inlineStr">
        <is>
          <t>The Elite English</t>
        </is>
      </c>
      <c r="Q610" t="inlineStr">
        <is>
          <t>Dubai Hospital</t>
        </is>
      </c>
      <c r="R610" t="inlineStr">
        <is>
          <t>City Centre Deira</t>
        </is>
      </c>
      <c r="S610" t="inlineStr">
        <is>
          <t>Infinity Bridge</t>
        </is>
      </c>
      <c r="T610" t="inlineStr">
        <is>
          <t>20</t>
        </is>
      </c>
      <c r="U610" t="inlineStr">
        <is>
          <t>35</t>
        </is>
      </c>
      <c r="V610" t="inlineStr">
        <is>
          <t>15</t>
        </is>
      </c>
      <c r="W610" t="inlineStr">
        <is>
          <t>45</t>
        </is>
      </c>
      <c r="X610" t="inlineStr">
        <is>
          <t>Guild.csv</t>
        </is>
      </c>
    </row>
    <row r="611">
      <c r="A611" t="n">
        <v>610</v>
      </c>
      <c r="B611" t="n">
        <v>74</v>
      </c>
      <c r="C611" t="inlineStr">
        <is>
          <t>Palm Jumeirah (Master Community)</t>
        </is>
      </c>
      <c r="D611" t="inlineStr">
        <is>
          <t>Nakheel</t>
        </is>
      </c>
      <c r="E611" t="inlineStr">
        <is>
          <t>Palm Jumeirah</t>
        </is>
      </c>
      <c r="F611" t="inlineStr">
        <is>
          <t>Mixed</t>
        </is>
      </c>
      <c r="G611" t="inlineStr">
        <is>
          <t>Iconic Island</t>
        </is>
      </c>
      <c r="J611" t="inlineStr">
        <is>
          <t>30+</t>
        </is>
      </c>
      <c r="L611" t="inlineStr">
        <is>
          <t>Completed</t>
        </is>
      </c>
      <c r="M611" t="inlineStr">
        <is>
          <t>4.5-5.5</t>
        </is>
      </c>
      <c r="N611" t="inlineStr">
        <is>
          <t>8-12</t>
        </is>
      </c>
      <c r="O611" t="inlineStr">
        <is>
          <t>12.5-17.5</t>
        </is>
      </c>
      <c r="P611" t="inlineStr">
        <is>
          <t>Chevalier College</t>
        </is>
      </c>
      <c r="Q611" t="inlineStr">
        <is>
          <t>Emirates Hospital</t>
        </is>
      </c>
      <c r="R611" t="inlineStr">
        <is>
          <t>Nakheel Mall</t>
        </is>
      </c>
      <c r="S611" t="inlineStr">
        <is>
          <t>Sheikh Zayed E11</t>
        </is>
      </c>
      <c r="T611" t="inlineStr">
        <is>
          <t>20</t>
        </is>
      </c>
      <c r="U611" t="inlineStr">
        <is>
          <t>10</t>
        </is>
      </c>
      <c r="V611" t="inlineStr">
        <is>
          <t>25</t>
        </is>
      </c>
      <c r="W611" t="inlineStr">
        <is>
          <t>35</t>
        </is>
      </c>
      <c r="X611" t="inlineStr">
        <is>
          <t>Guild.csv</t>
        </is>
      </c>
    </row>
    <row r="612">
      <c r="A612" t="n">
        <v>611</v>
      </c>
      <c r="B612" t="n">
        <v>75</v>
      </c>
      <c r="C612" t="inlineStr">
        <is>
          <t>Como Residences</t>
        </is>
      </c>
      <c r="D612" t="inlineStr">
        <is>
          <t>Nakheel</t>
        </is>
      </c>
      <c r="E612" t="inlineStr">
        <is>
          <t>Palm Jumeirah</t>
        </is>
      </c>
      <c r="F612" t="inlineStr">
        <is>
          <t>Ultra-Luxury Apts</t>
        </is>
      </c>
      <c r="G612" t="inlineStr">
        <is>
          <t>High-Rise/Beach</t>
        </is>
      </c>
      <c r="H612" t="inlineStr">
        <is>
          <t>21M+</t>
        </is>
      </c>
      <c r="I612" t="inlineStr">
        <is>
          <t>6000+</t>
        </is>
      </c>
      <c r="J612" t="inlineStr">
        <is>
          <t>40+</t>
        </is>
      </c>
      <c r="K612" t="inlineStr">
        <is>
          <t>80/20</t>
        </is>
      </c>
      <c r="L612" t="inlineStr">
        <is>
          <t>2023</t>
        </is>
      </c>
      <c r="M612" t="inlineStr">
        <is>
          <t>3.0-3.5</t>
        </is>
      </c>
      <c r="N612" t="inlineStr">
        <is>
          <t>10-15</t>
        </is>
      </c>
      <c r="O612" t="inlineStr">
        <is>
          <t>13.0-18.5</t>
        </is>
      </c>
      <c r="P612" t="inlineStr">
        <is>
          <t>Chevalier College</t>
        </is>
      </c>
      <c r="Q612" t="inlineStr">
        <is>
          <t>Emirates Hospital</t>
        </is>
      </c>
      <c r="R612" t="inlineStr">
        <is>
          <t>Nakheel Mall</t>
        </is>
      </c>
      <c r="S612" t="inlineStr">
        <is>
          <t>Sheikh Zayed E11</t>
        </is>
      </c>
      <c r="T612" t="inlineStr">
        <is>
          <t>20</t>
        </is>
      </c>
      <c r="U612" t="inlineStr">
        <is>
          <t>10</t>
        </is>
      </c>
      <c r="V612" t="inlineStr">
        <is>
          <t>25</t>
        </is>
      </c>
      <c r="W612" t="inlineStr">
        <is>
          <t>35</t>
        </is>
      </c>
      <c r="X612" t="inlineStr">
        <is>
          <t>Guild.csv</t>
        </is>
      </c>
    </row>
    <row r="613">
      <c r="A613" t="n">
        <v>612</v>
      </c>
      <c r="B613" t="n">
        <v>76</v>
      </c>
      <c r="C613" t="inlineStr">
        <is>
          <t>Palm Beach Towers 1</t>
        </is>
      </c>
      <c r="D613" t="inlineStr">
        <is>
          <t>Nakheel</t>
        </is>
      </c>
      <c r="E613" t="inlineStr">
        <is>
          <t>Palm Jumeirah</t>
        </is>
      </c>
      <c r="F613" t="inlineStr">
        <is>
          <t>Apartments</t>
        </is>
      </c>
      <c r="G613" t="inlineStr">
        <is>
          <t>Luxury / View</t>
        </is>
      </c>
      <c r="H613" t="inlineStr">
        <is>
          <t>3.5M</t>
        </is>
      </c>
      <c r="I613" t="inlineStr">
        <is>
          <t>3000</t>
        </is>
      </c>
      <c r="J613" t="inlineStr">
        <is>
          <t>30</t>
        </is>
      </c>
      <c r="K613" t="inlineStr">
        <is>
          <t>60/40</t>
        </is>
      </c>
      <c r="L613" t="inlineStr">
        <is>
          <t>2022</t>
        </is>
      </c>
      <c r="M613" t="inlineStr">
        <is>
          <t>4.5-5.0</t>
        </is>
      </c>
      <c r="N613" t="inlineStr">
        <is>
          <t>8-12</t>
        </is>
      </c>
      <c r="O613" t="inlineStr">
        <is>
          <t>12.5-17.0</t>
        </is>
      </c>
      <c r="P613" t="inlineStr">
        <is>
          <t>Chevalier College</t>
        </is>
      </c>
      <c r="Q613" t="inlineStr">
        <is>
          <t>Emirates Hospital</t>
        </is>
      </c>
      <c r="R613" t="inlineStr">
        <is>
          <t>Nakheel Mall</t>
        </is>
      </c>
      <c r="S613" t="inlineStr">
        <is>
          <t>Sheikh Zayed E11</t>
        </is>
      </c>
      <c r="T613" t="inlineStr">
        <is>
          <t>20</t>
        </is>
      </c>
      <c r="U613" t="inlineStr">
        <is>
          <t>10</t>
        </is>
      </c>
      <c r="V613" t="inlineStr">
        <is>
          <t>25</t>
        </is>
      </c>
      <c r="W613" t="inlineStr">
        <is>
          <t>35</t>
        </is>
      </c>
      <c r="X613" t="inlineStr">
        <is>
          <t>Guild.csv</t>
        </is>
      </c>
    </row>
    <row r="614">
      <c r="A614" t="n">
        <v>613</v>
      </c>
      <c r="B614" t="n">
        <v>77</v>
      </c>
      <c r="C614" t="inlineStr">
        <is>
          <t>Palm Beach Towers 2</t>
        </is>
      </c>
      <c r="D614" t="inlineStr">
        <is>
          <t>Nakheel</t>
        </is>
      </c>
      <c r="E614" t="inlineStr">
        <is>
          <t>Palm Jumeirah</t>
        </is>
      </c>
      <c r="F614" t="inlineStr">
        <is>
          <t>Apartments</t>
        </is>
      </c>
      <c r="G614" t="inlineStr">
        <is>
          <t>Luxury / View</t>
        </is>
      </c>
      <c r="H614" t="inlineStr">
        <is>
          <t>3.5M</t>
        </is>
      </c>
      <c r="I614" t="inlineStr">
        <is>
          <t>3000</t>
        </is>
      </c>
      <c r="J614" t="inlineStr">
        <is>
          <t>30</t>
        </is>
      </c>
      <c r="K614" t="inlineStr">
        <is>
          <t>60/40</t>
        </is>
      </c>
      <c r="L614" t="inlineStr">
        <is>
          <t>2022</t>
        </is>
      </c>
      <c r="M614" t="inlineStr">
        <is>
          <t>4.5-5.0</t>
        </is>
      </c>
      <c r="N614" t="inlineStr">
        <is>
          <t>8-12</t>
        </is>
      </c>
      <c r="O614" t="inlineStr">
        <is>
          <t>12.5-17.0</t>
        </is>
      </c>
      <c r="P614" t="inlineStr">
        <is>
          <t>Chevalier College</t>
        </is>
      </c>
      <c r="Q614" t="inlineStr">
        <is>
          <t>Emirates Hospital</t>
        </is>
      </c>
      <c r="R614" t="inlineStr">
        <is>
          <t>Nakheel Mall</t>
        </is>
      </c>
      <c r="S614" t="inlineStr">
        <is>
          <t>Sheikh Zayed E11</t>
        </is>
      </c>
      <c r="T614" t="inlineStr">
        <is>
          <t>20</t>
        </is>
      </c>
      <c r="U614" t="inlineStr">
        <is>
          <t>10</t>
        </is>
      </c>
      <c r="V614" t="inlineStr">
        <is>
          <t>25</t>
        </is>
      </c>
      <c r="W614" t="inlineStr">
        <is>
          <t>35</t>
        </is>
      </c>
      <c r="X614" t="inlineStr">
        <is>
          <t>Guild.csv</t>
        </is>
      </c>
    </row>
    <row r="615">
      <c r="A615" t="n">
        <v>614</v>
      </c>
      <c r="B615" t="n">
        <v>78</v>
      </c>
      <c r="C615" t="inlineStr">
        <is>
          <t>Palm Beach Towers 3</t>
        </is>
      </c>
      <c r="D615" t="inlineStr">
        <is>
          <t>Nakheel</t>
        </is>
      </c>
      <c r="E615" t="inlineStr">
        <is>
          <t>Palm Jumeirah</t>
        </is>
      </c>
      <c r="F615" t="inlineStr">
        <is>
          <t>Apartments</t>
        </is>
      </c>
      <c r="G615" t="inlineStr">
        <is>
          <t>Luxury / View</t>
        </is>
      </c>
      <c r="H615" t="inlineStr">
        <is>
          <t>3.6M</t>
        </is>
      </c>
      <c r="I615" t="inlineStr">
        <is>
          <t>3000</t>
        </is>
      </c>
      <c r="J615" t="inlineStr">
        <is>
          <t>30</t>
        </is>
      </c>
      <c r="K615" t="inlineStr">
        <is>
          <t>60/40</t>
        </is>
      </c>
      <c r="L615" t="inlineStr">
        <is>
          <t>2022</t>
        </is>
      </c>
      <c r="M615" t="inlineStr">
        <is>
          <t>4.5-5.0</t>
        </is>
      </c>
      <c r="N615" t="inlineStr">
        <is>
          <t>8-12</t>
        </is>
      </c>
      <c r="O615" t="inlineStr">
        <is>
          <t>12.5-17.0</t>
        </is>
      </c>
      <c r="P615" t="inlineStr">
        <is>
          <t>Chevalier College</t>
        </is>
      </c>
      <c r="Q615" t="inlineStr">
        <is>
          <t>Emirates Hospital</t>
        </is>
      </c>
      <c r="R615" t="inlineStr">
        <is>
          <t>Nakheel Mall</t>
        </is>
      </c>
      <c r="S615" t="inlineStr">
        <is>
          <t>Sheikh Zayed E11</t>
        </is>
      </c>
      <c r="T615" t="inlineStr">
        <is>
          <t>20</t>
        </is>
      </c>
      <c r="U615" t="inlineStr">
        <is>
          <t>10</t>
        </is>
      </c>
      <c r="V615" t="inlineStr">
        <is>
          <t>25</t>
        </is>
      </c>
      <c r="W615" t="inlineStr">
        <is>
          <t>35</t>
        </is>
      </c>
      <c r="X615" t="inlineStr">
        <is>
          <t>Guild.csv</t>
        </is>
      </c>
    </row>
    <row r="616">
      <c r="A616" t="n">
        <v>615</v>
      </c>
      <c r="B616" t="n">
        <v>79</v>
      </c>
      <c r="C616" t="inlineStr">
        <is>
          <t>The Palm Tower</t>
        </is>
      </c>
      <c r="D616" t="inlineStr">
        <is>
          <t>Nakheel</t>
        </is>
      </c>
      <c r="E616" t="inlineStr">
        <is>
          <t>Palm Jumeirah</t>
        </is>
      </c>
      <c r="F616" t="inlineStr">
        <is>
          <t>Hotel/Residences</t>
        </is>
      </c>
      <c r="G616" t="inlineStr">
        <is>
          <t>Luxury / View</t>
        </is>
      </c>
      <c r="H616" t="inlineStr">
        <is>
          <t>Resale (2.5M+)</t>
        </is>
      </c>
      <c r="I616" t="inlineStr">
        <is>
          <t>3500</t>
        </is>
      </c>
      <c r="J616" t="inlineStr">
        <is>
          <t>35</t>
        </is>
      </c>
      <c r="K616" t="inlineStr">
        <is>
          <t>Completed</t>
        </is>
      </c>
      <c r="L616" t="inlineStr">
        <is>
          <t>2017</t>
        </is>
      </c>
      <c r="M616" t="inlineStr">
        <is>
          <t>5.0-5.5</t>
        </is>
      </c>
      <c r="N616" t="inlineStr">
        <is>
          <t>6-8</t>
        </is>
      </c>
      <c r="O616" t="inlineStr">
        <is>
          <t>11.0-13.5</t>
        </is>
      </c>
      <c r="P616" t="inlineStr">
        <is>
          <t>Chevalier College</t>
        </is>
      </c>
      <c r="Q616" t="inlineStr">
        <is>
          <t>Emirates Hospital</t>
        </is>
      </c>
      <c r="R616" t="inlineStr">
        <is>
          <t>Nakheel Mall</t>
        </is>
      </c>
      <c r="S616" t="inlineStr">
        <is>
          <t>Sheikh Zayed E11</t>
        </is>
      </c>
      <c r="T616" t="inlineStr">
        <is>
          <t>20</t>
        </is>
      </c>
      <c r="U616" t="inlineStr">
        <is>
          <t>10</t>
        </is>
      </c>
      <c r="V616" t="inlineStr">
        <is>
          <t>25</t>
        </is>
      </c>
      <c r="W616" t="inlineStr">
        <is>
          <t>35</t>
        </is>
      </c>
      <c r="X616" t="inlineStr">
        <is>
          <t>Guild.csv</t>
        </is>
      </c>
    </row>
    <row r="617">
      <c r="A617" t="n">
        <v>616</v>
      </c>
      <c r="B617" t="n">
        <v>80</v>
      </c>
      <c r="C617" t="inlineStr">
        <is>
          <t>Azure Residences</t>
        </is>
      </c>
      <c r="D617" t="inlineStr">
        <is>
          <t>Nakheel</t>
        </is>
      </c>
      <c r="E617" t="inlineStr">
        <is>
          <t>Palm Jumeirah</t>
        </is>
      </c>
      <c r="F617" t="inlineStr">
        <is>
          <t>Apartments</t>
        </is>
      </c>
      <c r="G617" t="inlineStr">
        <is>
          <t>Beachfront</t>
        </is>
      </c>
      <c r="H617" t="inlineStr">
        <is>
          <t>Resale (1.8M+)</t>
        </is>
      </c>
      <c r="I617" t="inlineStr">
        <is>
          <t>2000</t>
        </is>
      </c>
      <c r="J617" t="inlineStr">
        <is>
          <t>25</t>
        </is>
      </c>
      <c r="K617" t="inlineStr">
        <is>
          <t>Completed</t>
        </is>
      </c>
      <c r="L617" t="inlineStr">
        <is>
          <t>2016</t>
        </is>
      </c>
      <c r="M617" t="inlineStr">
        <is>
          <t>5.5-6.0</t>
        </is>
      </c>
      <c r="N617" t="inlineStr">
        <is>
          <t>6-8</t>
        </is>
      </c>
      <c r="O617" t="inlineStr">
        <is>
          <t>11.5-14.0</t>
        </is>
      </c>
      <c r="P617" t="inlineStr">
        <is>
          <t>Chevalier College</t>
        </is>
      </c>
      <c r="Q617" t="inlineStr">
        <is>
          <t>Emirates Hospital</t>
        </is>
      </c>
      <c r="R617" t="inlineStr">
        <is>
          <t>Nakheel Mall</t>
        </is>
      </c>
      <c r="S617" t="inlineStr">
        <is>
          <t>Sheikh Zayed E11</t>
        </is>
      </c>
      <c r="T617" t="inlineStr">
        <is>
          <t>20</t>
        </is>
      </c>
      <c r="U617" t="inlineStr">
        <is>
          <t>10</t>
        </is>
      </c>
      <c r="V617" t="inlineStr">
        <is>
          <t>25</t>
        </is>
      </c>
      <c r="W617" t="inlineStr">
        <is>
          <t>35</t>
        </is>
      </c>
      <c r="X617" t="inlineStr">
        <is>
          <t>Guild.csv</t>
        </is>
      </c>
    </row>
    <row r="618">
      <c r="A618" t="n">
        <v>617</v>
      </c>
      <c r="B618" t="n">
        <v>81</v>
      </c>
      <c r="C618" t="inlineStr">
        <is>
          <t>Club Vista Mare</t>
        </is>
      </c>
      <c r="D618" t="inlineStr">
        <is>
          <t>Nakheel</t>
        </is>
      </c>
      <c r="E618" t="inlineStr">
        <is>
          <t>Palm Jumeirah</t>
        </is>
      </c>
      <c r="F618" t="inlineStr">
        <is>
          <t>Apartments</t>
        </is>
      </c>
      <c r="G618" t="inlineStr">
        <is>
          <t>Dining / Beach</t>
        </is>
      </c>
      <c r="H618" t="inlineStr">
        <is>
          <t>Resale</t>
        </is>
      </c>
      <c r="I618" t="inlineStr">
        <is>
          <t>2200</t>
        </is>
      </c>
      <c r="J618" t="inlineStr">
        <is>
          <t>25</t>
        </is>
      </c>
      <c r="K618" t="inlineStr">
        <is>
          <t>Completed</t>
        </is>
      </c>
      <c r="L618" t="inlineStr">
        <is>
          <t>2016</t>
        </is>
      </c>
      <c r="M618" t="inlineStr">
        <is>
          <t>5.0-5.5</t>
        </is>
      </c>
      <c r="N618" t="inlineStr">
        <is>
          <t>6-8</t>
        </is>
      </c>
      <c r="O618" t="inlineStr">
        <is>
          <t>11.0-13.5</t>
        </is>
      </c>
      <c r="P618" t="inlineStr">
        <is>
          <t>Chevalier College</t>
        </is>
      </c>
      <c r="Q618" t="inlineStr">
        <is>
          <t>Emirates Hospital</t>
        </is>
      </c>
      <c r="R618" t="inlineStr">
        <is>
          <t>Nakheel Mall</t>
        </is>
      </c>
      <c r="S618" t="inlineStr">
        <is>
          <t>Sheikh Zayed E11</t>
        </is>
      </c>
      <c r="T618" t="inlineStr">
        <is>
          <t>20</t>
        </is>
      </c>
      <c r="U618" t="inlineStr">
        <is>
          <t>10</t>
        </is>
      </c>
      <c r="V618" t="inlineStr">
        <is>
          <t>25</t>
        </is>
      </c>
      <c r="W618" t="inlineStr">
        <is>
          <t>35</t>
        </is>
      </c>
      <c r="X618" t="inlineStr">
        <is>
          <t>Guild.csv</t>
        </is>
      </c>
    </row>
    <row r="619">
      <c r="A619" t="n">
        <v>618</v>
      </c>
      <c r="B619" t="n">
        <v>82</v>
      </c>
      <c r="C619" t="inlineStr">
        <is>
          <t>Jumeirah Islands</t>
        </is>
      </c>
      <c r="D619" t="inlineStr">
        <is>
          <t>Nakheel</t>
        </is>
      </c>
      <c r="E619" t="inlineStr">
        <is>
          <t>Jumeirah Islands</t>
        </is>
      </c>
      <c r="F619" t="inlineStr">
        <is>
          <t>Villas</t>
        </is>
      </c>
      <c r="G619" t="inlineStr">
        <is>
          <t>Luxury / Lake</t>
        </is>
      </c>
      <c r="H619" t="inlineStr">
        <is>
          <t>Resale (12M+)</t>
        </is>
      </c>
      <c r="I619" t="inlineStr">
        <is>
          <t>1800</t>
        </is>
      </c>
      <c r="J619" t="inlineStr">
        <is>
          <t>18</t>
        </is>
      </c>
      <c r="K619" t="inlineStr">
        <is>
          <t>Completed</t>
        </is>
      </c>
      <c r="L619" t="inlineStr">
        <is>
          <t>2004</t>
        </is>
      </c>
      <c r="M619" t="inlineStr">
        <is>
          <t>4.5-5.0</t>
        </is>
      </c>
      <c r="N619" t="inlineStr">
        <is>
          <t>5-7</t>
        </is>
      </c>
      <c r="O619" t="inlineStr">
        <is>
          <t>9.5-12.0</t>
        </is>
      </c>
      <c r="P619" t="inlineStr">
        <is>
          <t>Dubai British School</t>
        </is>
      </c>
      <c r="Q619" t="inlineStr">
        <is>
          <t>Mediclinic Meadows</t>
        </is>
      </c>
      <c r="R619" t="inlineStr">
        <is>
          <t>Pavilion JI</t>
        </is>
      </c>
      <c r="S619" t="inlineStr">
        <is>
          <t>Sheikh Zayed E11</t>
        </is>
      </c>
      <c r="T619" t="inlineStr">
        <is>
          <t>20</t>
        </is>
      </c>
      <c r="U619" t="inlineStr">
        <is>
          <t>10</t>
        </is>
      </c>
      <c r="V619" t="inlineStr">
        <is>
          <t>25</t>
        </is>
      </c>
      <c r="W619" t="inlineStr">
        <is>
          <t>30</t>
        </is>
      </c>
      <c r="X619" t="inlineStr">
        <is>
          <t>Guild.csv</t>
        </is>
      </c>
    </row>
    <row r="620">
      <c r="A620" t="n">
        <v>619</v>
      </c>
      <c r="B620" t="n">
        <v>83</v>
      </c>
      <c r="C620" t="inlineStr">
        <is>
          <t>Jumeirah Park</t>
        </is>
      </c>
      <c r="D620" t="inlineStr">
        <is>
          <t>Nakheel</t>
        </is>
      </c>
      <c r="E620" t="inlineStr">
        <is>
          <t>Jumeirah Park</t>
        </is>
      </c>
      <c r="F620" t="inlineStr">
        <is>
          <t>Villas</t>
        </is>
      </c>
      <c r="G620" t="inlineStr">
        <is>
          <t>Family / Gated</t>
        </is>
      </c>
      <c r="H620" t="inlineStr">
        <is>
          <t>Resale (6M+)</t>
        </is>
      </c>
      <c r="I620" t="inlineStr">
        <is>
          <t>1400</t>
        </is>
      </c>
      <c r="J620" t="inlineStr">
        <is>
          <t>12</t>
        </is>
      </c>
      <c r="K620" t="inlineStr">
        <is>
          <t>Completed</t>
        </is>
      </c>
      <c r="L620" t="inlineStr">
        <is>
          <t>2013</t>
        </is>
      </c>
      <c r="M620" t="inlineStr">
        <is>
          <t>5.0-5.5</t>
        </is>
      </c>
      <c r="N620" t="inlineStr">
        <is>
          <t>5-7</t>
        </is>
      </c>
      <c r="O620" t="inlineStr">
        <is>
          <t>10.0-12.5</t>
        </is>
      </c>
      <c r="P620" t="inlineStr">
        <is>
          <t>Dubai British School</t>
        </is>
      </c>
      <c r="Q620" t="inlineStr">
        <is>
          <t>Mediclinic Meadows</t>
        </is>
      </c>
      <c r="R620" t="inlineStr">
        <is>
          <t>Pavilion JP</t>
        </is>
      </c>
      <c r="S620" t="inlineStr">
        <is>
          <t>Sheikh Zayed E11</t>
        </is>
      </c>
      <c r="T620" t="inlineStr">
        <is>
          <t>20</t>
        </is>
      </c>
      <c r="U620" t="inlineStr">
        <is>
          <t>10</t>
        </is>
      </c>
      <c r="V620" t="inlineStr">
        <is>
          <t>25</t>
        </is>
      </c>
      <c r="W620" t="inlineStr">
        <is>
          <t>30</t>
        </is>
      </c>
      <c r="X620" t="inlineStr">
        <is>
          <t>Guild.csv</t>
        </is>
      </c>
    </row>
    <row r="621">
      <c r="A621" t="n">
        <v>620</v>
      </c>
      <c r="B621" t="n">
        <v>84</v>
      </c>
      <c r="C621" t="inlineStr">
        <is>
          <t>Al Furjan (West &amp; East)</t>
        </is>
      </c>
      <c r="D621" t="inlineStr">
        <is>
          <t>Nakheel</t>
        </is>
      </c>
      <c r="E621" t="inlineStr">
        <is>
          <t>Jebel Ali Area</t>
        </is>
      </c>
      <c r="F621" t="inlineStr">
        <is>
          <t>Villas &amp; TH</t>
        </is>
      </c>
      <c r="G621" t="inlineStr">
        <is>
          <t>Family</t>
        </is>
      </c>
      <c r="H621" t="inlineStr">
        <is>
          <t>Resale (2.5M+)</t>
        </is>
      </c>
      <c r="I621" t="inlineStr">
        <is>
          <t>1100</t>
        </is>
      </c>
      <c r="J621" t="inlineStr">
        <is>
          <t>10</t>
        </is>
      </c>
      <c r="K621" t="inlineStr">
        <is>
          <t>Completed</t>
        </is>
      </c>
      <c r="L621" t="inlineStr">
        <is>
          <t>2014</t>
        </is>
      </c>
      <c r="M621" t="inlineStr">
        <is>
          <t>6.5-7.0</t>
        </is>
      </c>
      <c r="N621" t="inlineStr">
        <is>
          <t>5-7</t>
        </is>
      </c>
      <c r="O621" t="inlineStr">
        <is>
          <t>11.5-14.0</t>
        </is>
      </c>
      <c r="P621" t="inlineStr">
        <is>
          <t>The Arbor School</t>
        </is>
      </c>
      <c r="Q621" t="inlineStr">
        <is>
          <t>NMC Royal DIP</t>
        </is>
      </c>
      <c r="R621" t="inlineStr">
        <is>
          <t>Ibn Battuta Mall</t>
        </is>
      </c>
      <c r="S621" t="inlineStr">
        <is>
          <t>Yalayis / E311</t>
        </is>
      </c>
      <c r="T621" t="inlineStr">
        <is>
          <t>25</t>
        </is>
      </c>
      <c r="U621" t="inlineStr">
        <is>
          <t>15</t>
        </is>
      </c>
      <c r="V621" t="inlineStr">
        <is>
          <t>30</t>
        </is>
      </c>
      <c r="W621" t="inlineStr">
        <is>
          <t>20</t>
        </is>
      </c>
      <c r="X621" t="inlineStr">
        <is>
          <t>Guild.csv</t>
        </is>
      </c>
    </row>
    <row r="622">
      <c r="A622" t="n">
        <v>621</v>
      </c>
      <c r="B622" t="n">
        <v>85</v>
      </c>
      <c r="C622" t="inlineStr">
        <is>
          <t>Tilal Al Furjan</t>
        </is>
      </c>
      <c r="D622" t="inlineStr">
        <is>
          <t>Nakheel</t>
        </is>
      </c>
      <c r="E622" t="inlineStr">
        <is>
          <t>Al Furjan</t>
        </is>
      </c>
      <c r="F622" t="inlineStr">
        <is>
          <t>Villas</t>
        </is>
      </c>
      <c r="G622" t="inlineStr">
        <is>
          <t>Gated Community</t>
        </is>
      </c>
      <c r="H622" t="inlineStr">
        <is>
          <t>3.2M</t>
        </is>
      </c>
      <c r="I622" t="inlineStr">
        <is>
          <t>1200</t>
        </is>
      </c>
      <c r="J622" t="inlineStr">
        <is>
          <t>12</t>
        </is>
      </c>
      <c r="K622" t="inlineStr">
        <is>
          <t>Completed</t>
        </is>
      </c>
      <c r="L622" t="inlineStr">
        <is>
          <t>2022</t>
        </is>
      </c>
      <c r="M622" t="inlineStr">
        <is>
          <t>6.0-6.5</t>
        </is>
      </c>
      <c r="N622" t="inlineStr">
        <is>
          <t>6-8</t>
        </is>
      </c>
      <c r="O622" t="inlineStr">
        <is>
          <t>12.0-14.5</t>
        </is>
      </c>
      <c r="P622" t="inlineStr">
        <is>
          <t>The Arbor School</t>
        </is>
      </c>
      <c r="Q622" t="inlineStr">
        <is>
          <t>NMC Royal DIP</t>
        </is>
      </c>
      <c r="R622" t="inlineStr">
        <is>
          <t>Ibn Battuta Mall</t>
        </is>
      </c>
      <c r="S622" t="inlineStr">
        <is>
          <t>Yalayis / E311</t>
        </is>
      </c>
      <c r="T622" t="inlineStr">
        <is>
          <t>25</t>
        </is>
      </c>
      <c r="U622" t="inlineStr">
        <is>
          <t>15</t>
        </is>
      </c>
      <c r="V622" t="inlineStr">
        <is>
          <t>30</t>
        </is>
      </c>
      <c r="W622" t="inlineStr">
        <is>
          <t>20</t>
        </is>
      </c>
      <c r="X622" t="inlineStr">
        <is>
          <t>Guild.csv</t>
        </is>
      </c>
    </row>
    <row r="623">
      <c r="A623" t="n">
        <v>622</v>
      </c>
      <c r="B623" t="n">
        <v>86</v>
      </c>
      <c r="C623" t="inlineStr">
        <is>
          <t>Murooj Al Furjan</t>
        </is>
      </c>
      <c r="D623" t="inlineStr">
        <is>
          <t>Nakheel</t>
        </is>
      </c>
      <c r="E623" t="inlineStr">
        <is>
          <t>Al Furjan</t>
        </is>
      </c>
      <c r="F623" t="inlineStr">
        <is>
          <t>Townhouses</t>
        </is>
      </c>
      <c r="G623" t="inlineStr">
        <is>
          <t>Gated Community</t>
        </is>
      </c>
      <c r="H623" t="inlineStr">
        <is>
          <t>2.8M</t>
        </is>
      </c>
      <c r="I623" t="inlineStr">
        <is>
          <t>1150</t>
        </is>
      </c>
      <c r="J623" t="inlineStr">
        <is>
          <t>12</t>
        </is>
      </c>
      <c r="K623" t="inlineStr">
        <is>
          <t>Completed</t>
        </is>
      </c>
      <c r="L623" t="inlineStr">
        <is>
          <t>2021</t>
        </is>
      </c>
      <c r="M623" t="inlineStr">
        <is>
          <t>6.5-7.0</t>
        </is>
      </c>
      <c r="N623" t="inlineStr">
        <is>
          <t>6-8</t>
        </is>
      </c>
      <c r="O623" t="inlineStr">
        <is>
          <t>12.5-15.0</t>
        </is>
      </c>
      <c r="P623" t="inlineStr">
        <is>
          <t>The Arbor School</t>
        </is>
      </c>
      <c r="Q623" t="inlineStr">
        <is>
          <t>NMC Royal DIP</t>
        </is>
      </c>
      <c r="R623" t="inlineStr">
        <is>
          <t>Ibn Battuta Mall</t>
        </is>
      </c>
      <c r="S623" t="inlineStr">
        <is>
          <t>Yalayis / E311</t>
        </is>
      </c>
      <c r="T623" t="inlineStr">
        <is>
          <t>25</t>
        </is>
      </c>
      <c r="U623" t="inlineStr">
        <is>
          <t>15</t>
        </is>
      </c>
      <c r="V623" t="inlineStr">
        <is>
          <t>30</t>
        </is>
      </c>
      <c r="W623" t="inlineStr">
        <is>
          <t>20</t>
        </is>
      </c>
      <c r="X623" t="inlineStr">
        <is>
          <t>Guild.csv</t>
        </is>
      </c>
    </row>
    <row r="624">
      <c r="A624" t="n">
        <v>623</v>
      </c>
      <c r="B624" t="n">
        <v>87</v>
      </c>
      <c r="C624" t="inlineStr">
        <is>
          <t>Discovery Gardens</t>
        </is>
      </c>
      <c r="D624" t="inlineStr">
        <is>
          <t>Nakheel</t>
        </is>
      </c>
      <c r="E624" t="inlineStr">
        <is>
          <t>Jebel Ali Area</t>
        </is>
      </c>
      <c r="F624" t="inlineStr">
        <is>
          <t>Apartments</t>
        </is>
      </c>
      <c r="G624" t="inlineStr">
        <is>
          <t>Budget / Garden</t>
        </is>
      </c>
      <c r="H624" t="inlineStr">
        <is>
          <t>Resale (500k+)</t>
        </is>
      </c>
      <c r="I624" t="inlineStr">
        <is>
          <t>700</t>
        </is>
      </c>
      <c r="J624" t="inlineStr">
        <is>
          <t>12</t>
        </is>
      </c>
      <c r="K624" t="inlineStr">
        <is>
          <t>Completed</t>
        </is>
      </c>
      <c r="L624" t="inlineStr">
        <is>
          <t>2008</t>
        </is>
      </c>
      <c r="M624" t="inlineStr">
        <is>
          <t>8.0-8.5</t>
        </is>
      </c>
      <c r="N624" t="inlineStr">
        <is>
          <t>4-6</t>
        </is>
      </c>
      <c r="O624" t="inlineStr">
        <is>
          <t>12.0-14.5</t>
        </is>
      </c>
      <c r="P624" t="inlineStr">
        <is>
          <t>Winchester School</t>
        </is>
      </c>
      <c r="Q624" t="inlineStr">
        <is>
          <t>Aster Cedars</t>
        </is>
      </c>
      <c r="R624" t="inlineStr">
        <is>
          <t>Ibn Battuta Mall</t>
        </is>
      </c>
      <c r="S624" t="inlineStr">
        <is>
          <t>Sheikh Zayed E11</t>
        </is>
      </c>
      <c r="T624" t="inlineStr">
        <is>
          <t>25</t>
        </is>
      </c>
      <c r="U624" t="inlineStr">
        <is>
          <t>10</t>
        </is>
      </c>
      <c r="V624" t="inlineStr">
        <is>
          <t>30</t>
        </is>
      </c>
      <c r="W624" t="inlineStr">
        <is>
          <t>25</t>
        </is>
      </c>
      <c r="X624" t="inlineStr">
        <is>
          <t>Guild.csv</t>
        </is>
      </c>
    </row>
    <row r="625">
      <c r="A625" t="n">
        <v>624</v>
      </c>
      <c r="B625" t="n">
        <v>88</v>
      </c>
      <c r="C625" t="inlineStr">
        <is>
          <t>The Gardens</t>
        </is>
      </c>
      <c r="D625" t="inlineStr">
        <is>
          <t>Nakheel</t>
        </is>
      </c>
      <c r="E625" t="inlineStr">
        <is>
          <t>Jebel Ali Area</t>
        </is>
      </c>
      <c r="F625" t="inlineStr">
        <is>
          <t>Apartments</t>
        </is>
      </c>
      <c r="G625" t="inlineStr">
        <is>
          <t>Garden / Low Rise</t>
        </is>
      </c>
      <c r="H625" t="inlineStr">
        <is>
          <t>Resale</t>
        </is>
      </c>
      <c r="I625" t="inlineStr">
        <is>
          <t>700</t>
        </is>
      </c>
      <c r="J625" t="inlineStr">
        <is>
          <t>12</t>
        </is>
      </c>
      <c r="K625" t="inlineStr">
        <is>
          <t>Completed</t>
        </is>
      </c>
      <c r="L625" t="inlineStr">
        <is>
          <t>2003</t>
        </is>
      </c>
      <c r="M625" t="inlineStr">
        <is>
          <t>8.0-8.5</t>
        </is>
      </c>
      <c r="N625" t="inlineStr">
        <is>
          <t>4-6</t>
        </is>
      </c>
      <c r="O625" t="inlineStr">
        <is>
          <t>12.0-14.5</t>
        </is>
      </c>
      <c r="P625" t="inlineStr">
        <is>
          <t>Winchester School</t>
        </is>
      </c>
      <c r="Q625" t="inlineStr">
        <is>
          <t>Aster Cedars</t>
        </is>
      </c>
      <c r="R625" t="inlineStr">
        <is>
          <t>Ibn Battuta Mall</t>
        </is>
      </c>
      <c r="S625" t="inlineStr">
        <is>
          <t>Sheikh Zayed E11</t>
        </is>
      </c>
      <c r="T625" t="inlineStr">
        <is>
          <t>25</t>
        </is>
      </c>
      <c r="U625" t="inlineStr">
        <is>
          <t>10</t>
        </is>
      </c>
      <c r="V625" t="inlineStr">
        <is>
          <t>30</t>
        </is>
      </c>
      <c r="W625" t="inlineStr">
        <is>
          <t>25</t>
        </is>
      </c>
      <c r="X625" t="inlineStr">
        <is>
          <t>Guild.csv</t>
        </is>
      </c>
    </row>
    <row r="626">
      <c r="A626" t="n">
        <v>625</v>
      </c>
      <c r="B626" t="n">
        <v>89</v>
      </c>
      <c r="C626" t="inlineStr">
        <is>
          <t>Rixos Financial Center Road</t>
        </is>
      </c>
      <c r="D626" t="inlineStr">
        <is>
          <t>Nakheel</t>
        </is>
      </c>
      <c r="E626" t="inlineStr">
        <is>
          <t>Downtown Dubai</t>
        </is>
      </c>
      <c r="F626" t="inlineStr">
        <is>
          <t>Branded Residences</t>
        </is>
      </c>
      <c r="G626" t="inlineStr">
        <is>
          <t>Luxury / City</t>
        </is>
      </c>
      <c r="H626" t="inlineStr">
        <is>
          <t>4.0M</t>
        </is>
      </c>
      <c r="I626" t="inlineStr">
        <is>
          <t>3800</t>
        </is>
      </c>
      <c r="J626" t="inlineStr">
        <is>
          <t>45+</t>
        </is>
      </c>
      <c r="K626" t="inlineStr">
        <is>
          <t>60/40</t>
        </is>
      </c>
      <c r="L626" t="inlineStr">
        <is>
          <t>2024</t>
        </is>
      </c>
      <c r="M626" t="inlineStr">
        <is>
          <t>4.0-4.5</t>
        </is>
      </c>
      <c r="N626" t="inlineStr">
        <is>
          <t>10-15</t>
        </is>
      </c>
      <c r="O626" t="inlineStr">
        <is>
          <t>14.0-19.5</t>
        </is>
      </c>
      <c r="P626" t="inlineStr">
        <is>
          <t>Hartland Intl</t>
        </is>
      </c>
      <c r="Q626" t="inlineStr">
        <is>
          <t>Mediclinic Dubai Mall</t>
        </is>
      </c>
      <c r="R626" t="inlineStr">
        <is>
          <t>Dubai Mall</t>
        </is>
      </c>
      <c r="S626" t="inlineStr">
        <is>
          <t>Financial Ctr Rd</t>
        </is>
      </c>
      <c r="T626" t="inlineStr">
        <is>
          <t>5</t>
        </is>
      </c>
      <c r="U626" t="inlineStr">
        <is>
          <t>20</t>
        </is>
      </c>
      <c r="V626" t="inlineStr">
        <is>
          <t>15</t>
        </is>
      </c>
      <c r="W626" t="inlineStr">
        <is>
          <t>35</t>
        </is>
      </c>
      <c r="X626" t="inlineStr">
        <is>
          <t>Guild.csv</t>
        </is>
      </c>
    </row>
    <row r="627">
      <c r="A627" t="n">
        <v>626</v>
      </c>
      <c r="B627" t="n">
        <v>90</v>
      </c>
      <c r="C627" t="inlineStr">
        <is>
          <t>Nad Al Sheba Villas</t>
        </is>
      </c>
      <c r="D627" t="inlineStr">
        <is>
          <t>Nakheel</t>
        </is>
      </c>
      <c r="E627" t="inlineStr">
        <is>
          <t>Nad Al Sheba</t>
        </is>
      </c>
      <c r="F627" t="inlineStr">
        <is>
          <t>Villas</t>
        </is>
      </c>
      <c r="G627" t="inlineStr">
        <is>
          <t>Gated</t>
        </is>
      </c>
      <c r="H627" t="inlineStr">
        <is>
          <t>Resale (3.5M+)</t>
        </is>
      </c>
      <c r="I627" t="inlineStr">
        <is>
          <t>1000</t>
        </is>
      </c>
      <c r="J627" t="inlineStr">
        <is>
          <t>10</t>
        </is>
      </c>
      <c r="K627" t="inlineStr">
        <is>
          <t>Completed</t>
        </is>
      </c>
      <c r="L627" t="inlineStr">
        <is>
          <t>2019</t>
        </is>
      </c>
      <c r="M627" t="inlineStr">
        <is>
          <t>6.0-6.5</t>
        </is>
      </c>
      <c r="N627" t="inlineStr">
        <is>
          <t>6-8</t>
        </is>
      </c>
      <c r="O627" t="inlineStr">
        <is>
          <t>12.0-14.5</t>
        </is>
      </c>
      <c r="P627" t="inlineStr">
        <is>
          <t>Repton School</t>
        </is>
      </c>
      <c r="Q627" t="inlineStr">
        <is>
          <t>Nad Al Sheba Health</t>
        </is>
      </c>
      <c r="R627" t="inlineStr">
        <is>
          <t>Avenue Mall</t>
        </is>
      </c>
      <c r="S627" t="inlineStr">
        <is>
          <t>E311 / E66</t>
        </is>
      </c>
      <c r="T627" t="inlineStr">
        <is>
          <t>15</t>
        </is>
      </c>
      <c r="U627" t="inlineStr">
        <is>
          <t>25</t>
        </is>
      </c>
      <c r="V627" t="inlineStr">
        <is>
          <t>15</t>
        </is>
      </c>
      <c r="W627" t="inlineStr">
        <is>
          <t>30</t>
        </is>
      </c>
      <c r="X627" t="inlineStr">
        <is>
          <t>Guild.csv</t>
        </is>
      </c>
    </row>
    <row r="628">
      <c r="A628" t="n">
        <v>627</v>
      </c>
      <c r="B628" t="n">
        <v>91</v>
      </c>
      <c r="C628" t="inlineStr">
        <is>
          <t>Warsan Village</t>
        </is>
      </c>
      <c r="D628" t="inlineStr">
        <is>
          <t>Nakheel</t>
        </is>
      </c>
      <c r="E628" t="inlineStr">
        <is>
          <t>International City</t>
        </is>
      </c>
      <c r="F628" t="inlineStr">
        <is>
          <t>Townhouses</t>
        </is>
      </c>
      <c r="G628" t="inlineStr">
        <is>
          <t>Budget</t>
        </is>
      </c>
      <c r="H628" t="inlineStr">
        <is>
          <t>Resale (1.5M+)</t>
        </is>
      </c>
      <c r="I628" t="inlineStr">
        <is>
          <t>800</t>
        </is>
      </c>
      <c r="J628" t="inlineStr">
        <is>
          <t>8</t>
        </is>
      </c>
      <c r="K628" t="inlineStr">
        <is>
          <t>Completed</t>
        </is>
      </c>
      <c r="L628" t="inlineStr">
        <is>
          <t>2016</t>
        </is>
      </c>
      <c r="M628" t="inlineStr">
        <is>
          <t>7.5-8.0</t>
        </is>
      </c>
      <c r="N628" t="inlineStr">
        <is>
          <t>5-7</t>
        </is>
      </c>
      <c r="O628" t="inlineStr">
        <is>
          <t>12.5-15.0</t>
        </is>
      </c>
      <c r="P628" t="inlineStr">
        <is>
          <t>Intl School of Arts</t>
        </is>
      </c>
      <c r="Q628" t="inlineStr">
        <is>
          <t>Aster Hospital</t>
        </is>
      </c>
      <c r="R628" t="inlineStr">
        <is>
          <t>Dragon Mart</t>
        </is>
      </c>
      <c r="S628" t="inlineStr">
        <is>
          <t>E44 / E311</t>
        </is>
      </c>
      <c r="T628" t="inlineStr">
        <is>
          <t>20</t>
        </is>
      </c>
      <c r="U628" t="inlineStr">
        <is>
          <t>30</t>
        </is>
      </c>
      <c r="V628" t="inlineStr">
        <is>
          <t>15</t>
        </is>
      </c>
      <c r="W628" t="inlineStr">
        <is>
          <t>35</t>
        </is>
      </c>
      <c r="X628" t="inlineStr">
        <is>
          <t>Guild.csv</t>
        </is>
      </c>
    </row>
    <row r="629">
      <c r="A629" t="n">
        <v>628</v>
      </c>
      <c r="B629" t="n">
        <v>92</v>
      </c>
      <c r="C629" t="inlineStr">
        <is>
          <t>International City</t>
        </is>
      </c>
      <c r="D629" t="inlineStr">
        <is>
          <t>Nakheel</t>
        </is>
      </c>
      <c r="E629" t="inlineStr">
        <is>
          <t>International City</t>
        </is>
      </c>
      <c r="F629" t="inlineStr">
        <is>
          <t>Apartments</t>
        </is>
      </c>
      <c r="G629" t="inlineStr">
        <is>
          <t>Budget</t>
        </is>
      </c>
      <c r="H629" t="inlineStr">
        <is>
          <t>Resale (350k+)</t>
        </is>
      </c>
      <c r="I629" t="inlineStr">
        <is>
          <t>600</t>
        </is>
      </c>
      <c r="J629" t="inlineStr">
        <is>
          <t>10</t>
        </is>
      </c>
      <c r="K629" t="inlineStr">
        <is>
          <t>Completed</t>
        </is>
      </c>
      <c r="L629" t="inlineStr">
        <is>
          <t>2004</t>
        </is>
      </c>
      <c r="M629" t="inlineStr">
        <is>
          <t>9.0-15.0</t>
        </is>
      </c>
      <c r="N629" t="inlineStr">
        <is>
          <t>5-7</t>
        </is>
      </c>
      <c r="O629" t="inlineStr">
        <is>
          <t>14.0-22.0</t>
        </is>
      </c>
      <c r="P629" t="inlineStr">
        <is>
          <t>Intl School of Arts</t>
        </is>
      </c>
      <c r="Q629" t="inlineStr">
        <is>
          <t>Aster Hospital</t>
        </is>
      </c>
      <c r="R629" t="inlineStr">
        <is>
          <t>Dragon Mart</t>
        </is>
      </c>
      <c r="S629" t="inlineStr">
        <is>
          <t>E44 / E311</t>
        </is>
      </c>
      <c r="T629" t="inlineStr">
        <is>
          <t>20</t>
        </is>
      </c>
      <c r="U629" t="inlineStr">
        <is>
          <t>30</t>
        </is>
      </c>
      <c r="V629" t="inlineStr">
        <is>
          <t>15</t>
        </is>
      </c>
      <c r="W629" t="inlineStr">
        <is>
          <t>35</t>
        </is>
      </c>
      <c r="X629" t="inlineStr">
        <is>
          <t>Guild.csv</t>
        </is>
      </c>
    </row>
    <row r="630">
      <c r="A630" t="n">
        <v>629</v>
      </c>
      <c r="B630" t="n">
        <v>93</v>
      </c>
      <c r="C630" t="inlineStr">
        <is>
          <t>City Walk (Master Community)</t>
        </is>
      </c>
      <c r="D630" t="inlineStr">
        <is>
          <t>Meraas</t>
        </is>
      </c>
      <c r="E630" t="inlineStr">
        <is>
          <t>Jumeirah</t>
        </is>
      </c>
      <c r="F630" t="inlineStr">
        <is>
          <t>Mixed</t>
        </is>
      </c>
      <c r="G630" t="inlineStr">
        <is>
          <t>Urban / Retail</t>
        </is>
      </c>
      <c r="J630" t="inlineStr">
        <is>
          <t>25-30</t>
        </is>
      </c>
      <c r="K630" t="inlineStr">
        <is>
          <t>Varies</t>
        </is>
      </c>
      <c r="L630" t="inlineStr">
        <is>
          <t>Ongoing</t>
        </is>
      </c>
      <c r="M630" t="inlineStr">
        <is>
          <t>5.5-6.5</t>
        </is>
      </c>
      <c r="N630" t="inlineStr">
        <is>
          <t>8-12</t>
        </is>
      </c>
      <c r="O630" t="inlineStr">
        <is>
          <t>13.5-18.5</t>
        </is>
      </c>
      <c r="P630" t="inlineStr">
        <is>
          <t>Jumeirah Baccalaureate</t>
        </is>
      </c>
      <c r="Q630" t="inlineStr">
        <is>
          <t>Valiant Clinic</t>
        </is>
      </c>
      <c r="R630" t="inlineStr">
        <is>
          <t>City Walk</t>
        </is>
      </c>
      <c r="S630" t="inlineStr">
        <is>
          <t>Al Wasl / SZR</t>
        </is>
      </c>
      <c r="T630" t="inlineStr">
        <is>
          <t>5</t>
        </is>
      </c>
      <c r="U630" t="inlineStr">
        <is>
          <t>15</t>
        </is>
      </c>
      <c r="V630" t="inlineStr">
        <is>
          <t>15</t>
        </is>
      </c>
      <c r="W630" t="inlineStr">
        <is>
          <t>35</t>
        </is>
      </c>
      <c r="X630" t="inlineStr">
        <is>
          <t>Guild.csv</t>
        </is>
      </c>
    </row>
    <row r="631">
      <c r="A631" t="n">
        <v>630</v>
      </c>
      <c r="B631" t="n">
        <v>94</v>
      </c>
      <c r="C631" t="inlineStr">
        <is>
          <t>Design Quarter at d3 (Phase 1)</t>
        </is>
      </c>
      <c r="D631" t="inlineStr">
        <is>
          <t>Meraas</t>
        </is>
      </c>
      <c r="E631" t="inlineStr">
        <is>
          <t>Dubai Design District</t>
        </is>
      </c>
      <c r="F631" t="inlineStr">
        <is>
          <t>Apartments</t>
        </is>
      </c>
      <c r="G631" t="inlineStr">
        <is>
          <t>Creative / Modern</t>
        </is>
      </c>
      <c r="H631" t="inlineStr">
        <is>
          <t>2.1M</t>
        </is>
      </c>
      <c r="I631" t="inlineStr">
        <is>
          <t>2000</t>
        </is>
      </c>
      <c r="J631" t="inlineStr">
        <is>
          <t>25</t>
        </is>
      </c>
      <c r="K631" t="inlineStr">
        <is>
          <t>60/40</t>
        </is>
      </c>
      <c r="L631" t="inlineStr">
        <is>
          <t>2023</t>
        </is>
      </c>
      <c r="M631" t="inlineStr">
        <is>
          <t>5.5-6.0</t>
        </is>
      </c>
      <c r="N631" t="inlineStr">
        <is>
          <t>8-12</t>
        </is>
      </c>
      <c r="O631" t="inlineStr">
        <is>
          <t>13.5-18.0</t>
        </is>
      </c>
      <c r="P631" t="inlineStr">
        <is>
          <t>Hartland Intl</t>
        </is>
      </c>
      <c r="Q631" t="inlineStr">
        <is>
          <t>Mediclinic Dubai Mall</t>
        </is>
      </c>
      <c r="R631" t="inlineStr">
        <is>
          <t>Dubai Mall</t>
        </is>
      </c>
      <c r="S631" t="inlineStr">
        <is>
          <t>Ras Al Khor / E44</t>
        </is>
      </c>
      <c r="T631" t="inlineStr">
        <is>
          <t>8</t>
        </is>
      </c>
      <c r="U631" t="inlineStr">
        <is>
          <t>20</t>
        </is>
      </c>
      <c r="V631" t="inlineStr">
        <is>
          <t>12</t>
        </is>
      </c>
      <c r="W631" t="inlineStr">
        <is>
          <t>35</t>
        </is>
      </c>
      <c r="X631" t="inlineStr">
        <is>
          <t>Guild.csv</t>
        </is>
      </c>
    </row>
    <row r="632">
      <c r="A632" t="n">
        <v>631</v>
      </c>
      <c r="B632" t="n">
        <v>95</v>
      </c>
      <c r="C632" t="inlineStr">
        <is>
          <t>Design Quarter at d3 (Phase 2)</t>
        </is>
      </c>
      <c r="D632" t="inlineStr">
        <is>
          <t>Meraas</t>
        </is>
      </c>
      <c r="E632" t="inlineStr">
        <is>
          <t>Dubai Design District</t>
        </is>
      </c>
      <c r="F632" t="inlineStr">
        <is>
          <t>Apartments</t>
        </is>
      </c>
      <c r="G632" t="inlineStr">
        <is>
          <t>Creative / Modern</t>
        </is>
      </c>
      <c r="H632" t="inlineStr">
        <is>
          <t>2.2M</t>
        </is>
      </c>
      <c r="I632" t="inlineStr">
        <is>
          <t>2100</t>
        </is>
      </c>
      <c r="J632" t="inlineStr">
        <is>
          <t>25</t>
        </is>
      </c>
      <c r="K632" t="inlineStr">
        <is>
          <t>60/40</t>
        </is>
      </c>
      <c r="L632" t="inlineStr">
        <is>
          <t>2023</t>
        </is>
      </c>
      <c r="M632" t="inlineStr">
        <is>
          <t>5.5-6.0</t>
        </is>
      </c>
      <c r="N632" t="inlineStr">
        <is>
          <t>8-12</t>
        </is>
      </c>
      <c r="O632" t="inlineStr">
        <is>
          <t>13.5-18.0</t>
        </is>
      </c>
      <c r="P632" t="inlineStr">
        <is>
          <t>Hartland Intl</t>
        </is>
      </c>
      <c r="Q632" t="inlineStr">
        <is>
          <t>Mediclinic Dubai Mall</t>
        </is>
      </c>
      <c r="R632" t="inlineStr">
        <is>
          <t>Dubai Mall</t>
        </is>
      </c>
      <c r="S632" t="inlineStr">
        <is>
          <t>Ras Al Khor / E44</t>
        </is>
      </c>
      <c r="T632" t="inlineStr">
        <is>
          <t>8</t>
        </is>
      </c>
      <c r="U632" t="inlineStr">
        <is>
          <t>20</t>
        </is>
      </c>
      <c r="V632" t="inlineStr">
        <is>
          <t>12</t>
        </is>
      </c>
      <c r="W632" t="inlineStr">
        <is>
          <t>35</t>
        </is>
      </c>
      <c r="X632" t="inlineStr">
        <is>
          <t>Guild.csv</t>
        </is>
      </c>
    </row>
    <row r="633">
      <c r="A633" t="n">
        <v>632</v>
      </c>
      <c r="B633" t="n">
        <v>96</v>
      </c>
      <c r="C633" t="inlineStr">
        <is>
          <t>Central Park: Fern</t>
        </is>
      </c>
      <c r="D633" t="inlineStr">
        <is>
          <t>Meraas</t>
        </is>
      </c>
      <c r="E633" t="inlineStr">
        <is>
          <t>City Walk</t>
        </is>
      </c>
      <c r="F633" t="inlineStr">
        <is>
          <t>Apartments</t>
        </is>
      </c>
      <c r="G633" t="inlineStr">
        <is>
          <t>Park / Green</t>
        </is>
      </c>
      <c r="H633" t="inlineStr">
        <is>
          <t>1.8M</t>
        </is>
      </c>
      <c r="I633" t="inlineStr">
        <is>
          <t>2300</t>
        </is>
      </c>
      <c r="J633" t="inlineStr">
        <is>
          <t>25</t>
        </is>
      </c>
      <c r="K633" t="inlineStr">
        <is>
          <t>50/50</t>
        </is>
      </c>
      <c r="L633" t="inlineStr">
        <is>
          <t>2023</t>
        </is>
      </c>
      <c r="M633" t="inlineStr">
        <is>
          <t>5.5-6.0</t>
        </is>
      </c>
      <c r="N633" t="inlineStr">
        <is>
          <t>8-10</t>
        </is>
      </c>
      <c r="O633" t="inlineStr">
        <is>
          <t>13.5-16.0</t>
        </is>
      </c>
      <c r="P633" t="inlineStr">
        <is>
          <t>Jumeirah Baccalaureate</t>
        </is>
      </c>
      <c r="Q633" t="inlineStr">
        <is>
          <t>Valiant Clinic</t>
        </is>
      </c>
      <c r="R633" t="inlineStr">
        <is>
          <t>City Walk</t>
        </is>
      </c>
      <c r="S633" t="inlineStr">
        <is>
          <t>Al Wasl / SZR</t>
        </is>
      </c>
      <c r="T633" t="inlineStr">
        <is>
          <t>5</t>
        </is>
      </c>
      <c r="U633" t="inlineStr">
        <is>
          <t>15</t>
        </is>
      </c>
      <c r="V633" t="inlineStr">
        <is>
          <t>15</t>
        </is>
      </c>
      <c r="W633" t="inlineStr">
        <is>
          <t>35</t>
        </is>
      </c>
      <c r="X633" t="inlineStr">
        <is>
          <t>Guild.csv</t>
        </is>
      </c>
    </row>
    <row r="634">
      <c r="A634" t="n">
        <v>633</v>
      </c>
      <c r="B634" t="n">
        <v>97</v>
      </c>
      <c r="C634" t="inlineStr">
        <is>
          <t>Central Park: Laurel</t>
        </is>
      </c>
      <c r="D634" t="inlineStr">
        <is>
          <t>Meraas</t>
        </is>
      </c>
      <c r="E634" t="inlineStr">
        <is>
          <t>City Walk</t>
        </is>
      </c>
      <c r="F634" t="inlineStr">
        <is>
          <t>Apartments</t>
        </is>
      </c>
      <c r="G634" t="inlineStr">
        <is>
          <t>Park / Green</t>
        </is>
      </c>
      <c r="H634" t="inlineStr">
        <is>
          <t>1.9M</t>
        </is>
      </c>
      <c r="I634" t="inlineStr">
        <is>
          <t>2350</t>
        </is>
      </c>
      <c r="J634" t="inlineStr">
        <is>
          <t>25</t>
        </is>
      </c>
      <c r="K634" t="inlineStr">
        <is>
          <t>50/50</t>
        </is>
      </c>
      <c r="L634" t="inlineStr">
        <is>
          <t>2023</t>
        </is>
      </c>
      <c r="M634" t="inlineStr">
        <is>
          <t>5.5-6.0</t>
        </is>
      </c>
      <c r="N634" t="inlineStr">
        <is>
          <t>8-10</t>
        </is>
      </c>
      <c r="O634" t="inlineStr">
        <is>
          <t>13.5-16.0</t>
        </is>
      </c>
      <c r="P634" t="inlineStr">
        <is>
          <t>Jumeirah Baccalaureate</t>
        </is>
      </c>
      <c r="Q634" t="inlineStr">
        <is>
          <t>Valiant Clinic</t>
        </is>
      </c>
      <c r="R634" t="inlineStr">
        <is>
          <t>City Walk</t>
        </is>
      </c>
      <c r="S634" t="inlineStr">
        <is>
          <t>Al Wasl / SZR</t>
        </is>
      </c>
      <c r="T634" t="inlineStr">
        <is>
          <t>5</t>
        </is>
      </c>
      <c r="U634" t="inlineStr">
        <is>
          <t>15</t>
        </is>
      </c>
      <c r="V634" t="inlineStr">
        <is>
          <t>15</t>
        </is>
      </c>
      <c r="W634" t="inlineStr">
        <is>
          <t>35</t>
        </is>
      </c>
      <c r="X634" t="inlineStr">
        <is>
          <t>Guild.csv</t>
        </is>
      </c>
    </row>
    <row r="635">
      <c r="A635" t="n">
        <v>634</v>
      </c>
      <c r="B635" t="n">
        <v>98</v>
      </c>
      <c r="C635" t="inlineStr">
        <is>
          <t>Central Park: Myrtle</t>
        </is>
      </c>
      <c r="D635" t="inlineStr">
        <is>
          <t>Meraas</t>
        </is>
      </c>
      <c r="E635" t="inlineStr">
        <is>
          <t>City Walk</t>
        </is>
      </c>
      <c r="F635" t="inlineStr">
        <is>
          <t>Apartments</t>
        </is>
      </c>
      <c r="G635" t="inlineStr">
        <is>
          <t>Park / Green</t>
        </is>
      </c>
      <c r="H635" t="inlineStr">
        <is>
          <t>1.7M</t>
        </is>
      </c>
      <c r="I635" t="inlineStr">
        <is>
          <t>2200</t>
        </is>
      </c>
      <c r="J635" t="inlineStr">
        <is>
          <t>25</t>
        </is>
      </c>
      <c r="K635" t="inlineStr">
        <is>
          <t>50/50</t>
        </is>
      </c>
      <c r="L635" t="inlineStr">
        <is>
          <t>2022</t>
        </is>
      </c>
      <c r="M635" t="inlineStr">
        <is>
          <t>5.5-6.0</t>
        </is>
      </c>
      <c r="N635" t="inlineStr">
        <is>
          <t>7-9</t>
        </is>
      </c>
      <c r="O635" t="inlineStr">
        <is>
          <t>12.5-15.0</t>
        </is>
      </c>
      <c r="P635" t="inlineStr">
        <is>
          <t>Jumeirah Baccalaureate</t>
        </is>
      </c>
      <c r="Q635" t="inlineStr">
        <is>
          <t>Valiant Clinic</t>
        </is>
      </c>
      <c r="R635" t="inlineStr">
        <is>
          <t>City Walk</t>
        </is>
      </c>
      <c r="S635" t="inlineStr">
        <is>
          <t>Al Wasl / SZR</t>
        </is>
      </c>
      <c r="T635" t="inlineStr">
        <is>
          <t>5</t>
        </is>
      </c>
      <c r="U635" t="inlineStr">
        <is>
          <t>15</t>
        </is>
      </c>
      <c r="V635" t="inlineStr">
        <is>
          <t>15</t>
        </is>
      </c>
      <c r="W635" t="inlineStr">
        <is>
          <t>35</t>
        </is>
      </c>
      <c r="X635" t="inlineStr">
        <is>
          <t>Guild.csv</t>
        </is>
      </c>
    </row>
    <row r="636">
      <c r="A636" t="n">
        <v>635</v>
      </c>
      <c r="B636" t="n">
        <v>99</v>
      </c>
      <c r="C636" t="inlineStr">
        <is>
          <t>Central Park: Thyme</t>
        </is>
      </c>
      <c r="D636" t="inlineStr">
        <is>
          <t>Meraas</t>
        </is>
      </c>
      <c r="E636" t="inlineStr">
        <is>
          <t>City Walk</t>
        </is>
      </c>
      <c r="F636" t="inlineStr">
        <is>
          <t>Apartments</t>
        </is>
      </c>
      <c r="G636" t="inlineStr">
        <is>
          <t>Park / Green</t>
        </is>
      </c>
      <c r="H636" t="inlineStr">
        <is>
          <t>1.75M</t>
        </is>
      </c>
      <c r="I636" t="inlineStr">
        <is>
          <t>2250</t>
        </is>
      </c>
      <c r="J636" t="inlineStr">
        <is>
          <t>25</t>
        </is>
      </c>
      <c r="K636" t="inlineStr">
        <is>
          <t>50/50</t>
        </is>
      </c>
      <c r="L636" t="inlineStr">
        <is>
          <t>2023</t>
        </is>
      </c>
      <c r="M636" t="inlineStr">
        <is>
          <t>5.5-6.0</t>
        </is>
      </c>
      <c r="N636" t="inlineStr">
        <is>
          <t>8-10</t>
        </is>
      </c>
      <c r="O636" t="inlineStr">
        <is>
          <t>13.5-16.0</t>
        </is>
      </c>
      <c r="P636" t="inlineStr">
        <is>
          <t>Jumeirah Baccalaureate</t>
        </is>
      </c>
      <c r="Q636" t="inlineStr">
        <is>
          <t>Valiant Clinic</t>
        </is>
      </c>
      <c r="R636" t="inlineStr">
        <is>
          <t>City Walk</t>
        </is>
      </c>
      <c r="S636" t="inlineStr">
        <is>
          <t>Al Wasl / SZR</t>
        </is>
      </c>
      <c r="T636" t="inlineStr">
        <is>
          <t>5</t>
        </is>
      </c>
      <c r="U636" t="inlineStr">
        <is>
          <t>15</t>
        </is>
      </c>
      <c r="V636" t="inlineStr">
        <is>
          <t>15</t>
        </is>
      </c>
      <c r="W636" t="inlineStr">
        <is>
          <t>35</t>
        </is>
      </c>
      <c r="X636" t="inlineStr">
        <is>
          <t>Guild.csv</t>
        </is>
      </c>
    </row>
    <row r="637">
      <c r="A637" t="n">
        <v>636</v>
      </c>
      <c r="B637" t="n">
        <v>100</v>
      </c>
      <c r="C637" t="inlineStr">
        <is>
          <t>Central Park: Erin</t>
        </is>
      </c>
      <c r="D637" t="inlineStr">
        <is>
          <t>Meraas</t>
        </is>
      </c>
      <c r="E637" t="inlineStr">
        <is>
          <t>City Walk</t>
        </is>
      </c>
      <c r="F637" t="inlineStr">
        <is>
          <t>Apartments</t>
        </is>
      </c>
      <c r="G637" t="inlineStr">
        <is>
          <t>Park / Green</t>
        </is>
      </c>
      <c r="H637" t="inlineStr">
        <is>
          <t>1.8M</t>
        </is>
      </c>
      <c r="I637" t="inlineStr">
        <is>
          <t>2300</t>
        </is>
      </c>
      <c r="J637" t="inlineStr">
        <is>
          <t>25</t>
        </is>
      </c>
      <c r="K637" t="inlineStr">
        <is>
          <t>50/50</t>
        </is>
      </c>
      <c r="L637" t="inlineStr">
        <is>
          <t>2023</t>
        </is>
      </c>
      <c r="M637" t="inlineStr">
        <is>
          <t>5.5-6.0</t>
        </is>
      </c>
      <c r="N637" t="inlineStr">
        <is>
          <t>8-10</t>
        </is>
      </c>
      <c r="O637" t="inlineStr">
        <is>
          <t>13.5-16.0</t>
        </is>
      </c>
      <c r="P637" t="inlineStr">
        <is>
          <t>Jumeirah Baccalaureate</t>
        </is>
      </c>
      <c r="Q637" t="inlineStr">
        <is>
          <t>Valiant Clinic</t>
        </is>
      </c>
      <c r="R637" t="inlineStr">
        <is>
          <t>City Walk</t>
        </is>
      </c>
      <c r="S637" t="inlineStr">
        <is>
          <t>Al Wasl / SZR</t>
        </is>
      </c>
      <c r="T637" t="inlineStr">
        <is>
          <t>5</t>
        </is>
      </c>
      <c r="U637" t="inlineStr">
        <is>
          <t>15</t>
        </is>
      </c>
      <c r="V637" t="inlineStr">
        <is>
          <t>15</t>
        </is>
      </c>
      <c r="W637" t="inlineStr">
        <is>
          <t>35</t>
        </is>
      </c>
      <c r="X637" t="inlineStr">
        <is>
          <t>Guild.csv</t>
        </is>
      </c>
    </row>
    <row r="638">
      <c r="A638" t="n">
        <v>637</v>
      </c>
      <c r="B638" t="n">
        <v>101</v>
      </c>
      <c r="C638" t="inlineStr">
        <is>
          <t>City Walk Residences</t>
        </is>
      </c>
      <c r="D638" t="inlineStr">
        <is>
          <t>Meraas</t>
        </is>
      </c>
      <c r="E638" t="inlineStr">
        <is>
          <t>City Walk</t>
        </is>
      </c>
      <c r="F638" t="inlineStr">
        <is>
          <t>Apartments</t>
        </is>
      </c>
      <c r="G638" t="inlineStr">
        <is>
          <t>Urban / Luxury</t>
        </is>
      </c>
      <c r="H638" t="inlineStr">
        <is>
          <t>Resale (3M+)</t>
        </is>
      </c>
      <c r="I638" t="inlineStr">
        <is>
          <t>2500</t>
        </is>
      </c>
      <c r="J638" t="inlineStr">
        <is>
          <t>25</t>
        </is>
      </c>
      <c r="K638" t="inlineStr">
        <is>
          <t>Completed</t>
        </is>
      </c>
      <c r="L638" t="inlineStr">
        <is>
          <t>2016</t>
        </is>
      </c>
      <c r="M638" t="inlineStr">
        <is>
          <t>5.0-5.5</t>
        </is>
      </c>
      <c r="N638" t="inlineStr">
        <is>
          <t>6-8</t>
        </is>
      </c>
      <c r="O638" t="inlineStr">
        <is>
          <t>11.0-13.5</t>
        </is>
      </c>
      <c r="P638" t="inlineStr">
        <is>
          <t>Jumeirah Baccalaureate</t>
        </is>
      </c>
      <c r="Q638" t="inlineStr">
        <is>
          <t>Valiant Clinic</t>
        </is>
      </c>
      <c r="R638" t="inlineStr">
        <is>
          <t>City Walk</t>
        </is>
      </c>
      <c r="S638" t="inlineStr">
        <is>
          <t>Al Wasl / SZR</t>
        </is>
      </c>
      <c r="T638" t="inlineStr">
        <is>
          <t>5</t>
        </is>
      </c>
      <c r="U638" t="inlineStr">
        <is>
          <t>15</t>
        </is>
      </c>
      <c r="V638" t="inlineStr">
        <is>
          <t>15</t>
        </is>
      </c>
      <c r="W638" t="inlineStr">
        <is>
          <t>35</t>
        </is>
      </c>
      <c r="X638" t="inlineStr">
        <is>
          <t>Guild.csv</t>
        </is>
      </c>
    </row>
    <row r="639">
      <c r="A639" t="n">
        <v>638</v>
      </c>
      <c r="B639" t="n">
        <v>102</v>
      </c>
      <c r="C639" t="inlineStr">
        <is>
          <t>Port de La Mer (Master Community)</t>
        </is>
      </c>
      <c r="D639" t="inlineStr">
        <is>
          <t>Meraas</t>
        </is>
      </c>
      <c r="E639" t="inlineStr">
        <is>
          <t>Jumeirah 1</t>
        </is>
      </c>
      <c r="F639" t="inlineStr">
        <is>
          <t>Apartments</t>
        </is>
      </c>
      <c r="G639" t="inlineStr">
        <is>
          <t>Island / Marina</t>
        </is>
      </c>
      <c r="J639" t="inlineStr">
        <is>
          <t>25</t>
        </is>
      </c>
      <c r="K639" t="inlineStr">
        <is>
          <t>Varies</t>
        </is>
      </c>
      <c r="L639" t="inlineStr">
        <is>
          <t>Ongoing</t>
        </is>
      </c>
      <c r="M639" t="inlineStr">
        <is>
          <t>5.5-6.5</t>
        </is>
      </c>
      <c r="N639" t="inlineStr">
        <is>
          <t>8-12</t>
        </is>
      </c>
      <c r="O639" t="inlineStr">
        <is>
          <t>13.5-18.5</t>
        </is>
      </c>
      <c r="P639" t="inlineStr">
        <is>
          <t>Jumeirah Baccalaureate</t>
        </is>
      </c>
      <c r="Q639" t="inlineStr">
        <is>
          <t>American Hospital (Clinic)</t>
        </is>
      </c>
      <c r="R639" t="inlineStr">
        <is>
          <t>La Mer</t>
        </is>
      </c>
      <c r="S639" t="inlineStr">
        <is>
          <t>Jumeirah St / D94</t>
        </is>
      </c>
      <c r="T639" t="inlineStr">
        <is>
          <t>15</t>
        </is>
      </c>
      <c r="U639" t="inlineStr">
        <is>
          <t>25</t>
        </is>
      </c>
      <c r="V639" t="inlineStr">
        <is>
          <t>15</t>
        </is>
      </c>
      <c r="W639" t="inlineStr">
        <is>
          <t>40</t>
        </is>
      </c>
      <c r="X639" t="inlineStr">
        <is>
          <t>Guild.csv</t>
        </is>
      </c>
    </row>
    <row r="640">
      <c r="A640" t="n">
        <v>639</v>
      </c>
      <c r="B640" t="n">
        <v>103</v>
      </c>
      <c r="C640" t="inlineStr">
        <is>
          <t>La Sirène</t>
        </is>
      </c>
      <c r="D640" t="inlineStr">
        <is>
          <t>Meraas</t>
        </is>
      </c>
      <c r="E640" t="inlineStr">
        <is>
          <t>Port de La Mer</t>
        </is>
      </c>
      <c r="F640" t="inlineStr">
        <is>
          <t>Apartments</t>
        </is>
      </c>
      <c r="G640" t="inlineStr">
        <is>
          <t>Waterfront</t>
        </is>
      </c>
      <c r="H640" t="inlineStr">
        <is>
          <t>1.8M</t>
        </is>
      </c>
      <c r="I640" t="inlineStr">
        <is>
          <t>2100</t>
        </is>
      </c>
      <c r="J640" t="inlineStr">
        <is>
          <t>25</t>
        </is>
      </c>
      <c r="K640" t="inlineStr">
        <is>
          <t>50/50</t>
        </is>
      </c>
      <c r="L640" t="inlineStr">
        <is>
          <t>2021</t>
        </is>
      </c>
      <c r="M640" t="inlineStr">
        <is>
          <t>5.5-6.0</t>
        </is>
      </c>
      <c r="N640" t="inlineStr">
        <is>
          <t>8-10</t>
        </is>
      </c>
      <c r="O640" t="inlineStr">
        <is>
          <t>13.5-16.0</t>
        </is>
      </c>
      <c r="P640" t="inlineStr">
        <is>
          <t>Jumeirah Baccalaureate</t>
        </is>
      </c>
      <c r="Q640" t="inlineStr">
        <is>
          <t>American Hospital (Clinic)</t>
        </is>
      </c>
      <c r="R640" t="inlineStr">
        <is>
          <t>La Mer</t>
        </is>
      </c>
      <c r="S640" t="inlineStr">
        <is>
          <t>Jumeirah St / D94</t>
        </is>
      </c>
      <c r="T640" t="inlineStr">
        <is>
          <t>15</t>
        </is>
      </c>
      <c r="U640" t="inlineStr">
        <is>
          <t>25</t>
        </is>
      </c>
      <c r="V640" t="inlineStr">
        <is>
          <t>15</t>
        </is>
      </c>
      <c r="W640" t="inlineStr">
        <is>
          <t>40</t>
        </is>
      </c>
      <c r="X640" t="inlineStr">
        <is>
          <t>Guild.csv</t>
        </is>
      </c>
    </row>
    <row r="641">
      <c r="A641" t="n">
        <v>640</v>
      </c>
      <c r="B641" t="n">
        <v>104</v>
      </c>
      <c r="C641" t="inlineStr">
        <is>
          <t>La Voile</t>
        </is>
      </c>
      <c r="D641" t="inlineStr">
        <is>
          <t>Meraas</t>
        </is>
      </c>
      <c r="E641" t="inlineStr">
        <is>
          <t>Port de La Mer</t>
        </is>
      </c>
      <c r="F641" t="inlineStr">
        <is>
          <t>Apartments</t>
        </is>
      </c>
      <c r="G641" t="inlineStr">
        <is>
          <t>Waterfront</t>
        </is>
      </c>
      <c r="H641" t="inlineStr">
        <is>
          <t>Resale</t>
        </is>
      </c>
      <c r="I641" t="inlineStr">
        <is>
          <t>2000</t>
        </is>
      </c>
      <c r="J641" t="inlineStr">
        <is>
          <t>25</t>
        </is>
      </c>
      <c r="K641" t="inlineStr">
        <is>
          <t>Completed</t>
        </is>
      </c>
      <c r="L641" t="inlineStr">
        <is>
          <t>2019</t>
        </is>
      </c>
      <c r="M641" t="inlineStr">
        <is>
          <t>6.0-6.5</t>
        </is>
      </c>
      <c r="N641" t="inlineStr">
        <is>
          <t>6-8</t>
        </is>
      </c>
      <c r="O641" t="inlineStr">
        <is>
          <t>12.0-14.5</t>
        </is>
      </c>
      <c r="P641" t="inlineStr">
        <is>
          <t>Jumeirah Baccalaureate</t>
        </is>
      </c>
      <c r="Q641" t="inlineStr">
        <is>
          <t>American Hospital (Clinic)</t>
        </is>
      </c>
      <c r="R641" t="inlineStr">
        <is>
          <t>La Mer</t>
        </is>
      </c>
      <c r="S641" t="inlineStr">
        <is>
          <t>Jumeirah St / D94</t>
        </is>
      </c>
      <c r="T641" t="inlineStr">
        <is>
          <t>15</t>
        </is>
      </c>
      <c r="U641" t="inlineStr">
        <is>
          <t>25</t>
        </is>
      </c>
      <c r="V641" t="inlineStr">
        <is>
          <t>15</t>
        </is>
      </c>
      <c r="W641" t="inlineStr">
        <is>
          <t>40</t>
        </is>
      </c>
      <c r="X641" t="inlineStr">
        <is>
          <t>Guild.csv</t>
        </is>
      </c>
    </row>
    <row r="642">
      <c r="A642" t="n">
        <v>641</v>
      </c>
      <c r="B642" t="n">
        <v>105</v>
      </c>
      <c r="C642" t="inlineStr">
        <is>
          <t>La Rive</t>
        </is>
      </c>
      <c r="D642" t="inlineStr">
        <is>
          <t>Meraas</t>
        </is>
      </c>
      <c r="E642" t="inlineStr">
        <is>
          <t>Port de La Mer</t>
        </is>
      </c>
      <c r="F642" t="inlineStr">
        <is>
          <t>Apartments</t>
        </is>
      </c>
      <c r="G642" t="inlineStr">
        <is>
          <t>Waterfront</t>
        </is>
      </c>
      <c r="H642" t="inlineStr">
        <is>
          <t>Resale</t>
        </is>
      </c>
      <c r="I642" t="inlineStr">
        <is>
          <t>2000</t>
        </is>
      </c>
      <c r="J642" t="inlineStr">
        <is>
          <t>25</t>
        </is>
      </c>
      <c r="K642" t="inlineStr">
        <is>
          <t>Completed</t>
        </is>
      </c>
      <c r="L642" t="inlineStr">
        <is>
          <t>2019</t>
        </is>
      </c>
      <c r="M642" t="inlineStr">
        <is>
          <t>6.0-6.5</t>
        </is>
      </c>
      <c r="N642" t="inlineStr">
        <is>
          <t>6-8</t>
        </is>
      </c>
      <c r="O642" t="inlineStr">
        <is>
          <t>12.0-14.5</t>
        </is>
      </c>
      <c r="P642" t="inlineStr">
        <is>
          <t>Jumeirah Baccalaureate</t>
        </is>
      </c>
      <c r="Q642" t="inlineStr">
        <is>
          <t>American Hospital (Clinic)</t>
        </is>
      </c>
      <c r="R642" t="inlineStr">
        <is>
          <t>La Mer</t>
        </is>
      </c>
      <c r="S642" t="inlineStr">
        <is>
          <t>Jumeirah St / D94</t>
        </is>
      </c>
      <c r="T642" t="inlineStr">
        <is>
          <t>15</t>
        </is>
      </c>
      <c r="U642" t="inlineStr">
        <is>
          <t>25</t>
        </is>
      </c>
      <c r="V642" t="inlineStr">
        <is>
          <t>15</t>
        </is>
      </c>
      <c r="W642" t="inlineStr">
        <is>
          <t>40</t>
        </is>
      </c>
      <c r="X642" t="inlineStr">
        <is>
          <t>Guild.csv</t>
        </is>
      </c>
    </row>
    <row r="643">
      <c r="A643" t="n">
        <v>642</v>
      </c>
      <c r="B643" t="n">
        <v>106</v>
      </c>
      <c r="C643" t="inlineStr">
        <is>
          <t>Le Pont</t>
        </is>
      </c>
      <c r="D643" t="inlineStr">
        <is>
          <t>Meraas</t>
        </is>
      </c>
      <c r="E643" t="inlineStr">
        <is>
          <t>Port de La Mer</t>
        </is>
      </c>
      <c r="F643" t="inlineStr">
        <is>
          <t>Apartments</t>
        </is>
      </c>
      <c r="G643" t="inlineStr">
        <is>
          <t>Waterfront</t>
        </is>
      </c>
      <c r="H643" t="inlineStr">
        <is>
          <t>Resale</t>
        </is>
      </c>
      <c r="I643" t="inlineStr">
        <is>
          <t>2000</t>
        </is>
      </c>
      <c r="J643" t="inlineStr">
        <is>
          <t>25</t>
        </is>
      </c>
      <c r="K643" t="inlineStr">
        <is>
          <t>Completed</t>
        </is>
      </c>
      <c r="L643" t="inlineStr">
        <is>
          <t>2019</t>
        </is>
      </c>
      <c r="M643" t="inlineStr">
        <is>
          <t>6.0-6.5</t>
        </is>
      </c>
      <c r="N643" t="inlineStr">
        <is>
          <t>6-8</t>
        </is>
      </c>
      <c r="O643" t="inlineStr">
        <is>
          <t>12.0-14.5</t>
        </is>
      </c>
      <c r="P643" t="inlineStr">
        <is>
          <t>Jumeirah Baccalaureate</t>
        </is>
      </c>
      <c r="Q643" t="inlineStr">
        <is>
          <t>American Hospital (Clinic)</t>
        </is>
      </c>
      <c r="R643" t="inlineStr">
        <is>
          <t>La Mer</t>
        </is>
      </c>
      <c r="S643" t="inlineStr">
        <is>
          <t>Jumeirah St / D94</t>
        </is>
      </c>
      <c r="T643" t="inlineStr">
        <is>
          <t>15</t>
        </is>
      </c>
      <c r="U643" t="inlineStr">
        <is>
          <t>25</t>
        </is>
      </c>
      <c r="V643" t="inlineStr">
        <is>
          <t>15</t>
        </is>
      </c>
      <c r="W643" t="inlineStr">
        <is>
          <t>40</t>
        </is>
      </c>
      <c r="X643" t="inlineStr">
        <is>
          <t>Guild.csv</t>
        </is>
      </c>
    </row>
    <row r="644">
      <c r="A644" t="n">
        <v>643</v>
      </c>
      <c r="B644" t="n">
        <v>107</v>
      </c>
      <c r="C644" t="inlineStr">
        <is>
          <t>La Cote</t>
        </is>
      </c>
      <c r="D644" t="inlineStr">
        <is>
          <t>Meraas</t>
        </is>
      </c>
      <c r="E644" t="inlineStr">
        <is>
          <t>Port de La Mer</t>
        </is>
      </c>
      <c r="F644" t="inlineStr">
        <is>
          <t>Apartments</t>
        </is>
      </c>
      <c r="G644" t="inlineStr">
        <is>
          <t>Waterfront</t>
        </is>
      </c>
      <c r="H644" t="inlineStr">
        <is>
          <t>Resale</t>
        </is>
      </c>
      <c r="I644" t="inlineStr">
        <is>
          <t>1900</t>
        </is>
      </c>
      <c r="J644" t="inlineStr">
        <is>
          <t>25</t>
        </is>
      </c>
      <c r="K644" t="inlineStr">
        <is>
          <t>Completed</t>
        </is>
      </c>
      <c r="L644" t="inlineStr">
        <is>
          <t>2018</t>
        </is>
      </c>
      <c r="M644" t="inlineStr">
        <is>
          <t>6.0-6.5</t>
        </is>
      </c>
      <c r="N644" t="inlineStr">
        <is>
          <t>6-8</t>
        </is>
      </c>
      <c r="O644" t="inlineStr">
        <is>
          <t>12.0-14.5</t>
        </is>
      </c>
      <c r="P644" t="inlineStr">
        <is>
          <t>Jumeirah Baccalaureate</t>
        </is>
      </c>
      <c r="Q644" t="inlineStr">
        <is>
          <t>American Hospital (Clinic)</t>
        </is>
      </c>
      <c r="R644" t="inlineStr">
        <is>
          <t>La Mer</t>
        </is>
      </c>
      <c r="S644" t="inlineStr">
        <is>
          <t>Jumeirah St / D94</t>
        </is>
      </c>
      <c r="T644" t="inlineStr">
        <is>
          <t>15</t>
        </is>
      </c>
      <c r="U644" t="inlineStr">
        <is>
          <t>25</t>
        </is>
      </c>
      <c r="V644" t="inlineStr">
        <is>
          <t>15</t>
        </is>
      </c>
      <c r="W644" t="inlineStr">
        <is>
          <t>40</t>
        </is>
      </c>
      <c r="X644" t="inlineStr">
        <is>
          <t>Guild.csv</t>
        </is>
      </c>
    </row>
    <row r="645">
      <c r="A645" t="n">
        <v>644</v>
      </c>
      <c r="B645" t="n">
        <v>108</v>
      </c>
      <c r="C645" t="inlineStr">
        <is>
          <t>Sur La Mer</t>
        </is>
      </c>
      <c r="D645" t="inlineStr">
        <is>
          <t>Meraas</t>
        </is>
      </c>
      <c r="E645" t="inlineStr">
        <is>
          <t>Port de La Mer</t>
        </is>
      </c>
      <c r="F645" t="inlineStr">
        <is>
          <t>Townhouses</t>
        </is>
      </c>
      <c r="G645" t="inlineStr">
        <is>
          <t>Waterfront</t>
        </is>
      </c>
      <c r="H645" t="inlineStr">
        <is>
          <t>5.5M</t>
        </is>
      </c>
      <c r="I645" t="inlineStr">
        <is>
          <t>2200</t>
        </is>
      </c>
      <c r="J645" t="inlineStr">
        <is>
          <t>20</t>
        </is>
      </c>
      <c r="K645" t="inlineStr">
        <is>
          <t>50/50</t>
        </is>
      </c>
      <c r="L645" t="inlineStr">
        <is>
          <t>2019</t>
        </is>
      </c>
      <c r="M645" t="inlineStr">
        <is>
          <t>4.5-5.0</t>
        </is>
      </c>
      <c r="N645" t="inlineStr">
        <is>
          <t>8-10</t>
        </is>
      </c>
      <c r="O645" t="inlineStr">
        <is>
          <t>12.5-15.0</t>
        </is>
      </c>
      <c r="P645" t="inlineStr">
        <is>
          <t>Jumeirah Baccalaureate</t>
        </is>
      </c>
      <c r="Q645" t="inlineStr">
        <is>
          <t>American Hospital (Clinic)</t>
        </is>
      </c>
      <c r="R645" t="inlineStr">
        <is>
          <t>La Mer</t>
        </is>
      </c>
      <c r="S645" t="inlineStr">
        <is>
          <t>Jumeirah St / D94</t>
        </is>
      </c>
      <c r="T645" t="inlineStr">
        <is>
          <t>15</t>
        </is>
      </c>
      <c r="U645" t="inlineStr">
        <is>
          <t>25</t>
        </is>
      </c>
      <c r="V645" t="inlineStr">
        <is>
          <t>15</t>
        </is>
      </c>
      <c r="W645" t="inlineStr">
        <is>
          <t>40</t>
        </is>
      </c>
      <c r="X645" t="inlineStr">
        <is>
          <t>Guild.csv</t>
        </is>
      </c>
    </row>
    <row r="646">
      <c r="A646" t="n">
        <v>645</v>
      </c>
      <c r="B646" t="n">
        <v>109</v>
      </c>
      <c r="C646" t="inlineStr">
        <is>
          <t>Madinat Jumeirah Living</t>
        </is>
      </c>
      <c r="D646" t="inlineStr">
        <is>
          <t>Meraas</t>
        </is>
      </c>
      <c r="E646" t="inlineStr">
        <is>
          <t>Umm Suqeim (Burj Al Arab)</t>
        </is>
      </c>
      <c r="F646" t="inlineStr">
        <is>
          <t>Apartments</t>
        </is>
      </c>
      <c r="G646" t="inlineStr">
        <is>
          <t>Luxury / Traditional</t>
        </is>
      </c>
      <c r="J646" t="inlineStr">
        <is>
          <t>25</t>
        </is>
      </c>
      <c r="K646" t="inlineStr">
        <is>
          <t>Varies</t>
        </is>
      </c>
      <c r="L646" t="inlineStr">
        <is>
          <t>Ongoing</t>
        </is>
      </c>
      <c r="M646" t="inlineStr">
        <is>
          <t>5.0-6.0</t>
        </is>
      </c>
      <c r="N646" t="inlineStr">
        <is>
          <t>9-12</t>
        </is>
      </c>
      <c r="O646" t="inlineStr">
        <is>
          <t>14.0-18.0</t>
        </is>
      </c>
      <c r="P646" t="inlineStr">
        <is>
          <t>Kings' School Dubai</t>
        </is>
      </c>
      <c r="Q646" t="inlineStr">
        <is>
          <t>Saudi German Hospital</t>
        </is>
      </c>
      <c r="R646" t="inlineStr">
        <is>
          <t>Mall of Emirates</t>
        </is>
      </c>
      <c r="S646" t="inlineStr">
        <is>
          <t>Umm Suqeim St</t>
        </is>
      </c>
      <c r="T646" t="inlineStr">
        <is>
          <t>15</t>
        </is>
      </c>
      <c r="U646" t="inlineStr">
        <is>
          <t>10</t>
        </is>
      </c>
      <c r="V646" t="inlineStr">
        <is>
          <t>25</t>
        </is>
      </c>
      <c r="W646" t="inlineStr">
        <is>
          <t>30</t>
        </is>
      </c>
      <c r="X646" t="inlineStr">
        <is>
          <t>Guild.csv</t>
        </is>
      </c>
    </row>
    <row r="647">
      <c r="A647" t="n">
        <v>646</v>
      </c>
      <c r="B647" t="n">
        <v>110</v>
      </c>
      <c r="C647" t="inlineStr">
        <is>
          <t>Riwa</t>
        </is>
      </c>
      <c r="D647" t="inlineStr">
        <is>
          <t>Meraas</t>
        </is>
      </c>
      <c r="E647" t="inlineStr">
        <is>
          <t>Madinat Jumeirah Living</t>
        </is>
      </c>
      <c r="F647" t="inlineStr">
        <is>
          <t>Apartments</t>
        </is>
      </c>
      <c r="G647" t="inlineStr">
        <is>
          <t>Luxury / View</t>
        </is>
      </c>
      <c r="H647" t="inlineStr">
        <is>
          <t>2.1M</t>
        </is>
      </c>
      <c r="I647" t="inlineStr">
        <is>
          <t>2800</t>
        </is>
      </c>
      <c r="J647" t="inlineStr">
        <is>
          <t>25</t>
        </is>
      </c>
      <c r="K647" t="inlineStr">
        <is>
          <t>70/30</t>
        </is>
      </c>
      <c r="L647" t="inlineStr">
        <is>
          <t>2024</t>
        </is>
      </c>
      <c r="M647" t="inlineStr">
        <is>
          <t>5.0-5.5</t>
        </is>
      </c>
      <c r="N647" t="inlineStr">
        <is>
          <t>9-12</t>
        </is>
      </c>
      <c r="O647" t="inlineStr">
        <is>
          <t>14.0-17.5</t>
        </is>
      </c>
      <c r="P647" t="inlineStr">
        <is>
          <t>Kings' School Dubai</t>
        </is>
      </c>
      <c r="Q647" t="inlineStr">
        <is>
          <t>Saudi German Hospital</t>
        </is>
      </c>
      <c r="R647" t="inlineStr">
        <is>
          <t>Mall of Emirates</t>
        </is>
      </c>
      <c r="S647" t="inlineStr">
        <is>
          <t>Umm Suqeim St</t>
        </is>
      </c>
      <c r="T647" t="inlineStr">
        <is>
          <t>15</t>
        </is>
      </c>
      <c r="U647" t="inlineStr">
        <is>
          <t>10</t>
        </is>
      </c>
      <c r="V647" t="inlineStr">
        <is>
          <t>25</t>
        </is>
      </c>
      <c r="W647" t="inlineStr">
        <is>
          <t>30</t>
        </is>
      </c>
      <c r="X647" t="inlineStr">
        <is>
          <t>Guild.csv</t>
        </is>
      </c>
    </row>
    <row r="648">
      <c r="A648" t="n">
        <v>647</v>
      </c>
      <c r="B648" t="n">
        <v>111</v>
      </c>
      <c r="C648" t="inlineStr">
        <is>
          <t>Jadeel</t>
        </is>
      </c>
      <c r="D648" t="inlineStr">
        <is>
          <t>Meraas</t>
        </is>
      </c>
      <c r="E648" t="inlineStr">
        <is>
          <t>Madinat Jumeirah Living</t>
        </is>
      </c>
      <c r="F648" t="inlineStr">
        <is>
          <t>Apartments</t>
        </is>
      </c>
      <c r="G648" t="inlineStr">
        <is>
          <t>Luxury / View</t>
        </is>
      </c>
      <c r="H648" t="inlineStr">
        <is>
          <t>1.9M</t>
        </is>
      </c>
      <c r="I648" t="inlineStr">
        <is>
          <t>2600</t>
        </is>
      </c>
      <c r="J648" t="inlineStr">
        <is>
          <t>25</t>
        </is>
      </c>
      <c r="K648" t="inlineStr">
        <is>
          <t>50/50</t>
        </is>
      </c>
      <c r="L648" t="inlineStr">
        <is>
          <t>2022</t>
        </is>
      </c>
      <c r="M648" t="inlineStr">
        <is>
          <t>5.5-6.0</t>
        </is>
      </c>
      <c r="N648" t="inlineStr">
        <is>
          <t>8-10</t>
        </is>
      </c>
      <c r="O648" t="inlineStr">
        <is>
          <t>13.5-16.0</t>
        </is>
      </c>
      <c r="P648" t="inlineStr">
        <is>
          <t>Kings' School Dubai</t>
        </is>
      </c>
      <c r="Q648" t="inlineStr">
        <is>
          <t>Saudi German Hospital</t>
        </is>
      </c>
      <c r="R648" t="inlineStr">
        <is>
          <t>Mall of Emirates</t>
        </is>
      </c>
      <c r="S648" t="inlineStr">
        <is>
          <t>Umm Suqeim St</t>
        </is>
      </c>
      <c r="T648" t="inlineStr">
        <is>
          <t>15</t>
        </is>
      </c>
      <c r="U648" t="inlineStr">
        <is>
          <t>10</t>
        </is>
      </c>
      <c r="V648" t="inlineStr">
        <is>
          <t>25</t>
        </is>
      </c>
      <c r="W648" t="inlineStr">
        <is>
          <t>30</t>
        </is>
      </c>
      <c r="X648" t="inlineStr">
        <is>
          <t>Guild.csv</t>
        </is>
      </c>
    </row>
    <row r="649">
      <c r="A649" t="n">
        <v>648</v>
      </c>
      <c r="B649" t="n">
        <v>112</v>
      </c>
      <c r="C649" t="inlineStr">
        <is>
          <t>Lamaa</t>
        </is>
      </c>
      <c r="D649" t="inlineStr">
        <is>
          <t>Meraas</t>
        </is>
      </c>
      <c r="E649" t="inlineStr">
        <is>
          <t>Madinat Jumeirah Living</t>
        </is>
      </c>
      <c r="F649" t="inlineStr">
        <is>
          <t>Apartments</t>
        </is>
      </c>
      <c r="G649" t="inlineStr">
        <is>
          <t>Luxury / View</t>
        </is>
      </c>
      <c r="H649" t="inlineStr">
        <is>
          <t>2.0M</t>
        </is>
      </c>
      <c r="I649" t="inlineStr">
        <is>
          <t>2700</t>
        </is>
      </c>
      <c r="J649" t="inlineStr">
        <is>
          <t>25</t>
        </is>
      </c>
      <c r="K649" t="inlineStr">
        <is>
          <t>50/50</t>
        </is>
      </c>
      <c r="L649" t="inlineStr">
        <is>
          <t>2022</t>
        </is>
      </c>
      <c r="M649" t="inlineStr">
        <is>
          <t>5.5-6.0</t>
        </is>
      </c>
      <c r="N649" t="inlineStr">
        <is>
          <t>8-10</t>
        </is>
      </c>
      <c r="O649" t="inlineStr">
        <is>
          <t>13.5-16.0</t>
        </is>
      </c>
      <c r="P649" t="inlineStr">
        <is>
          <t>Kings' School Dubai</t>
        </is>
      </c>
      <c r="Q649" t="inlineStr">
        <is>
          <t>Saudi German Hospital</t>
        </is>
      </c>
      <c r="R649" t="inlineStr">
        <is>
          <t>Mall of Emirates</t>
        </is>
      </c>
      <c r="S649" t="inlineStr">
        <is>
          <t>Umm Suqeim St</t>
        </is>
      </c>
      <c r="T649" t="inlineStr">
        <is>
          <t>15</t>
        </is>
      </c>
      <c r="U649" t="inlineStr">
        <is>
          <t>10</t>
        </is>
      </c>
      <c r="V649" t="inlineStr">
        <is>
          <t>25</t>
        </is>
      </c>
      <c r="W649" t="inlineStr">
        <is>
          <t>30</t>
        </is>
      </c>
      <c r="X649" t="inlineStr">
        <is>
          <t>Guild.csv</t>
        </is>
      </c>
    </row>
    <row r="650">
      <c r="A650" t="n">
        <v>649</v>
      </c>
      <c r="B650" t="n">
        <v>113</v>
      </c>
      <c r="C650" t="inlineStr">
        <is>
          <t>Jomana</t>
        </is>
      </c>
      <c r="D650" t="inlineStr">
        <is>
          <t>Meraas</t>
        </is>
      </c>
      <c r="E650" t="inlineStr">
        <is>
          <t>Madinat Jumeirah Living</t>
        </is>
      </c>
      <c r="F650" t="inlineStr">
        <is>
          <t>Apartments</t>
        </is>
      </c>
      <c r="G650" t="inlineStr">
        <is>
          <t>Luxury / View</t>
        </is>
      </c>
      <c r="H650" t="inlineStr">
        <is>
          <t>2.1M</t>
        </is>
      </c>
      <c r="I650" t="inlineStr">
        <is>
          <t>2800</t>
        </is>
      </c>
      <c r="J650" t="inlineStr">
        <is>
          <t>25</t>
        </is>
      </c>
      <c r="K650" t="inlineStr">
        <is>
          <t>70/30</t>
        </is>
      </c>
      <c r="L650" t="inlineStr">
        <is>
          <t>2023</t>
        </is>
      </c>
      <c r="M650" t="inlineStr">
        <is>
          <t>5.0-5.5</t>
        </is>
      </c>
      <c r="N650" t="inlineStr">
        <is>
          <t>8-10</t>
        </is>
      </c>
      <c r="O650" t="inlineStr">
        <is>
          <t>13.0-15.5</t>
        </is>
      </c>
      <c r="P650" t="inlineStr">
        <is>
          <t>Kings' School Dubai</t>
        </is>
      </c>
      <c r="Q650" t="inlineStr">
        <is>
          <t>Saudi German Hospital</t>
        </is>
      </c>
      <c r="R650" t="inlineStr">
        <is>
          <t>Mall of Emirates</t>
        </is>
      </c>
      <c r="S650" t="inlineStr">
        <is>
          <t>Umm Suqeim St</t>
        </is>
      </c>
      <c r="T650" t="inlineStr">
        <is>
          <t>15</t>
        </is>
      </c>
      <c r="U650" t="inlineStr">
        <is>
          <t>10</t>
        </is>
      </c>
      <c r="V650" t="inlineStr">
        <is>
          <t>25</t>
        </is>
      </c>
      <c r="W650" t="inlineStr">
        <is>
          <t>30</t>
        </is>
      </c>
      <c r="X650" t="inlineStr">
        <is>
          <t>Guild.csv</t>
        </is>
      </c>
    </row>
    <row r="651">
      <c r="A651" t="n">
        <v>650</v>
      </c>
      <c r="B651" t="n">
        <v>114</v>
      </c>
      <c r="C651" t="inlineStr">
        <is>
          <t>Rahaal</t>
        </is>
      </c>
      <c r="D651" t="inlineStr">
        <is>
          <t>Meraas</t>
        </is>
      </c>
      <c r="E651" t="inlineStr">
        <is>
          <t>Madinat Jumeirah Living</t>
        </is>
      </c>
      <c r="F651" t="inlineStr">
        <is>
          <t>Apartments</t>
        </is>
      </c>
      <c r="G651" t="inlineStr">
        <is>
          <t>Luxury / View</t>
        </is>
      </c>
      <c r="H651" t="inlineStr">
        <is>
          <t>Resale (2.2M+)</t>
        </is>
      </c>
      <c r="I651" t="inlineStr">
        <is>
          <t>2500</t>
        </is>
      </c>
      <c r="J651" t="inlineStr">
        <is>
          <t>25</t>
        </is>
      </c>
      <c r="K651" t="inlineStr">
        <is>
          <t>Completed</t>
        </is>
      </c>
      <c r="L651" t="inlineStr">
        <is>
          <t>2019</t>
        </is>
      </c>
      <c r="M651" t="inlineStr">
        <is>
          <t>5.5-6.0</t>
        </is>
      </c>
      <c r="N651" t="inlineStr">
        <is>
          <t>6-8</t>
        </is>
      </c>
      <c r="O651" t="inlineStr">
        <is>
          <t>11.5-14.0</t>
        </is>
      </c>
      <c r="P651" t="inlineStr">
        <is>
          <t>Kings' School Dubai</t>
        </is>
      </c>
      <c r="Q651" t="inlineStr">
        <is>
          <t>Saudi German Hospital</t>
        </is>
      </c>
      <c r="R651" t="inlineStr">
        <is>
          <t>Mall of Emirates</t>
        </is>
      </c>
      <c r="S651" t="inlineStr">
        <is>
          <t>Umm Suqeim St</t>
        </is>
      </c>
      <c r="T651" t="inlineStr">
        <is>
          <t>15</t>
        </is>
      </c>
      <c r="U651" t="inlineStr">
        <is>
          <t>10</t>
        </is>
      </c>
      <c r="V651" t="inlineStr">
        <is>
          <t>25</t>
        </is>
      </c>
      <c r="W651" t="inlineStr">
        <is>
          <t>30</t>
        </is>
      </c>
      <c r="X651" t="inlineStr">
        <is>
          <t>Guild.csv</t>
        </is>
      </c>
    </row>
    <row r="652">
      <c r="A652" t="n">
        <v>651</v>
      </c>
      <c r="B652" t="n">
        <v>115</v>
      </c>
      <c r="C652" t="inlineStr">
        <is>
          <t>Asayel</t>
        </is>
      </c>
      <c r="D652" t="inlineStr">
        <is>
          <t>Meraas</t>
        </is>
      </c>
      <c r="E652" t="inlineStr">
        <is>
          <t>Madinat Jumeirah Living</t>
        </is>
      </c>
      <c r="F652" t="inlineStr">
        <is>
          <t>Apartments</t>
        </is>
      </c>
      <c r="G652" t="inlineStr">
        <is>
          <t>Luxury / View</t>
        </is>
      </c>
      <c r="H652" t="inlineStr">
        <is>
          <t>Resale (2.2M+)</t>
        </is>
      </c>
      <c r="I652" t="inlineStr">
        <is>
          <t>2500</t>
        </is>
      </c>
      <c r="J652" t="inlineStr">
        <is>
          <t>25</t>
        </is>
      </c>
      <c r="K652" t="inlineStr">
        <is>
          <t>Completed</t>
        </is>
      </c>
      <c r="L652" t="inlineStr">
        <is>
          <t>2020</t>
        </is>
      </c>
      <c r="M652" t="inlineStr">
        <is>
          <t>5.5-6.0</t>
        </is>
      </c>
      <c r="N652" t="inlineStr">
        <is>
          <t>6-8</t>
        </is>
      </c>
      <c r="O652" t="inlineStr">
        <is>
          <t>11.5-14.0</t>
        </is>
      </c>
      <c r="P652" t="inlineStr">
        <is>
          <t>Kings' School Dubai</t>
        </is>
      </c>
      <c r="Q652" t="inlineStr">
        <is>
          <t>Saudi German Hospital</t>
        </is>
      </c>
      <c r="R652" t="inlineStr">
        <is>
          <t>Mall of Emirates</t>
        </is>
      </c>
      <c r="S652" t="inlineStr">
        <is>
          <t>Umm Suqeim St</t>
        </is>
      </c>
      <c r="T652" t="inlineStr">
        <is>
          <t>15</t>
        </is>
      </c>
      <c r="U652" t="inlineStr">
        <is>
          <t>10</t>
        </is>
      </c>
      <c r="V652" t="inlineStr">
        <is>
          <t>25</t>
        </is>
      </c>
      <c r="W652" t="inlineStr">
        <is>
          <t>30</t>
        </is>
      </c>
      <c r="X652" t="inlineStr">
        <is>
          <t>Guild.csv</t>
        </is>
      </c>
    </row>
    <row r="653">
      <c r="A653" t="n">
        <v>652</v>
      </c>
      <c r="B653" t="n">
        <v>116</v>
      </c>
      <c r="C653" t="inlineStr">
        <is>
          <t>The Acres Phase 1</t>
        </is>
      </c>
      <c r="D653" t="inlineStr">
        <is>
          <t>Meraas</t>
        </is>
      </c>
      <c r="E653" t="inlineStr">
        <is>
          <t>Dubailand / Plantation</t>
        </is>
      </c>
      <c r="F653" t="inlineStr">
        <is>
          <t>Villas</t>
        </is>
      </c>
      <c r="G653" t="inlineStr">
        <is>
          <t>Nature / Eco</t>
        </is>
      </c>
      <c r="H653" t="inlineStr">
        <is>
          <t>5.5M</t>
        </is>
      </c>
      <c r="I653" t="inlineStr">
        <is>
          <t>1500</t>
        </is>
      </c>
      <c r="J653" t="inlineStr">
        <is>
          <t>18</t>
        </is>
      </c>
      <c r="K653" t="inlineStr">
        <is>
          <t>65/35</t>
        </is>
      </c>
      <c r="L653" t="inlineStr">
        <is>
          <t>2024</t>
        </is>
      </c>
      <c r="M653" t="inlineStr">
        <is>
          <t>5.0-5.5</t>
        </is>
      </c>
      <c r="N653" t="inlineStr">
        <is>
          <t>10-15</t>
        </is>
      </c>
      <c r="O653" t="inlineStr">
        <is>
          <t>15.0-20.5</t>
        </is>
      </c>
      <c r="P653" t="inlineStr">
        <is>
          <t>GEMS Winchester</t>
        </is>
      </c>
      <c r="Q653" t="inlineStr">
        <is>
          <t>Fakeeh University Hosp</t>
        </is>
      </c>
      <c r="R653" t="inlineStr">
        <is>
          <t>Dubai Outlet Mall</t>
        </is>
      </c>
      <c r="S653" t="inlineStr">
        <is>
          <t>E611 / Al Ain Rd</t>
        </is>
      </c>
      <c r="T653" t="inlineStr">
        <is>
          <t>20</t>
        </is>
      </c>
      <c r="U653" t="inlineStr">
        <is>
          <t>25</t>
        </is>
      </c>
      <c r="V653" t="inlineStr">
        <is>
          <t>25</t>
        </is>
      </c>
      <c r="W653" t="inlineStr">
        <is>
          <t>30</t>
        </is>
      </c>
      <c r="X653" t="inlineStr">
        <is>
          <t>Guild.csv</t>
        </is>
      </c>
    </row>
    <row r="654">
      <c r="A654" t="n">
        <v>653</v>
      </c>
      <c r="B654" t="n">
        <v>117</v>
      </c>
      <c r="C654" t="inlineStr">
        <is>
          <t>The Acres Phase 2</t>
        </is>
      </c>
      <c r="D654" t="inlineStr">
        <is>
          <t>Meraas</t>
        </is>
      </c>
      <c r="E654" t="inlineStr">
        <is>
          <t>Dubailand / Plantation</t>
        </is>
      </c>
      <c r="F654" t="inlineStr">
        <is>
          <t>Villas</t>
        </is>
      </c>
      <c r="G654" t="inlineStr">
        <is>
          <t>Nature / Eco</t>
        </is>
      </c>
      <c r="H654" t="inlineStr">
        <is>
          <t>6.0M</t>
        </is>
      </c>
      <c r="I654" t="inlineStr">
        <is>
          <t>1550</t>
        </is>
      </c>
      <c r="J654" t="inlineStr">
        <is>
          <t>18</t>
        </is>
      </c>
      <c r="K654" t="inlineStr">
        <is>
          <t>65/35</t>
        </is>
      </c>
      <c r="L654" t="inlineStr">
        <is>
          <t>2024</t>
        </is>
      </c>
      <c r="M654" t="inlineStr">
        <is>
          <t>5.0-5.5</t>
        </is>
      </c>
      <c r="N654" t="inlineStr">
        <is>
          <t>10-15</t>
        </is>
      </c>
      <c r="O654" t="inlineStr">
        <is>
          <t>15.0-20.5</t>
        </is>
      </c>
      <c r="P654" t="inlineStr">
        <is>
          <t>GEMS Winchester</t>
        </is>
      </c>
      <c r="Q654" t="inlineStr">
        <is>
          <t>Fakeeh University Hosp</t>
        </is>
      </c>
      <c r="R654" t="inlineStr">
        <is>
          <t>Dubai Outlet Mall</t>
        </is>
      </c>
      <c r="S654" t="inlineStr">
        <is>
          <t>E611 / Al Ain Rd</t>
        </is>
      </c>
      <c r="T654" t="inlineStr">
        <is>
          <t>20</t>
        </is>
      </c>
      <c r="U654" t="inlineStr">
        <is>
          <t>25</t>
        </is>
      </c>
      <c r="V654" t="inlineStr">
        <is>
          <t>25</t>
        </is>
      </c>
      <c r="W654" t="inlineStr">
        <is>
          <t>30</t>
        </is>
      </c>
      <c r="X654" t="inlineStr">
        <is>
          <t>Guild.csv</t>
        </is>
      </c>
    </row>
    <row r="655">
      <c r="A655" t="n">
        <v>654</v>
      </c>
      <c r="B655" t="n">
        <v>118</v>
      </c>
      <c r="C655" t="inlineStr">
        <is>
          <t>Nad Al Sheba Gardens Ph 1</t>
        </is>
      </c>
      <c r="D655" t="inlineStr">
        <is>
          <t>Meraas</t>
        </is>
      </c>
      <c r="E655" t="inlineStr">
        <is>
          <t>Nad Al Sheba</t>
        </is>
      </c>
      <c r="F655" t="inlineStr">
        <is>
          <t>Townhouses &amp; Villas</t>
        </is>
      </c>
      <c r="G655" t="inlineStr">
        <is>
          <t>Gated / Design</t>
        </is>
      </c>
      <c r="H655" t="inlineStr">
        <is>
          <t>3.2M</t>
        </is>
      </c>
      <c r="I655" t="inlineStr">
        <is>
          <t>1400</t>
        </is>
      </c>
      <c r="J655" t="inlineStr">
        <is>
          <t>15</t>
        </is>
      </c>
      <c r="K655" t="inlineStr">
        <is>
          <t>50/50</t>
        </is>
      </c>
      <c r="L655" t="inlineStr">
        <is>
          <t>2022</t>
        </is>
      </c>
      <c r="M655" t="inlineStr">
        <is>
          <t>6.0-6.5</t>
        </is>
      </c>
      <c r="N655" t="inlineStr">
        <is>
          <t>8-10</t>
        </is>
      </c>
      <c r="O655" t="inlineStr">
        <is>
          <t>14.0-16.5</t>
        </is>
      </c>
      <c r="P655" t="inlineStr">
        <is>
          <t>Repton School</t>
        </is>
      </c>
      <c r="Q655" t="inlineStr">
        <is>
          <t>Nad Al Sheba Health</t>
        </is>
      </c>
      <c r="R655" t="inlineStr">
        <is>
          <t>Meydan One (Planned)</t>
        </is>
      </c>
      <c r="S655" t="inlineStr">
        <is>
          <t>Al Ain Rd E66</t>
        </is>
      </c>
      <c r="T655" t="inlineStr">
        <is>
          <t>15</t>
        </is>
      </c>
      <c r="U655" t="inlineStr">
        <is>
          <t>20</t>
        </is>
      </c>
      <c r="V655" t="inlineStr">
        <is>
          <t>20</t>
        </is>
      </c>
      <c r="W655" t="inlineStr">
        <is>
          <t>30</t>
        </is>
      </c>
      <c r="X655" t="inlineStr">
        <is>
          <t>Guild.csv</t>
        </is>
      </c>
    </row>
    <row r="656">
      <c r="A656" t="n">
        <v>655</v>
      </c>
      <c r="B656" t="n">
        <v>119</v>
      </c>
      <c r="C656" t="inlineStr">
        <is>
          <t>Nad Al Sheba Gardens Ph 2</t>
        </is>
      </c>
      <c r="D656" t="inlineStr">
        <is>
          <t>Meraas</t>
        </is>
      </c>
      <c r="E656" t="inlineStr">
        <is>
          <t>Nad Al Sheba</t>
        </is>
      </c>
      <c r="F656" t="inlineStr">
        <is>
          <t>Townhouses &amp; Villas</t>
        </is>
      </c>
      <c r="G656" t="inlineStr">
        <is>
          <t>Gated / Design</t>
        </is>
      </c>
      <c r="H656" t="inlineStr">
        <is>
          <t>3.4M</t>
        </is>
      </c>
      <c r="I656" t="inlineStr">
        <is>
          <t>1450</t>
        </is>
      </c>
      <c r="J656" t="inlineStr">
        <is>
          <t>15</t>
        </is>
      </c>
      <c r="K656" t="inlineStr">
        <is>
          <t>50/50</t>
        </is>
      </c>
      <c r="L656" t="inlineStr">
        <is>
          <t>2022</t>
        </is>
      </c>
      <c r="M656" t="inlineStr">
        <is>
          <t>6.0-6.5</t>
        </is>
      </c>
      <c r="N656" t="inlineStr">
        <is>
          <t>8-10</t>
        </is>
      </c>
      <c r="O656" t="inlineStr">
        <is>
          <t>14.0-16.5</t>
        </is>
      </c>
      <c r="P656" t="inlineStr">
        <is>
          <t>Repton School</t>
        </is>
      </c>
      <c r="Q656" t="inlineStr">
        <is>
          <t>Nad Al Sheba Health</t>
        </is>
      </c>
      <c r="R656" t="inlineStr">
        <is>
          <t>Meydan One (Planned)</t>
        </is>
      </c>
      <c r="S656" t="inlineStr">
        <is>
          <t>Al Ain Rd E66</t>
        </is>
      </c>
      <c r="T656" t="inlineStr">
        <is>
          <t>15</t>
        </is>
      </c>
      <c r="U656" t="inlineStr">
        <is>
          <t>20</t>
        </is>
      </c>
      <c r="V656" t="inlineStr">
        <is>
          <t>20</t>
        </is>
      </c>
      <c r="W656" t="inlineStr">
        <is>
          <t>30</t>
        </is>
      </c>
      <c r="X656" t="inlineStr">
        <is>
          <t>Guild.csv</t>
        </is>
      </c>
    </row>
    <row r="657">
      <c r="A657" t="n">
        <v>656</v>
      </c>
      <c r="B657" t="n">
        <v>120</v>
      </c>
      <c r="C657" t="inlineStr">
        <is>
          <t>Nad Al Sheba Gardens Ph 3</t>
        </is>
      </c>
      <c r="D657" t="inlineStr">
        <is>
          <t>Meraas</t>
        </is>
      </c>
      <c r="E657" t="inlineStr">
        <is>
          <t>Nad Al Sheba</t>
        </is>
      </c>
      <c r="F657" t="inlineStr">
        <is>
          <t>Townhouses &amp; Villas</t>
        </is>
      </c>
      <c r="G657" t="inlineStr">
        <is>
          <t>Gated / Design</t>
        </is>
      </c>
      <c r="H657" t="inlineStr">
        <is>
          <t>3.5M</t>
        </is>
      </c>
      <c r="I657" t="inlineStr">
        <is>
          <t>1500</t>
        </is>
      </c>
      <c r="J657" t="inlineStr">
        <is>
          <t>15</t>
        </is>
      </c>
      <c r="K657" t="inlineStr">
        <is>
          <t>50/50</t>
        </is>
      </c>
      <c r="L657" t="inlineStr">
        <is>
          <t>2023</t>
        </is>
      </c>
      <c r="M657" t="inlineStr">
        <is>
          <t>6.0-6.5</t>
        </is>
      </c>
      <c r="N657" t="inlineStr">
        <is>
          <t>8-10</t>
        </is>
      </c>
      <c r="O657" t="inlineStr">
        <is>
          <t>14.0-16.5</t>
        </is>
      </c>
      <c r="P657" t="inlineStr">
        <is>
          <t>Repton School</t>
        </is>
      </c>
      <c r="Q657" t="inlineStr">
        <is>
          <t>Nad Al Sheba Health</t>
        </is>
      </c>
      <c r="R657" t="inlineStr">
        <is>
          <t>Meydan One (Planned)</t>
        </is>
      </c>
      <c r="S657" t="inlineStr">
        <is>
          <t>Al Ain Rd E66</t>
        </is>
      </c>
      <c r="T657" t="inlineStr">
        <is>
          <t>15</t>
        </is>
      </c>
      <c r="U657" t="inlineStr">
        <is>
          <t>20</t>
        </is>
      </c>
      <c r="V657" t="inlineStr">
        <is>
          <t>20</t>
        </is>
      </c>
      <c r="W657" t="inlineStr">
        <is>
          <t>30</t>
        </is>
      </c>
      <c r="X657" t="inlineStr">
        <is>
          <t>Guild.csv</t>
        </is>
      </c>
    </row>
    <row r="658">
      <c r="A658" t="n">
        <v>657</v>
      </c>
      <c r="B658" t="n">
        <v>121</v>
      </c>
      <c r="C658" t="inlineStr">
        <is>
          <t>Nad Al Sheba Gardens Ph 4</t>
        </is>
      </c>
      <c r="D658" t="inlineStr">
        <is>
          <t>Meraas</t>
        </is>
      </c>
      <c r="E658" t="inlineStr">
        <is>
          <t>Nad Al Sheba</t>
        </is>
      </c>
      <c r="F658" t="inlineStr">
        <is>
          <t>Townhouses &amp; Villas</t>
        </is>
      </c>
      <c r="G658" t="inlineStr">
        <is>
          <t>Gated / Design</t>
        </is>
      </c>
      <c r="H658" t="inlineStr">
        <is>
          <t>3.8M</t>
        </is>
      </c>
      <c r="I658" t="inlineStr">
        <is>
          <t>1600</t>
        </is>
      </c>
      <c r="J658" t="inlineStr">
        <is>
          <t>15</t>
        </is>
      </c>
      <c r="K658" t="inlineStr">
        <is>
          <t>60/40</t>
        </is>
      </c>
      <c r="L658" t="inlineStr">
        <is>
          <t>2023</t>
        </is>
      </c>
      <c r="M658" t="inlineStr">
        <is>
          <t>5.5-6.0</t>
        </is>
      </c>
      <c r="N658" t="inlineStr">
        <is>
          <t>8-10</t>
        </is>
      </c>
      <c r="O658" t="inlineStr">
        <is>
          <t>13.5-16.0</t>
        </is>
      </c>
      <c r="P658" t="inlineStr">
        <is>
          <t>Repton School</t>
        </is>
      </c>
      <c r="Q658" t="inlineStr">
        <is>
          <t>Nad Al Sheba Health</t>
        </is>
      </c>
      <c r="R658" t="inlineStr">
        <is>
          <t>Meydan One (Planned)</t>
        </is>
      </c>
      <c r="S658" t="inlineStr">
        <is>
          <t>Al Ain Rd E66</t>
        </is>
      </c>
      <c r="T658" t="inlineStr">
        <is>
          <t>15</t>
        </is>
      </c>
      <c r="U658" t="inlineStr">
        <is>
          <t>20</t>
        </is>
      </c>
      <c r="V658" t="inlineStr">
        <is>
          <t>20</t>
        </is>
      </c>
      <c r="W658" t="inlineStr">
        <is>
          <t>30</t>
        </is>
      </c>
      <c r="X658" t="inlineStr">
        <is>
          <t>Guild.csv</t>
        </is>
      </c>
    </row>
    <row r="659">
      <c r="A659" t="n">
        <v>658</v>
      </c>
      <c r="B659" t="n">
        <v>122</v>
      </c>
      <c r="C659" t="inlineStr">
        <is>
          <t>Nad Al Sheba Gardens Ph 5</t>
        </is>
      </c>
      <c r="D659" t="inlineStr">
        <is>
          <t>Meraas</t>
        </is>
      </c>
      <c r="E659" t="inlineStr">
        <is>
          <t>Nad Al Sheba</t>
        </is>
      </c>
      <c r="F659" t="inlineStr">
        <is>
          <t>Townhouses &amp; Villas</t>
        </is>
      </c>
      <c r="G659" t="inlineStr">
        <is>
          <t>Gated / Design</t>
        </is>
      </c>
      <c r="H659" t="inlineStr">
        <is>
          <t>4.1M</t>
        </is>
      </c>
      <c r="I659" t="inlineStr">
        <is>
          <t>1700</t>
        </is>
      </c>
      <c r="J659" t="inlineStr">
        <is>
          <t>15</t>
        </is>
      </c>
      <c r="K659" t="inlineStr">
        <is>
          <t>60/40</t>
        </is>
      </c>
      <c r="L659" t="inlineStr">
        <is>
          <t>2024</t>
        </is>
      </c>
      <c r="M659" t="inlineStr">
        <is>
          <t>5.5-6.0</t>
        </is>
      </c>
      <c r="N659" t="inlineStr">
        <is>
          <t>8-10</t>
        </is>
      </c>
      <c r="O659" t="inlineStr">
        <is>
          <t>13.5-16.0</t>
        </is>
      </c>
      <c r="P659" t="inlineStr">
        <is>
          <t>Repton School</t>
        </is>
      </c>
      <c r="Q659" t="inlineStr">
        <is>
          <t>Nad Al Sheba Health</t>
        </is>
      </c>
      <c r="R659" t="inlineStr">
        <is>
          <t>Meydan One (Planned)</t>
        </is>
      </c>
      <c r="S659" t="inlineStr">
        <is>
          <t>Al Ain Rd E66</t>
        </is>
      </c>
      <c r="T659" t="inlineStr">
        <is>
          <t>15</t>
        </is>
      </c>
      <c r="U659" t="inlineStr">
        <is>
          <t>20</t>
        </is>
      </c>
      <c r="V659" t="inlineStr">
        <is>
          <t>20</t>
        </is>
      </c>
      <c r="W659" t="inlineStr">
        <is>
          <t>30</t>
        </is>
      </c>
      <c r="X659" t="inlineStr">
        <is>
          <t>Guild.csv</t>
        </is>
      </c>
    </row>
    <row r="660">
      <c r="A660" t="n">
        <v>659</v>
      </c>
      <c r="B660" t="n">
        <v>123</v>
      </c>
      <c r="C660" t="inlineStr">
        <is>
          <t>Nad Al Sheba Gardens Ph 6</t>
        </is>
      </c>
      <c r="D660" t="inlineStr">
        <is>
          <t>Meraas</t>
        </is>
      </c>
      <c r="E660" t="inlineStr">
        <is>
          <t>Nad Al Sheba</t>
        </is>
      </c>
      <c r="F660" t="inlineStr">
        <is>
          <t>Townhouses &amp; Villas</t>
        </is>
      </c>
      <c r="G660" t="inlineStr">
        <is>
          <t>Gated / Design</t>
        </is>
      </c>
      <c r="H660" t="inlineStr">
        <is>
          <t>4.2M</t>
        </is>
      </c>
      <c r="I660" t="inlineStr">
        <is>
          <t>1750</t>
        </is>
      </c>
      <c r="J660" t="inlineStr">
        <is>
          <t>15</t>
        </is>
      </c>
      <c r="K660" t="inlineStr">
        <is>
          <t>60/40</t>
        </is>
      </c>
      <c r="L660" t="inlineStr">
        <is>
          <t>2024</t>
        </is>
      </c>
      <c r="M660" t="inlineStr">
        <is>
          <t>5.5-6.0</t>
        </is>
      </c>
      <c r="N660" t="inlineStr">
        <is>
          <t>8-10</t>
        </is>
      </c>
      <c r="O660" t="inlineStr">
        <is>
          <t>13.5-16.0</t>
        </is>
      </c>
      <c r="P660" t="inlineStr">
        <is>
          <t>Repton School</t>
        </is>
      </c>
      <c r="Q660" t="inlineStr">
        <is>
          <t>Nad Al Sheba Health</t>
        </is>
      </c>
      <c r="R660" t="inlineStr">
        <is>
          <t>Meydan One (Planned)</t>
        </is>
      </c>
      <c r="S660" t="inlineStr">
        <is>
          <t>Al Ain Rd E66</t>
        </is>
      </c>
      <c r="T660" t="inlineStr">
        <is>
          <t>15</t>
        </is>
      </c>
      <c r="U660" t="inlineStr">
        <is>
          <t>20</t>
        </is>
      </c>
      <c r="V660" t="inlineStr">
        <is>
          <t>20</t>
        </is>
      </c>
      <c r="W660" t="inlineStr">
        <is>
          <t>30</t>
        </is>
      </c>
      <c r="X660" t="inlineStr">
        <is>
          <t>Guild.csv</t>
        </is>
      </c>
    </row>
    <row r="661">
      <c r="A661" t="n">
        <v>660</v>
      </c>
      <c r="B661" t="n">
        <v>124</v>
      </c>
      <c r="C661" t="inlineStr">
        <is>
          <t>Cherrywoods</t>
        </is>
      </c>
      <c r="D661" t="inlineStr">
        <is>
          <t>Meraas</t>
        </is>
      </c>
      <c r="E661" t="inlineStr">
        <is>
          <t>Dubailand (Al Qudra)</t>
        </is>
      </c>
      <c r="F661" t="inlineStr">
        <is>
          <t>Townhouses</t>
        </is>
      </c>
      <c r="G661" t="inlineStr">
        <is>
          <t>Gated</t>
        </is>
      </c>
      <c r="H661" t="inlineStr">
        <is>
          <t>Resale (2.2M+)</t>
        </is>
      </c>
      <c r="I661" t="inlineStr">
        <is>
          <t>1100</t>
        </is>
      </c>
      <c r="J661" t="inlineStr">
        <is>
          <t>12</t>
        </is>
      </c>
      <c r="K661" t="inlineStr">
        <is>
          <t>Completed</t>
        </is>
      </c>
      <c r="L661" t="inlineStr">
        <is>
          <t>2019</t>
        </is>
      </c>
      <c r="M661" t="inlineStr">
        <is>
          <t>6.5-7.0</t>
        </is>
      </c>
      <c r="N661" t="inlineStr">
        <is>
          <t>6-8</t>
        </is>
      </c>
      <c r="O661" t="inlineStr">
        <is>
          <t>12.5-15.0</t>
        </is>
      </c>
      <c r="P661" t="inlineStr">
        <is>
          <t>Ranches Primary</t>
        </is>
      </c>
      <c r="Q661" t="inlineStr">
        <is>
          <t>King's College Hospital</t>
        </is>
      </c>
      <c r="R661" t="inlineStr">
        <is>
          <t>Dubai Hills Mall</t>
        </is>
      </c>
      <c r="S661" t="inlineStr">
        <is>
          <t>Al Qudra Rd</t>
        </is>
      </c>
      <c r="T661" t="inlineStr">
        <is>
          <t>25</t>
        </is>
      </c>
      <c r="U661" t="inlineStr">
        <is>
          <t>20</t>
        </is>
      </c>
      <c r="V661" t="inlineStr">
        <is>
          <t>30</t>
        </is>
      </c>
      <c r="W661" t="inlineStr">
        <is>
          <t>25</t>
        </is>
      </c>
      <c r="X661" t="inlineStr">
        <is>
          <t>Guild.csv</t>
        </is>
      </c>
    </row>
    <row r="662">
      <c r="A662" t="n">
        <v>661</v>
      </c>
      <c r="B662" t="n">
        <v>125</v>
      </c>
      <c r="C662" t="inlineStr">
        <is>
          <t>Bluewaters Bay</t>
        </is>
      </c>
      <c r="D662" t="inlineStr">
        <is>
          <t>Meraas</t>
        </is>
      </c>
      <c r="E662" t="inlineStr">
        <is>
          <t>Bluewaters Island</t>
        </is>
      </c>
      <c r="F662" t="inlineStr">
        <is>
          <t>Apartments</t>
        </is>
      </c>
      <c r="G662" t="inlineStr">
        <is>
          <t>Waterfront / Wheel</t>
        </is>
      </c>
      <c r="H662" t="inlineStr">
        <is>
          <t>3.2M</t>
        </is>
      </c>
      <c r="I662" t="inlineStr">
        <is>
          <t>3500</t>
        </is>
      </c>
      <c r="J662" t="inlineStr">
        <is>
          <t>30</t>
        </is>
      </c>
      <c r="K662" t="inlineStr">
        <is>
          <t>60/40</t>
        </is>
      </c>
      <c r="L662" t="inlineStr">
        <is>
          <t>2023</t>
        </is>
      </c>
      <c r="M662" t="inlineStr">
        <is>
          <t>4.5-5.0</t>
        </is>
      </c>
      <c r="N662" t="inlineStr">
        <is>
          <t>9-12</t>
        </is>
      </c>
      <c r="O662" t="inlineStr">
        <is>
          <t>13.5-17.0</t>
        </is>
      </c>
      <c r="P662" t="inlineStr">
        <is>
          <t>Dubai British School</t>
        </is>
      </c>
      <c r="Q662" t="inlineStr">
        <is>
          <t>Emirates Hospital</t>
        </is>
      </c>
      <c r="R662" t="inlineStr">
        <is>
          <t>Dubai Marina Mall</t>
        </is>
      </c>
      <c r="S662" t="inlineStr">
        <is>
          <t>Sheikh Zayed E11</t>
        </is>
      </c>
      <c r="T662" t="inlineStr">
        <is>
          <t>20</t>
        </is>
      </c>
      <c r="U662" t="inlineStr">
        <is>
          <t>5</t>
        </is>
      </c>
      <c r="V662" t="inlineStr">
        <is>
          <t>25</t>
        </is>
      </c>
      <c r="W662" t="inlineStr">
        <is>
          <t>30</t>
        </is>
      </c>
      <c r="X662" t="inlineStr">
        <is>
          <t>Guild.csv</t>
        </is>
      </c>
    </row>
    <row r="663">
      <c r="A663" t="n">
        <v>662</v>
      </c>
      <c r="B663" t="n">
        <v>126</v>
      </c>
      <c r="C663" t="inlineStr">
        <is>
          <t>Bluewaters Residences</t>
        </is>
      </c>
      <c r="D663" t="inlineStr">
        <is>
          <t>Meraas</t>
        </is>
      </c>
      <c r="E663" t="inlineStr">
        <is>
          <t>Bluewaters Island</t>
        </is>
      </c>
      <c r="F663" t="inlineStr">
        <is>
          <t>Apartments</t>
        </is>
      </c>
      <c r="G663" t="inlineStr">
        <is>
          <t>Waterfront / Wheel</t>
        </is>
      </c>
      <c r="H663" t="inlineStr">
        <is>
          <t>Resale (4M+)</t>
        </is>
      </c>
      <c r="I663" t="inlineStr">
        <is>
          <t>3500</t>
        </is>
      </c>
      <c r="J663" t="inlineStr">
        <is>
          <t>30</t>
        </is>
      </c>
      <c r="K663" t="inlineStr">
        <is>
          <t>Completed</t>
        </is>
      </c>
      <c r="L663" t="inlineStr">
        <is>
          <t>2018</t>
        </is>
      </c>
      <c r="M663" t="inlineStr">
        <is>
          <t>4.5-5.0</t>
        </is>
      </c>
      <c r="N663" t="inlineStr">
        <is>
          <t>7-9</t>
        </is>
      </c>
      <c r="O663" t="inlineStr">
        <is>
          <t>11.5-14.0</t>
        </is>
      </c>
      <c r="P663" t="inlineStr">
        <is>
          <t>Dubai British School</t>
        </is>
      </c>
      <c r="Q663" t="inlineStr">
        <is>
          <t>Emirates Hospital</t>
        </is>
      </c>
      <c r="R663" t="inlineStr">
        <is>
          <t>Dubai Marina Mall</t>
        </is>
      </c>
      <c r="S663" t="inlineStr">
        <is>
          <t>Sheikh Zayed E11</t>
        </is>
      </c>
      <c r="T663" t="inlineStr">
        <is>
          <t>20</t>
        </is>
      </c>
      <c r="U663" t="inlineStr">
        <is>
          <t>5</t>
        </is>
      </c>
      <c r="V663" t="inlineStr">
        <is>
          <t>25</t>
        </is>
      </c>
      <c r="W663" t="inlineStr">
        <is>
          <t>30</t>
        </is>
      </c>
      <c r="X663" t="inlineStr">
        <is>
          <t>Guild.csv</t>
        </is>
      </c>
    </row>
    <row r="664">
      <c r="A664" t="n">
        <v>663</v>
      </c>
      <c r="B664" t="n">
        <v>127</v>
      </c>
      <c r="C664" t="inlineStr">
        <is>
          <t>Bulgari Resort &amp; Residences</t>
        </is>
      </c>
      <c r="D664" t="inlineStr">
        <is>
          <t>Meraas</t>
        </is>
      </c>
      <c r="E664" t="inlineStr">
        <is>
          <t>Jumeirah Bay Island</t>
        </is>
      </c>
      <c r="F664" t="inlineStr">
        <is>
          <t>Luxury Apts</t>
        </is>
      </c>
      <c r="G664" t="inlineStr">
        <is>
          <t>Ultra-Luxury</t>
        </is>
      </c>
      <c r="H664" t="inlineStr">
        <is>
          <t>Resale (15M+)</t>
        </is>
      </c>
      <c r="I664" t="inlineStr">
        <is>
          <t>7000+</t>
        </is>
      </c>
      <c r="J664" t="inlineStr">
        <is>
          <t>50+</t>
        </is>
      </c>
      <c r="K664" t="inlineStr">
        <is>
          <t>Completed</t>
        </is>
      </c>
      <c r="L664" t="inlineStr">
        <is>
          <t>2017</t>
        </is>
      </c>
      <c r="M664" t="inlineStr">
        <is>
          <t>3.0-3.5</t>
        </is>
      </c>
      <c r="N664" t="inlineStr">
        <is>
          <t>8-10</t>
        </is>
      </c>
      <c r="O664" t="inlineStr">
        <is>
          <t>11.0-13.5</t>
        </is>
      </c>
      <c r="P664" t="inlineStr">
        <is>
          <t>Jumeirah Baccalaureate</t>
        </is>
      </c>
      <c r="Q664" t="inlineStr">
        <is>
          <t>Valiant Clinic</t>
        </is>
      </c>
      <c r="R664" t="inlineStr">
        <is>
          <t>Mercato Mall</t>
        </is>
      </c>
      <c r="S664" t="inlineStr">
        <is>
          <t>Jumeirah St / D94</t>
        </is>
      </c>
      <c r="T664" t="inlineStr">
        <is>
          <t>15</t>
        </is>
      </c>
      <c r="U664" t="inlineStr">
        <is>
          <t>20</t>
        </is>
      </c>
      <c r="V664" t="inlineStr">
        <is>
          <t>20</t>
        </is>
      </c>
      <c r="W664" t="inlineStr">
        <is>
          <t>40</t>
        </is>
      </c>
      <c r="X664" t="inlineStr">
        <is>
          <t>Guild.csv</t>
        </is>
      </c>
    </row>
    <row r="665">
      <c r="A665" t="n">
        <v>664</v>
      </c>
      <c r="B665" t="n">
        <v>128</v>
      </c>
      <c r="C665" t="inlineStr">
        <is>
          <t>Villa Amalfi</t>
        </is>
      </c>
      <c r="D665" t="inlineStr">
        <is>
          <t>Meraas</t>
        </is>
      </c>
      <c r="E665" t="inlineStr">
        <is>
          <t>Jumeirah Bay Island</t>
        </is>
      </c>
      <c r="F665" t="inlineStr">
        <is>
          <t>Villas</t>
        </is>
      </c>
      <c r="G665" t="inlineStr">
        <is>
          <t>Ultra-Luxury</t>
        </is>
      </c>
      <c r="H665" t="inlineStr">
        <is>
          <t>Resale (12M+)</t>
        </is>
      </c>
      <c r="I665" t="inlineStr">
        <is>
          <t>5000+</t>
        </is>
      </c>
      <c r="J665" t="inlineStr">
        <is>
          <t>25</t>
        </is>
      </c>
      <c r="K665" t="inlineStr">
        <is>
          <t>Completed</t>
        </is>
      </c>
      <c r="L665" t="inlineStr">
        <is>
          <t>2019</t>
        </is>
      </c>
      <c r="M665" t="inlineStr">
        <is>
          <t>3.5-4.0</t>
        </is>
      </c>
      <c r="N665" t="inlineStr">
        <is>
          <t>8-10</t>
        </is>
      </c>
      <c r="O665" t="inlineStr">
        <is>
          <t>11.5-14.0</t>
        </is>
      </c>
      <c r="P665" t="inlineStr">
        <is>
          <t>Jumeirah Baccalaureate</t>
        </is>
      </c>
      <c r="Q665" t="inlineStr">
        <is>
          <t>Valiant Clinic</t>
        </is>
      </c>
      <c r="R665" t="inlineStr">
        <is>
          <t>Mercato Mall</t>
        </is>
      </c>
      <c r="S665" t="inlineStr">
        <is>
          <t>Jumeirah St / D94</t>
        </is>
      </c>
      <c r="T665" t="inlineStr">
        <is>
          <t>15</t>
        </is>
      </c>
      <c r="U665" t="inlineStr">
        <is>
          <t>20</t>
        </is>
      </c>
      <c r="V665" t="inlineStr">
        <is>
          <t>20</t>
        </is>
      </c>
      <c r="W665" t="inlineStr">
        <is>
          <t>40</t>
        </is>
      </c>
      <c r="X665" t="inlineStr">
        <is>
          <t>Guild.csv</t>
        </is>
      </c>
    </row>
    <row r="666">
      <c r="A666" t="n">
        <v>665</v>
      </c>
      <c r="B666" t="n">
        <v>129</v>
      </c>
      <c r="C666" t="inlineStr">
        <is>
          <t>Bulgari Lighthouse</t>
        </is>
      </c>
      <c r="D666" t="inlineStr">
        <is>
          <t>Meraas</t>
        </is>
      </c>
      <c r="E666" t="inlineStr">
        <is>
          <t>Jumeirah Bay Island</t>
        </is>
      </c>
      <c r="F666" t="inlineStr">
        <is>
          <t>Penthouses</t>
        </is>
      </c>
      <c r="G666" t="inlineStr">
        <is>
          <t>Ultra-Luxury</t>
        </is>
      </c>
      <c r="H666" t="inlineStr">
        <is>
          <t>60M+</t>
        </is>
      </c>
      <c r="I666" t="inlineStr">
        <is>
          <t>10000+</t>
        </is>
      </c>
      <c r="J666" t="inlineStr">
        <is>
          <t>50+</t>
        </is>
      </c>
      <c r="K666" t="inlineStr">
        <is>
          <t>60/40</t>
        </is>
      </c>
      <c r="L666" t="inlineStr">
        <is>
          <t>2023</t>
        </is>
      </c>
      <c r="M666" t="inlineStr">
        <is>
          <t>3.0-3.5</t>
        </is>
      </c>
      <c r="N666" t="inlineStr">
        <is>
          <t>8-10</t>
        </is>
      </c>
      <c r="O666" t="inlineStr">
        <is>
          <t>11.0-13.5</t>
        </is>
      </c>
      <c r="P666" t="inlineStr">
        <is>
          <t>Jumeirah Baccalaureate</t>
        </is>
      </c>
      <c r="Q666" t="inlineStr">
        <is>
          <t>Valiant Clinic</t>
        </is>
      </c>
      <c r="R666" t="inlineStr">
        <is>
          <t>Mercato Mall</t>
        </is>
      </c>
      <c r="S666" t="inlineStr">
        <is>
          <t>Jumeirah St / D94</t>
        </is>
      </c>
      <c r="T666" t="inlineStr">
        <is>
          <t>15</t>
        </is>
      </c>
      <c r="U666" t="inlineStr">
        <is>
          <t>20</t>
        </is>
      </c>
      <c r="V666" t="inlineStr">
        <is>
          <t>20</t>
        </is>
      </c>
      <c r="W666" t="inlineStr">
        <is>
          <t>40</t>
        </is>
      </c>
      <c r="X666" t="inlineStr">
        <is>
          <t>Guild.csv</t>
        </is>
      </c>
    </row>
    <row r="667">
      <c r="A667" t="n">
        <v>666</v>
      </c>
      <c r="B667" t="n">
        <v>130</v>
      </c>
      <c r="C667" t="inlineStr">
        <is>
          <t>Mudon (Master Community)</t>
        </is>
      </c>
      <c r="D667" t="inlineStr">
        <is>
          <t>Dubai Properties</t>
        </is>
      </c>
      <c r="E667" t="inlineStr">
        <is>
          <t>Dubailand</t>
        </is>
      </c>
      <c r="F667" t="inlineStr">
        <is>
          <t>Mixed</t>
        </is>
      </c>
      <c r="G667" t="inlineStr">
        <is>
          <t>Family / Gated</t>
        </is>
      </c>
      <c r="J667" t="inlineStr">
        <is>
          <t>12</t>
        </is>
      </c>
      <c r="K667" t="inlineStr">
        <is>
          <t>Varies</t>
        </is>
      </c>
      <c r="L667" t="inlineStr">
        <is>
          <t>Ongoing</t>
        </is>
      </c>
      <c r="M667" t="inlineStr">
        <is>
          <t>6.0-6.5</t>
        </is>
      </c>
      <c r="N667" t="inlineStr">
        <is>
          <t>5-7</t>
        </is>
      </c>
      <c r="O667" t="inlineStr">
        <is>
          <t>11.0-13.5</t>
        </is>
      </c>
      <c r="P667" t="inlineStr">
        <is>
          <t>Jebel Ali School</t>
        </is>
      </c>
      <c r="Q667" t="inlineStr">
        <is>
          <t>Saudi German Hospital</t>
        </is>
      </c>
      <c r="R667" t="inlineStr">
        <is>
          <t>Mudon Community Ctr</t>
        </is>
      </c>
      <c r="S667" t="inlineStr">
        <is>
          <t>Al Qudra Rd</t>
        </is>
      </c>
      <c r="T667" t="inlineStr">
        <is>
          <t>25</t>
        </is>
      </c>
      <c r="U667" t="inlineStr">
        <is>
          <t>20</t>
        </is>
      </c>
      <c r="V667" t="inlineStr">
        <is>
          <t>30</t>
        </is>
      </c>
      <c r="W667" t="inlineStr">
        <is>
          <t>25</t>
        </is>
      </c>
      <c r="X667" t="inlineStr">
        <is>
          <t>Guild.csv</t>
        </is>
      </c>
    </row>
    <row r="668">
      <c r="A668" t="n">
        <v>667</v>
      </c>
      <c r="B668" t="n">
        <v>131</v>
      </c>
      <c r="C668" t="inlineStr">
        <is>
          <t>Mudon Al Ranim Phase 1</t>
        </is>
      </c>
      <c r="D668" t="inlineStr">
        <is>
          <t>Dubai Properties</t>
        </is>
      </c>
      <c r="E668" t="inlineStr">
        <is>
          <t>Mudon</t>
        </is>
      </c>
      <c r="F668" t="inlineStr">
        <is>
          <t>Townhouses</t>
        </is>
      </c>
      <c r="G668" t="inlineStr">
        <is>
          <t>Park View</t>
        </is>
      </c>
      <c r="H668" t="inlineStr">
        <is>
          <t>2.2M</t>
        </is>
      </c>
      <c r="I668" t="inlineStr">
        <is>
          <t>1200</t>
        </is>
      </c>
      <c r="J668" t="inlineStr">
        <is>
          <t>12</t>
        </is>
      </c>
      <c r="K668" t="inlineStr">
        <is>
          <t>60/40</t>
        </is>
      </c>
      <c r="L668" t="inlineStr">
        <is>
          <t>2022</t>
        </is>
      </c>
      <c r="M668" t="inlineStr">
        <is>
          <t>6.0-6.5</t>
        </is>
      </c>
      <c r="N668" t="inlineStr">
        <is>
          <t>6-8</t>
        </is>
      </c>
      <c r="O668" t="inlineStr">
        <is>
          <t>12.0-14.5</t>
        </is>
      </c>
      <c r="P668" t="inlineStr">
        <is>
          <t>Jebel Ali School</t>
        </is>
      </c>
      <c r="Q668" t="inlineStr">
        <is>
          <t>Saudi German Hospital</t>
        </is>
      </c>
      <c r="R668" t="inlineStr">
        <is>
          <t>Mudon Community Ctr</t>
        </is>
      </c>
      <c r="S668" t="inlineStr">
        <is>
          <t>Al Qudra Rd</t>
        </is>
      </c>
      <c r="T668" t="inlineStr">
        <is>
          <t>25</t>
        </is>
      </c>
      <c r="U668" t="inlineStr">
        <is>
          <t>20</t>
        </is>
      </c>
      <c r="V668" t="inlineStr">
        <is>
          <t>30</t>
        </is>
      </c>
      <c r="W668" t="inlineStr">
        <is>
          <t>25</t>
        </is>
      </c>
      <c r="X668" t="inlineStr">
        <is>
          <t>Guild.csv</t>
        </is>
      </c>
    </row>
    <row r="669">
      <c r="A669" t="n">
        <v>668</v>
      </c>
      <c r="B669" t="n">
        <v>132</v>
      </c>
      <c r="C669" t="inlineStr">
        <is>
          <t>Mudon Al Ranim Phase 2</t>
        </is>
      </c>
      <c r="D669" t="inlineStr">
        <is>
          <t>Dubai Properties</t>
        </is>
      </c>
      <c r="E669" t="inlineStr">
        <is>
          <t>Mudon</t>
        </is>
      </c>
      <c r="F669" t="inlineStr">
        <is>
          <t>Townhouses</t>
        </is>
      </c>
      <c r="G669" t="inlineStr">
        <is>
          <t>Park View</t>
        </is>
      </c>
      <c r="H669" t="inlineStr">
        <is>
          <t>2.3M</t>
        </is>
      </c>
      <c r="I669" t="inlineStr">
        <is>
          <t>1200</t>
        </is>
      </c>
      <c r="J669" t="inlineStr">
        <is>
          <t>12</t>
        </is>
      </c>
      <c r="K669" t="inlineStr">
        <is>
          <t>60/40</t>
        </is>
      </c>
      <c r="L669" t="inlineStr">
        <is>
          <t>2022</t>
        </is>
      </c>
      <c r="M669" t="inlineStr">
        <is>
          <t>6.0-6.5</t>
        </is>
      </c>
      <c r="N669" t="inlineStr">
        <is>
          <t>6-8</t>
        </is>
      </c>
      <c r="O669" t="inlineStr">
        <is>
          <t>12.0-14.5</t>
        </is>
      </c>
      <c r="P669" t="inlineStr">
        <is>
          <t>Jebel Ali School</t>
        </is>
      </c>
      <c r="Q669" t="inlineStr">
        <is>
          <t>Saudi German Hospital</t>
        </is>
      </c>
      <c r="R669" t="inlineStr">
        <is>
          <t>Mudon Community Ctr</t>
        </is>
      </c>
      <c r="S669" t="inlineStr">
        <is>
          <t>Al Qudra Rd</t>
        </is>
      </c>
      <c r="T669" t="inlineStr">
        <is>
          <t>25</t>
        </is>
      </c>
      <c r="U669" t="inlineStr">
        <is>
          <t>20</t>
        </is>
      </c>
      <c r="V669" t="inlineStr">
        <is>
          <t>30</t>
        </is>
      </c>
      <c r="W669" t="inlineStr">
        <is>
          <t>25</t>
        </is>
      </c>
      <c r="X669" t="inlineStr">
        <is>
          <t>Guild.csv</t>
        </is>
      </c>
    </row>
    <row r="670">
      <c r="A670" t="n">
        <v>669</v>
      </c>
      <c r="B670" t="n">
        <v>133</v>
      </c>
      <c r="C670" t="inlineStr">
        <is>
          <t>Mudon Al Ranim Phase 3</t>
        </is>
      </c>
      <c r="D670" t="inlineStr">
        <is>
          <t>Dubai Properties</t>
        </is>
      </c>
      <c r="E670" t="inlineStr">
        <is>
          <t>Mudon</t>
        </is>
      </c>
      <c r="F670" t="inlineStr">
        <is>
          <t>Townhouses</t>
        </is>
      </c>
      <c r="G670" t="inlineStr">
        <is>
          <t>Park View</t>
        </is>
      </c>
      <c r="H670" t="inlineStr">
        <is>
          <t>2.4M</t>
        </is>
      </c>
      <c r="I670" t="inlineStr">
        <is>
          <t>1250</t>
        </is>
      </c>
      <c r="J670" t="inlineStr">
        <is>
          <t>12</t>
        </is>
      </c>
      <c r="K670" t="inlineStr">
        <is>
          <t>60/40</t>
        </is>
      </c>
      <c r="L670" t="inlineStr">
        <is>
          <t>2023</t>
        </is>
      </c>
      <c r="M670" t="inlineStr">
        <is>
          <t>6.0-6.5</t>
        </is>
      </c>
      <c r="N670" t="inlineStr">
        <is>
          <t>6-8</t>
        </is>
      </c>
      <c r="O670" t="inlineStr">
        <is>
          <t>12.0-14.5</t>
        </is>
      </c>
      <c r="P670" t="inlineStr">
        <is>
          <t>Jebel Ali School</t>
        </is>
      </c>
      <c r="Q670" t="inlineStr">
        <is>
          <t>Saudi German Hospital</t>
        </is>
      </c>
      <c r="R670" t="inlineStr">
        <is>
          <t>Mudon Community Ctr</t>
        </is>
      </c>
      <c r="S670" t="inlineStr">
        <is>
          <t>Al Qudra Rd</t>
        </is>
      </c>
      <c r="T670" t="inlineStr">
        <is>
          <t>25</t>
        </is>
      </c>
      <c r="U670" t="inlineStr">
        <is>
          <t>20</t>
        </is>
      </c>
      <c r="V670" t="inlineStr">
        <is>
          <t>30</t>
        </is>
      </c>
      <c r="W670" t="inlineStr">
        <is>
          <t>25</t>
        </is>
      </c>
      <c r="X670" t="inlineStr">
        <is>
          <t>Guild.csv</t>
        </is>
      </c>
    </row>
    <row r="671">
      <c r="A671" t="n">
        <v>670</v>
      </c>
      <c r="B671" t="n">
        <v>134</v>
      </c>
      <c r="C671" t="inlineStr">
        <is>
          <t>Mudon Al Ranim Phase 4</t>
        </is>
      </c>
      <c r="D671" t="inlineStr">
        <is>
          <t>Dubai Properties</t>
        </is>
      </c>
      <c r="E671" t="inlineStr">
        <is>
          <t>Mudon</t>
        </is>
      </c>
      <c r="F671" t="inlineStr">
        <is>
          <t>Townhouses</t>
        </is>
      </c>
      <c r="G671" t="inlineStr">
        <is>
          <t>Park View</t>
        </is>
      </c>
      <c r="H671" t="inlineStr">
        <is>
          <t>2.5M</t>
        </is>
      </c>
      <c r="I671" t="inlineStr">
        <is>
          <t>1250</t>
        </is>
      </c>
      <c r="J671" t="inlineStr">
        <is>
          <t>12</t>
        </is>
      </c>
      <c r="K671" t="inlineStr">
        <is>
          <t>60/40</t>
        </is>
      </c>
      <c r="L671" t="inlineStr">
        <is>
          <t>2023</t>
        </is>
      </c>
      <c r="M671" t="inlineStr">
        <is>
          <t>6.0-6.5</t>
        </is>
      </c>
      <c r="N671" t="inlineStr">
        <is>
          <t>6-8</t>
        </is>
      </c>
      <c r="O671" t="inlineStr">
        <is>
          <t>12.0-14.5</t>
        </is>
      </c>
      <c r="P671" t="inlineStr">
        <is>
          <t>Jebel Ali School</t>
        </is>
      </c>
      <c r="Q671" t="inlineStr">
        <is>
          <t>Saudi German Hospital</t>
        </is>
      </c>
      <c r="R671" t="inlineStr">
        <is>
          <t>Mudon Community Ctr</t>
        </is>
      </c>
      <c r="S671" t="inlineStr">
        <is>
          <t>Al Qudra Rd</t>
        </is>
      </c>
      <c r="T671" t="inlineStr">
        <is>
          <t>25</t>
        </is>
      </c>
      <c r="U671" t="inlineStr">
        <is>
          <t>20</t>
        </is>
      </c>
      <c r="V671" t="inlineStr">
        <is>
          <t>30</t>
        </is>
      </c>
      <c r="W671" t="inlineStr">
        <is>
          <t>25</t>
        </is>
      </c>
      <c r="X671" t="inlineStr">
        <is>
          <t>Guild.csv</t>
        </is>
      </c>
    </row>
    <row r="672">
      <c r="A672" t="n">
        <v>671</v>
      </c>
      <c r="B672" t="n">
        <v>135</v>
      </c>
      <c r="C672" t="inlineStr">
        <is>
          <t>Mudon Al Ranim Phase 5</t>
        </is>
      </c>
      <c r="D672" t="inlineStr">
        <is>
          <t>Dubai Properties</t>
        </is>
      </c>
      <c r="E672" t="inlineStr">
        <is>
          <t>Mudon</t>
        </is>
      </c>
      <c r="F672" t="inlineStr">
        <is>
          <t>Townhouses</t>
        </is>
      </c>
      <c r="G672" t="inlineStr">
        <is>
          <t>Park View</t>
        </is>
      </c>
      <c r="H672" t="inlineStr">
        <is>
          <t>2.6M</t>
        </is>
      </c>
      <c r="I672" t="inlineStr">
        <is>
          <t>1300</t>
        </is>
      </c>
      <c r="J672" t="inlineStr">
        <is>
          <t>12</t>
        </is>
      </c>
      <c r="K672" t="inlineStr">
        <is>
          <t>60/40</t>
        </is>
      </c>
      <c r="L672" t="inlineStr">
        <is>
          <t>2023</t>
        </is>
      </c>
      <c r="M672" t="inlineStr">
        <is>
          <t>6.0-6.5</t>
        </is>
      </c>
      <c r="N672" t="inlineStr">
        <is>
          <t>6-8</t>
        </is>
      </c>
      <c r="O672" t="inlineStr">
        <is>
          <t>12.0-14.5</t>
        </is>
      </c>
      <c r="P672" t="inlineStr">
        <is>
          <t>Jebel Ali School</t>
        </is>
      </c>
      <c r="Q672" t="inlineStr">
        <is>
          <t>Saudi German Hospital</t>
        </is>
      </c>
      <c r="R672" t="inlineStr">
        <is>
          <t>Mudon Community Ctr</t>
        </is>
      </c>
      <c r="S672" t="inlineStr">
        <is>
          <t>Al Qudra Rd</t>
        </is>
      </c>
      <c r="T672" t="inlineStr">
        <is>
          <t>25</t>
        </is>
      </c>
      <c r="U672" t="inlineStr">
        <is>
          <t>20</t>
        </is>
      </c>
      <c r="V672" t="inlineStr">
        <is>
          <t>30</t>
        </is>
      </c>
      <c r="W672" t="inlineStr">
        <is>
          <t>25</t>
        </is>
      </c>
      <c r="X672" t="inlineStr">
        <is>
          <t>Guild.csv</t>
        </is>
      </c>
    </row>
    <row r="673">
      <c r="A673" t="n">
        <v>672</v>
      </c>
      <c r="B673" t="n">
        <v>136</v>
      </c>
      <c r="C673" t="inlineStr">
        <is>
          <t>Mudon Al Ranim Phase 6</t>
        </is>
      </c>
      <c r="D673" t="inlineStr">
        <is>
          <t>Dubai Properties</t>
        </is>
      </c>
      <c r="E673" t="inlineStr">
        <is>
          <t>Mudon</t>
        </is>
      </c>
      <c r="F673" t="inlineStr">
        <is>
          <t>Townhouses</t>
        </is>
      </c>
      <c r="G673" t="inlineStr">
        <is>
          <t>Park View</t>
        </is>
      </c>
      <c r="H673" t="inlineStr">
        <is>
          <t>2.6M</t>
        </is>
      </c>
      <c r="I673" t="inlineStr">
        <is>
          <t>1300</t>
        </is>
      </c>
      <c r="J673" t="inlineStr">
        <is>
          <t>12</t>
        </is>
      </c>
      <c r="K673" t="inlineStr">
        <is>
          <t>60/40</t>
        </is>
      </c>
      <c r="L673" t="inlineStr">
        <is>
          <t>2024</t>
        </is>
      </c>
      <c r="M673" t="inlineStr">
        <is>
          <t>6.0-6.5</t>
        </is>
      </c>
      <c r="N673" t="inlineStr">
        <is>
          <t>6-8</t>
        </is>
      </c>
      <c r="O673" t="inlineStr">
        <is>
          <t>12.0-14.5</t>
        </is>
      </c>
      <c r="P673" t="inlineStr">
        <is>
          <t>Jebel Ali School</t>
        </is>
      </c>
      <c r="Q673" t="inlineStr">
        <is>
          <t>Saudi German Hospital</t>
        </is>
      </c>
      <c r="R673" t="inlineStr">
        <is>
          <t>Mudon Community Ctr</t>
        </is>
      </c>
      <c r="S673" t="inlineStr">
        <is>
          <t>Al Qudra Rd</t>
        </is>
      </c>
      <c r="T673" t="inlineStr">
        <is>
          <t>25</t>
        </is>
      </c>
      <c r="U673" t="inlineStr">
        <is>
          <t>20</t>
        </is>
      </c>
      <c r="V673" t="inlineStr">
        <is>
          <t>30</t>
        </is>
      </c>
      <c r="W673" t="inlineStr">
        <is>
          <t>25</t>
        </is>
      </c>
      <c r="X673" t="inlineStr">
        <is>
          <t>Guild.csv</t>
        </is>
      </c>
    </row>
    <row r="674">
      <c r="A674" t="n">
        <v>673</v>
      </c>
      <c r="B674" t="n">
        <v>137</v>
      </c>
      <c r="C674" t="inlineStr">
        <is>
          <t>Mudon Al Ranim Phase 7</t>
        </is>
      </c>
      <c r="D674" t="inlineStr">
        <is>
          <t>Dubai Properties</t>
        </is>
      </c>
      <c r="E674" t="inlineStr">
        <is>
          <t>Mudon</t>
        </is>
      </c>
      <c r="F674" t="inlineStr">
        <is>
          <t>Townhouses</t>
        </is>
      </c>
      <c r="G674" t="inlineStr">
        <is>
          <t>Park View</t>
        </is>
      </c>
      <c r="H674" t="inlineStr">
        <is>
          <t>2.7M</t>
        </is>
      </c>
      <c r="I674" t="inlineStr">
        <is>
          <t>1350</t>
        </is>
      </c>
      <c r="J674" t="inlineStr">
        <is>
          <t>12</t>
        </is>
      </c>
      <c r="K674" t="inlineStr">
        <is>
          <t>60/40</t>
        </is>
      </c>
      <c r="L674" t="inlineStr">
        <is>
          <t>2024</t>
        </is>
      </c>
      <c r="M674" t="inlineStr">
        <is>
          <t>6.0-6.5</t>
        </is>
      </c>
      <c r="N674" t="inlineStr">
        <is>
          <t>6-8</t>
        </is>
      </c>
      <c r="O674" t="inlineStr">
        <is>
          <t>12.0-14.5</t>
        </is>
      </c>
      <c r="P674" t="inlineStr">
        <is>
          <t>Jebel Ali School</t>
        </is>
      </c>
      <c r="Q674" t="inlineStr">
        <is>
          <t>Saudi German Hospital</t>
        </is>
      </c>
      <c r="R674" t="inlineStr">
        <is>
          <t>Mudon Community Ctr</t>
        </is>
      </c>
      <c r="S674" t="inlineStr">
        <is>
          <t>Al Qudra Rd</t>
        </is>
      </c>
      <c r="T674" t="inlineStr">
        <is>
          <t>25</t>
        </is>
      </c>
      <c r="U674" t="inlineStr">
        <is>
          <t>20</t>
        </is>
      </c>
      <c r="V674" t="inlineStr">
        <is>
          <t>30</t>
        </is>
      </c>
      <c r="W674" t="inlineStr">
        <is>
          <t>25</t>
        </is>
      </c>
      <c r="X674" t="inlineStr">
        <is>
          <t>Guild.csv</t>
        </is>
      </c>
    </row>
    <row r="675">
      <c r="A675" t="n">
        <v>674</v>
      </c>
      <c r="B675" t="n">
        <v>138</v>
      </c>
      <c r="C675" t="inlineStr">
        <is>
          <t>Mudon Al Ranim Phase 8</t>
        </is>
      </c>
      <c r="D675" t="inlineStr">
        <is>
          <t>Dubai Properties</t>
        </is>
      </c>
      <c r="E675" t="inlineStr">
        <is>
          <t>Mudon</t>
        </is>
      </c>
      <c r="F675" t="inlineStr">
        <is>
          <t>Townhouses</t>
        </is>
      </c>
      <c r="G675" t="inlineStr">
        <is>
          <t>Park View</t>
        </is>
      </c>
      <c r="H675" t="inlineStr">
        <is>
          <t>2.8M</t>
        </is>
      </c>
      <c r="I675" t="inlineStr">
        <is>
          <t>1350</t>
        </is>
      </c>
      <c r="J675" t="inlineStr">
        <is>
          <t>12</t>
        </is>
      </c>
      <c r="K675" t="inlineStr">
        <is>
          <t>60/40</t>
        </is>
      </c>
      <c r="L675" t="inlineStr">
        <is>
          <t>2024</t>
        </is>
      </c>
      <c r="M675" t="inlineStr">
        <is>
          <t>6.0-6.5</t>
        </is>
      </c>
      <c r="N675" t="inlineStr">
        <is>
          <t>6-8</t>
        </is>
      </c>
      <c r="O675" t="inlineStr">
        <is>
          <t>12.0-14.5</t>
        </is>
      </c>
      <c r="P675" t="inlineStr">
        <is>
          <t>Jebel Ali School</t>
        </is>
      </c>
      <c r="Q675" t="inlineStr">
        <is>
          <t>Saudi German Hospital</t>
        </is>
      </c>
      <c r="R675" t="inlineStr">
        <is>
          <t>Mudon Community Ctr</t>
        </is>
      </c>
      <c r="S675" t="inlineStr">
        <is>
          <t>Al Qudra Rd</t>
        </is>
      </c>
      <c r="T675" t="inlineStr">
        <is>
          <t>25</t>
        </is>
      </c>
      <c r="U675" t="inlineStr">
        <is>
          <t>20</t>
        </is>
      </c>
      <c r="V675" t="inlineStr">
        <is>
          <t>30</t>
        </is>
      </c>
      <c r="W675" t="inlineStr">
        <is>
          <t>25</t>
        </is>
      </c>
      <c r="X675" t="inlineStr">
        <is>
          <t>Guild.csv</t>
        </is>
      </c>
    </row>
    <row r="676">
      <c r="A676" t="n">
        <v>675</v>
      </c>
      <c r="B676" t="n">
        <v>139</v>
      </c>
      <c r="C676" t="inlineStr">
        <is>
          <t>Mudon Views</t>
        </is>
      </c>
      <c r="D676" t="inlineStr">
        <is>
          <t>Dubai Properties</t>
        </is>
      </c>
      <c r="E676" t="inlineStr">
        <is>
          <t>Mudon</t>
        </is>
      </c>
      <c r="F676" t="inlineStr">
        <is>
          <t>Apartments</t>
        </is>
      </c>
      <c r="G676" t="inlineStr">
        <is>
          <t>Golf / Park</t>
        </is>
      </c>
      <c r="H676" t="inlineStr">
        <is>
          <t>Resale (1.2M+)</t>
        </is>
      </c>
      <c r="I676" t="inlineStr">
        <is>
          <t>1100</t>
        </is>
      </c>
      <c r="J676" t="inlineStr">
        <is>
          <t>15</t>
        </is>
      </c>
      <c r="K676" t="inlineStr">
        <is>
          <t>Completed</t>
        </is>
      </c>
      <c r="L676" t="inlineStr">
        <is>
          <t>2017</t>
        </is>
      </c>
      <c r="M676" t="inlineStr">
        <is>
          <t>7.0-7.5</t>
        </is>
      </c>
      <c r="N676" t="inlineStr">
        <is>
          <t>4-6</t>
        </is>
      </c>
      <c r="O676" t="inlineStr">
        <is>
          <t>11.0-13.5</t>
        </is>
      </c>
      <c r="P676" t="inlineStr">
        <is>
          <t>Jebel Ali School</t>
        </is>
      </c>
      <c r="Q676" t="inlineStr">
        <is>
          <t>Saudi German Hospital</t>
        </is>
      </c>
      <c r="R676" t="inlineStr">
        <is>
          <t>Mudon Community Ctr</t>
        </is>
      </c>
      <c r="S676" t="inlineStr">
        <is>
          <t>Al Qudra Rd</t>
        </is>
      </c>
      <c r="T676" t="inlineStr">
        <is>
          <t>25</t>
        </is>
      </c>
      <c r="U676" t="inlineStr">
        <is>
          <t>20</t>
        </is>
      </c>
      <c r="V676" t="inlineStr">
        <is>
          <t>30</t>
        </is>
      </c>
      <c r="W676" t="inlineStr">
        <is>
          <t>25</t>
        </is>
      </c>
      <c r="X676" t="inlineStr">
        <is>
          <t>Guild.csv</t>
        </is>
      </c>
    </row>
    <row r="677">
      <c r="A677" t="n">
        <v>676</v>
      </c>
      <c r="B677" t="n">
        <v>140</v>
      </c>
      <c r="C677" t="inlineStr">
        <is>
          <t>Rahat</t>
        </is>
      </c>
      <c r="D677" t="inlineStr">
        <is>
          <t>Dubai Properties</t>
        </is>
      </c>
      <c r="E677" t="inlineStr">
        <is>
          <t>Mudon</t>
        </is>
      </c>
      <c r="F677" t="inlineStr">
        <is>
          <t>Villas</t>
        </is>
      </c>
      <c r="G677" t="inlineStr">
        <is>
          <t>Gated</t>
        </is>
      </c>
      <c r="H677" t="inlineStr">
        <is>
          <t>Resale (4M+)</t>
        </is>
      </c>
      <c r="I677" t="inlineStr">
        <is>
          <t>1000</t>
        </is>
      </c>
      <c r="J677" t="inlineStr">
        <is>
          <t>12</t>
        </is>
      </c>
      <c r="K677" t="inlineStr">
        <is>
          <t>Completed</t>
        </is>
      </c>
      <c r="L677" t="inlineStr">
        <is>
          <t>2015</t>
        </is>
      </c>
      <c r="M677" t="inlineStr">
        <is>
          <t>5.5-6.0</t>
        </is>
      </c>
      <c r="N677" t="inlineStr">
        <is>
          <t>5-7</t>
        </is>
      </c>
      <c r="O677" t="inlineStr">
        <is>
          <t>10.5-13.0</t>
        </is>
      </c>
      <c r="P677" t="inlineStr">
        <is>
          <t>Jebel Ali School</t>
        </is>
      </c>
      <c r="Q677" t="inlineStr">
        <is>
          <t>Saudi German Hospital</t>
        </is>
      </c>
      <c r="R677" t="inlineStr">
        <is>
          <t>Mudon Community Ctr</t>
        </is>
      </c>
      <c r="S677" t="inlineStr">
        <is>
          <t>Al Qudra Rd</t>
        </is>
      </c>
      <c r="T677" t="inlineStr">
        <is>
          <t>25</t>
        </is>
      </c>
      <c r="U677" t="inlineStr">
        <is>
          <t>20</t>
        </is>
      </c>
      <c r="V677" t="inlineStr">
        <is>
          <t>30</t>
        </is>
      </c>
      <c r="W677" t="inlineStr">
        <is>
          <t>25</t>
        </is>
      </c>
      <c r="X677" t="inlineStr">
        <is>
          <t>Guild.csv</t>
        </is>
      </c>
    </row>
    <row r="678">
      <c r="A678" t="n">
        <v>677</v>
      </c>
      <c r="B678" t="n">
        <v>141</v>
      </c>
      <c r="C678" t="inlineStr">
        <is>
          <t>Naseem</t>
        </is>
      </c>
      <c r="D678" t="inlineStr">
        <is>
          <t>Dubai Properties</t>
        </is>
      </c>
      <c r="E678" t="inlineStr">
        <is>
          <t>Mudon</t>
        </is>
      </c>
      <c r="F678" t="inlineStr">
        <is>
          <t>Townhouses</t>
        </is>
      </c>
      <c r="G678" t="inlineStr">
        <is>
          <t>Gated</t>
        </is>
      </c>
      <c r="H678" t="inlineStr">
        <is>
          <t>Resale (2.5M+)</t>
        </is>
      </c>
      <c r="I678" t="inlineStr">
        <is>
          <t>1000</t>
        </is>
      </c>
      <c r="J678" t="inlineStr">
        <is>
          <t>12</t>
        </is>
      </c>
      <c r="K678" t="inlineStr">
        <is>
          <t>Completed</t>
        </is>
      </c>
      <c r="L678" t="inlineStr">
        <is>
          <t>2016</t>
        </is>
      </c>
      <c r="M678" t="inlineStr">
        <is>
          <t>6.0-6.5</t>
        </is>
      </c>
      <c r="N678" t="inlineStr">
        <is>
          <t>5-7</t>
        </is>
      </c>
      <c r="O678" t="inlineStr">
        <is>
          <t>11.0-13.5</t>
        </is>
      </c>
      <c r="P678" t="inlineStr">
        <is>
          <t>Jebel Ali School</t>
        </is>
      </c>
      <c r="Q678" t="inlineStr">
        <is>
          <t>Saudi German Hospital</t>
        </is>
      </c>
      <c r="R678" t="inlineStr">
        <is>
          <t>Mudon Community Ctr</t>
        </is>
      </c>
      <c r="S678" t="inlineStr">
        <is>
          <t>Al Qudra Rd</t>
        </is>
      </c>
      <c r="T678" t="inlineStr">
        <is>
          <t>25</t>
        </is>
      </c>
      <c r="U678" t="inlineStr">
        <is>
          <t>20</t>
        </is>
      </c>
      <c r="V678" t="inlineStr">
        <is>
          <t>30</t>
        </is>
      </c>
      <c r="W678" t="inlineStr">
        <is>
          <t>25</t>
        </is>
      </c>
      <c r="X678" t="inlineStr">
        <is>
          <t>Guild.csv</t>
        </is>
      </c>
    </row>
    <row r="679">
      <c r="A679" t="n">
        <v>678</v>
      </c>
      <c r="B679" t="n">
        <v>142</v>
      </c>
      <c r="C679" t="inlineStr">
        <is>
          <t>Villanova (Master Community)</t>
        </is>
      </c>
      <c r="D679" t="inlineStr">
        <is>
          <t>Dubai Properties</t>
        </is>
      </c>
      <c r="E679" t="inlineStr">
        <is>
          <t>Dubailand</t>
        </is>
      </c>
      <c r="F679" t="inlineStr">
        <is>
          <t>Townhouses &amp; Villas</t>
        </is>
      </c>
      <c r="G679" t="inlineStr">
        <is>
          <t>Family / Gated</t>
        </is>
      </c>
      <c r="J679" t="inlineStr">
        <is>
          <t>12</t>
        </is>
      </c>
      <c r="K679" t="inlineStr">
        <is>
          <t>Varies</t>
        </is>
      </c>
      <c r="L679" t="inlineStr">
        <is>
          <t>Ongoing</t>
        </is>
      </c>
      <c r="M679" t="inlineStr">
        <is>
          <t>6.0-6.5</t>
        </is>
      </c>
      <c r="N679" t="inlineStr">
        <is>
          <t>5-7</t>
        </is>
      </c>
      <c r="O679" t="inlineStr">
        <is>
          <t>11.0-13.5</t>
        </is>
      </c>
      <c r="P679" t="inlineStr">
        <is>
          <t>GEMS FirstPoint</t>
        </is>
      </c>
      <c r="Q679" t="inlineStr">
        <is>
          <t>Saudi German Hospital</t>
        </is>
      </c>
      <c r="R679" t="inlineStr">
        <is>
          <t>Villanova Marketplace</t>
        </is>
      </c>
      <c r="S679" t="inlineStr">
        <is>
          <t>Al Ain Rd / E611</t>
        </is>
      </c>
      <c r="T679" t="inlineStr">
        <is>
          <t>25</t>
        </is>
      </c>
      <c r="U679" t="inlineStr">
        <is>
          <t>30</t>
        </is>
      </c>
      <c r="V679" t="inlineStr">
        <is>
          <t>25</t>
        </is>
      </c>
      <c r="W679" t="inlineStr">
        <is>
          <t>30</t>
        </is>
      </c>
      <c r="X679" t="inlineStr">
        <is>
          <t>Guild.csv</t>
        </is>
      </c>
    </row>
    <row r="680">
      <c r="A680" t="n">
        <v>679</v>
      </c>
      <c r="B680" t="n">
        <v>143</v>
      </c>
      <c r="C680" t="inlineStr">
        <is>
          <t>La Violeta</t>
        </is>
      </c>
      <c r="D680" t="inlineStr">
        <is>
          <t>Dubai Properties</t>
        </is>
      </c>
      <c r="E680" t="inlineStr">
        <is>
          <t>Villanova</t>
        </is>
      </c>
      <c r="F680" t="inlineStr">
        <is>
          <t>Townhouses</t>
        </is>
      </c>
      <c r="G680" t="inlineStr">
        <is>
          <t>Family</t>
        </is>
      </c>
      <c r="H680" t="inlineStr">
        <is>
          <t>1.8M</t>
        </is>
      </c>
      <c r="I680" t="inlineStr">
        <is>
          <t>1100</t>
        </is>
      </c>
      <c r="J680" t="inlineStr">
        <is>
          <t>12</t>
        </is>
      </c>
      <c r="K680" t="inlineStr">
        <is>
          <t>60/40</t>
        </is>
      </c>
      <c r="L680" t="inlineStr">
        <is>
          <t>2022</t>
        </is>
      </c>
      <c r="M680" t="inlineStr">
        <is>
          <t>6.0-6.5</t>
        </is>
      </c>
      <c r="N680" t="inlineStr">
        <is>
          <t>6-8</t>
        </is>
      </c>
      <c r="O680" t="inlineStr">
        <is>
          <t>12.0-14.5</t>
        </is>
      </c>
      <c r="P680" t="inlineStr">
        <is>
          <t>GEMS FirstPoint</t>
        </is>
      </c>
      <c r="Q680" t="inlineStr">
        <is>
          <t>Saudi German Hospital</t>
        </is>
      </c>
      <c r="R680" t="inlineStr">
        <is>
          <t>Villanova Marketplace</t>
        </is>
      </c>
      <c r="S680" t="inlineStr">
        <is>
          <t>Al Ain Rd / E611</t>
        </is>
      </c>
      <c r="T680" t="inlineStr">
        <is>
          <t>25</t>
        </is>
      </c>
      <c r="U680" t="inlineStr">
        <is>
          <t>30</t>
        </is>
      </c>
      <c r="V680" t="inlineStr">
        <is>
          <t>25</t>
        </is>
      </c>
      <c r="W680" t="inlineStr">
        <is>
          <t>30</t>
        </is>
      </c>
      <c r="X680" t="inlineStr">
        <is>
          <t>Guild.csv</t>
        </is>
      </c>
    </row>
    <row r="681">
      <c r="A681" t="n">
        <v>680</v>
      </c>
      <c r="B681" t="n">
        <v>144</v>
      </c>
      <c r="C681" t="inlineStr">
        <is>
          <t>Amaranta</t>
        </is>
      </c>
      <c r="D681" t="inlineStr">
        <is>
          <t>Dubai Properties</t>
        </is>
      </c>
      <c r="E681" t="inlineStr">
        <is>
          <t>Villanova</t>
        </is>
      </c>
      <c r="F681" t="inlineStr">
        <is>
          <t>Townhouses</t>
        </is>
      </c>
      <c r="G681" t="inlineStr">
        <is>
          <t>Family</t>
        </is>
      </c>
      <c r="H681" t="inlineStr">
        <is>
          <t>Resale (1.6M+)</t>
        </is>
      </c>
      <c r="I681" t="inlineStr">
        <is>
          <t>1000</t>
        </is>
      </c>
      <c r="J681" t="inlineStr">
        <is>
          <t>12</t>
        </is>
      </c>
      <c r="K681" t="inlineStr">
        <is>
          <t>Completed</t>
        </is>
      </c>
      <c r="L681" t="inlineStr">
        <is>
          <t>2017</t>
        </is>
      </c>
      <c r="M681" t="inlineStr">
        <is>
          <t>6.5-7.0</t>
        </is>
      </c>
      <c r="N681" t="inlineStr">
        <is>
          <t>5-7</t>
        </is>
      </c>
      <c r="O681" t="inlineStr">
        <is>
          <t>11.5-14.0</t>
        </is>
      </c>
      <c r="P681" t="inlineStr">
        <is>
          <t>GEMS FirstPoint</t>
        </is>
      </c>
      <c r="Q681" t="inlineStr">
        <is>
          <t>Saudi German Hospital</t>
        </is>
      </c>
      <c r="R681" t="inlineStr">
        <is>
          <t>Villanova Marketplace</t>
        </is>
      </c>
      <c r="S681" t="inlineStr">
        <is>
          <t>Al Ain Rd / E611</t>
        </is>
      </c>
      <c r="T681" t="inlineStr">
        <is>
          <t>25</t>
        </is>
      </c>
      <c r="U681" t="inlineStr">
        <is>
          <t>30</t>
        </is>
      </c>
      <c r="V681" t="inlineStr">
        <is>
          <t>25</t>
        </is>
      </c>
      <c r="W681" t="inlineStr">
        <is>
          <t>30</t>
        </is>
      </c>
      <c r="X681" t="inlineStr">
        <is>
          <t>Guild.csv</t>
        </is>
      </c>
    </row>
    <row r="682">
      <c r="A682" t="n">
        <v>681</v>
      </c>
      <c r="B682" t="n">
        <v>145</v>
      </c>
      <c r="C682" t="inlineStr">
        <is>
          <t>La Rosa Phase 1</t>
        </is>
      </c>
      <c r="D682" t="inlineStr">
        <is>
          <t>Dubai Properties</t>
        </is>
      </c>
      <c r="E682" t="inlineStr">
        <is>
          <t>Villanova</t>
        </is>
      </c>
      <c r="F682" t="inlineStr">
        <is>
          <t>Townhouses</t>
        </is>
      </c>
      <c r="G682" t="inlineStr">
        <is>
          <t>Family</t>
        </is>
      </c>
      <c r="H682" t="inlineStr">
        <is>
          <t>Resale (1.7M+)</t>
        </is>
      </c>
      <c r="I682" t="inlineStr">
        <is>
          <t>1050</t>
        </is>
      </c>
      <c r="J682" t="inlineStr">
        <is>
          <t>12</t>
        </is>
      </c>
      <c r="K682" t="inlineStr">
        <is>
          <t>Completed</t>
        </is>
      </c>
      <c r="L682" t="inlineStr">
        <is>
          <t>2019</t>
        </is>
      </c>
      <c r="M682" t="inlineStr">
        <is>
          <t>6.5-7.0</t>
        </is>
      </c>
      <c r="N682" t="inlineStr">
        <is>
          <t>5-7</t>
        </is>
      </c>
      <c r="O682" t="inlineStr">
        <is>
          <t>11.5-14.0</t>
        </is>
      </c>
      <c r="P682" t="inlineStr">
        <is>
          <t>GEMS FirstPoint</t>
        </is>
      </c>
      <c r="Q682" t="inlineStr">
        <is>
          <t>Saudi German Hospital</t>
        </is>
      </c>
      <c r="R682" t="inlineStr">
        <is>
          <t>Villanova Marketplace</t>
        </is>
      </c>
      <c r="S682" t="inlineStr">
        <is>
          <t>Al Ain Rd / E611</t>
        </is>
      </c>
      <c r="T682" t="inlineStr">
        <is>
          <t>25</t>
        </is>
      </c>
      <c r="U682" t="inlineStr">
        <is>
          <t>30</t>
        </is>
      </c>
      <c r="V682" t="inlineStr">
        <is>
          <t>25</t>
        </is>
      </c>
      <c r="W682" t="inlineStr">
        <is>
          <t>30</t>
        </is>
      </c>
      <c r="X682" t="inlineStr">
        <is>
          <t>Guild.csv</t>
        </is>
      </c>
    </row>
    <row r="683">
      <c r="A683" t="n">
        <v>682</v>
      </c>
      <c r="B683" t="n">
        <v>146</v>
      </c>
      <c r="C683" t="inlineStr">
        <is>
          <t>La Rosa Phase 2</t>
        </is>
      </c>
      <c r="D683" t="inlineStr">
        <is>
          <t>Dubai Properties</t>
        </is>
      </c>
      <c r="E683" t="inlineStr">
        <is>
          <t>Villanova</t>
        </is>
      </c>
      <c r="F683" t="inlineStr">
        <is>
          <t>Townhouses</t>
        </is>
      </c>
      <c r="G683" t="inlineStr">
        <is>
          <t>Family</t>
        </is>
      </c>
      <c r="H683" t="inlineStr">
        <is>
          <t>Resale (1.75M+)</t>
        </is>
      </c>
      <c r="I683" t="inlineStr">
        <is>
          <t>1050</t>
        </is>
      </c>
      <c r="J683" t="inlineStr">
        <is>
          <t>12</t>
        </is>
      </c>
      <c r="K683" t="inlineStr">
        <is>
          <t>Completed</t>
        </is>
      </c>
      <c r="L683" t="inlineStr">
        <is>
          <t>2019</t>
        </is>
      </c>
      <c r="M683" t="inlineStr">
        <is>
          <t>6.5-7.0</t>
        </is>
      </c>
      <c r="N683" t="inlineStr">
        <is>
          <t>5-7</t>
        </is>
      </c>
      <c r="O683" t="inlineStr">
        <is>
          <t>11.5-14.0</t>
        </is>
      </c>
      <c r="P683" t="inlineStr">
        <is>
          <t>GEMS FirstPoint</t>
        </is>
      </c>
      <c r="Q683" t="inlineStr">
        <is>
          <t>Saudi German Hospital</t>
        </is>
      </c>
      <c r="R683" t="inlineStr">
        <is>
          <t>Villanova Marketplace</t>
        </is>
      </c>
      <c r="S683" t="inlineStr">
        <is>
          <t>Al Ain Rd / E611</t>
        </is>
      </c>
      <c r="T683" t="inlineStr">
        <is>
          <t>25</t>
        </is>
      </c>
      <c r="U683" t="inlineStr">
        <is>
          <t>30</t>
        </is>
      </c>
      <c r="V683" t="inlineStr">
        <is>
          <t>25</t>
        </is>
      </c>
      <c r="W683" t="inlineStr">
        <is>
          <t>30</t>
        </is>
      </c>
      <c r="X683" t="inlineStr">
        <is>
          <t>Guild.csv</t>
        </is>
      </c>
    </row>
    <row r="684">
      <c r="A684" t="n">
        <v>683</v>
      </c>
      <c r="B684" t="n">
        <v>147</v>
      </c>
      <c r="C684" t="inlineStr">
        <is>
          <t>La Rosa Phase 3</t>
        </is>
      </c>
      <c r="D684" t="inlineStr">
        <is>
          <t>Dubai Properties</t>
        </is>
      </c>
      <c r="E684" t="inlineStr">
        <is>
          <t>Villanova</t>
        </is>
      </c>
      <c r="F684" t="inlineStr">
        <is>
          <t>Townhouses</t>
        </is>
      </c>
      <c r="G684" t="inlineStr">
        <is>
          <t>Family</t>
        </is>
      </c>
      <c r="H684" t="inlineStr">
        <is>
          <t>Resale (1.8M+)</t>
        </is>
      </c>
      <c r="I684" t="inlineStr">
        <is>
          <t>1050</t>
        </is>
      </c>
      <c r="J684" t="inlineStr">
        <is>
          <t>12</t>
        </is>
      </c>
      <c r="K684" t="inlineStr">
        <is>
          <t>Completed</t>
        </is>
      </c>
      <c r="L684" t="inlineStr">
        <is>
          <t>2020</t>
        </is>
      </c>
      <c r="M684" t="inlineStr">
        <is>
          <t>6.5-7.0</t>
        </is>
      </c>
      <c r="N684" t="inlineStr">
        <is>
          <t>5-7</t>
        </is>
      </c>
      <c r="O684" t="inlineStr">
        <is>
          <t>11.5-14.0</t>
        </is>
      </c>
      <c r="P684" t="inlineStr">
        <is>
          <t>GEMS FirstPoint</t>
        </is>
      </c>
      <c r="Q684" t="inlineStr">
        <is>
          <t>Saudi German Hospital</t>
        </is>
      </c>
      <c r="R684" t="inlineStr">
        <is>
          <t>Villanova Marketplace</t>
        </is>
      </c>
      <c r="S684" t="inlineStr">
        <is>
          <t>Al Ain Rd / E611</t>
        </is>
      </c>
      <c r="T684" t="inlineStr">
        <is>
          <t>25</t>
        </is>
      </c>
      <c r="U684" t="inlineStr">
        <is>
          <t>30</t>
        </is>
      </c>
      <c r="V684" t="inlineStr">
        <is>
          <t>25</t>
        </is>
      </c>
      <c r="W684" t="inlineStr">
        <is>
          <t>30</t>
        </is>
      </c>
      <c r="X684" t="inlineStr">
        <is>
          <t>Guild.csv</t>
        </is>
      </c>
    </row>
    <row r="685">
      <c r="A685" t="n">
        <v>684</v>
      </c>
      <c r="B685" t="n">
        <v>148</v>
      </c>
      <c r="C685" t="inlineStr">
        <is>
          <t>La Rosa Phase 4</t>
        </is>
      </c>
      <c r="D685" t="inlineStr">
        <is>
          <t>Dubai Properties</t>
        </is>
      </c>
      <c r="E685" t="inlineStr">
        <is>
          <t>Villanova</t>
        </is>
      </c>
      <c r="F685" t="inlineStr">
        <is>
          <t>Townhouses</t>
        </is>
      </c>
      <c r="G685" t="inlineStr">
        <is>
          <t>Family</t>
        </is>
      </c>
      <c r="H685" t="inlineStr">
        <is>
          <t>Resale (1.85M+)</t>
        </is>
      </c>
      <c r="I685" t="inlineStr">
        <is>
          <t>1100</t>
        </is>
      </c>
      <c r="J685" t="inlineStr">
        <is>
          <t>12</t>
        </is>
      </c>
      <c r="K685" t="inlineStr">
        <is>
          <t>Completed</t>
        </is>
      </c>
      <c r="L685" t="inlineStr">
        <is>
          <t>2021</t>
        </is>
      </c>
      <c r="M685" t="inlineStr">
        <is>
          <t>6.5-7.0</t>
        </is>
      </c>
      <c r="N685" t="inlineStr">
        <is>
          <t>5-7</t>
        </is>
      </c>
      <c r="O685" t="inlineStr">
        <is>
          <t>11.5-14.0</t>
        </is>
      </c>
      <c r="P685" t="inlineStr">
        <is>
          <t>GEMS FirstPoint</t>
        </is>
      </c>
      <c r="Q685" t="inlineStr">
        <is>
          <t>Saudi German Hospital</t>
        </is>
      </c>
      <c r="R685" t="inlineStr">
        <is>
          <t>Villanova Marketplace</t>
        </is>
      </c>
      <c r="S685" t="inlineStr">
        <is>
          <t>Al Ain Rd / E611</t>
        </is>
      </c>
      <c r="T685" t="inlineStr">
        <is>
          <t>25</t>
        </is>
      </c>
      <c r="U685" t="inlineStr">
        <is>
          <t>30</t>
        </is>
      </c>
      <c r="V685" t="inlineStr">
        <is>
          <t>25</t>
        </is>
      </c>
      <c r="W685" t="inlineStr">
        <is>
          <t>30</t>
        </is>
      </c>
      <c r="X685" t="inlineStr">
        <is>
          <t>Guild.csv</t>
        </is>
      </c>
    </row>
    <row r="686">
      <c r="A686" t="n">
        <v>685</v>
      </c>
      <c r="B686" t="n">
        <v>149</v>
      </c>
      <c r="C686" t="inlineStr">
        <is>
          <t>La Rosa Phase 5</t>
        </is>
      </c>
      <c r="D686" t="inlineStr">
        <is>
          <t>Dubai Properties</t>
        </is>
      </c>
      <c r="E686" t="inlineStr">
        <is>
          <t>Villanova</t>
        </is>
      </c>
      <c r="F686" t="inlineStr">
        <is>
          <t>Townhouses</t>
        </is>
      </c>
      <c r="G686" t="inlineStr">
        <is>
          <t>Family</t>
        </is>
      </c>
      <c r="H686" t="inlineStr">
        <is>
          <t>Resale (1.9M+)</t>
        </is>
      </c>
      <c r="I686" t="inlineStr">
        <is>
          <t>1100</t>
        </is>
      </c>
      <c r="J686" t="inlineStr">
        <is>
          <t>12</t>
        </is>
      </c>
      <c r="K686" t="inlineStr">
        <is>
          <t>Completed</t>
        </is>
      </c>
      <c r="L686" t="inlineStr">
        <is>
          <t>2021</t>
        </is>
      </c>
      <c r="M686" t="inlineStr">
        <is>
          <t>6.5-7.0</t>
        </is>
      </c>
      <c r="N686" t="inlineStr">
        <is>
          <t>5-7</t>
        </is>
      </c>
      <c r="O686" t="inlineStr">
        <is>
          <t>11.5-14.0</t>
        </is>
      </c>
      <c r="P686" t="inlineStr">
        <is>
          <t>GEMS FirstPoint</t>
        </is>
      </c>
      <c r="Q686" t="inlineStr">
        <is>
          <t>Saudi German Hospital</t>
        </is>
      </c>
      <c r="R686" t="inlineStr">
        <is>
          <t>Villanova Marketplace</t>
        </is>
      </c>
      <c r="S686" t="inlineStr">
        <is>
          <t>Al Ain Rd / E611</t>
        </is>
      </c>
      <c r="T686" t="inlineStr">
        <is>
          <t>25</t>
        </is>
      </c>
      <c r="U686" t="inlineStr">
        <is>
          <t>30</t>
        </is>
      </c>
      <c r="V686" t="inlineStr">
        <is>
          <t>25</t>
        </is>
      </c>
      <c r="W686" t="inlineStr">
        <is>
          <t>30</t>
        </is>
      </c>
      <c r="X686" t="inlineStr">
        <is>
          <t>Guild.csv</t>
        </is>
      </c>
    </row>
    <row r="687">
      <c r="A687" t="n">
        <v>686</v>
      </c>
      <c r="B687" t="n">
        <v>150</v>
      </c>
      <c r="C687" t="inlineStr">
        <is>
          <t>La Rosa Phase 6</t>
        </is>
      </c>
      <c r="D687" t="inlineStr">
        <is>
          <t>Dubai Properties</t>
        </is>
      </c>
      <c r="E687" t="inlineStr">
        <is>
          <t>Villanova</t>
        </is>
      </c>
      <c r="F687" t="inlineStr">
        <is>
          <t>Townhouses</t>
        </is>
      </c>
      <c r="G687" t="inlineStr">
        <is>
          <t>Family</t>
        </is>
      </c>
      <c r="H687" t="inlineStr">
        <is>
          <t>2.0M</t>
        </is>
      </c>
      <c r="I687" t="inlineStr">
        <is>
          <t>1150</t>
        </is>
      </c>
      <c r="J687" t="inlineStr">
        <is>
          <t>12</t>
        </is>
      </c>
      <c r="K687" t="inlineStr">
        <is>
          <t>50/50</t>
        </is>
      </c>
      <c r="L687" t="inlineStr">
        <is>
          <t>2022</t>
        </is>
      </c>
      <c r="M687" t="inlineStr">
        <is>
          <t>6.0-6.5</t>
        </is>
      </c>
      <c r="N687" t="inlineStr">
        <is>
          <t>5-7</t>
        </is>
      </c>
      <c r="O687" t="inlineStr">
        <is>
          <t>11.0-13.5</t>
        </is>
      </c>
      <c r="P687" t="inlineStr">
        <is>
          <t>GEMS FirstPoint</t>
        </is>
      </c>
      <c r="Q687" t="inlineStr">
        <is>
          <t>Saudi German Hospital</t>
        </is>
      </c>
      <c r="R687" t="inlineStr">
        <is>
          <t>Villanova Marketplace</t>
        </is>
      </c>
      <c r="S687" t="inlineStr">
        <is>
          <t>Al Ain Rd / E611</t>
        </is>
      </c>
      <c r="T687" t="inlineStr">
        <is>
          <t>25</t>
        </is>
      </c>
      <c r="U687" t="inlineStr">
        <is>
          <t>30</t>
        </is>
      </c>
      <c r="V687" t="inlineStr">
        <is>
          <t>25</t>
        </is>
      </c>
      <c r="W687" t="inlineStr">
        <is>
          <t>30</t>
        </is>
      </c>
      <c r="X687" t="inlineStr">
        <is>
          <t>Guild.csv</t>
        </is>
      </c>
    </row>
    <row r="688">
      <c r="A688" t="n">
        <v>687</v>
      </c>
      <c r="B688" t="n">
        <v>151</v>
      </c>
      <c r="C688" t="inlineStr">
        <is>
          <t>Jumeirah Beach Residence (JBR)</t>
        </is>
      </c>
      <c r="D688" t="inlineStr">
        <is>
          <t>Dubai Properties</t>
        </is>
      </c>
      <c r="E688" t="inlineStr">
        <is>
          <t>Marina/Beach</t>
        </is>
      </c>
      <c r="F688" t="inlineStr">
        <is>
          <t>Apartments</t>
        </is>
      </c>
      <c r="G688" t="inlineStr">
        <is>
          <t>Beachfront / High-Rise</t>
        </is>
      </c>
      <c r="J688" t="inlineStr">
        <is>
          <t>25</t>
        </is>
      </c>
      <c r="K688" t="inlineStr">
        <is>
          <t>Completed</t>
        </is>
      </c>
      <c r="L688" t="inlineStr">
        <is>
          <t>2007</t>
        </is>
      </c>
      <c r="M688" t="inlineStr">
        <is>
          <t>5.5-6.5</t>
        </is>
      </c>
      <c r="N688" t="inlineStr">
        <is>
          <t>5-7</t>
        </is>
      </c>
      <c r="O688" t="inlineStr">
        <is>
          <t>10.5-13.5</t>
        </is>
      </c>
      <c r="P688" t="inlineStr">
        <is>
          <t>Emirates Intl School</t>
        </is>
      </c>
      <c r="Q688" t="inlineStr">
        <is>
          <t>Emirates Hospital</t>
        </is>
      </c>
      <c r="R688" t="inlineStr">
        <is>
          <t>Dubai Marina Mall</t>
        </is>
      </c>
      <c r="S688" t="inlineStr">
        <is>
          <t>Sheikh Zayed E11</t>
        </is>
      </c>
      <c r="T688" t="inlineStr">
        <is>
          <t>20</t>
        </is>
      </c>
      <c r="U688" t="inlineStr">
        <is>
          <t>2</t>
        </is>
      </c>
      <c r="V688" t="inlineStr">
        <is>
          <t>25</t>
        </is>
      </c>
      <c r="W688" t="inlineStr">
        <is>
          <t>30</t>
        </is>
      </c>
      <c r="X688" t="inlineStr">
        <is>
          <t>Guild.csv</t>
        </is>
      </c>
    </row>
    <row r="689">
      <c r="A689" t="n">
        <v>688</v>
      </c>
      <c r="B689" t="n">
        <v>152</v>
      </c>
      <c r="C689" t="inlineStr">
        <is>
          <t>1/JBR</t>
        </is>
      </c>
      <c r="D689" t="inlineStr">
        <is>
          <t>Dubai Properties</t>
        </is>
      </c>
      <c r="E689" t="inlineStr">
        <is>
          <t>JBR</t>
        </is>
      </c>
      <c r="F689" t="inlineStr">
        <is>
          <t>Luxury Apts</t>
        </is>
      </c>
      <c r="G689" t="inlineStr">
        <is>
          <t>Ultra-Luxury / Beach</t>
        </is>
      </c>
      <c r="H689" t="inlineStr">
        <is>
          <t>Resale (6M+)</t>
        </is>
      </c>
      <c r="I689" t="inlineStr">
        <is>
          <t>3500</t>
        </is>
      </c>
      <c r="J689" t="inlineStr">
        <is>
          <t>30</t>
        </is>
      </c>
      <c r="K689" t="inlineStr">
        <is>
          <t>Completed</t>
        </is>
      </c>
      <c r="L689" t="inlineStr">
        <is>
          <t>2019</t>
        </is>
      </c>
      <c r="M689" t="inlineStr">
        <is>
          <t>4.5-5.0</t>
        </is>
      </c>
      <c r="N689" t="inlineStr">
        <is>
          <t>6-8</t>
        </is>
      </c>
      <c r="O689" t="inlineStr">
        <is>
          <t>10.5-13.0</t>
        </is>
      </c>
      <c r="P689" t="inlineStr">
        <is>
          <t>Emirates Intl School</t>
        </is>
      </c>
      <c r="Q689" t="inlineStr">
        <is>
          <t>Emirates Hospital</t>
        </is>
      </c>
      <c r="R689" t="inlineStr">
        <is>
          <t>Dubai Marina Mall</t>
        </is>
      </c>
      <c r="S689" t="inlineStr">
        <is>
          <t>Sheikh Zayed E11</t>
        </is>
      </c>
      <c r="T689" t="inlineStr">
        <is>
          <t>20</t>
        </is>
      </c>
      <c r="U689" t="inlineStr">
        <is>
          <t>2</t>
        </is>
      </c>
      <c r="V689" t="inlineStr">
        <is>
          <t>25</t>
        </is>
      </c>
      <c r="W689" t="inlineStr">
        <is>
          <t>30</t>
        </is>
      </c>
      <c r="X689" t="inlineStr">
        <is>
          <t>Guild.csv</t>
        </is>
      </c>
    </row>
    <row r="690">
      <c r="A690" t="n">
        <v>689</v>
      </c>
      <c r="B690" t="n">
        <v>153</v>
      </c>
      <c r="C690" t="inlineStr">
        <is>
          <t>La Vie</t>
        </is>
      </c>
      <c r="D690" t="inlineStr">
        <is>
          <t>Dubai Properties</t>
        </is>
      </c>
      <c r="E690" t="inlineStr">
        <is>
          <t>JBR</t>
        </is>
      </c>
      <c r="F690" t="inlineStr">
        <is>
          <t>Apartments</t>
        </is>
      </c>
      <c r="G690" t="inlineStr">
        <is>
          <t>Beachfront</t>
        </is>
      </c>
      <c r="H690" t="inlineStr">
        <is>
          <t>Resale (3M+)</t>
        </is>
      </c>
      <c r="I690" t="inlineStr">
        <is>
          <t>3200</t>
        </is>
      </c>
      <c r="J690" t="inlineStr">
        <is>
          <t>25</t>
        </is>
      </c>
      <c r="K690" t="inlineStr">
        <is>
          <t>Completed</t>
        </is>
      </c>
      <c r="L690" t="inlineStr">
        <is>
          <t>2019</t>
        </is>
      </c>
      <c r="M690" t="inlineStr">
        <is>
          <t>5.0-5.5</t>
        </is>
      </c>
      <c r="N690" t="inlineStr">
        <is>
          <t>6-8</t>
        </is>
      </c>
      <c r="O690" t="inlineStr">
        <is>
          <t>11.0-13.5</t>
        </is>
      </c>
      <c r="P690" t="inlineStr">
        <is>
          <t>Emirates Intl School</t>
        </is>
      </c>
      <c r="Q690" t="inlineStr">
        <is>
          <t>Emirates Hospital</t>
        </is>
      </c>
      <c r="R690" t="inlineStr">
        <is>
          <t>Dubai Marina Mall</t>
        </is>
      </c>
      <c r="S690" t="inlineStr">
        <is>
          <t>Sheikh Zayed E11</t>
        </is>
      </c>
      <c r="T690" t="inlineStr">
        <is>
          <t>20</t>
        </is>
      </c>
      <c r="U690" t="inlineStr">
        <is>
          <t>2</t>
        </is>
      </c>
      <c r="V690" t="inlineStr">
        <is>
          <t>25</t>
        </is>
      </c>
      <c r="W690" t="inlineStr">
        <is>
          <t>30</t>
        </is>
      </c>
      <c r="X690" t="inlineStr">
        <is>
          <t>Guild.csv</t>
        </is>
      </c>
    </row>
    <row r="691">
      <c r="A691" t="n">
        <v>690</v>
      </c>
      <c r="B691" t="n">
        <v>154</v>
      </c>
      <c r="C691" t="inlineStr">
        <is>
          <t>Riverside (Marasi Business Bay)</t>
        </is>
      </c>
      <c r="D691" t="inlineStr">
        <is>
          <t>Dubai Properties</t>
        </is>
      </c>
      <c r="E691" t="inlineStr">
        <is>
          <t>Business Bay</t>
        </is>
      </c>
      <c r="F691" t="inlineStr">
        <is>
          <t>Apartments</t>
        </is>
      </c>
      <c r="G691" t="inlineStr">
        <is>
          <t>Canal / City</t>
        </is>
      </c>
      <c r="H691" t="inlineStr">
        <is>
          <t>Resale (2M+)</t>
        </is>
      </c>
      <c r="I691" t="inlineStr">
        <is>
          <t>2000</t>
        </is>
      </c>
      <c r="J691" t="inlineStr">
        <is>
          <t>25</t>
        </is>
      </c>
      <c r="K691" t="inlineStr">
        <is>
          <t>Completed</t>
        </is>
      </c>
      <c r="L691" t="inlineStr">
        <is>
          <t>2017</t>
        </is>
      </c>
      <c r="M691" t="inlineStr">
        <is>
          <t>6.0-6.5</t>
        </is>
      </c>
      <c r="N691" t="inlineStr">
        <is>
          <t>5-7</t>
        </is>
      </c>
      <c r="O691" t="inlineStr">
        <is>
          <t>11.0-13.5</t>
        </is>
      </c>
      <c r="P691" t="inlineStr">
        <is>
          <t>Hartland Intl</t>
        </is>
      </c>
      <c r="Q691" t="inlineStr">
        <is>
          <t>Emirates Hospital BB</t>
        </is>
      </c>
      <c r="R691" t="inlineStr">
        <is>
          <t>Dubai Mall</t>
        </is>
      </c>
      <c r="S691" t="inlineStr">
        <is>
          <t>Al Khail E44</t>
        </is>
      </c>
      <c r="T691" t="inlineStr">
        <is>
          <t>5</t>
        </is>
      </c>
      <c r="U691" t="inlineStr">
        <is>
          <t>20</t>
        </is>
      </c>
      <c r="V691" t="inlineStr">
        <is>
          <t>15</t>
        </is>
      </c>
      <c r="W691" t="inlineStr">
        <is>
          <t>35</t>
        </is>
      </c>
      <c r="X691" t="inlineStr">
        <is>
          <t>Guild.csv</t>
        </is>
      </c>
    </row>
    <row r="692">
      <c r="A692" t="n">
        <v>691</v>
      </c>
      <c r="B692" t="n">
        <v>155</v>
      </c>
      <c r="C692" t="inlineStr">
        <is>
          <t>Bellevue Towers</t>
        </is>
      </c>
      <c r="D692" t="inlineStr">
        <is>
          <t>Dubai Properties</t>
        </is>
      </c>
      <c r="E692" t="inlineStr">
        <is>
          <t>Downtown Dubai</t>
        </is>
      </c>
      <c r="F692" t="inlineStr">
        <is>
          <t>Apartments</t>
        </is>
      </c>
      <c r="G692" t="inlineStr">
        <is>
          <t>City Centre</t>
        </is>
      </c>
      <c r="H692" t="inlineStr">
        <is>
          <t>Resale (1.8M+)</t>
        </is>
      </c>
      <c r="I692" t="inlineStr">
        <is>
          <t>1800</t>
        </is>
      </c>
      <c r="J692" t="inlineStr">
        <is>
          <t>22</t>
        </is>
      </c>
      <c r="K692" t="inlineStr">
        <is>
          <t>Completed</t>
        </is>
      </c>
      <c r="L692" t="inlineStr">
        <is>
          <t>2019</t>
        </is>
      </c>
      <c r="M692" t="inlineStr">
        <is>
          <t>6.0-6.5</t>
        </is>
      </c>
      <c r="N692" t="inlineStr">
        <is>
          <t>5-7</t>
        </is>
      </c>
      <c r="O692" t="inlineStr">
        <is>
          <t>11.0-13.5</t>
        </is>
      </c>
      <c r="P692" t="inlineStr">
        <is>
          <t>Hartland Intl</t>
        </is>
      </c>
      <c r="Q692" t="inlineStr">
        <is>
          <t>Emirates Hospital BB</t>
        </is>
      </c>
      <c r="R692" t="inlineStr">
        <is>
          <t>Dubai Mall</t>
        </is>
      </c>
      <c r="S692" t="inlineStr">
        <is>
          <t>Financial Ctr Rd</t>
        </is>
      </c>
      <c r="T692" t="inlineStr">
        <is>
          <t>5</t>
        </is>
      </c>
      <c r="U692" t="inlineStr">
        <is>
          <t>20</t>
        </is>
      </c>
      <c r="V692" t="inlineStr">
        <is>
          <t>15</t>
        </is>
      </c>
      <c r="W692" t="inlineStr">
        <is>
          <t>35</t>
        </is>
      </c>
      <c r="X692" t="inlineStr">
        <is>
          <t>Guild.csv</t>
        </is>
      </c>
    </row>
    <row r="693">
      <c r="A693" t="n">
        <v>692</v>
      </c>
      <c r="B693" t="n">
        <v>156</v>
      </c>
      <c r="C693" t="inlineStr">
        <is>
          <t>Executive Towers</t>
        </is>
      </c>
      <c r="D693" t="inlineStr">
        <is>
          <t>Dubai Properties</t>
        </is>
      </c>
      <c r="E693" t="inlineStr">
        <is>
          <t>Business Bay</t>
        </is>
      </c>
      <c r="F693" t="inlineStr">
        <is>
          <t>Apartments</t>
        </is>
      </c>
      <c r="G693" t="inlineStr">
        <is>
          <t>City / Commercial</t>
        </is>
      </c>
      <c r="H693" t="inlineStr">
        <is>
          <t>Resale (1.5M+)</t>
        </is>
      </c>
      <c r="I693" t="inlineStr">
        <is>
          <t>1200</t>
        </is>
      </c>
      <c r="J693" t="inlineStr">
        <is>
          <t>20</t>
        </is>
      </c>
      <c r="K693" t="inlineStr">
        <is>
          <t>Completed</t>
        </is>
      </c>
      <c r="L693" t="inlineStr">
        <is>
          <t>2008</t>
        </is>
      </c>
      <c r="M693" t="inlineStr">
        <is>
          <t>6.5-7.5</t>
        </is>
      </c>
      <c r="N693" t="inlineStr">
        <is>
          <t>4-6</t>
        </is>
      </c>
      <c r="O693" t="inlineStr">
        <is>
          <t>10.5-13.5</t>
        </is>
      </c>
      <c r="P693" t="inlineStr">
        <is>
          <t>Hartland Intl</t>
        </is>
      </c>
      <c r="Q693" t="inlineStr">
        <is>
          <t>Emirates Hospital BB</t>
        </is>
      </c>
      <c r="R693" t="inlineStr">
        <is>
          <t>Bay Avenue</t>
        </is>
      </c>
      <c r="S693" t="inlineStr">
        <is>
          <t>Sheikh Zayed E11</t>
        </is>
      </c>
      <c r="T693" t="inlineStr">
        <is>
          <t>5</t>
        </is>
      </c>
      <c r="U693" t="inlineStr">
        <is>
          <t>20</t>
        </is>
      </c>
      <c r="V693" t="inlineStr">
        <is>
          <t>15</t>
        </is>
      </c>
      <c r="W693" t="inlineStr">
        <is>
          <t>35</t>
        </is>
      </c>
      <c r="X693" t="inlineStr">
        <is>
          <t>Guild.csv</t>
        </is>
      </c>
    </row>
    <row r="694">
      <c r="A694" t="n">
        <v>693</v>
      </c>
      <c r="B694" t="n">
        <v>157</v>
      </c>
      <c r="C694" t="inlineStr">
        <is>
          <t>Bay Square</t>
        </is>
      </c>
      <c r="D694" t="inlineStr">
        <is>
          <t>Dubai Properties</t>
        </is>
      </c>
      <c r="E694" t="inlineStr">
        <is>
          <t>Business Bay</t>
        </is>
      </c>
      <c r="F694" t="inlineStr">
        <is>
          <t>Mixed Use</t>
        </is>
      </c>
      <c r="G694" t="inlineStr">
        <is>
          <t>City / Office</t>
        </is>
      </c>
      <c r="H694" t="inlineStr">
        <is>
          <t>Resale</t>
        </is>
      </c>
      <c r="I694" t="inlineStr">
        <is>
          <t>1300</t>
        </is>
      </c>
      <c r="J694" t="inlineStr">
        <is>
          <t>22</t>
        </is>
      </c>
      <c r="K694" t="inlineStr">
        <is>
          <t>Completed</t>
        </is>
      </c>
      <c r="L694" t="inlineStr">
        <is>
          <t>2010</t>
        </is>
      </c>
      <c r="M694" t="inlineStr">
        <is>
          <t>7.0-7.5</t>
        </is>
      </c>
      <c r="N694" t="inlineStr">
        <is>
          <t>4-6</t>
        </is>
      </c>
      <c r="O694" t="inlineStr">
        <is>
          <t>11.0-13.5</t>
        </is>
      </c>
      <c r="P694" t="inlineStr">
        <is>
          <t>Hartland Intl</t>
        </is>
      </c>
      <c r="Q694" t="inlineStr">
        <is>
          <t>Emirates Hospital BB</t>
        </is>
      </c>
      <c r="R694" t="inlineStr">
        <is>
          <t>Dubai Mall</t>
        </is>
      </c>
      <c r="S694" t="inlineStr">
        <is>
          <t>Al Khail E44</t>
        </is>
      </c>
      <c r="T694" t="inlineStr">
        <is>
          <t>5</t>
        </is>
      </c>
      <c r="U694" t="inlineStr">
        <is>
          <t>20</t>
        </is>
      </c>
      <c r="V694" t="inlineStr">
        <is>
          <t>15</t>
        </is>
      </c>
      <c r="W694" t="inlineStr">
        <is>
          <t>35</t>
        </is>
      </c>
      <c r="X694" t="inlineStr">
        <is>
          <t>Guild.csv</t>
        </is>
      </c>
    </row>
    <row r="695">
      <c r="A695" t="n">
        <v>694</v>
      </c>
      <c r="B695" t="n">
        <v>158</v>
      </c>
      <c r="C695" t="inlineStr">
        <is>
          <t>Serena: Bella Casa</t>
        </is>
      </c>
      <c r="D695" t="inlineStr">
        <is>
          <t>Dubai Properties</t>
        </is>
      </c>
      <c r="E695" t="inlineStr">
        <is>
          <t>Dubailand</t>
        </is>
      </c>
      <c r="F695" t="inlineStr">
        <is>
          <t>Townhouses</t>
        </is>
      </c>
      <c r="G695" t="inlineStr">
        <is>
          <t>Budget / Family</t>
        </is>
      </c>
      <c r="H695" t="inlineStr">
        <is>
          <t>Resale (1.6M+)</t>
        </is>
      </c>
      <c r="I695" t="inlineStr">
        <is>
          <t>950</t>
        </is>
      </c>
      <c r="J695" t="inlineStr">
        <is>
          <t>10</t>
        </is>
      </c>
      <c r="K695" t="inlineStr">
        <is>
          <t>Completed</t>
        </is>
      </c>
      <c r="L695" t="inlineStr">
        <is>
          <t>2016</t>
        </is>
      </c>
      <c r="M695" t="inlineStr">
        <is>
          <t>6.5-7.0</t>
        </is>
      </c>
      <c r="N695" t="inlineStr">
        <is>
          <t>5-7</t>
        </is>
      </c>
      <c r="O695" t="inlineStr">
        <is>
          <t>11.5-14.0</t>
        </is>
      </c>
      <c r="P695" t="inlineStr">
        <is>
          <t>Ranches Primary</t>
        </is>
      </c>
      <c r="Q695" t="inlineStr">
        <is>
          <t>Saudi German Hospital</t>
        </is>
      </c>
      <c r="R695" t="inlineStr">
        <is>
          <t>Serena Marketplace</t>
        </is>
      </c>
      <c r="S695" t="inlineStr">
        <is>
          <t>Al Qudra Rd</t>
        </is>
      </c>
      <c r="T695" t="inlineStr">
        <is>
          <t>25</t>
        </is>
      </c>
      <c r="U695" t="inlineStr">
        <is>
          <t>25</t>
        </is>
      </c>
      <c r="V695" t="inlineStr">
        <is>
          <t>30</t>
        </is>
      </c>
      <c r="W695" t="inlineStr">
        <is>
          <t>25</t>
        </is>
      </c>
      <c r="X695" t="inlineStr">
        <is>
          <t>Guild.csv</t>
        </is>
      </c>
    </row>
    <row r="696">
      <c r="A696" t="n">
        <v>695</v>
      </c>
      <c r="B696" t="n">
        <v>159</v>
      </c>
      <c r="C696" t="inlineStr">
        <is>
          <t>Serena: Casa Dora</t>
        </is>
      </c>
      <c r="D696" t="inlineStr">
        <is>
          <t>Dubai Properties</t>
        </is>
      </c>
      <c r="E696" t="inlineStr">
        <is>
          <t>Dubailand</t>
        </is>
      </c>
      <c r="F696" t="inlineStr">
        <is>
          <t>Townhouses</t>
        </is>
      </c>
      <c r="G696" t="inlineStr">
        <is>
          <t>Budget / Family</t>
        </is>
      </c>
      <c r="H696" t="inlineStr">
        <is>
          <t>Resale (1.6M+)</t>
        </is>
      </c>
      <c r="I696" t="inlineStr">
        <is>
          <t>950</t>
        </is>
      </c>
      <c r="J696" t="inlineStr">
        <is>
          <t>10</t>
        </is>
      </c>
      <c r="K696" t="inlineStr">
        <is>
          <t>Completed</t>
        </is>
      </c>
      <c r="L696" t="inlineStr">
        <is>
          <t>2016</t>
        </is>
      </c>
      <c r="M696" t="inlineStr">
        <is>
          <t>6.5-7.0</t>
        </is>
      </c>
      <c r="N696" t="inlineStr">
        <is>
          <t>5-7</t>
        </is>
      </c>
      <c r="O696" t="inlineStr">
        <is>
          <t>11.5-14.0</t>
        </is>
      </c>
      <c r="P696" t="inlineStr">
        <is>
          <t>Ranches Primary</t>
        </is>
      </c>
      <c r="Q696" t="inlineStr">
        <is>
          <t>Saudi German Hospital</t>
        </is>
      </c>
      <c r="R696" t="inlineStr">
        <is>
          <t>Serena Marketplace</t>
        </is>
      </c>
      <c r="S696" t="inlineStr">
        <is>
          <t>Al Qudra Rd</t>
        </is>
      </c>
      <c r="T696" t="inlineStr">
        <is>
          <t>25</t>
        </is>
      </c>
      <c r="U696" t="inlineStr">
        <is>
          <t>25</t>
        </is>
      </c>
      <c r="V696" t="inlineStr">
        <is>
          <t>30</t>
        </is>
      </c>
      <c r="W696" t="inlineStr">
        <is>
          <t>25</t>
        </is>
      </c>
      <c r="X696" t="inlineStr">
        <is>
          <t>Guild.csv</t>
        </is>
      </c>
    </row>
    <row r="697">
      <c r="A697" t="n">
        <v>696</v>
      </c>
      <c r="B697" t="n">
        <v>160</v>
      </c>
      <c r="C697" t="inlineStr">
        <is>
          <t>Serena: Casa Viva</t>
        </is>
      </c>
      <c r="D697" t="inlineStr">
        <is>
          <t>Dubai Properties</t>
        </is>
      </c>
      <c r="E697" t="inlineStr">
        <is>
          <t>Dubailand</t>
        </is>
      </c>
      <c r="F697" t="inlineStr">
        <is>
          <t>Townhouses</t>
        </is>
      </c>
      <c r="G697" t="inlineStr">
        <is>
          <t>Budget / Family</t>
        </is>
      </c>
      <c r="H697" t="inlineStr">
        <is>
          <t>Resale (1.7M+)</t>
        </is>
      </c>
      <c r="I697" t="inlineStr">
        <is>
          <t>950</t>
        </is>
      </c>
      <c r="J697" t="inlineStr">
        <is>
          <t>10</t>
        </is>
      </c>
      <c r="K697" t="inlineStr">
        <is>
          <t>Completed</t>
        </is>
      </c>
      <c r="L697" t="inlineStr">
        <is>
          <t>2017</t>
        </is>
      </c>
      <c r="M697" t="inlineStr">
        <is>
          <t>6.5-7.0</t>
        </is>
      </c>
      <c r="N697" t="inlineStr">
        <is>
          <t>5-7</t>
        </is>
      </c>
      <c r="O697" t="inlineStr">
        <is>
          <t>11.5-14.0</t>
        </is>
      </c>
      <c r="P697" t="inlineStr">
        <is>
          <t>Ranches Primary</t>
        </is>
      </c>
      <c r="Q697" t="inlineStr">
        <is>
          <t>Saudi German Hospital</t>
        </is>
      </c>
      <c r="R697" t="inlineStr">
        <is>
          <t>Serena Marketplace</t>
        </is>
      </c>
      <c r="S697" t="inlineStr">
        <is>
          <t>Al Qudra Rd</t>
        </is>
      </c>
      <c r="T697" t="inlineStr">
        <is>
          <t>25</t>
        </is>
      </c>
      <c r="U697" t="inlineStr">
        <is>
          <t>25</t>
        </is>
      </c>
      <c r="V697" t="inlineStr">
        <is>
          <t>30</t>
        </is>
      </c>
      <c r="W697" t="inlineStr">
        <is>
          <t>25</t>
        </is>
      </c>
      <c r="X697" t="inlineStr">
        <is>
          <t>Guild.csv</t>
        </is>
      </c>
    </row>
    <row r="698">
      <c r="A698" t="n">
        <v>697</v>
      </c>
      <c r="B698" t="n">
        <v>161</v>
      </c>
      <c r="C698" t="inlineStr">
        <is>
          <t>Remraam</t>
        </is>
      </c>
      <c r="D698" t="inlineStr">
        <is>
          <t>Dubai Properties</t>
        </is>
      </c>
      <c r="E698" t="inlineStr">
        <is>
          <t>Dubailand</t>
        </is>
      </c>
      <c r="F698" t="inlineStr">
        <is>
          <t>Apartments</t>
        </is>
      </c>
      <c r="G698" t="inlineStr">
        <is>
          <t>Budget / Community</t>
        </is>
      </c>
      <c r="H698" t="inlineStr">
        <is>
          <t>Resale (600k+)</t>
        </is>
      </c>
      <c r="I698" t="inlineStr">
        <is>
          <t>700</t>
        </is>
      </c>
      <c r="J698" t="inlineStr">
        <is>
          <t>12</t>
        </is>
      </c>
      <c r="K698" t="inlineStr">
        <is>
          <t>Completed</t>
        </is>
      </c>
      <c r="L698" t="inlineStr">
        <is>
          <t>2009</t>
        </is>
      </c>
      <c r="M698" t="inlineStr">
        <is>
          <t>7.5-8.0</t>
        </is>
      </c>
      <c r="N698" t="inlineStr">
        <is>
          <t>4-6</t>
        </is>
      </c>
      <c r="O698" t="inlineStr">
        <is>
          <t>11.5-14.0</t>
        </is>
      </c>
      <c r="P698" t="inlineStr">
        <is>
          <t>South View School</t>
        </is>
      </c>
      <c r="Q698" t="inlineStr">
        <is>
          <t>NMC Royal DIP</t>
        </is>
      </c>
      <c r="R698" t="inlineStr">
        <is>
          <t>Remraam Centre</t>
        </is>
      </c>
      <c r="S698" t="inlineStr">
        <is>
          <t>Hessa St / E611</t>
        </is>
      </c>
      <c r="T698" t="inlineStr">
        <is>
          <t>30</t>
        </is>
      </c>
      <c r="U698" t="inlineStr">
        <is>
          <t>20</t>
        </is>
      </c>
      <c r="V698" t="inlineStr">
        <is>
          <t>35</t>
        </is>
      </c>
      <c r="W698" t="inlineStr">
        <is>
          <t>20</t>
        </is>
      </c>
      <c r="X698" t="inlineStr">
        <is>
          <t>Guild.csv</t>
        </is>
      </c>
    </row>
    <row r="699">
      <c r="A699" t="n">
        <v>698</v>
      </c>
      <c r="B699" t="n">
        <v>162</v>
      </c>
      <c r="C699" t="inlineStr">
        <is>
          <t>Layan</t>
        </is>
      </c>
      <c r="D699" t="inlineStr">
        <is>
          <t>Dubai Properties</t>
        </is>
      </c>
      <c r="E699" t="inlineStr">
        <is>
          <t>Dubailand</t>
        </is>
      </c>
      <c r="F699" t="inlineStr">
        <is>
          <t>Villas &amp; Apts</t>
        </is>
      </c>
      <c r="G699" t="inlineStr">
        <is>
          <t>Gated / Quiet</t>
        </is>
      </c>
      <c r="H699" t="inlineStr">
        <is>
          <t>Resale (2.5M+)</t>
        </is>
      </c>
      <c r="I699" t="inlineStr">
        <is>
          <t>850</t>
        </is>
      </c>
      <c r="J699" t="inlineStr">
        <is>
          <t>12</t>
        </is>
      </c>
      <c r="K699" t="inlineStr">
        <is>
          <t>Completed</t>
        </is>
      </c>
      <c r="L699" t="inlineStr">
        <is>
          <t>2008</t>
        </is>
      </c>
      <c r="M699" t="inlineStr">
        <is>
          <t>6.0-6.5</t>
        </is>
      </c>
      <c r="N699" t="inlineStr">
        <is>
          <t>4-6</t>
        </is>
      </c>
      <c r="O699" t="inlineStr">
        <is>
          <t>10.0-12.5</t>
        </is>
      </c>
      <c r="P699" t="inlineStr">
        <is>
          <t>Ranches Primary</t>
        </is>
      </c>
      <c r="Q699" t="inlineStr">
        <is>
          <t>Saudi German Hospital</t>
        </is>
      </c>
      <c r="R699" t="inlineStr">
        <is>
          <t>The Ranches Souk</t>
        </is>
      </c>
      <c r="S699" t="inlineStr">
        <is>
          <t>Al Qudra Rd</t>
        </is>
      </c>
      <c r="T699" t="inlineStr">
        <is>
          <t>25</t>
        </is>
      </c>
      <c r="U699" t="inlineStr">
        <is>
          <t>25</t>
        </is>
      </c>
      <c r="V699" t="inlineStr">
        <is>
          <t>30</t>
        </is>
      </c>
      <c r="W699" t="inlineStr">
        <is>
          <t>25</t>
        </is>
      </c>
      <c r="X699" t="inlineStr">
        <is>
          <t>Guild.csv</t>
        </is>
      </c>
    </row>
    <row r="700">
      <c r="A700" t="n">
        <v>699</v>
      </c>
      <c r="B700" t="n">
        <v>163</v>
      </c>
      <c r="C700" t="inlineStr">
        <is>
          <t>The Villa</t>
        </is>
      </c>
      <c r="D700" t="inlineStr">
        <is>
          <t>Dubai Properties</t>
        </is>
      </c>
      <c r="E700" t="inlineStr">
        <is>
          <t>Dubailand</t>
        </is>
      </c>
      <c r="F700" t="inlineStr">
        <is>
          <t>Villas</t>
        </is>
      </c>
      <c r="G700" t="inlineStr">
        <is>
          <t>Spanish Style</t>
        </is>
      </c>
      <c r="H700" t="inlineStr">
        <is>
          <t>Resale (4.5M+)</t>
        </is>
      </c>
      <c r="I700" t="inlineStr">
        <is>
          <t>900</t>
        </is>
      </c>
      <c r="J700" t="inlineStr">
        <is>
          <t>10</t>
        </is>
      </c>
      <c r="K700" t="inlineStr">
        <is>
          <t>Completed</t>
        </is>
      </c>
      <c r="L700" t="inlineStr">
        <is>
          <t>2009</t>
        </is>
      </c>
      <c r="M700" t="inlineStr">
        <is>
          <t>5.5-6.0</t>
        </is>
      </c>
      <c r="N700" t="inlineStr">
        <is>
          <t>5-7</t>
        </is>
      </c>
      <c r="O700" t="inlineStr">
        <is>
          <t>10.5-13.0</t>
        </is>
      </c>
      <c r="P700" t="inlineStr">
        <is>
          <t>GEMS FirstPoint</t>
        </is>
      </c>
      <c r="Q700" t="inlineStr">
        <is>
          <t>Fakeeh University Hosp</t>
        </is>
      </c>
      <c r="R700" t="inlineStr">
        <is>
          <t>The Villa Centro</t>
        </is>
      </c>
      <c r="S700" t="inlineStr">
        <is>
          <t>Al Ain Rd / E611</t>
        </is>
      </c>
      <c r="T700" t="inlineStr">
        <is>
          <t>25</t>
        </is>
      </c>
      <c r="U700" t="inlineStr">
        <is>
          <t>30</t>
        </is>
      </c>
      <c r="V700" t="inlineStr">
        <is>
          <t>25</t>
        </is>
      </c>
      <c r="W700" t="inlineStr">
        <is>
          <t>30</t>
        </is>
      </c>
      <c r="X700" t="inlineStr">
        <is>
          <t>Guild.csv</t>
        </is>
      </c>
    </row>
    <row r="701">
      <c r="A701" t="n">
        <v>700</v>
      </c>
      <c r="B701" t="n">
        <v>164</v>
      </c>
      <c r="C701" t="inlineStr">
        <is>
          <t>Manazel Al Khor</t>
        </is>
      </c>
      <c r="D701" t="inlineStr">
        <is>
          <t>Dubai Properties</t>
        </is>
      </c>
      <c r="E701" t="inlineStr">
        <is>
          <t>Culture Village</t>
        </is>
      </c>
      <c r="F701" t="inlineStr">
        <is>
          <t>Apartments</t>
        </is>
      </c>
      <c r="G701" t="inlineStr">
        <is>
          <t>Creek / Traditional</t>
        </is>
      </c>
      <c r="H701" t="inlineStr">
        <is>
          <t>Resale (2M+)</t>
        </is>
      </c>
      <c r="I701" t="inlineStr">
        <is>
          <t>1500</t>
        </is>
      </c>
      <c r="J701" t="inlineStr">
        <is>
          <t>18</t>
        </is>
      </c>
      <c r="K701" t="inlineStr">
        <is>
          <t>Completed</t>
        </is>
      </c>
      <c r="L701" t="inlineStr">
        <is>
          <t>2016</t>
        </is>
      </c>
      <c r="M701" t="inlineStr">
        <is>
          <t>5.5-6.0</t>
        </is>
      </c>
      <c r="N701" t="inlineStr">
        <is>
          <t>5-7</t>
        </is>
      </c>
      <c r="O701" t="inlineStr">
        <is>
          <t>10.5-13.0</t>
        </is>
      </c>
      <c r="P701" t="inlineStr">
        <is>
          <t>Swiss Intl School</t>
        </is>
      </c>
      <c r="Q701" t="inlineStr">
        <is>
          <t>American Hospital</t>
        </is>
      </c>
      <c r="R701" t="inlineStr">
        <is>
          <t>Dubai Festival City</t>
        </is>
      </c>
      <c r="S701" t="inlineStr">
        <is>
          <t>Ras Al Khor / E44</t>
        </is>
      </c>
      <c r="T701" t="inlineStr">
        <is>
          <t>12</t>
        </is>
      </c>
      <c r="U701" t="inlineStr">
        <is>
          <t>25</t>
        </is>
      </c>
      <c r="V701" t="inlineStr">
        <is>
          <t>10</t>
        </is>
      </c>
      <c r="W701" t="inlineStr">
        <is>
          <t>40</t>
        </is>
      </c>
      <c r="X701" t="inlineStr">
        <is>
          <t>Guild.csv</t>
        </is>
      </c>
    </row>
    <row r="702">
      <c r="A702" t="n">
        <v>701</v>
      </c>
      <c r="B702" t="n">
        <v>165</v>
      </c>
      <c r="C702" t="inlineStr">
        <is>
          <t>Dubai Wharf</t>
        </is>
      </c>
      <c r="D702" t="inlineStr">
        <is>
          <t>Dubai Properties</t>
        </is>
      </c>
      <c r="E702" t="inlineStr">
        <is>
          <t>Culture Village</t>
        </is>
      </c>
      <c r="F702" t="inlineStr">
        <is>
          <t>Apartments</t>
        </is>
      </c>
      <c r="G702" t="inlineStr">
        <is>
          <t>Creek / Modern</t>
        </is>
      </c>
      <c r="H702" t="inlineStr">
        <is>
          <t>Resale (1.5M+)</t>
        </is>
      </c>
      <c r="I702" t="inlineStr">
        <is>
          <t>1300</t>
        </is>
      </c>
      <c r="J702" t="inlineStr">
        <is>
          <t>18</t>
        </is>
      </c>
      <c r="K702" t="inlineStr">
        <is>
          <t>Completed</t>
        </is>
      </c>
      <c r="L702" t="inlineStr">
        <is>
          <t>2017</t>
        </is>
      </c>
      <c r="M702" t="inlineStr">
        <is>
          <t>6.0-6.5</t>
        </is>
      </c>
      <c r="N702" t="inlineStr">
        <is>
          <t>5-7</t>
        </is>
      </c>
      <c r="O702" t="inlineStr">
        <is>
          <t>11.0-13.5</t>
        </is>
      </c>
      <c r="P702" t="inlineStr">
        <is>
          <t>Swiss Intl School</t>
        </is>
      </c>
      <c r="Q702" t="inlineStr">
        <is>
          <t>American Hospital</t>
        </is>
      </c>
      <c r="R702" t="inlineStr">
        <is>
          <t>Dubai Festival City</t>
        </is>
      </c>
      <c r="S702" t="inlineStr">
        <is>
          <t>Ras Al Khor / E44</t>
        </is>
      </c>
      <c r="T702" t="inlineStr">
        <is>
          <t>12</t>
        </is>
      </c>
      <c r="U702" t="inlineStr">
        <is>
          <t>25</t>
        </is>
      </c>
      <c r="V702" t="inlineStr">
        <is>
          <t>10</t>
        </is>
      </c>
      <c r="W702" t="inlineStr">
        <is>
          <t>40</t>
        </is>
      </c>
      <c r="X702" t="inlineStr">
        <is>
          <t>Guild.csv</t>
        </is>
      </c>
    </row>
    <row r="703">
      <c r="A703" t="n">
        <v>702</v>
      </c>
      <c r="B703" t="n">
        <v>166</v>
      </c>
      <c r="C703" t="inlineStr">
        <is>
          <t>Haven (Master Community)</t>
        </is>
      </c>
      <c r="D703" t="inlineStr">
        <is>
          <t>Aldar Properties</t>
        </is>
      </c>
      <c r="E703" t="inlineStr">
        <is>
          <t>Dubailand (Opp Al Habtoor)</t>
        </is>
      </c>
      <c r="F703" t="inlineStr">
        <is>
          <t>Villas &amp; Townhouses</t>
        </is>
      </c>
      <c r="G703" t="inlineStr">
        <is>
          <t>Wellness / Green</t>
        </is>
      </c>
      <c r="H703" t="inlineStr">
        <is>
          <t>2.5M</t>
        </is>
      </c>
      <c r="I703" t="inlineStr">
        <is>
          <t>1400</t>
        </is>
      </c>
      <c r="J703" t="inlineStr">
        <is>
          <t>15</t>
        </is>
      </c>
      <c r="K703" t="inlineStr">
        <is>
          <t>60/40</t>
        </is>
      </c>
      <c r="L703" t="inlineStr">
        <is>
          <t>2023</t>
        </is>
      </c>
      <c r="M703" t="inlineStr">
        <is>
          <t>6.0-6.5</t>
        </is>
      </c>
      <c r="N703" t="inlineStr">
        <is>
          <t>10-12</t>
        </is>
      </c>
      <c r="O703" t="inlineStr">
        <is>
          <t>16.0-18.5</t>
        </is>
      </c>
      <c r="P703" t="inlineStr">
        <is>
          <t>GEMS Metropole</t>
        </is>
      </c>
      <c r="Q703" t="inlineStr">
        <is>
          <t>Mediclinic Parkview</t>
        </is>
      </c>
      <c r="R703" t="inlineStr">
        <is>
          <t>Cityland Mall</t>
        </is>
      </c>
      <c r="S703" t="inlineStr">
        <is>
          <t>E611 / Al Ain Rd</t>
        </is>
      </c>
      <c r="T703" t="inlineStr">
        <is>
          <t>20</t>
        </is>
      </c>
      <c r="U703" t="inlineStr">
        <is>
          <t>25</t>
        </is>
      </c>
      <c r="V703" t="inlineStr">
        <is>
          <t>25</t>
        </is>
      </c>
      <c r="W703" t="inlineStr">
        <is>
          <t>30</t>
        </is>
      </c>
      <c r="X703" t="inlineStr">
        <is>
          <t>Guild.csv</t>
        </is>
      </c>
    </row>
    <row r="704">
      <c r="A704" t="n">
        <v>703</v>
      </c>
      <c r="B704" t="n">
        <v>167</v>
      </c>
      <c r="C704" t="inlineStr">
        <is>
          <t>Verdes by Haven</t>
        </is>
      </c>
      <c r="D704" t="inlineStr">
        <is>
          <t>Aldar Properties</t>
        </is>
      </c>
      <c r="E704" t="inlineStr">
        <is>
          <t>Haven Community</t>
        </is>
      </c>
      <c r="F704" t="inlineStr">
        <is>
          <t>Apartments</t>
        </is>
      </c>
      <c r="G704" t="inlineStr">
        <is>
          <t>Wellness / Green</t>
        </is>
      </c>
      <c r="H704" t="inlineStr">
        <is>
          <t>1.6M</t>
        </is>
      </c>
      <c r="I704" t="inlineStr">
        <is>
          <t>1600</t>
        </is>
      </c>
      <c r="J704" t="inlineStr">
        <is>
          <t>18</t>
        </is>
      </c>
      <c r="K704" t="inlineStr">
        <is>
          <t>60/40</t>
        </is>
      </c>
      <c r="L704" t="inlineStr">
        <is>
          <t>2024</t>
        </is>
      </c>
      <c r="M704" t="inlineStr">
        <is>
          <t>6.5-7.0</t>
        </is>
      </c>
      <c r="N704" t="inlineStr">
        <is>
          <t>10-12</t>
        </is>
      </c>
      <c r="O704" t="inlineStr">
        <is>
          <t>16.5-19.0</t>
        </is>
      </c>
      <c r="P704" t="inlineStr">
        <is>
          <t>GEMS Metropole</t>
        </is>
      </c>
      <c r="Q704" t="inlineStr">
        <is>
          <t>Mediclinic Parkview</t>
        </is>
      </c>
      <c r="R704" t="inlineStr">
        <is>
          <t>Cityland Mall</t>
        </is>
      </c>
      <c r="S704" t="inlineStr">
        <is>
          <t>E611 / Al Ain Rd</t>
        </is>
      </c>
      <c r="T704" t="inlineStr">
        <is>
          <t>20</t>
        </is>
      </c>
      <c r="U704" t="inlineStr">
        <is>
          <t>25</t>
        </is>
      </c>
      <c r="V704" t="inlineStr">
        <is>
          <t>25</t>
        </is>
      </c>
      <c r="W704" t="inlineStr">
        <is>
          <t>30</t>
        </is>
      </c>
      <c r="X704" t="inlineStr">
        <is>
          <t>Guild.csv</t>
        </is>
      </c>
    </row>
    <row r="705">
      <c r="A705" t="n">
        <v>704</v>
      </c>
      <c r="B705" t="n">
        <v>168</v>
      </c>
      <c r="C705" t="inlineStr">
        <is>
          <t>Athlon (Master Community)</t>
        </is>
      </c>
      <c r="D705" t="inlineStr">
        <is>
          <t>Aldar Properties</t>
        </is>
      </c>
      <c r="E705" t="inlineStr">
        <is>
          <t>Dubailand (Near Global Vill)</t>
        </is>
      </c>
      <c r="F705" t="inlineStr">
        <is>
          <t>Villas &amp; Townhouses</t>
        </is>
      </c>
      <c r="G705" t="inlineStr">
        <is>
          <t>Active / Sports</t>
        </is>
      </c>
      <c r="H705" t="inlineStr">
        <is>
          <t>2.8M (TH) / 4.6M (Villa)</t>
        </is>
      </c>
      <c r="I705" t="inlineStr">
        <is>
          <t>1300-1500</t>
        </is>
      </c>
      <c r="J705" t="inlineStr">
        <is>
          <t>15</t>
        </is>
      </c>
      <c r="K705" t="inlineStr">
        <is>
          <t>5/55/40</t>
        </is>
      </c>
      <c r="L705" t="inlineStr">
        <is>
          <t>2024</t>
        </is>
      </c>
      <c r="M705" t="inlineStr">
        <is>
          <t>6.0-6.5</t>
        </is>
      </c>
      <c r="N705" t="inlineStr">
        <is>
          <t>10-12</t>
        </is>
      </c>
      <c r="O705" t="inlineStr">
        <is>
          <t>16.0-18.5</t>
        </is>
      </c>
      <c r="P705" t="inlineStr">
        <is>
          <t>GEMS Winchester</t>
        </is>
      </c>
      <c r="Q705" t="inlineStr">
        <is>
          <t>Fakeeh University Hosp</t>
        </is>
      </c>
      <c r="R705" t="inlineStr">
        <is>
          <t>Global Village</t>
        </is>
      </c>
      <c r="S705" t="inlineStr">
        <is>
          <t>E611 / Sheikh Zayed Bin Hamdan</t>
        </is>
      </c>
      <c r="T705" t="inlineStr">
        <is>
          <t>20</t>
        </is>
      </c>
      <c r="U705" t="inlineStr">
        <is>
          <t>25</t>
        </is>
      </c>
      <c r="V705" t="inlineStr">
        <is>
          <t>25</t>
        </is>
      </c>
      <c r="W705" t="inlineStr">
        <is>
          <t>30</t>
        </is>
      </c>
      <c r="X705" t="inlineStr">
        <is>
          <t>Guild.csv</t>
        </is>
      </c>
    </row>
    <row r="706">
      <c r="A706" t="n">
        <v>705</v>
      </c>
      <c r="B706" t="n">
        <v>169</v>
      </c>
      <c r="C706" t="inlineStr">
        <is>
          <t>Rise by Athlon</t>
        </is>
      </c>
      <c r="D706" t="inlineStr">
        <is>
          <t>Aldar Properties</t>
        </is>
      </c>
      <c r="E706" t="inlineStr">
        <is>
          <t>Athlon Community</t>
        </is>
      </c>
      <c r="F706" t="inlineStr">
        <is>
          <t>Apartments/TH</t>
        </is>
      </c>
      <c r="G706" t="inlineStr">
        <is>
          <t>Active / Sports</t>
        </is>
      </c>
      <c r="H706" t="inlineStr">
        <is>
          <t>1.35M</t>
        </is>
      </c>
      <c r="I706" t="inlineStr">
        <is>
          <t>1400</t>
        </is>
      </c>
      <c r="J706" t="inlineStr">
        <is>
          <t>15</t>
        </is>
      </c>
      <c r="K706" t="inlineStr">
        <is>
          <t>5/55/40</t>
        </is>
      </c>
      <c r="L706" t="inlineStr">
        <is>
          <t>2024</t>
        </is>
      </c>
      <c r="M706" t="inlineStr">
        <is>
          <t>6.5-7.0</t>
        </is>
      </c>
      <c r="N706" t="inlineStr">
        <is>
          <t>10-12</t>
        </is>
      </c>
      <c r="O706" t="inlineStr">
        <is>
          <t>16.5-19.0</t>
        </is>
      </c>
      <c r="P706" t="inlineStr">
        <is>
          <t>GEMS Winchester</t>
        </is>
      </c>
      <c r="Q706" t="inlineStr">
        <is>
          <t>Fakeeh University Hosp</t>
        </is>
      </c>
      <c r="R706" t="inlineStr">
        <is>
          <t>Global Village</t>
        </is>
      </c>
      <c r="S706" t="inlineStr">
        <is>
          <t>E611 / Sheikh Zayed Bin Hamdan</t>
        </is>
      </c>
      <c r="T706" t="inlineStr">
        <is>
          <t>20</t>
        </is>
      </c>
      <c r="U706" t="inlineStr">
        <is>
          <t>25</t>
        </is>
      </c>
      <c r="V706" t="inlineStr">
        <is>
          <t>25</t>
        </is>
      </c>
      <c r="W706" t="inlineStr">
        <is>
          <t>30</t>
        </is>
      </c>
      <c r="X706" t="inlineStr">
        <is>
          <t>Guild.csv</t>
        </is>
      </c>
    </row>
    <row r="707">
      <c r="A707" t="n">
        <v>706</v>
      </c>
      <c r="B707" t="n">
        <v>170</v>
      </c>
      <c r="C707" t="inlineStr">
        <is>
          <t>The Wilds</t>
        </is>
      </c>
      <c r="D707" t="inlineStr">
        <is>
          <t>Aldar Properties</t>
        </is>
      </c>
      <c r="E707" t="inlineStr">
        <is>
          <t>Athlon Community</t>
        </is>
      </c>
      <c r="F707" t="inlineStr">
        <is>
          <t>Villas</t>
        </is>
      </c>
      <c r="G707" t="inlineStr">
        <is>
          <t>Nature / Sports</t>
        </is>
      </c>
      <c r="H707" t="inlineStr">
        <is>
          <t>3.9M</t>
        </is>
      </c>
      <c r="I707" t="inlineStr">
        <is>
          <t>1500</t>
        </is>
      </c>
      <c r="J707" t="inlineStr">
        <is>
          <t>15</t>
        </is>
      </c>
      <c r="K707" t="inlineStr">
        <is>
          <t>50/50</t>
        </is>
      </c>
      <c r="L707" t="inlineStr">
        <is>
          <t>2024</t>
        </is>
      </c>
      <c r="M707" t="inlineStr">
        <is>
          <t>6.0-6.5</t>
        </is>
      </c>
      <c r="N707" t="inlineStr">
        <is>
          <t>10-12</t>
        </is>
      </c>
      <c r="O707" t="inlineStr">
        <is>
          <t>16.0-18.5</t>
        </is>
      </c>
      <c r="P707" t="inlineStr">
        <is>
          <t>GEMS Winchester</t>
        </is>
      </c>
      <c r="Q707" t="inlineStr">
        <is>
          <t>Fakeeh University Hosp</t>
        </is>
      </c>
      <c r="R707" t="inlineStr">
        <is>
          <t>Global Village</t>
        </is>
      </c>
      <c r="S707" t="inlineStr">
        <is>
          <t>E611 / Sheikh Zayed Bin Hamdan</t>
        </is>
      </c>
      <c r="T707" t="inlineStr">
        <is>
          <t>20</t>
        </is>
      </c>
      <c r="U707" t="inlineStr">
        <is>
          <t>25</t>
        </is>
      </c>
      <c r="V707" t="inlineStr">
        <is>
          <t>25</t>
        </is>
      </c>
      <c r="W707" t="inlineStr">
        <is>
          <t>30</t>
        </is>
      </c>
      <c r="X707" t="inlineStr">
        <is>
          <t>Guild.csv</t>
        </is>
      </c>
    </row>
    <row r="708">
      <c r="A708" t="n">
        <v>707</v>
      </c>
      <c r="B708" t="n">
        <v>171</v>
      </c>
      <c r="C708" t="inlineStr">
        <is>
          <t>Nikki Beach Residences RAK</t>
        </is>
      </c>
      <c r="D708" t="inlineStr">
        <is>
          <t>Aldar Properties</t>
        </is>
      </c>
      <c r="E708" t="inlineStr">
        <is>
          <t>Ras Al Khaimah (Marjan)</t>
        </is>
      </c>
      <c r="F708" t="inlineStr">
        <is>
          <t>Apartments</t>
        </is>
      </c>
      <c r="G708" t="inlineStr">
        <is>
          <t>Beach / Resort</t>
        </is>
      </c>
      <c r="H708" t="inlineStr">
        <is>
          <t>2.0M</t>
        </is>
      </c>
      <c r="I708" t="inlineStr">
        <is>
          <t>2200</t>
        </is>
      </c>
      <c r="J708" t="inlineStr">
        <is>
          <t>TBA</t>
        </is>
      </c>
      <c r="K708" t="inlineStr">
        <is>
          <t>60/40</t>
        </is>
      </c>
      <c r="L708" t="inlineStr">
        <is>
          <t>2023</t>
        </is>
      </c>
      <c r="M708" t="inlineStr">
        <is>
          <t>6.5-7.5</t>
        </is>
      </c>
      <c r="N708" t="inlineStr">
        <is>
          <t>10-15</t>
        </is>
      </c>
      <c r="O708" t="inlineStr">
        <is>
          <t>16.5-22.5</t>
        </is>
      </c>
      <c r="P708" t="inlineStr">
        <is>
          <t>RAK Academy</t>
        </is>
      </c>
      <c r="Q708" t="inlineStr">
        <is>
          <t>RAK Hospital</t>
        </is>
      </c>
      <c r="R708" t="inlineStr">
        <is>
          <t>Al Hamra Mall</t>
        </is>
      </c>
      <c r="S708" t="inlineStr">
        <is>
          <t>E11 (RAK)</t>
        </is>
      </c>
      <c r="T708" t="inlineStr">
        <is>
          <t>60+</t>
        </is>
      </c>
      <c r="U708" t="inlineStr">
        <is>
          <t>60+</t>
        </is>
      </c>
      <c r="V708" t="inlineStr">
        <is>
          <t>50</t>
        </is>
      </c>
      <c r="W708" t="inlineStr">
        <is>
          <t>60+</t>
        </is>
      </c>
      <c r="X708" t="inlineStr">
        <is>
          <t>Guild.csv</t>
        </is>
      </c>
    </row>
    <row r="709">
      <c r="A709" t="n">
        <v>708</v>
      </c>
      <c r="B709" t="n">
        <v>172</v>
      </c>
      <c r="C709" t="inlineStr">
        <is>
          <t>Rosso Bay (Dubai Marketed)</t>
        </is>
      </c>
      <c r="D709" t="inlineStr">
        <is>
          <t>Aldar Properties</t>
        </is>
      </c>
      <c r="E709" t="inlineStr">
        <is>
          <t>Ras Al Khaimah (Marjan)</t>
        </is>
      </c>
      <c r="F709" t="inlineStr">
        <is>
          <t>Apartments</t>
        </is>
      </c>
      <c r="G709" t="inlineStr">
        <is>
          <t>Beach / Resort</t>
        </is>
      </c>
      <c r="H709" t="inlineStr">
        <is>
          <t>1.8M</t>
        </is>
      </c>
      <c r="I709" t="inlineStr">
        <is>
          <t>2000</t>
        </is>
      </c>
      <c r="J709" t="inlineStr">
        <is>
          <t>TBA</t>
        </is>
      </c>
      <c r="K709" t="inlineStr">
        <is>
          <t>60/40</t>
        </is>
      </c>
      <c r="L709" t="inlineStr">
        <is>
          <t>2023</t>
        </is>
      </c>
      <c r="M709" t="inlineStr">
        <is>
          <t>6.5-7.5</t>
        </is>
      </c>
      <c r="N709" t="inlineStr">
        <is>
          <t>10-15</t>
        </is>
      </c>
      <c r="O709" t="inlineStr">
        <is>
          <t>16.5-22.5</t>
        </is>
      </c>
      <c r="P709" t="inlineStr">
        <is>
          <t>RAK Academy</t>
        </is>
      </c>
      <c r="Q709" t="inlineStr">
        <is>
          <t>RAK Hospital</t>
        </is>
      </c>
      <c r="R709" t="inlineStr">
        <is>
          <t>Al Hamra Mall</t>
        </is>
      </c>
      <c r="S709" t="inlineStr">
        <is>
          <t>E11 (RAK)</t>
        </is>
      </c>
      <c r="T709" t="inlineStr">
        <is>
          <t>60+</t>
        </is>
      </c>
      <c r="U709" t="inlineStr">
        <is>
          <t>60+</t>
        </is>
      </c>
      <c r="V709" t="inlineStr">
        <is>
          <t>50</t>
        </is>
      </c>
      <c r="W709" t="inlineStr">
        <is>
          <t>60+</t>
        </is>
      </c>
      <c r="X709" t="inlineStr">
        <is>
          <t>Guild.csv</t>
        </is>
      </c>
    </row>
    <row r="710">
      <c r="A710" t="n">
        <v>709</v>
      </c>
      <c r="B710" t="n">
        <v>173</v>
      </c>
      <c r="C710" t="inlineStr">
        <is>
          <t>Sun City (Master Community)</t>
        </is>
      </c>
      <c r="D710" t="inlineStr">
        <is>
          <t>DAMAC Properties</t>
        </is>
      </c>
      <c r="E710" t="inlineStr">
        <is>
          <t>Dubailand (Cherrywoods)</t>
        </is>
      </c>
      <c r="F710" t="inlineStr">
        <is>
          <t>Townhouses (4/5 Bed)</t>
        </is>
      </c>
      <c r="G710" t="inlineStr">
        <is>
          <t>Wellness / Nature</t>
        </is>
      </c>
      <c r="H710" t="inlineStr">
        <is>
          <t>2.25M</t>
        </is>
      </c>
      <c r="I710" t="inlineStr">
        <is>
          <t>1000</t>
        </is>
      </c>
      <c r="J710" t="inlineStr">
        <is>
          <t>TBA</t>
        </is>
      </c>
      <c r="K710" t="inlineStr">
        <is>
          <t>75/25</t>
        </is>
      </c>
      <c r="L710" t="inlineStr">
        <is>
          <t>2024</t>
        </is>
      </c>
      <c r="M710" t="inlineStr">
        <is>
          <t>6.5-7.0</t>
        </is>
      </c>
      <c r="N710" t="inlineStr">
        <is>
          <t>12-15</t>
        </is>
      </c>
      <c r="O710" t="inlineStr">
        <is>
          <t>18.5-22.0</t>
        </is>
      </c>
      <c r="P710" t="inlineStr">
        <is>
          <t>Ranches Primary</t>
        </is>
      </c>
      <c r="Q710" t="inlineStr">
        <is>
          <t>King's College Hospital</t>
        </is>
      </c>
      <c r="R710" t="inlineStr">
        <is>
          <t>Dubai Hills Mall</t>
        </is>
      </c>
      <c r="S710" t="inlineStr">
        <is>
          <t>Al Qudra Rd</t>
        </is>
      </c>
      <c r="T710" t="inlineStr">
        <is>
          <t>25</t>
        </is>
      </c>
      <c r="U710" t="inlineStr">
        <is>
          <t>20</t>
        </is>
      </c>
      <c r="V710" t="inlineStr">
        <is>
          <t>30</t>
        </is>
      </c>
      <c r="W710" t="inlineStr">
        <is>
          <t>25</t>
        </is>
      </c>
      <c r="X710" t="inlineStr">
        <is>
          <t>Guild.csv</t>
        </is>
      </c>
    </row>
    <row r="711">
      <c r="A711" t="n">
        <v>710</v>
      </c>
      <c r="B711" t="n">
        <v>174</v>
      </c>
      <c r="C711" t="inlineStr">
        <is>
          <t>Cherrywoods District</t>
        </is>
      </c>
      <c r="D711" t="inlineStr">
        <is>
          <t>DAMAC Properties</t>
        </is>
      </c>
      <c r="E711" t="inlineStr">
        <is>
          <t>Dubailand</t>
        </is>
      </c>
      <c r="F711" t="inlineStr">
        <is>
          <t>Townhouses</t>
        </is>
      </c>
      <c r="G711" t="inlineStr">
        <is>
          <t>Gated</t>
        </is>
      </c>
      <c r="H711" t="inlineStr">
        <is>
          <t>Resale</t>
        </is>
      </c>
      <c r="I711" t="inlineStr">
        <is>
          <t>1100</t>
        </is>
      </c>
      <c r="J711" t="inlineStr">
        <is>
          <t>TBA</t>
        </is>
      </c>
      <c r="K711" t="inlineStr">
        <is>
          <t>Completed</t>
        </is>
      </c>
      <c r="L711" t="inlineStr">
        <is>
          <t>2021</t>
        </is>
      </c>
      <c r="M711" t="inlineStr">
        <is>
          <t>6.5-7.0</t>
        </is>
      </c>
      <c r="N711" t="inlineStr">
        <is>
          <t>6-8</t>
        </is>
      </c>
      <c r="O711" t="inlineStr">
        <is>
          <t>12.5-15.0</t>
        </is>
      </c>
      <c r="P711" t="inlineStr">
        <is>
          <t>Ranches Primary</t>
        </is>
      </c>
      <c r="Q711" t="inlineStr">
        <is>
          <t>King's College Hospital</t>
        </is>
      </c>
      <c r="R711" t="inlineStr">
        <is>
          <t>Dubai Hills Mall</t>
        </is>
      </c>
      <c r="S711" t="inlineStr">
        <is>
          <t>Al Qudra Rd</t>
        </is>
      </c>
      <c r="T711" t="inlineStr">
        <is>
          <t>25</t>
        </is>
      </c>
      <c r="U711" t="inlineStr">
        <is>
          <t>20</t>
        </is>
      </c>
      <c r="V711" t="inlineStr">
        <is>
          <t>30</t>
        </is>
      </c>
      <c r="W711" t="inlineStr">
        <is>
          <t>25</t>
        </is>
      </c>
      <c r="X711" t="inlineStr">
        <is>
          <t>Guild.csv</t>
        </is>
      </c>
    </row>
    <row r="712">
      <c r="A712" t="n">
        <v>711</v>
      </c>
      <c r="B712" t="n">
        <v>175</v>
      </c>
      <c r="C712" t="inlineStr">
        <is>
          <t>DAMAC Lagoons (Master Community)</t>
        </is>
      </c>
      <c r="D712" t="inlineStr">
        <is>
          <t>DAMAC Properties</t>
        </is>
      </c>
      <c r="E712" t="inlineStr">
        <is>
          <t>Hessa Street</t>
        </is>
      </c>
      <c r="F712" t="inlineStr">
        <is>
          <t>Townhouses &amp; Villas</t>
        </is>
      </c>
      <c r="G712" t="inlineStr">
        <is>
          <t>Water / Lagoon</t>
        </is>
      </c>
      <c r="J712" t="inlineStr">
        <is>
          <t>12-15</t>
        </is>
      </c>
      <c r="K712" t="inlineStr">
        <is>
          <t>Varies</t>
        </is>
      </c>
      <c r="L712" t="inlineStr">
        <is>
          <t>2021-2025</t>
        </is>
      </c>
      <c r="M712" t="inlineStr">
        <is>
          <t>6.0-7.0</t>
        </is>
      </c>
      <c r="N712" t="inlineStr">
        <is>
          <t>8-12</t>
        </is>
      </c>
      <c r="O712" t="inlineStr">
        <is>
          <t>14.0-19.0</t>
        </is>
      </c>
      <c r="P712" t="inlineStr">
        <is>
          <t>Royal Grammar</t>
        </is>
      </c>
      <c r="Q712" t="inlineStr">
        <is>
          <t>Mediclinic Parkview</t>
        </is>
      </c>
      <c r="R712" t="inlineStr">
        <is>
          <t>First Avenue Mall</t>
        </is>
      </c>
      <c r="S712" t="inlineStr">
        <is>
          <t>Hessa St / E611</t>
        </is>
      </c>
      <c r="T712" t="inlineStr">
        <is>
          <t>25</t>
        </is>
      </c>
      <c r="U712" t="inlineStr">
        <is>
          <t>20</t>
        </is>
      </c>
      <c r="V712" t="inlineStr">
        <is>
          <t>30</t>
        </is>
      </c>
      <c r="W712" t="inlineStr">
        <is>
          <t>25</t>
        </is>
      </c>
      <c r="X712" t="inlineStr">
        <is>
          <t>Guild.csv</t>
        </is>
      </c>
    </row>
    <row r="713">
      <c r="A713" t="n">
        <v>712</v>
      </c>
      <c r="B713" t="n">
        <v>176</v>
      </c>
      <c r="C713" t="inlineStr">
        <is>
          <t>Venice</t>
        </is>
      </c>
      <c r="D713" t="inlineStr">
        <is>
          <t>DAMAC Properties</t>
        </is>
      </c>
      <c r="E713" t="inlineStr">
        <is>
          <t>DAMAC Lagoons</t>
        </is>
      </c>
      <c r="F713" t="inlineStr">
        <is>
          <t>Villas (Large)</t>
        </is>
      </c>
      <c r="G713" t="inlineStr">
        <is>
          <t>Water / Luxury</t>
        </is>
      </c>
      <c r="H713" t="inlineStr">
        <is>
          <t>5.5M</t>
        </is>
      </c>
      <c r="I713" t="inlineStr">
        <is>
          <t>1400</t>
        </is>
      </c>
      <c r="J713" t="inlineStr">
        <is>
          <t>15</t>
        </is>
      </c>
      <c r="K713" t="inlineStr">
        <is>
          <t>80/20</t>
        </is>
      </c>
      <c r="L713" t="inlineStr">
        <is>
          <t>2022</t>
        </is>
      </c>
      <c r="M713" t="inlineStr">
        <is>
          <t>5.5-6.0</t>
        </is>
      </c>
      <c r="N713" t="inlineStr">
        <is>
          <t>8-12</t>
        </is>
      </c>
      <c r="O713" t="inlineStr">
        <is>
          <t>13.5-18.0</t>
        </is>
      </c>
      <c r="P713" t="inlineStr">
        <is>
          <t>Royal Grammar</t>
        </is>
      </c>
      <c r="Q713" t="inlineStr">
        <is>
          <t>Mediclinic Parkview</t>
        </is>
      </c>
      <c r="R713" t="inlineStr">
        <is>
          <t>First Avenue Mall</t>
        </is>
      </c>
      <c r="S713" t="inlineStr">
        <is>
          <t>Hessa St / E611</t>
        </is>
      </c>
      <c r="T713" t="inlineStr">
        <is>
          <t>25</t>
        </is>
      </c>
      <c r="U713" t="inlineStr">
        <is>
          <t>20</t>
        </is>
      </c>
      <c r="V713" t="inlineStr">
        <is>
          <t>30</t>
        </is>
      </c>
      <c r="W713" t="inlineStr">
        <is>
          <t>25</t>
        </is>
      </c>
      <c r="X713" t="inlineStr">
        <is>
          <t>Guild.csv</t>
        </is>
      </c>
    </row>
    <row r="714">
      <c r="A714" t="n">
        <v>713</v>
      </c>
      <c r="B714" t="n">
        <v>177</v>
      </c>
      <c r="C714" t="inlineStr">
        <is>
          <t>Morocco</t>
        </is>
      </c>
      <c r="D714" t="inlineStr">
        <is>
          <t>DAMAC Properties</t>
        </is>
      </c>
      <c r="E714" t="inlineStr">
        <is>
          <t>DAMAC Lagoons</t>
        </is>
      </c>
      <c r="F714" t="inlineStr">
        <is>
          <t>Townhouses &amp; Villas</t>
        </is>
      </c>
      <c r="G714" t="inlineStr">
        <is>
          <t>Water / Style</t>
        </is>
      </c>
      <c r="H714" t="inlineStr">
        <is>
          <t>2.8M</t>
        </is>
      </c>
      <c r="I714" t="inlineStr">
        <is>
          <t>1200</t>
        </is>
      </c>
      <c r="J714" t="inlineStr">
        <is>
          <t>15</t>
        </is>
      </c>
      <c r="K714" t="inlineStr">
        <is>
          <t>80/20</t>
        </is>
      </c>
      <c r="L714" t="inlineStr">
        <is>
          <t>2023</t>
        </is>
      </c>
      <c r="M714" t="inlineStr">
        <is>
          <t>6.0-6.5</t>
        </is>
      </c>
      <c r="N714" t="inlineStr">
        <is>
          <t>8-12</t>
        </is>
      </c>
      <c r="O714" t="inlineStr">
        <is>
          <t>14.0-18.5</t>
        </is>
      </c>
      <c r="P714" t="inlineStr">
        <is>
          <t>Royal Grammar</t>
        </is>
      </c>
      <c r="Q714" t="inlineStr">
        <is>
          <t>Mediclinic Parkview</t>
        </is>
      </c>
      <c r="R714" t="inlineStr">
        <is>
          <t>First Avenue Mall</t>
        </is>
      </c>
      <c r="S714" t="inlineStr">
        <is>
          <t>Hessa St / E611</t>
        </is>
      </c>
      <c r="T714" t="inlineStr">
        <is>
          <t>25</t>
        </is>
      </c>
      <c r="U714" t="inlineStr">
        <is>
          <t>20</t>
        </is>
      </c>
      <c r="V714" t="inlineStr">
        <is>
          <t>30</t>
        </is>
      </c>
      <c r="W714" t="inlineStr">
        <is>
          <t>25</t>
        </is>
      </c>
      <c r="X714" t="inlineStr">
        <is>
          <t>Guild.csv</t>
        </is>
      </c>
    </row>
    <row r="715">
      <c r="A715" t="n">
        <v>714</v>
      </c>
      <c r="B715" t="n">
        <v>178</v>
      </c>
      <c r="C715" t="inlineStr">
        <is>
          <t>Mykonos</t>
        </is>
      </c>
      <c r="D715" t="inlineStr">
        <is>
          <t>DAMAC Properties</t>
        </is>
      </c>
      <c r="E715" t="inlineStr">
        <is>
          <t>DAMAC Lagoons</t>
        </is>
      </c>
      <c r="F715" t="inlineStr">
        <is>
          <t>Townhouses</t>
        </is>
      </c>
      <c r="G715" t="inlineStr">
        <is>
          <t>Water / Style</t>
        </is>
      </c>
      <c r="H715" t="inlineStr">
        <is>
          <t>2.5M</t>
        </is>
      </c>
      <c r="I715" t="inlineStr">
        <is>
          <t>1150</t>
        </is>
      </c>
      <c r="J715" t="inlineStr">
        <is>
          <t>15</t>
        </is>
      </c>
      <c r="K715" t="inlineStr">
        <is>
          <t>80/20</t>
        </is>
      </c>
      <c r="L715" t="inlineStr">
        <is>
          <t>2023</t>
        </is>
      </c>
      <c r="M715" t="inlineStr">
        <is>
          <t>6.0-6.5</t>
        </is>
      </c>
      <c r="N715" t="inlineStr">
        <is>
          <t>8-12</t>
        </is>
      </c>
      <c r="O715" t="inlineStr">
        <is>
          <t>14.0-18.5</t>
        </is>
      </c>
      <c r="P715" t="inlineStr">
        <is>
          <t>Royal Grammar</t>
        </is>
      </c>
      <c r="Q715" t="inlineStr">
        <is>
          <t>Mediclinic Parkview</t>
        </is>
      </c>
      <c r="R715" t="inlineStr">
        <is>
          <t>First Avenue Mall</t>
        </is>
      </c>
      <c r="S715" t="inlineStr">
        <is>
          <t>Hessa St / E611</t>
        </is>
      </c>
      <c r="T715" t="inlineStr">
        <is>
          <t>25</t>
        </is>
      </c>
      <c r="U715" t="inlineStr">
        <is>
          <t>20</t>
        </is>
      </c>
      <c r="V715" t="inlineStr">
        <is>
          <t>30</t>
        </is>
      </c>
      <c r="W715" t="inlineStr">
        <is>
          <t>25</t>
        </is>
      </c>
      <c r="X715" t="inlineStr">
        <is>
          <t>Guild.csv</t>
        </is>
      </c>
    </row>
    <row r="716">
      <c r="A716" t="n">
        <v>715</v>
      </c>
      <c r="B716" t="n">
        <v>179</v>
      </c>
      <c r="C716" t="inlineStr">
        <is>
          <t>Santorini</t>
        </is>
      </c>
      <c r="D716" t="inlineStr">
        <is>
          <t>DAMAC Properties</t>
        </is>
      </c>
      <c r="E716" t="inlineStr">
        <is>
          <t>DAMAC Lagoons</t>
        </is>
      </c>
      <c r="F716" t="inlineStr">
        <is>
          <t>Townhouses</t>
        </is>
      </c>
      <c r="G716" t="inlineStr">
        <is>
          <t>Water / Style</t>
        </is>
      </c>
      <c r="H716" t="inlineStr">
        <is>
          <t>2.2M</t>
        </is>
      </c>
      <c r="I716" t="inlineStr">
        <is>
          <t>1100</t>
        </is>
      </c>
      <c r="J716" t="inlineStr">
        <is>
          <t>15</t>
        </is>
      </c>
      <c r="K716" t="inlineStr">
        <is>
          <t>80/20</t>
        </is>
      </c>
      <c r="L716" t="inlineStr">
        <is>
          <t>2021</t>
        </is>
      </c>
      <c r="M716" t="inlineStr">
        <is>
          <t>6.5-7.0</t>
        </is>
      </c>
      <c r="N716" t="inlineStr">
        <is>
          <t>8-12</t>
        </is>
      </c>
      <c r="O716" t="inlineStr">
        <is>
          <t>14.5-19.0</t>
        </is>
      </c>
      <c r="P716" t="inlineStr">
        <is>
          <t>Royal Grammar</t>
        </is>
      </c>
      <c r="Q716" t="inlineStr">
        <is>
          <t>Mediclinic Parkview</t>
        </is>
      </c>
      <c r="R716" t="inlineStr">
        <is>
          <t>First Avenue Mall</t>
        </is>
      </c>
      <c r="S716" t="inlineStr">
        <is>
          <t>Hessa St / E611</t>
        </is>
      </c>
      <c r="T716" t="inlineStr">
        <is>
          <t>25</t>
        </is>
      </c>
      <c r="U716" t="inlineStr">
        <is>
          <t>20</t>
        </is>
      </c>
      <c r="V716" t="inlineStr">
        <is>
          <t>30</t>
        </is>
      </c>
      <c r="W716" t="inlineStr">
        <is>
          <t>25</t>
        </is>
      </c>
      <c r="X716" t="inlineStr">
        <is>
          <t>Guild.csv</t>
        </is>
      </c>
    </row>
    <row r="717">
      <c r="A717" t="n">
        <v>716</v>
      </c>
      <c r="B717" t="n">
        <v>180</v>
      </c>
      <c r="C717" t="inlineStr">
        <is>
          <t>Costa Brava</t>
        </is>
      </c>
      <c r="D717" t="inlineStr">
        <is>
          <t>DAMAC Properties</t>
        </is>
      </c>
      <c r="E717" t="inlineStr">
        <is>
          <t>DAMAC Lagoons</t>
        </is>
      </c>
      <c r="F717" t="inlineStr">
        <is>
          <t>Townhouses &amp; Villas</t>
        </is>
      </c>
      <c r="G717" t="inlineStr">
        <is>
          <t>Water / Style</t>
        </is>
      </c>
      <c r="H717" t="inlineStr">
        <is>
          <t>2.3M</t>
        </is>
      </c>
      <c r="I717" t="inlineStr">
        <is>
          <t>1100</t>
        </is>
      </c>
      <c r="J717" t="inlineStr">
        <is>
          <t>15</t>
        </is>
      </c>
      <c r="K717" t="inlineStr">
        <is>
          <t>80/20</t>
        </is>
      </c>
      <c r="L717" t="inlineStr">
        <is>
          <t>2022</t>
        </is>
      </c>
      <c r="M717" t="inlineStr">
        <is>
          <t>6.5-7.0</t>
        </is>
      </c>
      <c r="N717" t="inlineStr">
        <is>
          <t>8-12</t>
        </is>
      </c>
      <c r="O717" t="inlineStr">
        <is>
          <t>14.5-19.0</t>
        </is>
      </c>
      <c r="P717" t="inlineStr">
        <is>
          <t>Royal Grammar</t>
        </is>
      </c>
      <c r="Q717" t="inlineStr">
        <is>
          <t>Mediclinic Parkview</t>
        </is>
      </c>
      <c r="R717" t="inlineStr">
        <is>
          <t>First Avenue Mall</t>
        </is>
      </c>
      <c r="S717" t="inlineStr">
        <is>
          <t>Hessa St / E611</t>
        </is>
      </c>
      <c r="T717" t="inlineStr">
        <is>
          <t>25</t>
        </is>
      </c>
      <c r="U717" t="inlineStr">
        <is>
          <t>20</t>
        </is>
      </c>
      <c r="V717" t="inlineStr">
        <is>
          <t>30</t>
        </is>
      </c>
      <c r="W717" t="inlineStr">
        <is>
          <t>25</t>
        </is>
      </c>
      <c r="X717" t="inlineStr">
        <is>
          <t>Guild.csv</t>
        </is>
      </c>
    </row>
    <row r="718">
      <c r="A718" t="n">
        <v>717</v>
      </c>
      <c r="B718" t="n">
        <v>181</v>
      </c>
      <c r="C718" t="inlineStr">
        <is>
          <t>Nice</t>
        </is>
      </c>
      <c r="D718" t="inlineStr">
        <is>
          <t>DAMAC Properties</t>
        </is>
      </c>
      <c r="E718" t="inlineStr">
        <is>
          <t>DAMAC Lagoons</t>
        </is>
      </c>
      <c r="F718" t="inlineStr">
        <is>
          <t>Townhouses</t>
        </is>
      </c>
      <c r="G718" t="inlineStr">
        <is>
          <t>Water / Style</t>
        </is>
      </c>
      <c r="H718" t="inlineStr">
        <is>
          <t>2.3M</t>
        </is>
      </c>
      <c r="I718" t="inlineStr">
        <is>
          <t>1100</t>
        </is>
      </c>
      <c r="J718" t="inlineStr">
        <is>
          <t>15</t>
        </is>
      </c>
      <c r="K718" t="inlineStr">
        <is>
          <t>80/20</t>
        </is>
      </c>
      <c r="L718" t="inlineStr">
        <is>
          <t>2022</t>
        </is>
      </c>
      <c r="M718" t="inlineStr">
        <is>
          <t>6.5-7.0</t>
        </is>
      </c>
      <c r="N718" t="inlineStr">
        <is>
          <t>8-12</t>
        </is>
      </c>
      <c r="O718" t="inlineStr">
        <is>
          <t>14.5-19.0</t>
        </is>
      </c>
      <c r="P718" t="inlineStr">
        <is>
          <t>Royal Grammar</t>
        </is>
      </c>
      <c r="Q718" t="inlineStr">
        <is>
          <t>Mediclinic Parkview</t>
        </is>
      </c>
      <c r="R718" t="inlineStr">
        <is>
          <t>First Avenue Mall</t>
        </is>
      </c>
      <c r="S718" t="inlineStr">
        <is>
          <t>Hessa St / E611</t>
        </is>
      </c>
      <c r="T718" t="inlineStr">
        <is>
          <t>25</t>
        </is>
      </c>
      <c r="U718" t="inlineStr">
        <is>
          <t>20</t>
        </is>
      </c>
      <c r="V718" t="inlineStr">
        <is>
          <t>30</t>
        </is>
      </c>
      <c r="W718" t="inlineStr">
        <is>
          <t>25</t>
        </is>
      </c>
      <c r="X718" t="inlineStr">
        <is>
          <t>Guild.csv</t>
        </is>
      </c>
    </row>
    <row r="719">
      <c r="A719" t="n">
        <v>718</v>
      </c>
      <c r="B719" t="n">
        <v>182</v>
      </c>
      <c r="C719" t="inlineStr">
        <is>
          <t>Malta</t>
        </is>
      </c>
      <c r="D719" t="inlineStr">
        <is>
          <t>DAMAC Properties</t>
        </is>
      </c>
      <c r="E719" t="inlineStr">
        <is>
          <t>DAMAC Lagoons</t>
        </is>
      </c>
      <c r="F719" t="inlineStr">
        <is>
          <t>Townhouses</t>
        </is>
      </c>
      <c r="G719" t="inlineStr">
        <is>
          <t>Water / Learning</t>
        </is>
      </c>
      <c r="H719" t="inlineStr">
        <is>
          <t>2.4M</t>
        </is>
      </c>
      <c r="I719" t="inlineStr">
        <is>
          <t>1100</t>
        </is>
      </c>
      <c r="J719" t="inlineStr">
        <is>
          <t>15</t>
        </is>
      </c>
      <c r="K719" t="inlineStr">
        <is>
          <t>80/20</t>
        </is>
      </c>
      <c r="L719" t="inlineStr">
        <is>
          <t>2022</t>
        </is>
      </c>
      <c r="M719" t="inlineStr">
        <is>
          <t>6.5-7.0</t>
        </is>
      </c>
      <c r="N719" t="inlineStr">
        <is>
          <t>8-12</t>
        </is>
      </c>
      <c r="O719" t="inlineStr">
        <is>
          <t>14.5-19.0</t>
        </is>
      </c>
      <c r="P719" t="inlineStr">
        <is>
          <t>Royal Grammar</t>
        </is>
      </c>
      <c r="Q719" t="inlineStr">
        <is>
          <t>Mediclinic Parkview</t>
        </is>
      </c>
      <c r="R719" t="inlineStr">
        <is>
          <t>First Avenue Mall</t>
        </is>
      </c>
      <c r="S719" t="inlineStr">
        <is>
          <t>Hessa St / E611</t>
        </is>
      </c>
      <c r="T719" t="inlineStr">
        <is>
          <t>25</t>
        </is>
      </c>
      <c r="U719" t="inlineStr">
        <is>
          <t>20</t>
        </is>
      </c>
      <c r="V719" t="inlineStr">
        <is>
          <t>30</t>
        </is>
      </c>
      <c r="W719" t="inlineStr">
        <is>
          <t>25</t>
        </is>
      </c>
      <c r="X719" t="inlineStr">
        <is>
          <t>Guild.csv</t>
        </is>
      </c>
    </row>
    <row r="720">
      <c r="A720" t="n">
        <v>719</v>
      </c>
      <c r="B720" t="n">
        <v>183</v>
      </c>
      <c r="C720" t="inlineStr">
        <is>
          <t>Portofino</t>
        </is>
      </c>
      <c r="D720" t="inlineStr">
        <is>
          <t>DAMAC Properties</t>
        </is>
      </c>
      <c r="E720" t="inlineStr">
        <is>
          <t>DAMAC Lagoons</t>
        </is>
      </c>
      <c r="F720" t="inlineStr">
        <is>
          <t>Townhouses</t>
        </is>
      </c>
      <c r="G720" t="inlineStr">
        <is>
          <t>Water / Work</t>
        </is>
      </c>
      <c r="H720" t="inlineStr">
        <is>
          <t>2.4M</t>
        </is>
      </c>
      <c r="I720" t="inlineStr">
        <is>
          <t>1100</t>
        </is>
      </c>
      <c r="J720" t="inlineStr">
        <is>
          <t>15</t>
        </is>
      </c>
      <c r="K720" t="inlineStr">
        <is>
          <t>80/20</t>
        </is>
      </c>
      <c r="L720" t="inlineStr">
        <is>
          <t>2022</t>
        </is>
      </c>
      <c r="M720" t="inlineStr">
        <is>
          <t>6.5-7.0</t>
        </is>
      </c>
      <c r="N720" t="inlineStr">
        <is>
          <t>8-12</t>
        </is>
      </c>
      <c r="O720" t="inlineStr">
        <is>
          <t>14.5-19.0</t>
        </is>
      </c>
      <c r="P720" t="inlineStr">
        <is>
          <t>Royal Grammar</t>
        </is>
      </c>
      <c r="Q720" t="inlineStr">
        <is>
          <t>Mediclinic Parkview</t>
        </is>
      </c>
      <c r="R720" t="inlineStr">
        <is>
          <t>First Avenue Mall</t>
        </is>
      </c>
      <c r="S720" t="inlineStr">
        <is>
          <t>Hessa St / E611</t>
        </is>
      </c>
      <c r="T720" t="inlineStr">
        <is>
          <t>25</t>
        </is>
      </c>
      <c r="U720" t="inlineStr">
        <is>
          <t>20</t>
        </is>
      </c>
      <c r="V720" t="inlineStr">
        <is>
          <t>30</t>
        </is>
      </c>
      <c r="W720" t="inlineStr">
        <is>
          <t>25</t>
        </is>
      </c>
      <c r="X720" t="inlineStr">
        <is>
          <t>Guild.csv</t>
        </is>
      </c>
    </row>
    <row r="721">
      <c r="A721" t="n">
        <v>720</v>
      </c>
      <c r="B721" t="n">
        <v>184</v>
      </c>
      <c r="C721" t="inlineStr">
        <is>
          <t>Ibiza</t>
        </is>
      </c>
      <c r="D721" t="inlineStr">
        <is>
          <t>DAMAC Properties</t>
        </is>
      </c>
      <c r="E721" t="inlineStr">
        <is>
          <t>DAMAC Lagoons</t>
        </is>
      </c>
      <c r="F721" t="inlineStr">
        <is>
          <t>Townhouses</t>
        </is>
      </c>
      <c r="G721" t="inlineStr">
        <is>
          <t>Water / Party</t>
        </is>
      </c>
      <c r="H721" t="inlineStr">
        <is>
          <t>2.5M</t>
        </is>
      </c>
      <c r="I721" t="inlineStr">
        <is>
          <t>1150</t>
        </is>
      </c>
      <c r="J721" t="inlineStr">
        <is>
          <t>15</t>
        </is>
      </c>
      <c r="K721" t="inlineStr">
        <is>
          <t>80/20</t>
        </is>
      </c>
      <c r="L721" t="inlineStr">
        <is>
          <t>2023</t>
        </is>
      </c>
      <c r="M721" t="inlineStr">
        <is>
          <t>6.0-6.5</t>
        </is>
      </c>
      <c r="N721" t="inlineStr">
        <is>
          <t>8-12</t>
        </is>
      </c>
      <c r="O721" t="inlineStr">
        <is>
          <t>14.0-18.5</t>
        </is>
      </c>
      <c r="P721" t="inlineStr">
        <is>
          <t>Royal Grammar</t>
        </is>
      </c>
      <c r="Q721" t="inlineStr">
        <is>
          <t>Mediclinic Parkview</t>
        </is>
      </c>
      <c r="R721" t="inlineStr">
        <is>
          <t>First Avenue Mall</t>
        </is>
      </c>
      <c r="S721" t="inlineStr">
        <is>
          <t>Hessa St / E611</t>
        </is>
      </c>
      <c r="T721" t="inlineStr">
        <is>
          <t>25</t>
        </is>
      </c>
      <c r="U721" t="inlineStr">
        <is>
          <t>20</t>
        </is>
      </c>
      <c r="V721" t="inlineStr">
        <is>
          <t>30</t>
        </is>
      </c>
      <c r="W721" t="inlineStr">
        <is>
          <t>25</t>
        </is>
      </c>
      <c r="X721" t="inlineStr">
        <is>
          <t>Guild.csv</t>
        </is>
      </c>
    </row>
    <row r="722">
      <c r="A722" t="n">
        <v>721</v>
      </c>
      <c r="B722" t="n">
        <v>185</v>
      </c>
      <c r="C722" t="inlineStr">
        <is>
          <t>Monte Carlo</t>
        </is>
      </c>
      <c r="D722" t="inlineStr">
        <is>
          <t>DAMAC Properties</t>
        </is>
      </c>
      <c r="E722" t="inlineStr">
        <is>
          <t>DAMAC Lagoons</t>
        </is>
      </c>
      <c r="F722" t="inlineStr">
        <is>
          <t>Townhouses</t>
        </is>
      </c>
      <c r="G722" t="inlineStr">
        <is>
          <t>Water / Luxury</t>
        </is>
      </c>
      <c r="H722" t="inlineStr">
        <is>
          <t>2.6M</t>
        </is>
      </c>
      <c r="I722" t="inlineStr">
        <is>
          <t>1200</t>
        </is>
      </c>
      <c r="J722" t="inlineStr">
        <is>
          <t>15</t>
        </is>
      </c>
      <c r="K722" t="inlineStr">
        <is>
          <t>80/20</t>
        </is>
      </c>
      <c r="L722" t="inlineStr">
        <is>
          <t>2023</t>
        </is>
      </c>
      <c r="M722" t="inlineStr">
        <is>
          <t>6.0-6.5</t>
        </is>
      </c>
      <c r="N722" t="inlineStr">
        <is>
          <t>8-12</t>
        </is>
      </c>
      <c r="O722" t="inlineStr">
        <is>
          <t>14.0-18.5</t>
        </is>
      </c>
      <c r="P722" t="inlineStr">
        <is>
          <t>Royal Grammar</t>
        </is>
      </c>
      <c r="Q722" t="inlineStr">
        <is>
          <t>Mediclinic Parkview</t>
        </is>
      </c>
      <c r="R722" t="inlineStr">
        <is>
          <t>First Avenue Mall</t>
        </is>
      </c>
      <c r="S722" t="inlineStr">
        <is>
          <t>Hessa St / E611</t>
        </is>
      </c>
      <c r="T722" t="inlineStr">
        <is>
          <t>25</t>
        </is>
      </c>
      <c r="U722" t="inlineStr">
        <is>
          <t>20</t>
        </is>
      </c>
      <c r="V722" t="inlineStr">
        <is>
          <t>30</t>
        </is>
      </c>
      <c r="W722" t="inlineStr">
        <is>
          <t>25</t>
        </is>
      </c>
      <c r="X722" t="inlineStr">
        <is>
          <t>Guild.csv</t>
        </is>
      </c>
    </row>
    <row r="723">
      <c r="A723" t="n">
        <v>722</v>
      </c>
      <c r="B723" t="n">
        <v>186</v>
      </c>
      <c r="C723" t="inlineStr">
        <is>
          <t>Marbella</t>
        </is>
      </c>
      <c r="D723" t="inlineStr">
        <is>
          <t>DAMAC Properties</t>
        </is>
      </c>
      <c r="E723" t="inlineStr">
        <is>
          <t>DAMAC Lagoons</t>
        </is>
      </c>
      <c r="F723" t="inlineStr">
        <is>
          <t>Townhouses</t>
        </is>
      </c>
      <c r="G723" t="inlineStr">
        <is>
          <t>Water / Luxury</t>
        </is>
      </c>
      <c r="H723" t="inlineStr">
        <is>
          <t>2.7M</t>
        </is>
      </c>
      <c r="I723" t="inlineStr">
        <is>
          <t>1200</t>
        </is>
      </c>
      <c r="J723" t="inlineStr">
        <is>
          <t>15</t>
        </is>
      </c>
      <c r="K723" t="inlineStr">
        <is>
          <t>80/20</t>
        </is>
      </c>
      <c r="L723" t="inlineStr">
        <is>
          <t>2023</t>
        </is>
      </c>
      <c r="M723" t="inlineStr">
        <is>
          <t>6.0-6.5</t>
        </is>
      </c>
      <c r="N723" t="inlineStr">
        <is>
          <t>8-12</t>
        </is>
      </c>
      <c r="O723" t="inlineStr">
        <is>
          <t>14.0-18.5</t>
        </is>
      </c>
      <c r="P723" t="inlineStr">
        <is>
          <t>Royal Grammar</t>
        </is>
      </c>
      <c r="Q723" t="inlineStr">
        <is>
          <t>Mediclinic Parkview</t>
        </is>
      </c>
      <c r="R723" t="inlineStr">
        <is>
          <t>First Avenue Mall</t>
        </is>
      </c>
      <c r="S723" t="inlineStr">
        <is>
          <t>Hessa St / E611</t>
        </is>
      </c>
      <c r="T723" t="inlineStr">
        <is>
          <t>25</t>
        </is>
      </c>
      <c r="U723" t="inlineStr">
        <is>
          <t>20</t>
        </is>
      </c>
      <c r="V723" t="inlineStr">
        <is>
          <t>30</t>
        </is>
      </c>
      <c r="W723" t="inlineStr">
        <is>
          <t>25</t>
        </is>
      </c>
      <c r="X723" t="inlineStr">
        <is>
          <t>Guild.csv</t>
        </is>
      </c>
    </row>
    <row r="724">
      <c r="A724" t="n">
        <v>723</v>
      </c>
      <c r="B724" t="n">
        <v>187</v>
      </c>
      <c r="C724" t="inlineStr">
        <is>
          <t>DAMAC Hills 2 (Master Community)</t>
        </is>
      </c>
      <c r="D724" t="inlineStr">
        <is>
          <t>DAMAC Properties</t>
        </is>
      </c>
      <c r="E724" t="inlineStr">
        <is>
          <t>Al Qudra Road</t>
        </is>
      </c>
      <c r="F724" t="inlineStr">
        <is>
          <t>Mixed</t>
        </is>
      </c>
      <c r="G724" t="inlineStr">
        <is>
          <t>Budget / Family</t>
        </is>
      </c>
      <c r="J724" t="inlineStr">
        <is>
          <t>8-10</t>
        </is>
      </c>
      <c r="K724" t="inlineStr">
        <is>
          <t>Varies</t>
        </is>
      </c>
      <c r="L724" t="inlineStr">
        <is>
          <t>Ongoing</t>
        </is>
      </c>
      <c r="M724" t="inlineStr">
        <is>
          <t>7.0-8.0</t>
        </is>
      </c>
      <c r="N724" t="inlineStr">
        <is>
          <t>6-9</t>
        </is>
      </c>
      <c r="O724" t="inlineStr">
        <is>
          <t>13.0-17.0</t>
        </is>
      </c>
      <c r="P724" t="inlineStr">
        <is>
          <t>The Aquila School</t>
        </is>
      </c>
      <c r="Q724" t="inlineStr">
        <is>
          <t>Saudi German Hospital</t>
        </is>
      </c>
      <c r="R724" t="inlineStr">
        <is>
          <t>Dubai Outlet Mall</t>
        </is>
      </c>
      <c r="S724" t="inlineStr">
        <is>
          <t>Al Qudra / E77</t>
        </is>
      </c>
      <c r="T724" t="inlineStr">
        <is>
          <t>35</t>
        </is>
      </c>
      <c r="U724" t="inlineStr">
        <is>
          <t>40</t>
        </is>
      </c>
      <c r="V724" t="inlineStr">
        <is>
          <t>40</t>
        </is>
      </c>
      <c r="W724" t="inlineStr">
        <is>
          <t>35</t>
        </is>
      </c>
      <c r="X724" t="inlineStr">
        <is>
          <t>Guild.csv</t>
        </is>
      </c>
    </row>
    <row r="725">
      <c r="A725" t="n">
        <v>724</v>
      </c>
      <c r="B725" t="n">
        <v>188</v>
      </c>
      <c r="C725" t="inlineStr">
        <is>
          <t>Violet Phase 1</t>
        </is>
      </c>
      <c r="D725" t="inlineStr">
        <is>
          <t>DAMAC Properties</t>
        </is>
      </c>
      <c r="E725" t="inlineStr">
        <is>
          <t>DAMAC Hills 2</t>
        </is>
      </c>
      <c r="F725" t="inlineStr">
        <is>
          <t>Townhouses</t>
        </is>
      </c>
      <c r="G725" t="inlineStr">
        <is>
          <t>Flower / Nature</t>
        </is>
      </c>
      <c r="H725" t="inlineStr">
        <is>
          <t>1.2M</t>
        </is>
      </c>
      <c r="I725" t="inlineStr">
        <is>
          <t>800</t>
        </is>
      </c>
      <c r="J725" t="inlineStr">
        <is>
          <t>10</t>
        </is>
      </c>
      <c r="K725" t="inlineStr">
        <is>
          <t>60/40</t>
        </is>
      </c>
      <c r="L725" t="inlineStr">
        <is>
          <t>2024</t>
        </is>
      </c>
      <c r="M725" t="inlineStr">
        <is>
          <t>7.0-7.5</t>
        </is>
      </c>
      <c r="N725" t="inlineStr">
        <is>
          <t>8-10</t>
        </is>
      </c>
      <c r="O725" t="inlineStr">
        <is>
          <t>15.0-17.5</t>
        </is>
      </c>
      <c r="P725" t="inlineStr">
        <is>
          <t>The Aquila School</t>
        </is>
      </c>
      <c r="Q725" t="inlineStr">
        <is>
          <t>Saudi German Hospital</t>
        </is>
      </c>
      <c r="R725" t="inlineStr">
        <is>
          <t>Dubai Outlet Mall</t>
        </is>
      </c>
      <c r="S725" t="inlineStr">
        <is>
          <t>Al Qudra / E77</t>
        </is>
      </c>
      <c r="T725" t="inlineStr">
        <is>
          <t>35</t>
        </is>
      </c>
      <c r="U725" t="inlineStr">
        <is>
          <t>40</t>
        </is>
      </c>
      <c r="V725" t="inlineStr">
        <is>
          <t>40</t>
        </is>
      </c>
      <c r="W725" t="inlineStr">
        <is>
          <t>35</t>
        </is>
      </c>
      <c r="X725" t="inlineStr">
        <is>
          <t>Guild.csv</t>
        </is>
      </c>
    </row>
    <row r="726">
      <c r="A726" t="n">
        <v>725</v>
      </c>
      <c r="B726" t="n">
        <v>189</v>
      </c>
      <c r="C726" t="inlineStr">
        <is>
          <t>Violet Phase 2</t>
        </is>
      </c>
      <c r="D726" t="inlineStr">
        <is>
          <t>DAMAC Properties</t>
        </is>
      </c>
      <c r="E726" t="inlineStr">
        <is>
          <t>DAMAC Hills 2</t>
        </is>
      </c>
      <c r="F726" t="inlineStr">
        <is>
          <t>Townhouses</t>
        </is>
      </c>
      <c r="G726" t="inlineStr">
        <is>
          <t>Flower / Nature</t>
        </is>
      </c>
      <c r="H726" t="inlineStr">
        <is>
          <t>1.3M</t>
        </is>
      </c>
      <c r="I726" t="inlineStr">
        <is>
          <t>850</t>
        </is>
      </c>
      <c r="J726" t="inlineStr">
        <is>
          <t>10</t>
        </is>
      </c>
      <c r="K726" t="inlineStr">
        <is>
          <t>60/40</t>
        </is>
      </c>
      <c r="L726" t="inlineStr">
        <is>
          <t>2024</t>
        </is>
      </c>
      <c r="M726" t="inlineStr">
        <is>
          <t>7.0-7.5</t>
        </is>
      </c>
      <c r="N726" t="inlineStr">
        <is>
          <t>8-10</t>
        </is>
      </c>
      <c r="O726" t="inlineStr">
        <is>
          <t>15.0-17.5</t>
        </is>
      </c>
      <c r="P726" t="inlineStr">
        <is>
          <t>The Aquila School</t>
        </is>
      </c>
      <c r="Q726" t="inlineStr">
        <is>
          <t>Saudi German Hospital</t>
        </is>
      </c>
      <c r="R726" t="inlineStr">
        <is>
          <t>Dubai Outlet Mall</t>
        </is>
      </c>
      <c r="S726" t="inlineStr">
        <is>
          <t>Al Qudra / E77</t>
        </is>
      </c>
      <c r="T726" t="inlineStr">
        <is>
          <t>35</t>
        </is>
      </c>
      <c r="U726" t="inlineStr">
        <is>
          <t>40</t>
        </is>
      </c>
      <c r="V726" t="inlineStr">
        <is>
          <t>40</t>
        </is>
      </c>
      <c r="W726" t="inlineStr">
        <is>
          <t>35</t>
        </is>
      </c>
      <c r="X726" t="inlineStr">
        <is>
          <t>Guild.csv</t>
        </is>
      </c>
    </row>
    <row r="727">
      <c r="A727" t="n">
        <v>726</v>
      </c>
      <c r="B727" t="n">
        <v>190</v>
      </c>
      <c r="C727" t="inlineStr">
        <is>
          <t>Violet Phase 3</t>
        </is>
      </c>
      <c r="D727" t="inlineStr">
        <is>
          <t>DAMAC Properties</t>
        </is>
      </c>
      <c r="E727" t="inlineStr">
        <is>
          <t>DAMAC Hills 2</t>
        </is>
      </c>
      <c r="F727" t="inlineStr">
        <is>
          <t>Townhouses</t>
        </is>
      </c>
      <c r="G727" t="inlineStr">
        <is>
          <t>Flower / Nature</t>
        </is>
      </c>
      <c r="H727" t="inlineStr">
        <is>
          <t>1.35M</t>
        </is>
      </c>
      <c r="I727" t="inlineStr">
        <is>
          <t>850</t>
        </is>
      </c>
      <c r="J727" t="inlineStr">
        <is>
          <t>10</t>
        </is>
      </c>
      <c r="K727" t="inlineStr">
        <is>
          <t>60/40</t>
        </is>
      </c>
      <c r="L727" t="inlineStr">
        <is>
          <t>2024</t>
        </is>
      </c>
      <c r="M727" t="inlineStr">
        <is>
          <t>7.0-7.5</t>
        </is>
      </c>
      <c r="N727" t="inlineStr">
        <is>
          <t>8-10</t>
        </is>
      </c>
      <c r="O727" t="inlineStr">
        <is>
          <t>15.0-17.5</t>
        </is>
      </c>
      <c r="P727" t="inlineStr">
        <is>
          <t>The Aquila School</t>
        </is>
      </c>
      <c r="Q727" t="inlineStr">
        <is>
          <t>Saudi German Hospital</t>
        </is>
      </c>
      <c r="R727" t="inlineStr">
        <is>
          <t>Dubai Outlet Mall</t>
        </is>
      </c>
      <c r="S727" t="inlineStr">
        <is>
          <t>Al Qudra / E77</t>
        </is>
      </c>
      <c r="T727" t="inlineStr">
        <is>
          <t>35</t>
        </is>
      </c>
      <c r="U727" t="inlineStr">
        <is>
          <t>40</t>
        </is>
      </c>
      <c r="V727" t="inlineStr">
        <is>
          <t>40</t>
        </is>
      </c>
      <c r="W727" t="inlineStr">
        <is>
          <t>35</t>
        </is>
      </c>
      <c r="X727" t="inlineStr">
        <is>
          <t>Guild.csv</t>
        </is>
      </c>
    </row>
    <row r="728">
      <c r="A728" t="n">
        <v>727</v>
      </c>
      <c r="B728" t="n">
        <v>191</v>
      </c>
      <c r="C728" t="inlineStr">
        <is>
          <t>Elo 1</t>
        </is>
      </c>
      <c r="D728" t="inlineStr">
        <is>
          <t>DAMAC Properties</t>
        </is>
      </c>
      <c r="E728" t="inlineStr">
        <is>
          <t>DAMAC Hills 2</t>
        </is>
      </c>
      <c r="F728" t="inlineStr">
        <is>
          <t>Apartments</t>
        </is>
      </c>
      <c r="G728" t="inlineStr">
        <is>
          <t>Budget / High-Rise</t>
        </is>
      </c>
      <c r="H728" t="inlineStr">
        <is>
          <t>600k</t>
        </is>
      </c>
      <c r="I728" t="inlineStr">
        <is>
          <t>900</t>
        </is>
      </c>
      <c r="J728" t="inlineStr">
        <is>
          <t>12</t>
        </is>
      </c>
      <c r="K728" t="inlineStr">
        <is>
          <t>70/30</t>
        </is>
      </c>
      <c r="L728" t="inlineStr">
        <is>
          <t>2024</t>
        </is>
      </c>
      <c r="M728" t="inlineStr">
        <is>
          <t>8.0-8.5</t>
        </is>
      </c>
      <c r="N728" t="inlineStr">
        <is>
          <t>6-9</t>
        </is>
      </c>
      <c r="O728" t="inlineStr">
        <is>
          <t>14.0-17.5</t>
        </is>
      </c>
      <c r="P728" t="inlineStr">
        <is>
          <t>The Aquila School</t>
        </is>
      </c>
      <c r="Q728" t="inlineStr">
        <is>
          <t>Saudi German Hospital</t>
        </is>
      </c>
      <c r="R728" t="inlineStr">
        <is>
          <t>Dubai Outlet Mall</t>
        </is>
      </c>
      <c r="S728" t="inlineStr">
        <is>
          <t>Al Qudra / E77</t>
        </is>
      </c>
      <c r="T728" t="inlineStr">
        <is>
          <t>35</t>
        </is>
      </c>
      <c r="U728" t="inlineStr">
        <is>
          <t>40</t>
        </is>
      </c>
      <c r="V728" t="inlineStr">
        <is>
          <t>40</t>
        </is>
      </c>
      <c r="W728" t="inlineStr">
        <is>
          <t>35</t>
        </is>
      </c>
      <c r="X728" t="inlineStr">
        <is>
          <t>Guild.csv</t>
        </is>
      </c>
    </row>
    <row r="729">
      <c r="A729" t="n">
        <v>728</v>
      </c>
      <c r="B729" t="n">
        <v>192</v>
      </c>
      <c r="C729" t="inlineStr">
        <is>
          <t>Elo 2</t>
        </is>
      </c>
      <c r="D729" t="inlineStr">
        <is>
          <t>DAMAC Properties</t>
        </is>
      </c>
      <c r="E729" t="inlineStr">
        <is>
          <t>DAMAC Hills 2</t>
        </is>
      </c>
      <c r="F729" t="inlineStr">
        <is>
          <t>Apartments</t>
        </is>
      </c>
      <c r="G729" t="inlineStr">
        <is>
          <t>Budget / High-Rise</t>
        </is>
      </c>
      <c r="H729" t="inlineStr">
        <is>
          <t>620k</t>
        </is>
      </c>
      <c r="I729" t="inlineStr">
        <is>
          <t>900</t>
        </is>
      </c>
      <c r="J729" t="inlineStr">
        <is>
          <t>12</t>
        </is>
      </c>
      <c r="K729" t="inlineStr">
        <is>
          <t>70/30</t>
        </is>
      </c>
      <c r="L729" t="inlineStr">
        <is>
          <t>2024</t>
        </is>
      </c>
      <c r="M729" t="inlineStr">
        <is>
          <t>8.0-8.5</t>
        </is>
      </c>
      <c r="N729" t="inlineStr">
        <is>
          <t>6-9</t>
        </is>
      </c>
      <c r="O729" t="inlineStr">
        <is>
          <t>14.0-17.5</t>
        </is>
      </c>
      <c r="P729" t="inlineStr">
        <is>
          <t>The Aquila School</t>
        </is>
      </c>
      <c r="Q729" t="inlineStr">
        <is>
          <t>Saudi German Hospital</t>
        </is>
      </c>
      <c r="R729" t="inlineStr">
        <is>
          <t>Dubai Outlet Mall</t>
        </is>
      </c>
      <c r="S729" t="inlineStr">
        <is>
          <t>Al Qudra / E77</t>
        </is>
      </c>
      <c r="T729" t="inlineStr">
        <is>
          <t>35</t>
        </is>
      </c>
      <c r="U729" t="inlineStr">
        <is>
          <t>40</t>
        </is>
      </c>
      <c r="V729" t="inlineStr">
        <is>
          <t>40</t>
        </is>
      </c>
      <c r="W729" t="inlineStr">
        <is>
          <t>35</t>
        </is>
      </c>
      <c r="X729" t="inlineStr">
        <is>
          <t>Guild.csv</t>
        </is>
      </c>
    </row>
    <row r="730">
      <c r="A730" t="n">
        <v>729</v>
      </c>
      <c r="B730" t="n">
        <v>193</v>
      </c>
      <c r="C730" t="inlineStr">
        <is>
          <t>Elo 3</t>
        </is>
      </c>
      <c r="D730" t="inlineStr">
        <is>
          <t>DAMAC Properties</t>
        </is>
      </c>
      <c r="E730" t="inlineStr">
        <is>
          <t>DAMAC Hills 2</t>
        </is>
      </c>
      <c r="F730" t="inlineStr">
        <is>
          <t>Apartments</t>
        </is>
      </c>
      <c r="G730" t="inlineStr">
        <is>
          <t>Budget / High-Rise</t>
        </is>
      </c>
      <c r="H730" t="inlineStr">
        <is>
          <t>650k</t>
        </is>
      </c>
      <c r="I730" t="inlineStr">
        <is>
          <t>900</t>
        </is>
      </c>
      <c r="J730" t="inlineStr">
        <is>
          <t>12</t>
        </is>
      </c>
      <c r="K730" t="inlineStr">
        <is>
          <t>70/30</t>
        </is>
      </c>
      <c r="L730" t="inlineStr">
        <is>
          <t>2024</t>
        </is>
      </c>
      <c r="M730" t="inlineStr">
        <is>
          <t>8.0-8.5</t>
        </is>
      </c>
      <c r="N730" t="inlineStr">
        <is>
          <t>6-9</t>
        </is>
      </c>
      <c r="O730" t="inlineStr">
        <is>
          <t>14.0-17.5</t>
        </is>
      </c>
      <c r="P730" t="inlineStr">
        <is>
          <t>The Aquila School</t>
        </is>
      </c>
      <c r="Q730" t="inlineStr">
        <is>
          <t>Saudi German Hospital</t>
        </is>
      </c>
      <c r="R730" t="inlineStr">
        <is>
          <t>Dubai Outlet Mall</t>
        </is>
      </c>
      <c r="S730" t="inlineStr">
        <is>
          <t>Al Qudra / E77</t>
        </is>
      </c>
      <c r="T730" t="inlineStr">
        <is>
          <t>35</t>
        </is>
      </c>
      <c r="U730" t="inlineStr">
        <is>
          <t>40</t>
        </is>
      </c>
      <c r="V730" t="inlineStr">
        <is>
          <t>40</t>
        </is>
      </c>
      <c r="W730" t="inlineStr">
        <is>
          <t>35</t>
        </is>
      </c>
      <c r="X730" t="inlineStr">
        <is>
          <t>Guild.csv</t>
        </is>
      </c>
    </row>
    <row r="731">
      <c r="A731" t="n">
        <v>730</v>
      </c>
      <c r="B731" t="n">
        <v>194</v>
      </c>
      <c r="C731" t="inlineStr">
        <is>
          <t>Park Greens</t>
        </is>
      </c>
      <c r="D731" t="inlineStr">
        <is>
          <t>DAMAC Properties</t>
        </is>
      </c>
      <c r="E731" t="inlineStr">
        <is>
          <t>DAMAC Hills 2</t>
        </is>
      </c>
      <c r="F731" t="inlineStr">
        <is>
          <t>Twin Villas</t>
        </is>
      </c>
      <c r="G731" t="inlineStr">
        <is>
          <t>Green / Park</t>
        </is>
      </c>
      <c r="H731" t="inlineStr">
        <is>
          <t>2.8M</t>
        </is>
      </c>
      <c r="I731" t="inlineStr">
        <is>
          <t>1100</t>
        </is>
      </c>
      <c r="J731" t="inlineStr">
        <is>
          <t>10</t>
        </is>
      </c>
      <c r="K731" t="inlineStr">
        <is>
          <t>70/30</t>
        </is>
      </c>
      <c r="L731" t="inlineStr">
        <is>
          <t>2023</t>
        </is>
      </c>
      <c r="M731" t="inlineStr">
        <is>
          <t>6.0-6.5</t>
        </is>
      </c>
      <c r="N731" t="inlineStr">
        <is>
          <t>8-10</t>
        </is>
      </c>
      <c r="O731" t="inlineStr">
        <is>
          <t>14.0-16.5</t>
        </is>
      </c>
      <c r="P731" t="inlineStr">
        <is>
          <t>The Aquila School</t>
        </is>
      </c>
      <c r="Q731" t="inlineStr">
        <is>
          <t>Saudi German Hospital</t>
        </is>
      </c>
      <c r="R731" t="inlineStr">
        <is>
          <t>Dubai Outlet Mall</t>
        </is>
      </c>
      <c r="S731" t="inlineStr">
        <is>
          <t>Al Qudra / E77</t>
        </is>
      </c>
      <c r="T731" t="inlineStr">
        <is>
          <t>35</t>
        </is>
      </c>
      <c r="U731" t="inlineStr">
        <is>
          <t>40</t>
        </is>
      </c>
      <c r="V731" t="inlineStr">
        <is>
          <t>40</t>
        </is>
      </c>
      <c r="W731" t="inlineStr">
        <is>
          <t>35</t>
        </is>
      </c>
      <c r="X731" t="inlineStr">
        <is>
          <t>Guild.csv</t>
        </is>
      </c>
    </row>
    <row r="732">
      <c r="A732" t="n">
        <v>731</v>
      </c>
      <c r="B732" t="n">
        <v>195</v>
      </c>
      <c r="C732" t="inlineStr">
        <is>
          <t>Verona</t>
        </is>
      </c>
      <c r="D732" t="inlineStr">
        <is>
          <t>DAMAC Properties</t>
        </is>
      </c>
      <c r="E732" t="inlineStr">
        <is>
          <t>DAMAC Hills 2</t>
        </is>
      </c>
      <c r="F732" t="inlineStr">
        <is>
          <t>Townhouses</t>
        </is>
      </c>
      <c r="G732" t="inlineStr">
        <is>
          <t>Classic</t>
        </is>
      </c>
      <c r="H732" t="inlineStr">
        <is>
          <t>1.8M</t>
        </is>
      </c>
      <c r="I732" t="inlineStr">
        <is>
          <t>900</t>
        </is>
      </c>
      <c r="J732" t="inlineStr">
        <is>
          <t>10</t>
        </is>
      </c>
      <c r="K732" t="inlineStr">
        <is>
          <t>70/30</t>
        </is>
      </c>
      <c r="L732" t="inlineStr">
        <is>
          <t>2023</t>
        </is>
      </c>
      <c r="M732" t="inlineStr">
        <is>
          <t>6.5-7.0</t>
        </is>
      </c>
      <c r="N732" t="inlineStr">
        <is>
          <t>6-8</t>
        </is>
      </c>
      <c r="O732" t="inlineStr">
        <is>
          <t>12.5-15.0</t>
        </is>
      </c>
      <c r="P732" t="inlineStr">
        <is>
          <t>The Aquila School</t>
        </is>
      </c>
      <c r="Q732" t="inlineStr">
        <is>
          <t>Saudi German Hospital</t>
        </is>
      </c>
      <c r="R732" t="inlineStr">
        <is>
          <t>Dubai Outlet Mall</t>
        </is>
      </c>
      <c r="S732" t="inlineStr">
        <is>
          <t>Al Qudra / E77</t>
        </is>
      </c>
      <c r="T732" t="inlineStr">
        <is>
          <t>35</t>
        </is>
      </c>
      <c r="U732" t="inlineStr">
        <is>
          <t>40</t>
        </is>
      </c>
      <c r="V732" t="inlineStr">
        <is>
          <t>40</t>
        </is>
      </c>
      <c r="W732" t="inlineStr">
        <is>
          <t>35</t>
        </is>
      </c>
      <c r="X732" t="inlineStr">
        <is>
          <t>Guild.csv</t>
        </is>
      </c>
    </row>
    <row r="733">
      <c r="A733" t="n">
        <v>732</v>
      </c>
      <c r="B733" t="n">
        <v>196</v>
      </c>
      <c r="C733" t="inlineStr">
        <is>
          <t>Natura</t>
        </is>
      </c>
      <c r="D733" t="inlineStr">
        <is>
          <t>DAMAC Properties</t>
        </is>
      </c>
      <c r="E733" t="inlineStr">
        <is>
          <t>DAMAC Hills 2</t>
        </is>
      </c>
      <c r="F733" t="inlineStr">
        <is>
          <t>Townhouses</t>
        </is>
      </c>
      <c r="G733" t="inlineStr">
        <is>
          <t>Nature</t>
        </is>
      </c>
      <c r="H733" t="inlineStr">
        <is>
          <t>1.9M</t>
        </is>
      </c>
      <c r="I733" t="inlineStr">
        <is>
          <t>950</t>
        </is>
      </c>
      <c r="J733" t="inlineStr">
        <is>
          <t>10</t>
        </is>
      </c>
      <c r="K733" t="inlineStr">
        <is>
          <t>70/30</t>
        </is>
      </c>
      <c r="L733" t="inlineStr">
        <is>
          <t>2024</t>
        </is>
      </c>
      <c r="M733" t="inlineStr">
        <is>
          <t>6.5-7.0</t>
        </is>
      </c>
      <c r="N733" t="inlineStr">
        <is>
          <t>8-10</t>
        </is>
      </c>
      <c r="O733" t="inlineStr">
        <is>
          <t>14.5-17.0</t>
        </is>
      </c>
      <c r="P733" t="inlineStr">
        <is>
          <t>The Aquila School</t>
        </is>
      </c>
      <c r="Q733" t="inlineStr">
        <is>
          <t>Saudi German Hospital</t>
        </is>
      </c>
      <c r="R733" t="inlineStr">
        <is>
          <t>Dubai Outlet Mall</t>
        </is>
      </c>
      <c r="S733" t="inlineStr">
        <is>
          <t>Al Qudra / E77</t>
        </is>
      </c>
      <c r="T733" t="inlineStr">
        <is>
          <t>35</t>
        </is>
      </c>
      <c r="U733" t="inlineStr">
        <is>
          <t>40</t>
        </is>
      </c>
      <c r="V733" t="inlineStr">
        <is>
          <t>40</t>
        </is>
      </c>
      <c r="W733" t="inlineStr">
        <is>
          <t>35</t>
        </is>
      </c>
      <c r="X733" t="inlineStr">
        <is>
          <t>Guild.csv</t>
        </is>
      </c>
    </row>
    <row r="734">
      <c r="A734" t="n">
        <v>733</v>
      </c>
      <c r="B734" t="n">
        <v>197</v>
      </c>
      <c r="C734" t="inlineStr">
        <is>
          <t>DAMAC Riverside</t>
        </is>
      </c>
      <c r="D734" t="inlineStr">
        <is>
          <t>DAMAC Properties</t>
        </is>
      </c>
      <c r="E734" t="inlineStr">
        <is>
          <t>Dubai Investment Park</t>
        </is>
      </c>
      <c r="F734" t="inlineStr">
        <is>
          <t>Townhouses &amp; Villas</t>
        </is>
      </c>
      <c r="G734" t="inlineStr">
        <is>
          <t>Water / Serene</t>
        </is>
      </c>
      <c r="J734" t="inlineStr">
        <is>
          <t>TBA</t>
        </is>
      </c>
      <c r="K734" t="inlineStr">
        <is>
          <t>70/30</t>
        </is>
      </c>
      <c r="L734" t="inlineStr">
        <is>
          <t>2024</t>
        </is>
      </c>
      <c r="M734" t="inlineStr">
        <is>
          <t>6.0-6.5</t>
        </is>
      </c>
      <c r="N734" t="inlineStr">
        <is>
          <t>10-15</t>
        </is>
      </c>
      <c r="O734" t="inlineStr">
        <is>
          <t>16.0-21.5</t>
        </is>
      </c>
      <c r="P734" t="inlineStr">
        <is>
          <t>Greenfield Intl</t>
        </is>
      </c>
      <c r="Q734" t="inlineStr">
        <is>
          <t>NMC Royal DIP</t>
        </is>
      </c>
      <c r="R734" t="inlineStr">
        <is>
          <t>Damac Mall</t>
        </is>
      </c>
      <c r="S734" t="inlineStr">
        <is>
          <t>Yalayis St / E611</t>
        </is>
      </c>
      <c r="T734" t="inlineStr">
        <is>
          <t>25</t>
        </is>
      </c>
      <c r="U734" t="inlineStr">
        <is>
          <t>20</t>
        </is>
      </c>
      <c r="V734" t="inlineStr">
        <is>
          <t>35</t>
        </is>
      </c>
      <c r="W734" t="inlineStr">
        <is>
          <t>15</t>
        </is>
      </c>
      <c r="X734" t="inlineStr">
        <is>
          <t>Guild.csv</t>
        </is>
      </c>
    </row>
    <row r="735">
      <c r="A735" t="n">
        <v>734</v>
      </c>
      <c r="B735" t="n">
        <v>198</v>
      </c>
      <c r="C735" t="inlineStr">
        <is>
          <t>Water Vein</t>
        </is>
      </c>
      <c r="D735" t="inlineStr">
        <is>
          <t>DAMAC Properties</t>
        </is>
      </c>
      <c r="E735" t="inlineStr">
        <is>
          <t>DAMAC Riverside</t>
        </is>
      </c>
      <c r="F735" t="inlineStr">
        <is>
          <t>Townhouses</t>
        </is>
      </c>
      <c r="G735" t="inlineStr">
        <is>
          <t>Waterfront</t>
        </is>
      </c>
      <c r="H735" t="inlineStr">
        <is>
          <t>2.5M</t>
        </is>
      </c>
      <c r="I735" t="inlineStr">
        <is>
          <t>1200</t>
        </is>
      </c>
      <c r="J735" t="inlineStr">
        <is>
          <t>TBA</t>
        </is>
      </c>
      <c r="K735" t="inlineStr">
        <is>
          <t>70/30</t>
        </is>
      </c>
      <c r="L735" t="inlineStr">
        <is>
          <t>2024</t>
        </is>
      </c>
      <c r="M735" t="inlineStr">
        <is>
          <t>6.0-6.5</t>
        </is>
      </c>
      <c r="N735" t="inlineStr">
        <is>
          <t>10-15</t>
        </is>
      </c>
      <c r="O735" t="inlineStr">
        <is>
          <t>16.0-21.5</t>
        </is>
      </c>
      <c r="P735" t="inlineStr">
        <is>
          <t>Greenfield Intl</t>
        </is>
      </c>
      <c r="Q735" t="inlineStr">
        <is>
          <t>NMC Royal DIP</t>
        </is>
      </c>
      <c r="R735" t="inlineStr">
        <is>
          <t>Damac Mall</t>
        </is>
      </c>
      <c r="S735" t="inlineStr">
        <is>
          <t>Yalayis St / E611</t>
        </is>
      </c>
      <c r="T735" t="inlineStr">
        <is>
          <t>25</t>
        </is>
      </c>
      <c r="U735" t="inlineStr">
        <is>
          <t>20</t>
        </is>
      </c>
      <c r="V735" t="inlineStr">
        <is>
          <t>35</t>
        </is>
      </c>
      <c r="W735" t="inlineStr">
        <is>
          <t>15</t>
        </is>
      </c>
      <c r="X735" t="inlineStr">
        <is>
          <t>Guild.csv</t>
        </is>
      </c>
    </row>
    <row r="736">
      <c r="A736" t="n">
        <v>735</v>
      </c>
      <c r="B736" t="n">
        <v>199</v>
      </c>
      <c r="C736" t="inlineStr">
        <is>
          <t>Green Vein</t>
        </is>
      </c>
      <c r="D736" t="inlineStr">
        <is>
          <t>DAMAC Properties</t>
        </is>
      </c>
      <c r="E736" t="inlineStr">
        <is>
          <t>DAMAC Riverside</t>
        </is>
      </c>
      <c r="F736" t="inlineStr">
        <is>
          <t>Townhouses</t>
        </is>
      </c>
      <c r="G736" t="inlineStr">
        <is>
          <t>Green / Nature</t>
        </is>
      </c>
      <c r="H736" t="inlineStr">
        <is>
          <t>2.4M</t>
        </is>
      </c>
      <c r="I736" t="inlineStr">
        <is>
          <t>1150</t>
        </is>
      </c>
      <c r="J736" t="inlineStr">
        <is>
          <t>TBA</t>
        </is>
      </c>
      <c r="K736" t="inlineStr">
        <is>
          <t>70/30</t>
        </is>
      </c>
      <c r="L736" t="inlineStr">
        <is>
          <t>2024</t>
        </is>
      </c>
      <c r="M736" t="inlineStr">
        <is>
          <t>6.0-6.5</t>
        </is>
      </c>
      <c r="N736" t="inlineStr">
        <is>
          <t>10-15</t>
        </is>
      </c>
      <c r="O736" t="inlineStr">
        <is>
          <t>16.0-21.5</t>
        </is>
      </c>
      <c r="P736" t="inlineStr">
        <is>
          <t>Greenfield Intl</t>
        </is>
      </c>
      <c r="Q736" t="inlineStr">
        <is>
          <t>NMC Royal DIP</t>
        </is>
      </c>
      <c r="R736" t="inlineStr">
        <is>
          <t>Damac Mall</t>
        </is>
      </c>
      <c r="S736" t="inlineStr">
        <is>
          <t>Yalayis St / E611</t>
        </is>
      </c>
      <c r="T736" t="inlineStr">
        <is>
          <t>25</t>
        </is>
      </c>
      <c r="U736" t="inlineStr">
        <is>
          <t>20</t>
        </is>
      </c>
      <c r="V736" t="inlineStr">
        <is>
          <t>35</t>
        </is>
      </c>
      <c r="W736" t="inlineStr">
        <is>
          <t>15</t>
        </is>
      </c>
      <c r="X736" t="inlineStr">
        <is>
          <t>Guild.csv</t>
        </is>
      </c>
    </row>
    <row r="737">
      <c r="A737" t="n">
        <v>736</v>
      </c>
      <c r="B737" t="n">
        <v>200</v>
      </c>
      <c r="C737" t="inlineStr">
        <is>
          <t>Safa One</t>
        </is>
      </c>
      <c r="D737" t="inlineStr">
        <is>
          <t>DAMAC Properties</t>
        </is>
      </c>
      <c r="E737" t="inlineStr">
        <is>
          <t>Safa Park</t>
        </is>
      </c>
      <c r="F737" t="inlineStr">
        <is>
          <t>Branded Apts (De Grisogono)</t>
        </is>
      </c>
      <c r="G737" t="inlineStr">
        <is>
          <t>Luxury / Park</t>
        </is>
      </c>
      <c r="H737" t="inlineStr">
        <is>
          <t>4.5M</t>
        </is>
      </c>
      <c r="I737" t="inlineStr">
        <is>
          <t>3000</t>
        </is>
      </c>
      <c r="J737" t="inlineStr">
        <is>
          <t>25+</t>
        </is>
      </c>
      <c r="K737" t="inlineStr">
        <is>
          <t>75/25</t>
        </is>
      </c>
      <c r="L737" t="inlineStr">
        <is>
          <t>2022</t>
        </is>
      </c>
      <c r="M737" t="inlineStr">
        <is>
          <t>5.0-5.5</t>
        </is>
      </c>
      <c r="N737" t="inlineStr">
        <is>
          <t>8-10</t>
        </is>
      </c>
      <c r="O737" t="inlineStr">
        <is>
          <t>13.0-15.5</t>
        </is>
      </c>
      <c r="P737" t="inlineStr">
        <is>
          <t>JESS Jumeirah</t>
        </is>
      </c>
      <c r="Q737" t="inlineStr">
        <is>
          <t>Medcare Hospital</t>
        </is>
      </c>
      <c r="R737" t="inlineStr">
        <is>
          <t>Dubai Mall</t>
        </is>
      </c>
      <c r="S737" t="inlineStr">
        <is>
          <t>Sheikh Zayed E11</t>
        </is>
      </c>
      <c r="T737" t="inlineStr">
        <is>
          <t>5</t>
        </is>
      </c>
      <c r="U737" t="inlineStr">
        <is>
          <t>15</t>
        </is>
      </c>
      <c r="V737" t="inlineStr">
        <is>
          <t>15</t>
        </is>
      </c>
      <c r="W737" t="inlineStr">
        <is>
          <t>35</t>
        </is>
      </c>
      <c r="X737" t="inlineStr">
        <is>
          <t>Guild.csv</t>
        </is>
      </c>
    </row>
    <row r="738">
      <c r="A738" t="n">
        <v>737</v>
      </c>
      <c r="B738" t="n">
        <v>201</v>
      </c>
      <c r="C738" t="inlineStr">
        <is>
          <t>Safa Two</t>
        </is>
      </c>
      <c r="D738" t="inlineStr">
        <is>
          <t>DAMAC Properties</t>
        </is>
      </c>
      <c r="E738" t="inlineStr">
        <is>
          <t>Safa Park</t>
        </is>
      </c>
      <c r="F738" t="inlineStr">
        <is>
          <t>Branded Apts (De Grisogono)</t>
        </is>
      </c>
      <c r="G738" t="inlineStr">
        <is>
          <t>Luxury / Park</t>
        </is>
      </c>
      <c r="H738" t="inlineStr">
        <is>
          <t>3.8M</t>
        </is>
      </c>
      <c r="I738" t="inlineStr">
        <is>
          <t>2800</t>
        </is>
      </c>
      <c r="J738" t="inlineStr">
        <is>
          <t>25+</t>
        </is>
      </c>
      <c r="K738" t="inlineStr">
        <is>
          <t>75/25</t>
        </is>
      </c>
      <c r="L738" t="inlineStr">
        <is>
          <t>2022</t>
        </is>
      </c>
      <c r="M738" t="inlineStr">
        <is>
          <t>5.0-5.5</t>
        </is>
      </c>
      <c r="N738" t="inlineStr">
        <is>
          <t>8-10</t>
        </is>
      </c>
      <c r="O738" t="inlineStr">
        <is>
          <t>13.0-15.5</t>
        </is>
      </c>
      <c r="P738" t="inlineStr">
        <is>
          <t>JESS Jumeirah</t>
        </is>
      </c>
      <c r="Q738" t="inlineStr">
        <is>
          <t>Medcare Hospital</t>
        </is>
      </c>
      <c r="R738" t="inlineStr">
        <is>
          <t>Dubai Mall</t>
        </is>
      </c>
      <c r="S738" t="inlineStr">
        <is>
          <t>Sheikh Zayed E11</t>
        </is>
      </c>
      <c r="T738" t="inlineStr">
        <is>
          <t>5</t>
        </is>
      </c>
      <c r="U738" t="inlineStr">
        <is>
          <t>15</t>
        </is>
      </c>
      <c r="V738" t="inlineStr">
        <is>
          <t>15</t>
        </is>
      </c>
      <c r="W738" t="inlineStr">
        <is>
          <t>35</t>
        </is>
      </c>
      <c r="X738" t="inlineStr">
        <is>
          <t>Guild.csv</t>
        </is>
      </c>
    </row>
    <row r="739">
      <c r="A739" t="n">
        <v>738</v>
      </c>
      <c r="B739" t="n">
        <v>202</v>
      </c>
      <c r="C739" t="inlineStr">
        <is>
          <t>Cavalli Tower</t>
        </is>
      </c>
      <c r="D739" t="inlineStr">
        <is>
          <t>DAMAC Properties</t>
        </is>
      </c>
      <c r="E739" t="inlineStr">
        <is>
          <t>Dubai Marina</t>
        </is>
      </c>
      <c r="F739" t="inlineStr">
        <is>
          <t>Branded Apts (Cavalli)</t>
        </is>
      </c>
      <c r="G739" t="inlineStr">
        <is>
          <t>Ultra-Luxury</t>
        </is>
      </c>
      <c r="H739" t="inlineStr">
        <is>
          <t>18M+</t>
        </is>
      </c>
      <c r="I739" t="inlineStr">
        <is>
          <t>4500</t>
        </is>
      </c>
      <c r="J739" t="inlineStr">
        <is>
          <t>35+</t>
        </is>
      </c>
      <c r="K739" t="inlineStr">
        <is>
          <t>80/20</t>
        </is>
      </c>
      <c r="L739" t="inlineStr">
        <is>
          <t>2021</t>
        </is>
      </c>
      <c r="M739" t="inlineStr">
        <is>
          <t>4.5-5.0</t>
        </is>
      </c>
      <c r="N739" t="inlineStr">
        <is>
          <t>8-12</t>
        </is>
      </c>
      <c r="O739" t="inlineStr">
        <is>
          <t>12.5-17.0</t>
        </is>
      </c>
      <c r="P739" t="inlineStr">
        <is>
          <t>American Univ. Dubai</t>
        </is>
      </c>
      <c r="Q739" t="inlineStr">
        <is>
          <t>Saudi German Hospital</t>
        </is>
      </c>
      <c r="R739" t="inlineStr">
        <is>
          <t>Dubai Marina Mall</t>
        </is>
      </c>
      <c r="S739" t="inlineStr">
        <is>
          <t>Sheikh Zayed E11</t>
        </is>
      </c>
      <c r="T739" t="inlineStr">
        <is>
          <t>20</t>
        </is>
      </c>
      <c r="U739" t="inlineStr">
        <is>
          <t>5</t>
        </is>
      </c>
      <c r="V739" t="inlineStr">
        <is>
          <t>25</t>
        </is>
      </c>
      <c r="W739" t="inlineStr">
        <is>
          <t>30</t>
        </is>
      </c>
      <c r="X739" t="inlineStr">
        <is>
          <t>Guild.csv</t>
        </is>
      </c>
    </row>
    <row r="740">
      <c r="A740" t="n">
        <v>739</v>
      </c>
      <c r="B740" t="n">
        <v>203</v>
      </c>
      <c r="C740" t="inlineStr">
        <is>
          <t>DAMAC Bay 1</t>
        </is>
      </c>
      <c r="D740" t="inlineStr">
        <is>
          <t>DAMAC Properties</t>
        </is>
      </c>
      <c r="E740" t="inlineStr">
        <is>
          <t>Dubai Harbour</t>
        </is>
      </c>
      <c r="F740" t="inlineStr">
        <is>
          <t>Branded Apts</t>
        </is>
      </c>
      <c r="G740" t="inlineStr">
        <is>
          <t>Beachfront</t>
        </is>
      </c>
      <c r="H740" t="inlineStr">
        <is>
          <t>4.5M</t>
        </is>
      </c>
      <c r="I740" t="inlineStr">
        <is>
          <t>3500</t>
        </is>
      </c>
      <c r="J740" t="inlineStr">
        <is>
          <t>30+</t>
        </is>
      </c>
      <c r="K740" t="inlineStr">
        <is>
          <t>80/20</t>
        </is>
      </c>
      <c r="L740" t="inlineStr">
        <is>
          <t>2023</t>
        </is>
      </c>
      <c r="M740" t="inlineStr">
        <is>
          <t>5.0-5.5</t>
        </is>
      </c>
      <c r="N740" t="inlineStr">
        <is>
          <t>10-15</t>
        </is>
      </c>
      <c r="O740" t="inlineStr">
        <is>
          <t>15.0-20.5</t>
        </is>
      </c>
      <c r="P740" t="inlineStr">
        <is>
          <t>American Univ. Dubai</t>
        </is>
      </c>
      <c r="Q740" t="inlineStr">
        <is>
          <t>Saudi German Hospital</t>
        </is>
      </c>
      <c r="R740" t="inlineStr">
        <is>
          <t>Dubai Marina Mall</t>
        </is>
      </c>
      <c r="S740" t="inlineStr">
        <is>
          <t>Sheikh Zayed E11</t>
        </is>
      </c>
      <c r="T740" t="inlineStr">
        <is>
          <t>20</t>
        </is>
      </c>
      <c r="U740" t="inlineStr">
        <is>
          <t>5</t>
        </is>
      </c>
      <c r="V740" t="inlineStr">
        <is>
          <t>25</t>
        </is>
      </c>
      <c r="W740" t="inlineStr">
        <is>
          <t>30</t>
        </is>
      </c>
      <c r="X740" t="inlineStr">
        <is>
          <t>Guild.csv</t>
        </is>
      </c>
    </row>
    <row r="741">
      <c r="A741" t="n">
        <v>740</v>
      </c>
      <c r="B741" t="n">
        <v>204</v>
      </c>
      <c r="C741" t="inlineStr">
        <is>
          <t>DAMAC Bay 2</t>
        </is>
      </c>
      <c r="D741" t="inlineStr">
        <is>
          <t>DAMAC Properties</t>
        </is>
      </c>
      <c r="E741" t="inlineStr">
        <is>
          <t>Dubai Harbour</t>
        </is>
      </c>
      <c r="F741" t="inlineStr">
        <is>
          <t>Branded Apts</t>
        </is>
      </c>
      <c r="G741" t="inlineStr">
        <is>
          <t>Beachfront</t>
        </is>
      </c>
      <c r="H741" t="inlineStr">
        <is>
          <t>5.0M</t>
        </is>
      </c>
      <c r="I741" t="inlineStr">
        <is>
          <t>3600</t>
        </is>
      </c>
      <c r="J741" t="inlineStr">
        <is>
          <t>30+</t>
        </is>
      </c>
      <c r="K741" t="inlineStr">
        <is>
          <t>80/20</t>
        </is>
      </c>
      <c r="L741" t="inlineStr">
        <is>
          <t>2023</t>
        </is>
      </c>
      <c r="M741" t="inlineStr">
        <is>
          <t>5.0-5.5</t>
        </is>
      </c>
      <c r="N741" t="inlineStr">
        <is>
          <t>10-15</t>
        </is>
      </c>
      <c r="O741" t="inlineStr">
        <is>
          <t>15.0-20.5</t>
        </is>
      </c>
      <c r="P741" t="inlineStr">
        <is>
          <t>American Univ. Dubai</t>
        </is>
      </c>
      <c r="Q741" t="inlineStr">
        <is>
          <t>Saudi German Hospital</t>
        </is>
      </c>
      <c r="R741" t="inlineStr">
        <is>
          <t>Dubai Marina Mall</t>
        </is>
      </c>
      <c r="S741" t="inlineStr">
        <is>
          <t>Sheikh Zayed E11</t>
        </is>
      </c>
      <c r="T741" t="inlineStr">
        <is>
          <t>20</t>
        </is>
      </c>
      <c r="U741" t="inlineStr">
        <is>
          <t>5</t>
        </is>
      </c>
      <c r="V741" t="inlineStr">
        <is>
          <t>25</t>
        </is>
      </c>
      <c r="W741" t="inlineStr">
        <is>
          <t>30</t>
        </is>
      </c>
      <c r="X741" t="inlineStr">
        <is>
          <t>Guild.csv</t>
        </is>
      </c>
    </row>
    <row r="742">
      <c r="A742" t="n">
        <v>741</v>
      </c>
      <c r="B742" t="n">
        <v>205</v>
      </c>
      <c r="C742" t="inlineStr">
        <is>
          <t>Canal Crown</t>
        </is>
      </c>
      <c r="D742" t="inlineStr">
        <is>
          <t>DAMAC Properties</t>
        </is>
      </c>
      <c r="E742" t="inlineStr">
        <is>
          <t>Business Bay</t>
        </is>
      </c>
      <c r="F742" t="inlineStr">
        <is>
          <t>Branded Apts</t>
        </is>
      </c>
      <c r="G742" t="inlineStr">
        <is>
          <t>Canal View</t>
        </is>
      </c>
      <c r="H742" t="inlineStr">
        <is>
          <t>2.8M</t>
        </is>
      </c>
      <c r="I742" t="inlineStr">
        <is>
          <t>2500</t>
        </is>
      </c>
      <c r="J742" t="inlineStr">
        <is>
          <t>25</t>
        </is>
      </c>
      <c r="K742" t="inlineStr">
        <is>
          <t>80/20</t>
        </is>
      </c>
      <c r="L742" t="inlineStr">
        <is>
          <t>2023</t>
        </is>
      </c>
      <c r="M742" t="inlineStr">
        <is>
          <t>5.5-6.0</t>
        </is>
      </c>
      <c r="N742" t="inlineStr">
        <is>
          <t>8-10</t>
        </is>
      </c>
      <c r="O742" t="inlineStr">
        <is>
          <t>13.5-16.0</t>
        </is>
      </c>
      <c r="P742" t="inlineStr">
        <is>
          <t>Hartland Intl</t>
        </is>
      </c>
      <c r="Q742" t="inlineStr">
        <is>
          <t>Emirates Hospital BB</t>
        </is>
      </c>
      <c r="R742" t="inlineStr">
        <is>
          <t>Dubai Mall</t>
        </is>
      </c>
      <c r="S742" t="inlineStr">
        <is>
          <t>Al Khail E44</t>
        </is>
      </c>
      <c r="T742" t="inlineStr">
        <is>
          <t>5</t>
        </is>
      </c>
      <c r="U742" t="inlineStr">
        <is>
          <t>20</t>
        </is>
      </c>
      <c r="V742" t="inlineStr">
        <is>
          <t>15</t>
        </is>
      </c>
      <c r="W742" t="inlineStr">
        <is>
          <t>35</t>
        </is>
      </c>
      <c r="X742" t="inlineStr">
        <is>
          <t>Guild.csv</t>
        </is>
      </c>
    </row>
    <row r="743">
      <c r="A743" t="n">
        <v>742</v>
      </c>
      <c r="B743" t="n">
        <v>206</v>
      </c>
      <c r="C743" t="inlineStr">
        <is>
          <t>Volta</t>
        </is>
      </c>
      <c r="D743" t="inlineStr">
        <is>
          <t>DAMAC Properties</t>
        </is>
      </c>
      <c r="E743" t="inlineStr">
        <is>
          <t>Sheikh Zayed Road</t>
        </is>
      </c>
      <c r="F743" t="inlineStr">
        <is>
          <t>Apartments</t>
        </is>
      </c>
      <c r="G743" t="inlineStr">
        <is>
          <t>Fitness / High-Rise</t>
        </is>
      </c>
      <c r="H743" t="inlineStr">
        <is>
          <t>2.5M</t>
        </is>
      </c>
      <c r="I743" t="inlineStr">
        <is>
          <t>2400</t>
        </is>
      </c>
      <c r="J743" t="inlineStr">
        <is>
          <t>25</t>
        </is>
      </c>
      <c r="K743" t="inlineStr">
        <is>
          <t>80/20</t>
        </is>
      </c>
      <c r="L743" t="inlineStr">
        <is>
          <t>2023</t>
        </is>
      </c>
      <c r="M743" t="inlineStr">
        <is>
          <t>5.5-6.0</t>
        </is>
      </c>
      <c r="N743" t="inlineStr">
        <is>
          <t>7-9</t>
        </is>
      </c>
      <c r="O743" t="inlineStr">
        <is>
          <t>12.5-15.0</t>
        </is>
      </c>
      <c r="P743" t="inlineStr">
        <is>
          <t>Hartland Intl</t>
        </is>
      </c>
      <c r="Q743" t="inlineStr">
        <is>
          <t>Mediclinic Dubai Mall</t>
        </is>
      </c>
      <c r="R743" t="inlineStr">
        <is>
          <t>Dubai Mall</t>
        </is>
      </c>
      <c r="S743" t="inlineStr">
        <is>
          <t>Sheikh Zayed E11</t>
        </is>
      </c>
      <c r="T743" t="inlineStr">
        <is>
          <t>5</t>
        </is>
      </c>
      <c r="U743" t="inlineStr">
        <is>
          <t>20</t>
        </is>
      </c>
      <c r="V743" t="inlineStr">
        <is>
          <t>15</t>
        </is>
      </c>
      <c r="W743" t="inlineStr">
        <is>
          <t>35</t>
        </is>
      </c>
      <c r="X743" t="inlineStr">
        <is>
          <t>Guild.csv</t>
        </is>
      </c>
    </row>
    <row r="744">
      <c r="A744" t="n">
        <v>743</v>
      </c>
      <c r="B744" t="n">
        <v>207</v>
      </c>
      <c r="C744" t="inlineStr">
        <is>
          <t>Chic Tower</t>
        </is>
      </c>
      <c r="D744" t="inlineStr">
        <is>
          <t>DAMAC Properties</t>
        </is>
      </c>
      <c r="E744" t="inlineStr">
        <is>
          <t>Business Bay</t>
        </is>
      </c>
      <c r="F744" t="inlineStr">
        <is>
          <t>Branded Apts</t>
        </is>
      </c>
      <c r="G744" t="inlineStr">
        <is>
          <t>Design / Canal</t>
        </is>
      </c>
      <c r="H744" t="inlineStr">
        <is>
          <t>3.0M</t>
        </is>
      </c>
      <c r="I744" t="inlineStr">
        <is>
          <t>2600</t>
        </is>
      </c>
      <c r="J744" t="inlineStr">
        <is>
          <t>25</t>
        </is>
      </c>
      <c r="K744" t="inlineStr">
        <is>
          <t>80/20</t>
        </is>
      </c>
      <c r="L744" t="inlineStr">
        <is>
          <t>2022</t>
        </is>
      </c>
      <c r="M744" t="inlineStr">
        <is>
          <t>5.5-6.0</t>
        </is>
      </c>
      <c r="N744" t="inlineStr">
        <is>
          <t>7-9</t>
        </is>
      </c>
      <c r="O744" t="inlineStr">
        <is>
          <t>12.5-15.0</t>
        </is>
      </c>
      <c r="P744" t="inlineStr">
        <is>
          <t>Hartland Intl</t>
        </is>
      </c>
      <c r="Q744" t="inlineStr">
        <is>
          <t>Emirates Hospital BB</t>
        </is>
      </c>
      <c r="R744" t="inlineStr">
        <is>
          <t>Dubai Mall</t>
        </is>
      </c>
      <c r="S744" t="inlineStr">
        <is>
          <t>Al Khail E44</t>
        </is>
      </c>
      <c r="T744" t="inlineStr">
        <is>
          <t>5</t>
        </is>
      </c>
      <c r="U744" t="inlineStr">
        <is>
          <t>20</t>
        </is>
      </c>
      <c r="V744" t="inlineStr">
        <is>
          <t>15</t>
        </is>
      </c>
      <c r="W744" t="inlineStr">
        <is>
          <t>35</t>
        </is>
      </c>
      <c r="X744" t="inlineStr">
        <is>
          <t>Guild.csv</t>
        </is>
      </c>
    </row>
    <row r="745">
      <c r="A745" t="n">
        <v>744</v>
      </c>
      <c r="B745" t="n">
        <v>208</v>
      </c>
      <c r="C745" t="inlineStr">
        <is>
          <t>Elegance Tower</t>
        </is>
      </c>
      <c r="D745" t="inlineStr">
        <is>
          <t>DAMAC Properties</t>
        </is>
      </c>
      <c r="E745" t="inlineStr">
        <is>
          <t>Downtown Dubai</t>
        </is>
      </c>
      <c r="F745" t="inlineStr">
        <is>
          <t>Branded Apts</t>
        </is>
      </c>
      <c r="G745" t="inlineStr">
        <is>
          <t>Luxury / City</t>
        </is>
      </c>
      <c r="H745" t="inlineStr">
        <is>
          <t>2.8M</t>
        </is>
      </c>
      <c r="I745" t="inlineStr">
        <is>
          <t>2800</t>
        </is>
      </c>
      <c r="J745" t="inlineStr">
        <is>
          <t>28</t>
        </is>
      </c>
      <c r="K745" t="inlineStr">
        <is>
          <t>80/20</t>
        </is>
      </c>
      <c r="L745" t="inlineStr">
        <is>
          <t>2022</t>
        </is>
      </c>
      <c r="M745" t="inlineStr">
        <is>
          <t>5.5-6.0</t>
        </is>
      </c>
      <c r="N745" t="inlineStr">
        <is>
          <t>7-9</t>
        </is>
      </c>
      <c r="O745" t="inlineStr">
        <is>
          <t>12.5-15.0</t>
        </is>
      </c>
      <c r="P745" t="inlineStr">
        <is>
          <t>Hartland Intl</t>
        </is>
      </c>
      <c r="Q745" t="inlineStr">
        <is>
          <t>Mediclinic Dubai Mall</t>
        </is>
      </c>
      <c r="R745" t="inlineStr">
        <is>
          <t>Dubai Mall</t>
        </is>
      </c>
      <c r="S745" t="inlineStr">
        <is>
          <t>Financial Ctr Rd</t>
        </is>
      </c>
      <c r="T745" t="inlineStr">
        <is>
          <t>5</t>
        </is>
      </c>
      <c r="U745" t="inlineStr">
        <is>
          <t>20</t>
        </is>
      </c>
      <c r="V745" t="inlineStr">
        <is>
          <t>15</t>
        </is>
      </c>
      <c r="W745" t="inlineStr">
        <is>
          <t>35</t>
        </is>
      </c>
      <c r="X745" t="inlineStr">
        <is>
          <t>Guild.csv</t>
        </is>
      </c>
    </row>
    <row r="746">
      <c r="A746" t="n">
        <v>745</v>
      </c>
      <c r="B746" t="n">
        <v>209</v>
      </c>
      <c r="C746" t="inlineStr">
        <is>
          <t>Coral Reef</t>
        </is>
      </c>
      <c r="D746" t="inlineStr">
        <is>
          <t>DAMAC Properties</t>
        </is>
      </c>
      <c r="E746" t="inlineStr">
        <is>
          <t>Dubai Maritime City</t>
        </is>
      </c>
      <c r="F746" t="inlineStr">
        <is>
          <t>Apartments</t>
        </is>
      </c>
      <c r="G746" t="inlineStr">
        <is>
          <t>Art / Sea View</t>
        </is>
      </c>
      <c r="H746" t="inlineStr">
        <is>
          <t>1.8M</t>
        </is>
      </c>
      <c r="I746" t="inlineStr">
        <is>
          <t>2200</t>
        </is>
      </c>
      <c r="J746" t="inlineStr">
        <is>
          <t>25</t>
        </is>
      </c>
      <c r="K746" t="inlineStr">
        <is>
          <t>70/30</t>
        </is>
      </c>
      <c r="L746" t="inlineStr">
        <is>
          <t>2023</t>
        </is>
      </c>
      <c r="M746" t="inlineStr">
        <is>
          <t>6.0-6.5</t>
        </is>
      </c>
      <c r="N746" t="inlineStr">
        <is>
          <t>8-12</t>
        </is>
      </c>
      <c r="O746" t="inlineStr">
        <is>
          <t>14.0-18.5</t>
        </is>
      </c>
      <c r="P746" t="inlineStr">
        <is>
          <t>New Academy School</t>
        </is>
      </c>
      <c r="Q746" t="inlineStr">
        <is>
          <t>Aster Hospital Mankhool</t>
        </is>
      </c>
      <c r="R746" t="inlineStr">
        <is>
          <t>Dubai Mall</t>
        </is>
      </c>
      <c r="S746" t="inlineStr">
        <is>
          <t>Al Khaleej / E11</t>
        </is>
      </c>
      <c r="T746" t="inlineStr">
        <is>
          <t>15</t>
        </is>
      </c>
      <c r="U746" t="inlineStr">
        <is>
          <t>25</t>
        </is>
      </c>
      <c r="V746" t="inlineStr">
        <is>
          <t>15</t>
        </is>
      </c>
      <c r="W746" t="inlineStr">
        <is>
          <t>45</t>
        </is>
      </c>
      <c r="X746" t="inlineStr">
        <is>
          <t>Guild.csv</t>
        </is>
      </c>
    </row>
    <row r="747">
      <c r="A747" t="n">
        <v>746</v>
      </c>
      <c r="B747" t="n">
        <v>210</v>
      </c>
      <c r="C747" t="inlineStr">
        <is>
          <t>Sapphire</t>
        </is>
      </c>
      <c r="D747" t="inlineStr">
        <is>
          <t>DAMAC Properties</t>
        </is>
      </c>
      <c r="E747" t="inlineStr">
        <is>
          <t>Sheikh Zayed Road</t>
        </is>
      </c>
      <c r="F747" t="inlineStr">
        <is>
          <t>Apartments</t>
        </is>
      </c>
      <c r="G747" t="inlineStr">
        <is>
          <t>Luxury / City</t>
        </is>
      </c>
      <c r="H747" t="inlineStr">
        <is>
          <t>2.2M</t>
        </is>
      </c>
      <c r="I747" t="inlineStr">
        <is>
          <t>2300</t>
        </is>
      </c>
      <c r="J747" t="inlineStr">
        <is>
          <t>25</t>
        </is>
      </c>
      <c r="K747" t="inlineStr">
        <is>
          <t>70/30</t>
        </is>
      </c>
      <c r="L747" t="inlineStr">
        <is>
          <t>2024</t>
        </is>
      </c>
      <c r="M747" t="inlineStr">
        <is>
          <t>5.5-6.0</t>
        </is>
      </c>
      <c r="N747" t="inlineStr">
        <is>
          <t>7-9</t>
        </is>
      </c>
      <c r="O747" t="inlineStr">
        <is>
          <t>12.5-15.0</t>
        </is>
      </c>
      <c r="P747" t="inlineStr">
        <is>
          <t>JESS Jumeirah</t>
        </is>
      </c>
      <c r="Q747" t="inlineStr">
        <is>
          <t>Medcare Hospital</t>
        </is>
      </c>
      <c r="R747" t="inlineStr">
        <is>
          <t>Dubai Mall</t>
        </is>
      </c>
      <c r="S747" t="inlineStr">
        <is>
          <t>Sheikh Zayed E11</t>
        </is>
      </c>
      <c r="T747" t="inlineStr">
        <is>
          <t>5</t>
        </is>
      </c>
      <c r="U747" t="inlineStr">
        <is>
          <t>15</t>
        </is>
      </c>
      <c r="V747" t="inlineStr">
        <is>
          <t>15</t>
        </is>
      </c>
      <c r="W747" t="inlineStr">
        <is>
          <t>35</t>
        </is>
      </c>
      <c r="X747" t="inlineStr">
        <is>
          <t>Guild.csv</t>
        </is>
      </c>
    </row>
    <row r="748">
      <c r="A748" t="n">
        <v>747</v>
      </c>
      <c r="B748" t="n">
        <v>211</v>
      </c>
      <c r="C748" t="inlineStr">
        <is>
          <t>Sobha Solis</t>
        </is>
      </c>
      <c r="D748" t="inlineStr">
        <is>
          <t>Sobha Realty</t>
        </is>
      </c>
      <c r="E748" t="inlineStr">
        <is>
          <t>Motor City</t>
        </is>
      </c>
      <c r="F748" t="inlineStr">
        <is>
          <t>Apartments</t>
        </is>
      </c>
      <c r="G748" t="inlineStr">
        <is>
          <t>Sport / Community</t>
        </is>
      </c>
      <c r="H748" t="inlineStr">
        <is>
          <t>1.0M</t>
        </is>
      </c>
      <c r="I748" t="inlineStr">
        <is>
          <t>1500</t>
        </is>
      </c>
      <c r="J748" t="inlineStr">
        <is>
          <t>15</t>
        </is>
      </c>
      <c r="K748" t="inlineStr">
        <is>
          <t>60/40</t>
        </is>
      </c>
      <c r="L748" t="inlineStr">
        <is>
          <t>Feb 2025</t>
        </is>
      </c>
      <c r="M748" t="inlineStr">
        <is>
          <t>7.0-7.5</t>
        </is>
      </c>
      <c r="N748" t="inlineStr">
        <is>
          <t>10-12</t>
        </is>
      </c>
      <c r="O748" t="inlineStr">
        <is>
          <t>17.0-19.5</t>
        </is>
      </c>
      <c r="P748" t="inlineStr">
        <is>
          <t>GEMS Metropole</t>
        </is>
      </c>
      <c r="Q748" t="inlineStr">
        <is>
          <t>Mediclinic Parkview</t>
        </is>
      </c>
      <c r="R748" t="inlineStr">
        <is>
          <t>First Avenue Mall</t>
        </is>
      </c>
      <c r="S748" t="inlineStr">
        <is>
          <t>Hessa St / E311</t>
        </is>
      </c>
      <c r="T748" t="inlineStr">
        <is>
          <t>20</t>
        </is>
      </c>
      <c r="U748" t="inlineStr">
        <is>
          <t>15</t>
        </is>
      </c>
      <c r="V748" t="inlineStr">
        <is>
          <t>25</t>
        </is>
      </c>
      <c r="W748" t="inlineStr">
        <is>
          <t>25</t>
        </is>
      </c>
      <c r="X748" t="inlineStr">
        <is>
          <t>Guild.csv</t>
        </is>
      </c>
    </row>
    <row r="749">
      <c r="A749" t="n">
        <v>748</v>
      </c>
      <c r="B749" t="n">
        <v>212</v>
      </c>
      <c r="C749" t="inlineStr">
        <is>
          <t>Sobha Hartland II</t>
        </is>
      </c>
      <c r="D749" t="inlineStr">
        <is>
          <t>Sobha Realty</t>
        </is>
      </c>
      <c r="E749" t="inlineStr">
        <is>
          <t>MBR City (Ras Al Khor)</t>
        </is>
      </c>
      <c r="F749" t="inlineStr">
        <is>
          <t>Mixed</t>
        </is>
      </c>
      <c r="G749" t="inlineStr">
        <is>
          <t>Lagoon / Green</t>
        </is>
      </c>
      <c r="J749" t="inlineStr">
        <is>
          <t>18-20</t>
        </is>
      </c>
      <c r="K749" t="inlineStr">
        <is>
          <t>Varies</t>
        </is>
      </c>
      <c r="L749" t="inlineStr">
        <is>
          <t>Ongoing</t>
        </is>
      </c>
      <c r="M749" t="inlineStr">
        <is>
          <t>6.0-6.5</t>
        </is>
      </c>
      <c r="N749" t="inlineStr">
        <is>
          <t>9-12</t>
        </is>
      </c>
      <c r="O749" t="inlineStr">
        <is>
          <t>15.0-18.5</t>
        </is>
      </c>
      <c r="P749" t="inlineStr">
        <is>
          <t>Hartland Intl</t>
        </is>
      </c>
      <c r="Q749" t="inlineStr">
        <is>
          <t>American Hospital</t>
        </is>
      </c>
      <c r="R749" t="inlineStr">
        <is>
          <t>Dubai Mall</t>
        </is>
      </c>
      <c r="S749" t="inlineStr">
        <is>
          <t>Ras Al Khor / E44</t>
        </is>
      </c>
      <c r="T749" t="inlineStr">
        <is>
          <t>12</t>
        </is>
      </c>
      <c r="U749" t="inlineStr">
        <is>
          <t>25</t>
        </is>
      </c>
      <c r="V749" t="inlineStr">
        <is>
          <t>15</t>
        </is>
      </c>
      <c r="W749" t="inlineStr">
        <is>
          <t>40</t>
        </is>
      </c>
      <c r="X749" t="inlineStr">
        <is>
          <t>Guild.csv</t>
        </is>
      </c>
    </row>
    <row r="750">
      <c r="A750" t="n">
        <v>749</v>
      </c>
      <c r="B750" t="n">
        <v>213</v>
      </c>
      <c r="C750" t="inlineStr">
        <is>
          <t>Skyscape Avenue</t>
        </is>
      </c>
      <c r="D750" t="inlineStr">
        <is>
          <t>Sobha Realty</t>
        </is>
      </c>
      <c r="E750" t="inlineStr">
        <is>
          <t>Sobha Hartland II</t>
        </is>
      </c>
      <c r="F750" t="inlineStr">
        <is>
          <t>Apartments</t>
        </is>
      </c>
      <c r="G750" t="inlineStr">
        <is>
          <t>Lagoon / View</t>
        </is>
      </c>
      <c r="H750" t="inlineStr">
        <is>
          <t>1.6M</t>
        </is>
      </c>
      <c r="I750" t="inlineStr">
        <is>
          <t>2100</t>
        </is>
      </c>
      <c r="J750" t="inlineStr">
        <is>
          <t>20</t>
        </is>
      </c>
      <c r="K750" t="inlineStr">
        <is>
          <t>60/40</t>
        </is>
      </c>
      <c r="L750" t="inlineStr">
        <is>
          <t>2024</t>
        </is>
      </c>
      <c r="M750" t="inlineStr">
        <is>
          <t>6.0-6.5</t>
        </is>
      </c>
      <c r="N750" t="inlineStr">
        <is>
          <t>9-12</t>
        </is>
      </c>
      <c r="O750" t="inlineStr">
        <is>
          <t>15.0-18.5</t>
        </is>
      </c>
      <c r="P750" t="inlineStr">
        <is>
          <t>Hartland Intl</t>
        </is>
      </c>
      <c r="Q750" t="inlineStr">
        <is>
          <t>American Hospital</t>
        </is>
      </c>
      <c r="R750" t="inlineStr">
        <is>
          <t>Dubai Mall</t>
        </is>
      </c>
      <c r="S750" t="inlineStr">
        <is>
          <t>Ras Al Khor / E44</t>
        </is>
      </c>
      <c r="T750" t="inlineStr">
        <is>
          <t>12</t>
        </is>
      </c>
      <c r="U750" t="inlineStr">
        <is>
          <t>25</t>
        </is>
      </c>
      <c r="V750" t="inlineStr">
        <is>
          <t>15</t>
        </is>
      </c>
      <c r="W750" t="inlineStr">
        <is>
          <t>40</t>
        </is>
      </c>
      <c r="X750" t="inlineStr">
        <is>
          <t>Guild.csv</t>
        </is>
      </c>
    </row>
    <row r="751">
      <c r="A751" t="n">
        <v>750</v>
      </c>
      <c r="B751" t="n">
        <v>214</v>
      </c>
      <c r="C751" t="inlineStr">
        <is>
          <t>Skyscape Aura</t>
        </is>
      </c>
      <c r="D751" t="inlineStr">
        <is>
          <t>Sobha Realty</t>
        </is>
      </c>
      <c r="E751" t="inlineStr">
        <is>
          <t>Sobha Hartland II</t>
        </is>
      </c>
      <c r="F751" t="inlineStr">
        <is>
          <t>Apartments</t>
        </is>
      </c>
      <c r="G751" t="inlineStr">
        <is>
          <t>Lagoon / View</t>
        </is>
      </c>
      <c r="H751" t="inlineStr">
        <is>
          <t>1.7M</t>
        </is>
      </c>
      <c r="I751" t="inlineStr">
        <is>
          <t>2150</t>
        </is>
      </c>
      <c r="J751" t="inlineStr">
        <is>
          <t>20</t>
        </is>
      </c>
      <c r="K751" t="inlineStr">
        <is>
          <t>60/40</t>
        </is>
      </c>
      <c r="L751" t="inlineStr">
        <is>
          <t>2024</t>
        </is>
      </c>
      <c r="M751" t="inlineStr">
        <is>
          <t>6.0-6.5</t>
        </is>
      </c>
      <c r="N751" t="inlineStr">
        <is>
          <t>9-12</t>
        </is>
      </c>
      <c r="O751" t="inlineStr">
        <is>
          <t>15.0-18.5</t>
        </is>
      </c>
      <c r="P751" t="inlineStr">
        <is>
          <t>Hartland Intl</t>
        </is>
      </c>
      <c r="Q751" t="inlineStr">
        <is>
          <t>American Hospital</t>
        </is>
      </c>
      <c r="R751" t="inlineStr">
        <is>
          <t>Dubai Mall</t>
        </is>
      </c>
      <c r="S751" t="inlineStr">
        <is>
          <t>Ras Al Khor / E44</t>
        </is>
      </c>
      <c r="T751" t="inlineStr">
        <is>
          <t>12</t>
        </is>
      </c>
      <c r="U751" t="inlineStr">
        <is>
          <t>25</t>
        </is>
      </c>
      <c r="V751" t="inlineStr">
        <is>
          <t>15</t>
        </is>
      </c>
      <c r="W751" t="inlineStr">
        <is>
          <t>40</t>
        </is>
      </c>
      <c r="X751" t="inlineStr">
        <is>
          <t>Guild.csv</t>
        </is>
      </c>
    </row>
    <row r="752">
      <c r="A752" t="n">
        <v>751</v>
      </c>
      <c r="B752" t="n">
        <v>215</v>
      </c>
      <c r="C752" t="inlineStr">
        <is>
          <t>320 Riverside Crescent</t>
        </is>
      </c>
      <c r="D752" t="inlineStr">
        <is>
          <t>Sobha Realty</t>
        </is>
      </c>
      <c r="E752" t="inlineStr">
        <is>
          <t>Sobha Hartland II</t>
        </is>
      </c>
      <c r="F752" t="inlineStr">
        <is>
          <t>Apartments</t>
        </is>
      </c>
      <c r="G752" t="inlineStr">
        <is>
          <t>Waterfront</t>
        </is>
      </c>
      <c r="H752" t="inlineStr">
        <is>
          <t>1.45M</t>
        </is>
      </c>
      <c r="I752" t="inlineStr">
        <is>
          <t>1900</t>
        </is>
      </c>
      <c r="J752" t="inlineStr">
        <is>
          <t>20</t>
        </is>
      </c>
      <c r="K752" t="inlineStr">
        <is>
          <t>60/40</t>
        </is>
      </c>
      <c r="L752" t="inlineStr">
        <is>
          <t>2023</t>
        </is>
      </c>
      <c r="M752" t="inlineStr">
        <is>
          <t>6.5-7.0</t>
        </is>
      </c>
      <c r="N752" t="inlineStr">
        <is>
          <t>8-10</t>
        </is>
      </c>
      <c r="O752" t="inlineStr">
        <is>
          <t>14.5-17.0</t>
        </is>
      </c>
      <c r="P752" t="inlineStr">
        <is>
          <t>Hartland Intl</t>
        </is>
      </c>
      <c r="Q752" t="inlineStr">
        <is>
          <t>American Hospital</t>
        </is>
      </c>
      <c r="R752" t="inlineStr">
        <is>
          <t>Dubai Mall</t>
        </is>
      </c>
      <c r="S752" t="inlineStr">
        <is>
          <t>Ras Al Khor / E44</t>
        </is>
      </c>
      <c r="T752" t="inlineStr">
        <is>
          <t>12</t>
        </is>
      </c>
      <c r="U752" t="inlineStr">
        <is>
          <t>25</t>
        </is>
      </c>
      <c r="V752" t="inlineStr">
        <is>
          <t>15</t>
        </is>
      </c>
      <c r="W752" t="inlineStr">
        <is>
          <t>40</t>
        </is>
      </c>
      <c r="X752" t="inlineStr">
        <is>
          <t>Guild.csv</t>
        </is>
      </c>
    </row>
    <row r="753">
      <c r="A753" t="n">
        <v>752</v>
      </c>
      <c r="B753" t="n">
        <v>216</v>
      </c>
      <c r="C753" t="inlineStr">
        <is>
          <t>350 Riverside Crescent</t>
        </is>
      </c>
      <c r="D753" t="inlineStr">
        <is>
          <t>Sobha Realty</t>
        </is>
      </c>
      <c r="E753" t="inlineStr">
        <is>
          <t>Sobha Hartland II</t>
        </is>
      </c>
      <c r="F753" t="inlineStr">
        <is>
          <t>Apartments</t>
        </is>
      </c>
      <c r="G753" t="inlineStr">
        <is>
          <t>Waterfront</t>
        </is>
      </c>
      <c r="H753" t="inlineStr">
        <is>
          <t>1.5M</t>
        </is>
      </c>
      <c r="I753" t="inlineStr">
        <is>
          <t>1950</t>
        </is>
      </c>
      <c r="J753" t="inlineStr">
        <is>
          <t>20</t>
        </is>
      </c>
      <c r="K753" t="inlineStr">
        <is>
          <t>60/40</t>
        </is>
      </c>
      <c r="L753" t="inlineStr">
        <is>
          <t>2023</t>
        </is>
      </c>
      <c r="M753" t="inlineStr">
        <is>
          <t>6.5-7.0</t>
        </is>
      </c>
      <c r="N753" t="inlineStr">
        <is>
          <t>8-10</t>
        </is>
      </c>
      <c r="O753" t="inlineStr">
        <is>
          <t>14.5-17.0</t>
        </is>
      </c>
      <c r="P753" t="inlineStr">
        <is>
          <t>Hartland Intl</t>
        </is>
      </c>
      <c r="Q753" t="inlineStr">
        <is>
          <t>American Hospital</t>
        </is>
      </c>
      <c r="R753" t="inlineStr">
        <is>
          <t>Dubai Mall</t>
        </is>
      </c>
      <c r="S753" t="inlineStr">
        <is>
          <t>Ras Al Khor / E44</t>
        </is>
      </c>
      <c r="T753" t="inlineStr">
        <is>
          <t>12</t>
        </is>
      </c>
      <c r="U753" t="inlineStr">
        <is>
          <t>25</t>
        </is>
      </c>
      <c r="V753" t="inlineStr">
        <is>
          <t>15</t>
        </is>
      </c>
      <c r="W753" t="inlineStr">
        <is>
          <t>40</t>
        </is>
      </c>
      <c r="X753" t="inlineStr">
        <is>
          <t>Guild.csv</t>
        </is>
      </c>
    </row>
    <row r="754">
      <c r="A754" t="n">
        <v>753</v>
      </c>
      <c r="B754" t="n">
        <v>217</v>
      </c>
      <c r="C754" t="inlineStr">
        <is>
          <t>310 Riverside Crescent</t>
        </is>
      </c>
      <c r="D754" t="inlineStr">
        <is>
          <t>Sobha Realty</t>
        </is>
      </c>
      <c r="E754" t="inlineStr">
        <is>
          <t>Sobha Hartland II</t>
        </is>
      </c>
      <c r="F754" t="inlineStr">
        <is>
          <t>Apartments</t>
        </is>
      </c>
      <c r="G754" t="inlineStr">
        <is>
          <t>Waterfront</t>
        </is>
      </c>
      <c r="H754" t="inlineStr">
        <is>
          <t>1.55M</t>
        </is>
      </c>
      <c r="I754" t="inlineStr">
        <is>
          <t>2000</t>
        </is>
      </c>
      <c r="J754" t="inlineStr">
        <is>
          <t>20</t>
        </is>
      </c>
      <c r="K754" t="inlineStr">
        <is>
          <t>60/40</t>
        </is>
      </c>
      <c r="L754" t="inlineStr">
        <is>
          <t>2024</t>
        </is>
      </c>
      <c r="M754" t="inlineStr">
        <is>
          <t>6.0-6.5</t>
        </is>
      </c>
      <c r="N754" t="inlineStr">
        <is>
          <t>8-10</t>
        </is>
      </c>
      <c r="O754" t="inlineStr">
        <is>
          <t>14.0-16.5</t>
        </is>
      </c>
      <c r="P754" t="inlineStr">
        <is>
          <t>Hartland Intl</t>
        </is>
      </c>
      <c r="Q754" t="inlineStr">
        <is>
          <t>American Hospital</t>
        </is>
      </c>
      <c r="R754" t="inlineStr">
        <is>
          <t>Dubai Mall</t>
        </is>
      </c>
      <c r="S754" t="inlineStr">
        <is>
          <t>Ras Al Khor / E44</t>
        </is>
      </c>
      <c r="T754" t="inlineStr">
        <is>
          <t>12</t>
        </is>
      </c>
      <c r="U754" t="inlineStr">
        <is>
          <t>25</t>
        </is>
      </c>
      <c r="V754" t="inlineStr">
        <is>
          <t>15</t>
        </is>
      </c>
      <c r="W754" t="inlineStr">
        <is>
          <t>40</t>
        </is>
      </c>
      <c r="X754" t="inlineStr">
        <is>
          <t>Guild.csv</t>
        </is>
      </c>
    </row>
    <row r="755">
      <c r="A755" t="n">
        <v>754</v>
      </c>
      <c r="B755" t="n">
        <v>218</v>
      </c>
      <c r="C755" t="inlineStr">
        <is>
          <t>340 Riverside Crescent</t>
        </is>
      </c>
      <c r="D755" t="inlineStr">
        <is>
          <t>Sobha Realty</t>
        </is>
      </c>
      <c r="E755" t="inlineStr">
        <is>
          <t>Sobha Hartland II</t>
        </is>
      </c>
      <c r="F755" t="inlineStr">
        <is>
          <t>Apartments</t>
        </is>
      </c>
      <c r="G755" t="inlineStr">
        <is>
          <t>Waterfront</t>
        </is>
      </c>
      <c r="H755" t="inlineStr">
        <is>
          <t>1.5M</t>
        </is>
      </c>
      <c r="I755" t="inlineStr">
        <is>
          <t>1950</t>
        </is>
      </c>
      <c r="J755" t="inlineStr">
        <is>
          <t>20</t>
        </is>
      </c>
      <c r="K755" t="inlineStr">
        <is>
          <t>60/40</t>
        </is>
      </c>
      <c r="L755" t="inlineStr">
        <is>
          <t>2024</t>
        </is>
      </c>
      <c r="M755" t="inlineStr">
        <is>
          <t>6.5-7.0</t>
        </is>
      </c>
      <c r="N755" t="inlineStr">
        <is>
          <t>8-10</t>
        </is>
      </c>
      <c r="O755" t="inlineStr">
        <is>
          <t>14.5-17.0</t>
        </is>
      </c>
      <c r="P755" t="inlineStr">
        <is>
          <t>Hartland Intl</t>
        </is>
      </c>
      <c r="Q755" t="inlineStr">
        <is>
          <t>American Hospital</t>
        </is>
      </c>
      <c r="R755" t="inlineStr">
        <is>
          <t>Dubai Mall</t>
        </is>
      </c>
      <c r="S755" t="inlineStr">
        <is>
          <t>Ras Al Khor / E44</t>
        </is>
      </c>
      <c r="T755" t="inlineStr">
        <is>
          <t>12</t>
        </is>
      </c>
      <c r="U755" t="inlineStr">
        <is>
          <t>25</t>
        </is>
      </c>
      <c r="V755" t="inlineStr">
        <is>
          <t>15</t>
        </is>
      </c>
      <c r="W755" t="inlineStr">
        <is>
          <t>40</t>
        </is>
      </c>
      <c r="X755" t="inlineStr">
        <is>
          <t>Guild.csv</t>
        </is>
      </c>
    </row>
    <row r="756">
      <c r="A756" t="n">
        <v>755</v>
      </c>
      <c r="B756" t="n">
        <v>219</v>
      </c>
      <c r="C756" t="inlineStr">
        <is>
          <t>Sobha Estates</t>
        </is>
      </c>
      <c r="D756" t="inlineStr">
        <is>
          <t>Sobha Realty</t>
        </is>
      </c>
      <c r="E756" t="inlineStr">
        <is>
          <t>Sobha Hartland II</t>
        </is>
      </c>
      <c r="F756" t="inlineStr">
        <is>
          <t>Villas (5+ Beds)</t>
        </is>
      </c>
      <c r="G756" t="inlineStr">
        <is>
          <t>Gated / Forest</t>
        </is>
      </c>
      <c r="H756" t="inlineStr">
        <is>
          <t>22.8M</t>
        </is>
      </c>
      <c r="I756" t="inlineStr">
        <is>
          <t>2500</t>
        </is>
      </c>
      <c r="J756" t="inlineStr">
        <is>
          <t>18</t>
        </is>
      </c>
      <c r="K756" t="inlineStr">
        <is>
          <t>60/40</t>
        </is>
      </c>
      <c r="L756" t="inlineStr">
        <is>
          <t>2023</t>
        </is>
      </c>
      <c r="M756" t="inlineStr">
        <is>
          <t>4.5-5.0</t>
        </is>
      </c>
      <c r="N756" t="inlineStr">
        <is>
          <t>8-10</t>
        </is>
      </c>
      <c r="O756" t="inlineStr">
        <is>
          <t>12.5-15.0</t>
        </is>
      </c>
      <c r="P756" t="inlineStr">
        <is>
          <t>Hartland Intl</t>
        </is>
      </c>
      <c r="Q756" t="inlineStr">
        <is>
          <t>American Hospital</t>
        </is>
      </c>
      <c r="R756" t="inlineStr">
        <is>
          <t>Dubai Mall</t>
        </is>
      </c>
      <c r="S756" t="inlineStr">
        <is>
          <t>Ras Al Khor / E44</t>
        </is>
      </c>
      <c r="T756" t="inlineStr">
        <is>
          <t>12</t>
        </is>
      </c>
      <c r="U756" t="inlineStr">
        <is>
          <t>25</t>
        </is>
      </c>
      <c r="V756" t="inlineStr">
        <is>
          <t>15</t>
        </is>
      </c>
      <c r="W756" t="inlineStr">
        <is>
          <t>40</t>
        </is>
      </c>
      <c r="X756" t="inlineStr">
        <is>
          <t>Guild.csv</t>
        </is>
      </c>
    </row>
    <row r="757">
      <c r="A757" t="n">
        <v>756</v>
      </c>
      <c r="B757" t="n">
        <v>220</v>
      </c>
      <c r="C757" t="inlineStr">
        <is>
          <t>Sobha Hartland I</t>
        </is>
      </c>
      <c r="D757" t="inlineStr">
        <is>
          <t>Sobha Realty</t>
        </is>
      </c>
      <c r="E757" t="inlineStr">
        <is>
          <t>MBR City</t>
        </is>
      </c>
      <c r="F757" t="inlineStr">
        <is>
          <t>Mixed</t>
        </is>
      </c>
      <c r="G757" t="inlineStr">
        <is>
          <t>City / Green</t>
        </is>
      </c>
      <c r="J757" t="inlineStr">
        <is>
          <t>18</t>
        </is>
      </c>
      <c r="K757" t="inlineStr">
        <is>
          <t>Varies</t>
        </is>
      </c>
      <c r="L757" t="inlineStr">
        <is>
          <t>Ongoing</t>
        </is>
      </c>
      <c r="M757" t="inlineStr">
        <is>
          <t>5.5-6.5</t>
        </is>
      </c>
      <c r="N757" t="inlineStr">
        <is>
          <t>5-8</t>
        </is>
      </c>
      <c r="O757" t="inlineStr">
        <is>
          <t>10.5-14.5</t>
        </is>
      </c>
      <c r="P757" t="inlineStr">
        <is>
          <t>Hartland Intl</t>
        </is>
      </c>
      <c r="Q757" t="inlineStr">
        <is>
          <t>American Hospital</t>
        </is>
      </c>
      <c r="R757" t="inlineStr">
        <is>
          <t>Dubai Mall</t>
        </is>
      </c>
      <c r="S757" t="inlineStr">
        <is>
          <t>Ras Al Khor / E44</t>
        </is>
      </c>
      <c r="T757" t="inlineStr">
        <is>
          <t>10</t>
        </is>
      </c>
      <c r="U757" t="inlineStr">
        <is>
          <t>25</t>
        </is>
      </c>
      <c r="V757" t="inlineStr">
        <is>
          <t>15</t>
        </is>
      </c>
      <c r="W757" t="inlineStr">
        <is>
          <t>40</t>
        </is>
      </c>
      <c r="X757" t="inlineStr">
        <is>
          <t>Guild.csv</t>
        </is>
      </c>
    </row>
    <row r="758">
      <c r="A758" t="n">
        <v>757</v>
      </c>
      <c r="B758" t="n">
        <v>221</v>
      </c>
      <c r="C758" t="inlineStr">
        <is>
          <t>Creek Vistas Heights</t>
        </is>
      </c>
      <c r="D758" t="inlineStr">
        <is>
          <t>Sobha Realty</t>
        </is>
      </c>
      <c r="E758" t="inlineStr">
        <is>
          <t>Sobha Hartland I</t>
        </is>
      </c>
      <c r="F758" t="inlineStr">
        <is>
          <t>Apartments</t>
        </is>
      </c>
      <c r="G758" t="inlineStr">
        <is>
          <t>High-Rise / View</t>
        </is>
      </c>
      <c r="H758" t="inlineStr">
        <is>
          <t>1.6M</t>
        </is>
      </c>
      <c r="I758" t="inlineStr">
        <is>
          <t>1800</t>
        </is>
      </c>
      <c r="J758" t="inlineStr">
        <is>
          <t>20</t>
        </is>
      </c>
      <c r="K758" t="inlineStr">
        <is>
          <t>60/40</t>
        </is>
      </c>
      <c r="L758" t="inlineStr">
        <is>
          <t>2022</t>
        </is>
      </c>
      <c r="M758" t="inlineStr">
        <is>
          <t>6.0-6.5</t>
        </is>
      </c>
      <c r="N758" t="inlineStr">
        <is>
          <t>6-8</t>
        </is>
      </c>
      <c r="O758" t="inlineStr">
        <is>
          <t>12.0-14.5</t>
        </is>
      </c>
      <c r="P758" t="inlineStr">
        <is>
          <t>Hartland Intl</t>
        </is>
      </c>
      <c r="Q758" t="inlineStr">
        <is>
          <t>American Hospital</t>
        </is>
      </c>
      <c r="R758" t="inlineStr">
        <is>
          <t>Dubai Mall</t>
        </is>
      </c>
      <c r="S758" t="inlineStr">
        <is>
          <t>Ras Al Khor / E44</t>
        </is>
      </c>
      <c r="T758" t="inlineStr">
        <is>
          <t>10</t>
        </is>
      </c>
      <c r="U758" t="inlineStr">
        <is>
          <t>25</t>
        </is>
      </c>
      <c r="V758" t="inlineStr">
        <is>
          <t>15</t>
        </is>
      </c>
      <c r="W758" t="inlineStr">
        <is>
          <t>40</t>
        </is>
      </c>
      <c r="X758" t="inlineStr">
        <is>
          <t>Guild.csv</t>
        </is>
      </c>
    </row>
    <row r="759">
      <c r="A759" t="n">
        <v>758</v>
      </c>
      <c r="B759" t="n">
        <v>222</v>
      </c>
      <c r="C759" t="inlineStr">
        <is>
          <t>Creek Vistas Reserve</t>
        </is>
      </c>
      <c r="D759" t="inlineStr">
        <is>
          <t>Sobha Realty</t>
        </is>
      </c>
      <c r="E759" t="inlineStr">
        <is>
          <t>Sobha Hartland I</t>
        </is>
      </c>
      <c r="F759" t="inlineStr">
        <is>
          <t>Apartments</t>
        </is>
      </c>
      <c r="G759" t="inlineStr">
        <is>
          <t>High-Rise / View</t>
        </is>
      </c>
      <c r="H759" t="inlineStr">
        <is>
          <t>Resale</t>
        </is>
      </c>
      <c r="I759" t="inlineStr">
        <is>
          <t>1700</t>
        </is>
      </c>
      <c r="J759" t="inlineStr">
        <is>
          <t>20</t>
        </is>
      </c>
      <c r="K759" t="inlineStr">
        <is>
          <t>Completed</t>
        </is>
      </c>
      <c r="L759" t="inlineStr">
        <is>
          <t>2021</t>
        </is>
      </c>
      <c r="M759" t="inlineStr">
        <is>
          <t>6.5-7.0</t>
        </is>
      </c>
      <c r="N759" t="inlineStr">
        <is>
          <t>5-7</t>
        </is>
      </c>
      <c r="O759" t="inlineStr">
        <is>
          <t>11.5-14.0</t>
        </is>
      </c>
      <c r="P759" t="inlineStr">
        <is>
          <t>Hartland Intl</t>
        </is>
      </c>
      <c r="Q759" t="inlineStr">
        <is>
          <t>American Hospital</t>
        </is>
      </c>
      <c r="R759" t="inlineStr">
        <is>
          <t>Dubai Mall</t>
        </is>
      </c>
      <c r="S759" t="inlineStr">
        <is>
          <t>Ras Al Khor / E44</t>
        </is>
      </c>
      <c r="T759" t="inlineStr">
        <is>
          <t>10</t>
        </is>
      </c>
      <c r="U759" t="inlineStr">
        <is>
          <t>25</t>
        </is>
      </c>
      <c r="V759" t="inlineStr">
        <is>
          <t>15</t>
        </is>
      </c>
      <c r="W759" t="inlineStr">
        <is>
          <t>40</t>
        </is>
      </c>
      <c r="X759" t="inlineStr">
        <is>
          <t>Guild.csv</t>
        </is>
      </c>
    </row>
    <row r="760">
      <c r="A760" t="n">
        <v>759</v>
      </c>
      <c r="B760" t="n">
        <v>223</v>
      </c>
      <c r="C760" t="inlineStr">
        <is>
          <t>Creek Vistas Grande</t>
        </is>
      </c>
      <c r="D760" t="inlineStr">
        <is>
          <t>Sobha Realty</t>
        </is>
      </c>
      <c r="E760" t="inlineStr">
        <is>
          <t>Sobha Hartland I</t>
        </is>
      </c>
      <c r="F760" t="inlineStr">
        <is>
          <t>Apartments</t>
        </is>
      </c>
      <c r="G760" t="inlineStr">
        <is>
          <t>High-Rise / View</t>
        </is>
      </c>
      <c r="H760" t="inlineStr">
        <is>
          <t>Resale</t>
        </is>
      </c>
      <c r="I760" t="inlineStr">
        <is>
          <t>1800</t>
        </is>
      </c>
      <c r="J760" t="inlineStr">
        <is>
          <t>20</t>
        </is>
      </c>
      <c r="K760" t="inlineStr">
        <is>
          <t>Completed</t>
        </is>
      </c>
      <c r="L760" t="inlineStr">
        <is>
          <t>2022</t>
        </is>
      </c>
      <c r="M760" t="inlineStr">
        <is>
          <t>6.5-7.0</t>
        </is>
      </c>
      <c r="N760" t="inlineStr">
        <is>
          <t>5-7</t>
        </is>
      </c>
      <c r="O760" t="inlineStr">
        <is>
          <t>11.5-14.0</t>
        </is>
      </c>
      <c r="P760" t="inlineStr">
        <is>
          <t>Hartland Intl</t>
        </is>
      </c>
      <c r="Q760" t="inlineStr">
        <is>
          <t>American Hospital</t>
        </is>
      </c>
      <c r="R760" t="inlineStr">
        <is>
          <t>Dubai Mall</t>
        </is>
      </c>
      <c r="S760" t="inlineStr">
        <is>
          <t>Ras Al Khor / E44</t>
        </is>
      </c>
      <c r="T760" t="inlineStr">
        <is>
          <t>10</t>
        </is>
      </c>
      <c r="U760" t="inlineStr">
        <is>
          <t>25</t>
        </is>
      </c>
      <c r="V760" t="inlineStr">
        <is>
          <t>15</t>
        </is>
      </c>
      <c r="W760" t="inlineStr">
        <is>
          <t>40</t>
        </is>
      </c>
      <c r="X760" t="inlineStr">
        <is>
          <t>Guild.csv</t>
        </is>
      </c>
    </row>
    <row r="761">
      <c r="A761" t="n">
        <v>760</v>
      </c>
      <c r="B761" t="n">
        <v>224</v>
      </c>
      <c r="C761" t="inlineStr">
        <is>
          <t>Hartland Greens</t>
        </is>
      </c>
      <c r="D761" t="inlineStr">
        <is>
          <t>Sobha Realty</t>
        </is>
      </c>
      <c r="E761" t="inlineStr">
        <is>
          <t>Sobha Hartland I</t>
        </is>
      </c>
      <c r="F761" t="inlineStr">
        <is>
          <t>Apartments</t>
        </is>
      </c>
      <c r="G761" t="inlineStr">
        <is>
          <t>Low-Rise / Park</t>
        </is>
      </c>
      <c r="H761" t="inlineStr">
        <is>
          <t>Resale</t>
        </is>
      </c>
      <c r="I761" t="inlineStr">
        <is>
          <t>1600</t>
        </is>
      </c>
      <c r="J761" t="inlineStr">
        <is>
          <t>18</t>
        </is>
      </c>
      <c r="K761" t="inlineStr">
        <is>
          <t>Completed</t>
        </is>
      </c>
      <c r="L761" t="inlineStr">
        <is>
          <t>2018</t>
        </is>
      </c>
      <c r="M761" t="inlineStr">
        <is>
          <t>6.0-6.5</t>
        </is>
      </c>
      <c r="N761" t="inlineStr">
        <is>
          <t>5-7</t>
        </is>
      </c>
      <c r="O761" t="inlineStr">
        <is>
          <t>11.0-13.5</t>
        </is>
      </c>
      <c r="P761" t="inlineStr">
        <is>
          <t>Hartland Intl</t>
        </is>
      </c>
      <c r="Q761" t="inlineStr">
        <is>
          <t>American Hospital</t>
        </is>
      </c>
      <c r="R761" t="inlineStr">
        <is>
          <t>Dubai Mall</t>
        </is>
      </c>
      <c r="S761" t="inlineStr">
        <is>
          <t>Ras Al Khor / E44</t>
        </is>
      </c>
      <c r="T761" t="inlineStr">
        <is>
          <t>10</t>
        </is>
      </c>
      <c r="U761" t="inlineStr">
        <is>
          <t>25</t>
        </is>
      </c>
      <c r="V761" t="inlineStr">
        <is>
          <t>15</t>
        </is>
      </c>
      <c r="W761" t="inlineStr">
        <is>
          <t>40</t>
        </is>
      </c>
      <c r="X761" t="inlineStr">
        <is>
          <t>Guild.csv</t>
        </is>
      </c>
    </row>
    <row r="762">
      <c r="A762" t="n">
        <v>761</v>
      </c>
      <c r="B762" t="n">
        <v>225</v>
      </c>
      <c r="C762" t="inlineStr">
        <is>
          <t>One Park Avenue</t>
        </is>
      </c>
      <c r="D762" t="inlineStr">
        <is>
          <t>Sobha Realty</t>
        </is>
      </c>
      <c r="E762" t="inlineStr">
        <is>
          <t>Sobha Hartland I</t>
        </is>
      </c>
      <c r="F762" t="inlineStr">
        <is>
          <t>Apartments</t>
        </is>
      </c>
      <c r="G762" t="inlineStr">
        <is>
          <t>High-Rise / View</t>
        </is>
      </c>
      <c r="H762" t="inlineStr">
        <is>
          <t>Resale</t>
        </is>
      </c>
      <c r="I762" t="inlineStr">
        <is>
          <t>1900</t>
        </is>
      </c>
      <c r="J762" t="inlineStr">
        <is>
          <t>20</t>
        </is>
      </c>
      <c r="K762" t="inlineStr">
        <is>
          <t>Completed</t>
        </is>
      </c>
      <c r="L762" t="inlineStr">
        <is>
          <t>2021</t>
        </is>
      </c>
      <c r="M762" t="inlineStr">
        <is>
          <t>6.0-6.5</t>
        </is>
      </c>
      <c r="N762" t="inlineStr">
        <is>
          <t>5-7</t>
        </is>
      </c>
      <c r="O762" t="inlineStr">
        <is>
          <t>11.0-13.5</t>
        </is>
      </c>
      <c r="P762" t="inlineStr">
        <is>
          <t>Hartland Intl</t>
        </is>
      </c>
      <c r="Q762" t="inlineStr">
        <is>
          <t>American Hospital</t>
        </is>
      </c>
      <c r="R762" t="inlineStr">
        <is>
          <t>Dubai Mall</t>
        </is>
      </c>
      <c r="S762" t="inlineStr">
        <is>
          <t>Ras Al Khor / E44</t>
        </is>
      </c>
      <c r="T762" t="inlineStr">
        <is>
          <t>10</t>
        </is>
      </c>
      <c r="U762" t="inlineStr">
        <is>
          <t>25</t>
        </is>
      </c>
      <c r="V762" t="inlineStr">
        <is>
          <t>15</t>
        </is>
      </c>
      <c r="W762" t="inlineStr">
        <is>
          <t>40</t>
        </is>
      </c>
      <c r="X762" t="inlineStr">
        <is>
          <t>Guild.csv</t>
        </is>
      </c>
    </row>
    <row r="763">
      <c r="A763" t="n">
        <v>762</v>
      </c>
      <c r="B763" t="n">
        <v>226</v>
      </c>
      <c r="C763" t="inlineStr">
        <is>
          <t>Waves</t>
        </is>
      </c>
      <c r="D763" t="inlineStr">
        <is>
          <t>Sobha Realty</t>
        </is>
      </c>
      <c r="E763" t="inlineStr">
        <is>
          <t>Sobha Hartland I</t>
        </is>
      </c>
      <c r="F763" t="inlineStr">
        <is>
          <t>Apartments</t>
        </is>
      </c>
      <c r="G763" t="inlineStr">
        <is>
          <t>Waterfront</t>
        </is>
      </c>
      <c r="H763" t="inlineStr">
        <is>
          <t>Resale</t>
        </is>
      </c>
      <c r="I763" t="inlineStr">
        <is>
          <t>1800</t>
        </is>
      </c>
      <c r="J763" t="inlineStr">
        <is>
          <t>20</t>
        </is>
      </c>
      <c r="K763" t="inlineStr">
        <is>
          <t>Completed</t>
        </is>
      </c>
      <c r="L763" t="inlineStr">
        <is>
          <t>2022</t>
        </is>
      </c>
      <c r="M763" t="inlineStr">
        <is>
          <t>6.0-6.5</t>
        </is>
      </c>
      <c r="N763" t="inlineStr">
        <is>
          <t>6-8</t>
        </is>
      </c>
      <c r="O763" t="inlineStr">
        <is>
          <t>12.0-14.5</t>
        </is>
      </c>
      <c r="P763" t="inlineStr">
        <is>
          <t>Hartland Intl</t>
        </is>
      </c>
      <c r="Q763" t="inlineStr">
        <is>
          <t>American Hospital</t>
        </is>
      </c>
      <c r="R763" t="inlineStr">
        <is>
          <t>Dubai Mall</t>
        </is>
      </c>
      <c r="S763" t="inlineStr">
        <is>
          <t>Ras Al Khor / E44</t>
        </is>
      </c>
      <c r="T763" t="inlineStr">
        <is>
          <t>10</t>
        </is>
      </c>
      <c r="U763" t="inlineStr">
        <is>
          <t>25</t>
        </is>
      </c>
      <c r="V763" t="inlineStr">
        <is>
          <t>15</t>
        </is>
      </c>
      <c r="W763" t="inlineStr">
        <is>
          <t>40</t>
        </is>
      </c>
      <c r="X763" t="inlineStr">
        <is>
          <t>Guild.csv</t>
        </is>
      </c>
    </row>
    <row r="764">
      <c r="A764" t="n">
        <v>763</v>
      </c>
      <c r="B764" t="n">
        <v>227</v>
      </c>
      <c r="C764" t="inlineStr">
        <is>
          <t>Waves Grande</t>
        </is>
      </c>
      <c r="D764" t="inlineStr">
        <is>
          <t>Sobha Realty</t>
        </is>
      </c>
      <c r="E764" t="inlineStr">
        <is>
          <t>Sobha Hartland I</t>
        </is>
      </c>
      <c r="F764" t="inlineStr">
        <is>
          <t>Apartments</t>
        </is>
      </c>
      <c r="G764" t="inlineStr">
        <is>
          <t>Waterfront</t>
        </is>
      </c>
      <c r="H764" t="inlineStr">
        <is>
          <t>Resale</t>
        </is>
      </c>
      <c r="I764" t="inlineStr">
        <is>
          <t>1900</t>
        </is>
      </c>
      <c r="J764" t="inlineStr">
        <is>
          <t>20</t>
        </is>
      </c>
      <c r="K764" t="inlineStr">
        <is>
          <t>Completed</t>
        </is>
      </c>
      <c r="L764" t="inlineStr">
        <is>
          <t>2023</t>
        </is>
      </c>
      <c r="M764" t="inlineStr">
        <is>
          <t>6.0-6.5</t>
        </is>
      </c>
      <c r="N764" t="inlineStr">
        <is>
          <t>6-8</t>
        </is>
      </c>
      <c r="O764" t="inlineStr">
        <is>
          <t>12.0-14.5</t>
        </is>
      </c>
      <c r="P764" t="inlineStr">
        <is>
          <t>Hartland Intl</t>
        </is>
      </c>
      <c r="Q764" t="inlineStr">
        <is>
          <t>American Hospital</t>
        </is>
      </c>
      <c r="R764" t="inlineStr">
        <is>
          <t>Dubai Mall</t>
        </is>
      </c>
      <c r="S764" t="inlineStr">
        <is>
          <t>Ras Al Khor / E44</t>
        </is>
      </c>
      <c r="T764" t="inlineStr">
        <is>
          <t>10</t>
        </is>
      </c>
      <c r="U764" t="inlineStr">
        <is>
          <t>25</t>
        </is>
      </c>
      <c r="V764" t="inlineStr">
        <is>
          <t>15</t>
        </is>
      </c>
      <c r="W764" t="inlineStr">
        <is>
          <t>40</t>
        </is>
      </c>
      <c r="X764" t="inlineStr">
        <is>
          <t>Guild.csv</t>
        </is>
      </c>
    </row>
    <row r="765">
      <c r="A765" t="n">
        <v>764</v>
      </c>
      <c r="B765" t="n">
        <v>228</v>
      </c>
      <c r="C765" t="inlineStr">
        <is>
          <t>Forest Villas</t>
        </is>
      </c>
      <c r="D765" t="inlineStr">
        <is>
          <t>Sobha Realty</t>
        </is>
      </c>
      <c r="E765" t="inlineStr">
        <is>
          <t>Sobha Hartland I</t>
        </is>
      </c>
      <c r="F765" t="inlineStr">
        <is>
          <t>Villas</t>
        </is>
      </c>
      <c r="G765" t="inlineStr">
        <is>
          <t>Luxury / Green</t>
        </is>
      </c>
      <c r="H765" t="inlineStr">
        <is>
          <t>Resale (15M+)</t>
        </is>
      </c>
      <c r="I765" t="inlineStr">
        <is>
          <t>2200</t>
        </is>
      </c>
      <c r="J765" t="inlineStr">
        <is>
          <t>15</t>
        </is>
      </c>
      <c r="K765" t="inlineStr">
        <is>
          <t>Completed</t>
        </is>
      </c>
      <c r="L765" t="inlineStr">
        <is>
          <t>2020</t>
        </is>
      </c>
      <c r="M765" t="inlineStr">
        <is>
          <t>4.5-5.0</t>
        </is>
      </c>
      <c r="N765" t="inlineStr">
        <is>
          <t>6-8</t>
        </is>
      </c>
      <c r="O765" t="inlineStr">
        <is>
          <t>10.5-13.0</t>
        </is>
      </c>
      <c r="P765" t="inlineStr">
        <is>
          <t>Hartland Intl</t>
        </is>
      </c>
      <c r="Q765" t="inlineStr">
        <is>
          <t>American Hospital</t>
        </is>
      </c>
      <c r="R765" t="inlineStr">
        <is>
          <t>Dubai Mall</t>
        </is>
      </c>
      <c r="S765" t="inlineStr">
        <is>
          <t>Ras Al Khor / E44</t>
        </is>
      </c>
      <c r="T765" t="inlineStr">
        <is>
          <t>10</t>
        </is>
      </c>
      <c r="U765" t="inlineStr">
        <is>
          <t>25</t>
        </is>
      </c>
      <c r="V765" t="inlineStr">
        <is>
          <t>15</t>
        </is>
      </c>
      <c r="W765" t="inlineStr">
        <is>
          <t>40</t>
        </is>
      </c>
      <c r="X765" t="inlineStr">
        <is>
          <t>Guild.csv</t>
        </is>
      </c>
    </row>
    <row r="766">
      <c r="A766" t="n">
        <v>765</v>
      </c>
      <c r="B766" t="n">
        <v>229</v>
      </c>
      <c r="C766" t="inlineStr">
        <is>
          <t>Sobha Elwood</t>
        </is>
      </c>
      <c r="D766" t="inlineStr">
        <is>
          <t>Sobha Realty</t>
        </is>
      </c>
      <c r="E766" t="inlineStr">
        <is>
          <t>Dubailand</t>
        </is>
      </c>
      <c r="F766" t="inlineStr">
        <is>
          <t>Villas</t>
        </is>
      </c>
      <c r="G766" t="inlineStr">
        <is>
          <t>Green / Nature</t>
        </is>
      </c>
      <c r="H766" t="inlineStr">
        <is>
          <t>4.5M</t>
        </is>
      </c>
      <c r="I766" t="inlineStr">
        <is>
          <t>1400</t>
        </is>
      </c>
      <c r="J766" t="inlineStr">
        <is>
          <t>15</t>
        </is>
      </c>
      <c r="K766" t="inlineStr">
        <is>
          <t>60/40</t>
        </is>
      </c>
      <c r="L766" t="inlineStr">
        <is>
          <t>2024</t>
        </is>
      </c>
      <c r="M766" t="inlineStr">
        <is>
          <t>6.0-6.5</t>
        </is>
      </c>
      <c r="N766" t="inlineStr">
        <is>
          <t>10-12</t>
        </is>
      </c>
      <c r="O766" t="inlineStr">
        <is>
          <t>16.0-18.5</t>
        </is>
      </c>
      <c r="P766" t="inlineStr">
        <is>
          <t>GEMS Winchester</t>
        </is>
      </c>
      <c r="Q766" t="inlineStr">
        <is>
          <t>Fakeeh University Hosp</t>
        </is>
      </c>
      <c r="R766" t="inlineStr">
        <is>
          <t>Dubai Outlet Mall</t>
        </is>
      </c>
      <c r="S766" t="inlineStr">
        <is>
          <t>E611 / Al Ain Rd</t>
        </is>
      </c>
      <c r="T766" t="inlineStr">
        <is>
          <t>20</t>
        </is>
      </c>
      <c r="U766" t="inlineStr">
        <is>
          <t>25</t>
        </is>
      </c>
      <c r="V766" t="inlineStr">
        <is>
          <t>25</t>
        </is>
      </c>
      <c r="W766" t="inlineStr">
        <is>
          <t>30</t>
        </is>
      </c>
      <c r="X766" t="inlineStr">
        <is>
          <t>Guild.csv</t>
        </is>
      </c>
    </row>
    <row r="767">
      <c r="A767" t="n">
        <v>766</v>
      </c>
      <c r="B767" t="n">
        <v>230</v>
      </c>
      <c r="C767" t="inlineStr">
        <is>
          <t>Sobha Reserve</t>
        </is>
      </c>
      <c r="D767" t="inlineStr">
        <is>
          <t>Sobha Realty</t>
        </is>
      </c>
      <c r="E767" t="inlineStr">
        <is>
          <t>Wadi Al Safa 2</t>
        </is>
      </c>
      <c r="F767" t="inlineStr">
        <is>
          <t>Villas</t>
        </is>
      </c>
      <c r="G767" t="inlineStr">
        <is>
          <t>Forest / Gated</t>
        </is>
      </c>
      <c r="H767" t="inlineStr">
        <is>
          <t>7.5M</t>
        </is>
      </c>
      <c r="I767" t="inlineStr">
        <is>
          <t>1600</t>
        </is>
      </c>
      <c r="J767" t="inlineStr">
        <is>
          <t>15</t>
        </is>
      </c>
      <c r="K767" t="inlineStr">
        <is>
          <t>60/40</t>
        </is>
      </c>
      <c r="L767" t="inlineStr">
        <is>
          <t>2023</t>
        </is>
      </c>
      <c r="M767" t="inlineStr">
        <is>
          <t>5.0-5.5</t>
        </is>
      </c>
      <c r="N767" t="inlineStr">
        <is>
          <t>10-12</t>
        </is>
      </c>
      <c r="O767" t="inlineStr">
        <is>
          <t>15.0-17.5</t>
        </is>
      </c>
      <c r="P767" t="inlineStr">
        <is>
          <t>GEMS Winchester</t>
        </is>
      </c>
      <c r="Q767" t="inlineStr">
        <is>
          <t>Fakeeh University Hosp</t>
        </is>
      </c>
      <c r="R767" t="inlineStr">
        <is>
          <t>Dubai Outlet Mall</t>
        </is>
      </c>
      <c r="S767" t="inlineStr">
        <is>
          <t>E611 / Al Ain Rd</t>
        </is>
      </c>
      <c r="T767" t="inlineStr">
        <is>
          <t>20</t>
        </is>
      </c>
      <c r="U767" t="inlineStr">
        <is>
          <t>25</t>
        </is>
      </c>
      <c r="V767" t="inlineStr">
        <is>
          <t>25</t>
        </is>
      </c>
      <c r="W767" t="inlineStr">
        <is>
          <t>30</t>
        </is>
      </c>
      <c r="X767" t="inlineStr">
        <is>
          <t>Guild.csv</t>
        </is>
      </c>
    </row>
    <row r="768">
      <c r="A768" t="n">
        <v>767</v>
      </c>
      <c r="B768" t="n">
        <v>231</v>
      </c>
      <c r="C768" t="inlineStr">
        <is>
          <t>Sobha Seahaven</t>
        </is>
      </c>
      <c r="D768" t="inlineStr">
        <is>
          <t>Sobha Realty</t>
        </is>
      </c>
      <c r="E768" t="inlineStr">
        <is>
          <t>Dubai Harbour</t>
        </is>
      </c>
      <c r="F768" t="inlineStr">
        <is>
          <t>Apartments</t>
        </is>
      </c>
      <c r="G768" t="inlineStr">
        <is>
          <t>Marina / Sea View</t>
        </is>
      </c>
      <c r="H768" t="inlineStr">
        <is>
          <t>3.8M</t>
        </is>
      </c>
      <c r="I768" t="inlineStr">
        <is>
          <t>3500</t>
        </is>
      </c>
      <c r="J768" t="inlineStr">
        <is>
          <t>30</t>
        </is>
      </c>
      <c r="K768" t="inlineStr">
        <is>
          <t>60/40</t>
        </is>
      </c>
      <c r="L768" t="inlineStr">
        <is>
          <t>2023</t>
        </is>
      </c>
      <c r="M768" t="inlineStr">
        <is>
          <t>5.0-5.5</t>
        </is>
      </c>
      <c r="N768" t="inlineStr">
        <is>
          <t>10-15</t>
        </is>
      </c>
      <c r="O768" t="inlineStr">
        <is>
          <t>15.0-20.5</t>
        </is>
      </c>
      <c r="P768" t="inlineStr">
        <is>
          <t>American Univ. Dubai</t>
        </is>
      </c>
      <c r="Q768" t="inlineStr">
        <is>
          <t>Saudi German Hospital</t>
        </is>
      </c>
      <c r="R768" t="inlineStr">
        <is>
          <t>Dubai Marina Mall</t>
        </is>
      </c>
      <c r="S768" t="inlineStr">
        <is>
          <t>Sheikh Zayed E11</t>
        </is>
      </c>
      <c r="T768" t="inlineStr">
        <is>
          <t>20</t>
        </is>
      </c>
      <c r="U768" t="inlineStr">
        <is>
          <t>5</t>
        </is>
      </c>
      <c r="V768" t="inlineStr">
        <is>
          <t>25</t>
        </is>
      </c>
      <c r="W768" t="inlineStr">
        <is>
          <t>30</t>
        </is>
      </c>
      <c r="X768" t="inlineStr">
        <is>
          <t>Guild.csv</t>
        </is>
      </c>
    </row>
    <row r="769">
      <c r="A769" t="n">
        <v>768</v>
      </c>
      <c r="B769" t="n">
        <v>232</v>
      </c>
      <c r="C769" t="inlineStr">
        <is>
          <t>Sky Edition (Seahaven)</t>
        </is>
      </c>
      <c r="D769" t="inlineStr">
        <is>
          <t>Sobha Realty</t>
        </is>
      </c>
      <c r="E769" t="inlineStr">
        <is>
          <t>Dubai Harbour</t>
        </is>
      </c>
      <c r="F769" t="inlineStr">
        <is>
          <t>Luxury Apts</t>
        </is>
      </c>
      <c r="G769" t="inlineStr">
        <is>
          <t>High Floor / Sea</t>
        </is>
      </c>
      <c r="H769" t="inlineStr">
        <is>
          <t>5.5M</t>
        </is>
      </c>
      <c r="I769" t="inlineStr">
        <is>
          <t>4000</t>
        </is>
      </c>
      <c r="J769" t="inlineStr">
        <is>
          <t>30</t>
        </is>
      </c>
      <c r="K769" t="inlineStr">
        <is>
          <t>60/40</t>
        </is>
      </c>
      <c r="L769" t="inlineStr">
        <is>
          <t>2023</t>
        </is>
      </c>
      <c r="M769" t="inlineStr">
        <is>
          <t>4.5-5.0</t>
        </is>
      </c>
      <c r="N769" t="inlineStr">
        <is>
          <t>10-15</t>
        </is>
      </c>
      <c r="O769" t="inlineStr">
        <is>
          <t>14.5-20.0</t>
        </is>
      </c>
      <c r="P769" t="inlineStr">
        <is>
          <t>American Univ. Dubai</t>
        </is>
      </c>
      <c r="Q769" t="inlineStr">
        <is>
          <t>Saudi German Hospital</t>
        </is>
      </c>
      <c r="R769" t="inlineStr">
        <is>
          <t>Dubai Marina Mall</t>
        </is>
      </c>
      <c r="S769" t="inlineStr">
        <is>
          <t>Sheikh Zayed E11</t>
        </is>
      </c>
      <c r="T769" t="inlineStr">
        <is>
          <t>20</t>
        </is>
      </c>
      <c r="U769" t="inlineStr">
        <is>
          <t>5</t>
        </is>
      </c>
      <c r="V769" t="inlineStr">
        <is>
          <t>25</t>
        </is>
      </c>
      <c r="W769" t="inlineStr">
        <is>
          <t>30</t>
        </is>
      </c>
      <c r="X769" t="inlineStr">
        <is>
          <t>Guild.csv</t>
        </is>
      </c>
    </row>
    <row r="770">
      <c r="A770" t="n">
        <v>769</v>
      </c>
      <c r="B770" t="n">
        <v>233</v>
      </c>
      <c r="C770" t="inlineStr">
        <is>
          <t>Verde by Sobha</t>
        </is>
      </c>
      <c r="D770" t="inlineStr">
        <is>
          <t>Sobha Realty</t>
        </is>
      </c>
      <c r="E770" t="inlineStr">
        <is>
          <t>JLT</t>
        </is>
      </c>
      <c r="F770" t="inlineStr">
        <is>
          <t>Apartments</t>
        </is>
      </c>
      <c r="G770" t="inlineStr">
        <is>
          <t>Golf View / City</t>
        </is>
      </c>
      <c r="H770" t="inlineStr">
        <is>
          <t>2.0M</t>
        </is>
      </c>
      <c r="I770" t="inlineStr">
        <is>
          <t>2200</t>
        </is>
      </c>
      <c r="J770" t="inlineStr">
        <is>
          <t>22</t>
        </is>
      </c>
      <c r="K770" t="inlineStr">
        <is>
          <t>60/40</t>
        </is>
      </c>
      <c r="L770" t="inlineStr">
        <is>
          <t>2023</t>
        </is>
      </c>
      <c r="M770" t="inlineStr">
        <is>
          <t>6.0-6.5</t>
        </is>
      </c>
      <c r="N770" t="inlineStr">
        <is>
          <t>8-10</t>
        </is>
      </c>
      <c r="O770" t="inlineStr">
        <is>
          <t>14.0-16.5</t>
        </is>
      </c>
      <c r="P770" t="inlineStr">
        <is>
          <t>Emirates Intl School</t>
        </is>
      </c>
      <c r="Q770" t="inlineStr">
        <is>
          <t>Saudi German Hospital</t>
        </is>
      </c>
      <c r="R770" t="inlineStr">
        <is>
          <t>Dubai Marina Mall</t>
        </is>
      </c>
      <c r="S770" t="inlineStr">
        <is>
          <t>Sheikh Zayed E11</t>
        </is>
      </c>
      <c r="T770" t="inlineStr">
        <is>
          <t>20</t>
        </is>
      </c>
      <c r="U770" t="inlineStr">
        <is>
          <t>5</t>
        </is>
      </c>
      <c r="V770" t="inlineStr">
        <is>
          <t>25</t>
        </is>
      </c>
      <c r="W770" t="inlineStr">
        <is>
          <t>30</t>
        </is>
      </c>
      <c r="X770" t="inlineStr">
        <is>
          <t>Guild.csv</t>
        </is>
      </c>
    </row>
    <row r="771">
      <c r="A771" t="n">
        <v>770</v>
      </c>
      <c r="B771" t="n">
        <v>234</v>
      </c>
      <c r="C771" t="inlineStr">
        <is>
          <t>Sobha Orbis</t>
        </is>
      </c>
      <c r="D771" t="inlineStr">
        <is>
          <t>Sobha Realty</t>
        </is>
      </c>
      <c r="E771" t="inlineStr">
        <is>
          <t>Motor City</t>
        </is>
      </c>
      <c r="F771" t="inlineStr">
        <is>
          <t>Apartments</t>
        </is>
      </c>
      <c r="G771" t="inlineStr">
        <is>
          <t>High-Rise / City</t>
        </is>
      </c>
      <c r="H771" t="inlineStr">
        <is>
          <t>985k</t>
        </is>
      </c>
      <c r="I771" t="inlineStr">
        <is>
          <t>1400</t>
        </is>
      </c>
      <c r="J771" t="inlineStr">
        <is>
          <t>15</t>
        </is>
      </c>
      <c r="K771" t="inlineStr">
        <is>
          <t>60/40</t>
        </is>
      </c>
      <c r="L771" t="inlineStr">
        <is>
          <t>2024</t>
        </is>
      </c>
      <c r="M771" t="inlineStr">
        <is>
          <t>7.0-7.5</t>
        </is>
      </c>
      <c r="N771" t="inlineStr">
        <is>
          <t>8-10</t>
        </is>
      </c>
      <c r="O771" t="inlineStr">
        <is>
          <t>15.0-17.5</t>
        </is>
      </c>
      <c r="P771" t="inlineStr">
        <is>
          <t>GEMS Metropole</t>
        </is>
      </c>
      <c r="Q771" t="inlineStr">
        <is>
          <t>Mediclinic Parkview</t>
        </is>
      </c>
      <c r="R771" t="inlineStr">
        <is>
          <t>First Avenue Mall</t>
        </is>
      </c>
      <c r="S771" t="inlineStr">
        <is>
          <t>Hessa St / E311</t>
        </is>
      </c>
      <c r="T771" t="inlineStr">
        <is>
          <t>20</t>
        </is>
      </c>
      <c r="U771" t="inlineStr">
        <is>
          <t>15</t>
        </is>
      </c>
      <c r="V771" t="inlineStr">
        <is>
          <t>25</t>
        </is>
      </c>
      <c r="W771" t="inlineStr">
        <is>
          <t>25</t>
        </is>
      </c>
      <c r="X771" t="inlineStr">
        <is>
          <t>Guild.csv</t>
        </is>
      </c>
    </row>
    <row r="772">
      <c r="A772" t="n">
        <v>771</v>
      </c>
      <c r="B772" t="n">
        <v>235</v>
      </c>
      <c r="C772" t="inlineStr">
        <is>
          <t>Ghaf Woods (Master Community)</t>
        </is>
      </c>
      <c r="D772" t="inlineStr">
        <is>
          <t>Majid Al Futtaim</t>
        </is>
      </c>
      <c r="E772" t="inlineStr">
        <is>
          <t>Dubailand (Near Global Vill)</t>
        </is>
      </c>
      <c r="F772" t="inlineStr">
        <is>
          <t>Apartments</t>
        </is>
      </c>
      <c r="G772" t="inlineStr">
        <is>
          <t>Forest / Eco</t>
        </is>
      </c>
      <c r="H772" t="inlineStr">
        <is>
          <t>1.5M</t>
        </is>
      </c>
      <c r="I772" t="inlineStr">
        <is>
          <t>1600</t>
        </is>
      </c>
      <c r="J772" t="inlineStr">
        <is>
          <t>18</t>
        </is>
      </c>
      <c r="K772" t="inlineStr">
        <is>
          <t>60/40</t>
        </is>
      </c>
      <c r="L772" t="inlineStr">
        <is>
          <t>2024</t>
        </is>
      </c>
      <c r="M772" t="inlineStr">
        <is>
          <t>6.0-6.5</t>
        </is>
      </c>
      <c r="N772" t="inlineStr">
        <is>
          <t>10-12</t>
        </is>
      </c>
      <c r="O772" t="inlineStr">
        <is>
          <t>16.0-18.5</t>
        </is>
      </c>
      <c r="P772" t="inlineStr">
        <is>
          <t>GEMS Winchester</t>
        </is>
      </c>
      <c r="Q772" t="inlineStr">
        <is>
          <t>Fakeeh University Hosp</t>
        </is>
      </c>
      <c r="R772" t="inlineStr">
        <is>
          <t>Global Village</t>
        </is>
      </c>
      <c r="S772" t="inlineStr">
        <is>
          <t>E611 / Sheikh Zayed Bin Hamdan</t>
        </is>
      </c>
      <c r="T772" t="inlineStr">
        <is>
          <t>20</t>
        </is>
      </c>
      <c r="U772" t="inlineStr">
        <is>
          <t>25</t>
        </is>
      </c>
      <c r="V772" t="inlineStr">
        <is>
          <t>25</t>
        </is>
      </c>
      <c r="W772" t="inlineStr">
        <is>
          <t>30</t>
        </is>
      </c>
      <c r="X772" t="inlineStr">
        <is>
          <t>Guild.csv</t>
        </is>
      </c>
    </row>
    <row r="773">
      <c r="A773" t="n">
        <v>772</v>
      </c>
      <c r="B773" t="n">
        <v>236</v>
      </c>
      <c r="C773" t="inlineStr">
        <is>
          <t>Plagette</t>
        </is>
      </c>
      <c r="D773" t="inlineStr">
        <is>
          <t>Majid Al Futtaim</t>
        </is>
      </c>
      <c r="E773" t="inlineStr">
        <is>
          <t>Tilal Al Ghaf</t>
        </is>
      </c>
      <c r="F773" t="inlineStr">
        <is>
          <t>Villas</t>
        </is>
      </c>
      <c r="G773" t="inlineStr">
        <is>
          <t>Lagoon / Luxury</t>
        </is>
      </c>
      <c r="H773" t="inlineStr">
        <is>
          <t>8.0M</t>
        </is>
      </c>
      <c r="I773" t="inlineStr">
        <is>
          <t>2000</t>
        </is>
      </c>
      <c r="J773" t="inlineStr">
        <is>
          <t>20</t>
        </is>
      </c>
      <c r="K773" t="inlineStr">
        <is>
          <t>50/50</t>
        </is>
      </c>
      <c r="L773" t="inlineStr">
        <is>
          <t>2023</t>
        </is>
      </c>
      <c r="M773" t="inlineStr">
        <is>
          <t>5.0-5.5</t>
        </is>
      </c>
      <c r="N773" t="inlineStr">
        <is>
          <t>10-12</t>
        </is>
      </c>
      <c r="O773" t="inlineStr">
        <is>
          <t>15.0-17.5</t>
        </is>
      </c>
      <c r="P773" t="inlineStr">
        <is>
          <t>Royal Grammar</t>
        </is>
      </c>
      <c r="Q773" t="inlineStr">
        <is>
          <t>Mediclinic Parkview</t>
        </is>
      </c>
      <c r="R773" t="inlineStr">
        <is>
          <t>First Avenue Mall</t>
        </is>
      </c>
      <c r="S773" t="inlineStr">
        <is>
          <t>Hessa St / E611</t>
        </is>
      </c>
      <c r="T773" t="inlineStr">
        <is>
          <t>20</t>
        </is>
      </c>
      <c r="U773" t="inlineStr">
        <is>
          <t>20</t>
        </is>
      </c>
      <c r="V773" t="inlineStr">
        <is>
          <t>25</t>
        </is>
      </c>
      <c r="W773" t="inlineStr">
        <is>
          <t>25</t>
        </is>
      </c>
      <c r="X773" t="inlineStr">
        <is>
          <t>Guild.csv</t>
        </is>
      </c>
    </row>
    <row r="774">
      <c r="A774" t="n">
        <v>773</v>
      </c>
      <c r="B774" t="n">
        <v>237</v>
      </c>
      <c r="C774" t="inlineStr">
        <is>
          <t>Sierra</t>
        </is>
      </c>
      <c r="D774" t="inlineStr">
        <is>
          <t>Majid Al Futtaim</t>
        </is>
      </c>
      <c r="E774" t="inlineStr">
        <is>
          <t>Ghaf Woods</t>
        </is>
      </c>
      <c r="F774" t="inlineStr">
        <is>
          <t>Apartments</t>
        </is>
      </c>
      <c r="G774" t="inlineStr">
        <is>
          <t>Forest</t>
        </is>
      </c>
      <c r="H774" t="inlineStr">
        <is>
          <t>1.6M</t>
        </is>
      </c>
      <c r="I774" t="inlineStr">
        <is>
          <t>1650</t>
        </is>
      </c>
      <c r="J774" t="inlineStr">
        <is>
          <t>18</t>
        </is>
      </c>
      <c r="K774" t="inlineStr">
        <is>
          <t>60/40</t>
        </is>
      </c>
      <c r="L774" t="inlineStr">
        <is>
          <t>2024</t>
        </is>
      </c>
      <c r="M774" t="inlineStr">
        <is>
          <t>6.0-6.5</t>
        </is>
      </c>
      <c r="N774" t="inlineStr">
        <is>
          <t>10-12</t>
        </is>
      </c>
      <c r="O774" t="inlineStr">
        <is>
          <t>16.0-18.5</t>
        </is>
      </c>
      <c r="P774" t="inlineStr">
        <is>
          <t>GEMS Winchester</t>
        </is>
      </c>
      <c r="Q774" t="inlineStr">
        <is>
          <t>Fakeeh University Hosp</t>
        </is>
      </c>
      <c r="R774" t="inlineStr">
        <is>
          <t>Global Village</t>
        </is>
      </c>
      <c r="S774" t="inlineStr">
        <is>
          <t>E611 / Sheikh Zayed Bin Hamdan</t>
        </is>
      </c>
      <c r="T774" t="inlineStr">
        <is>
          <t>20</t>
        </is>
      </c>
      <c r="U774" t="inlineStr">
        <is>
          <t>25</t>
        </is>
      </c>
      <c r="V774" t="inlineStr">
        <is>
          <t>25</t>
        </is>
      </c>
      <c r="W774" t="inlineStr">
        <is>
          <t>30</t>
        </is>
      </c>
      <c r="X774" t="inlineStr">
        <is>
          <t>Guild.csv</t>
        </is>
      </c>
    </row>
    <row r="775">
      <c r="A775" t="n">
        <v>774</v>
      </c>
      <c r="B775" t="n">
        <v>238</v>
      </c>
      <c r="C775" t="inlineStr">
        <is>
          <t>Tilal Al Ghaf (Master Community)</t>
        </is>
      </c>
      <c r="D775" t="inlineStr">
        <is>
          <t>Majid Al Futtaim</t>
        </is>
      </c>
      <c r="E775" t="inlineStr">
        <is>
          <t>Hessa Street</t>
        </is>
      </c>
      <c r="F775" t="inlineStr">
        <is>
          <t>Mixed</t>
        </is>
      </c>
      <c r="G775" t="inlineStr">
        <is>
          <t>Lagoon / Resort</t>
        </is>
      </c>
      <c r="J775" t="inlineStr">
        <is>
          <t>15-18</t>
        </is>
      </c>
      <c r="K775" t="inlineStr">
        <is>
          <t>Varies</t>
        </is>
      </c>
      <c r="L775" t="inlineStr">
        <is>
          <t>Ongoing</t>
        </is>
      </c>
      <c r="M775" t="inlineStr">
        <is>
          <t>6.0-7.0</t>
        </is>
      </c>
      <c r="N775" t="inlineStr">
        <is>
          <t>8-12</t>
        </is>
      </c>
      <c r="O775" t="inlineStr">
        <is>
          <t>14.0-19.0</t>
        </is>
      </c>
      <c r="P775" t="inlineStr">
        <is>
          <t>Royal Grammar</t>
        </is>
      </c>
      <c r="Q775" t="inlineStr">
        <is>
          <t>Mediclinic Parkview</t>
        </is>
      </c>
      <c r="R775" t="inlineStr">
        <is>
          <t>First Avenue Mall</t>
        </is>
      </c>
      <c r="S775" t="inlineStr">
        <is>
          <t>Hessa St / E611</t>
        </is>
      </c>
      <c r="T775" t="inlineStr">
        <is>
          <t>20</t>
        </is>
      </c>
      <c r="U775" t="inlineStr">
        <is>
          <t>20</t>
        </is>
      </c>
      <c r="V775" t="inlineStr">
        <is>
          <t>25</t>
        </is>
      </c>
      <c r="W775" t="inlineStr">
        <is>
          <t>25</t>
        </is>
      </c>
      <c r="X775" t="inlineStr">
        <is>
          <t>Guild.csv</t>
        </is>
      </c>
    </row>
    <row r="776">
      <c r="A776" t="n">
        <v>775</v>
      </c>
      <c r="B776" t="n">
        <v>239</v>
      </c>
      <c r="C776" t="inlineStr">
        <is>
          <t>Serenity Mansions</t>
        </is>
      </c>
      <c r="D776" t="inlineStr">
        <is>
          <t>Majid Al Futtaim</t>
        </is>
      </c>
      <c r="E776" t="inlineStr">
        <is>
          <t>Tilal Al Ghaf</t>
        </is>
      </c>
      <c r="F776" t="inlineStr">
        <is>
          <t>Mansions</t>
        </is>
      </c>
      <c r="G776" t="inlineStr">
        <is>
          <t>Ultra-Luxury</t>
        </is>
      </c>
      <c r="H776" t="inlineStr">
        <is>
          <t>25M+</t>
        </is>
      </c>
      <c r="I776" t="inlineStr">
        <is>
          <t>3000</t>
        </is>
      </c>
      <c r="J776" t="inlineStr">
        <is>
          <t>TBA</t>
        </is>
      </c>
      <c r="K776" t="inlineStr">
        <is>
          <t>50/50</t>
        </is>
      </c>
      <c r="L776" t="inlineStr">
        <is>
          <t>2023</t>
        </is>
      </c>
      <c r="M776" t="inlineStr">
        <is>
          <t>4.0-4.5</t>
        </is>
      </c>
      <c r="N776" t="inlineStr">
        <is>
          <t>10-15</t>
        </is>
      </c>
      <c r="O776" t="inlineStr">
        <is>
          <t>14.0-19.5</t>
        </is>
      </c>
      <c r="P776" t="inlineStr">
        <is>
          <t>Royal Grammar</t>
        </is>
      </c>
      <c r="Q776" t="inlineStr">
        <is>
          <t>Mediclinic Parkview</t>
        </is>
      </c>
      <c r="R776" t="inlineStr">
        <is>
          <t>First Avenue Mall</t>
        </is>
      </c>
      <c r="S776" t="inlineStr">
        <is>
          <t>Hessa St / E611</t>
        </is>
      </c>
      <c r="T776" t="inlineStr">
        <is>
          <t>20</t>
        </is>
      </c>
      <c r="U776" t="inlineStr">
        <is>
          <t>20</t>
        </is>
      </c>
      <c r="V776" t="inlineStr">
        <is>
          <t>25</t>
        </is>
      </c>
      <c r="W776" t="inlineStr">
        <is>
          <t>25</t>
        </is>
      </c>
      <c r="X776" t="inlineStr">
        <is>
          <t>Guild.csv</t>
        </is>
      </c>
    </row>
    <row r="777">
      <c r="A777" t="n">
        <v>776</v>
      </c>
      <c r="B777" t="n">
        <v>240</v>
      </c>
      <c r="C777" t="inlineStr">
        <is>
          <t>Lanai Islands</t>
        </is>
      </c>
      <c r="D777" t="inlineStr">
        <is>
          <t>Majid Al Futtaim</t>
        </is>
      </c>
      <c r="E777" t="inlineStr">
        <is>
          <t>Tilal Al Ghaf</t>
        </is>
      </c>
      <c r="F777" t="inlineStr">
        <is>
          <t>Mansions</t>
        </is>
      </c>
      <c r="G777" t="inlineStr">
        <is>
          <t>Island / Ultra</t>
        </is>
      </c>
      <c r="H777" t="inlineStr">
        <is>
          <t>60M+</t>
        </is>
      </c>
      <c r="I777" t="inlineStr">
        <is>
          <t>4000</t>
        </is>
      </c>
      <c r="J777" t="inlineStr">
        <is>
          <t>TBA</t>
        </is>
      </c>
      <c r="K777" t="inlineStr">
        <is>
          <t>50/50</t>
        </is>
      </c>
      <c r="L777" t="inlineStr">
        <is>
          <t>2023</t>
        </is>
      </c>
      <c r="M777" t="inlineStr">
        <is>
          <t>3.5-4.0</t>
        </is>
      </c>
      <c r="N777" t="inlineStr">
        <is>
          <t>10-15</t>
        </is>
      </c>
      <c r="O777" t="inlineStr">
        <is>
          <t>13.5-19.0</t>
        </is>
      </c>
      <c r="P777" t="inlineStr">
        <is>
          <t>Royal Grammar</t>
        </is>
      </c>
      <c r="Q777" t="inlineStr">
        <is>
          <t>Mediclinic Parkview</t>
        </is>
      </c>
      <c r="R777" t="inlineStr">
        <is>
          <t>First Avenue Mall</t>
        </is>
      </c>
      <c r="S777" t="inlineStr">
        <is>
          <t>Hessa St / E611</t>
        </is>
      </c>
      <c r="T777" t="inlineStr">
        <is>
          <t>20</t>
        </is>
      </c>
      <c r="U777" t="inlineStr">
        <is>
          <t>20</t>
        </is>
      </c>
      <c r="V777" t="inlineStr">
        <is>
          <t>25</t>
        </is>
      </c>
      <c r="W777" t="inlineStr">
        <is>
          <t>25</t>
        </is>
      </c>
      <c r="X777" t="inlineStr">
        <is>
          <t>Guild.csv</t>
        </is>
      </c>
    </row>
    <row r="778">
      <c r="A778" t="n">
        <v>777</v>
      </c>
      <c r="B778" t="n">
        <v>241</v>
      </c>
      <c r="C778" t="inlineStr">
        <is>
          <t>Plagette 32</t>
        </is>
      </c>
      <c r="D778" t="inlineStr">
        <is>
          <t>Majid Al Futtaim</t>
        </is>
      </c>
      <c r="E778" t="inlineStr">
        <is>
          <t>Tilal Al Ghaf</t>
        </is>
      </c>
      <c r="F778" t="inlineStr">
        <is>
          <t>Villas</t>
        </is>
      </c>
      <c r="G778" t="inlineStr">
        <is>
          <t>Water / Luxury</t>
        </is>
      </c>
      <c r="H778" t="inlineStr">
        <is>
          <t>8.5M</t>
        </is>
      </c>
      <c r="I778" t="inlineStr">
        <is>
          <t>2100</t>
        </is>
      </c>
      <c r="J778" t="inlineStr">
        <is>
          <t>20</t>
        </is>
      </c>
      <c r="K778" t="inlineStr">
        <is>
          <t>50/50</t>
        </is>
      </c>
      <c r="L778" t="inlineStr">
        <is>
          <t>2024</t>
        </is>
      </c>
      <c r="M778" t="inlineStr">
        <is>
          <t>5.0-5.5</t>
        </is>
      </c>
      <c r="N778" t="inlineStr">
        <is>
          <t>10-12</t>
        </is>
      </c>
      <c r="O778" t="inlineStr">
        <is>
          <t>15.0-17.5</t>
        </is>
      </c>
      <c r="P778" t="inlineStr">
        <is>
          <t>Royal Grammar</t>
        </is>
      </c>
      <c r="Q778" t="inlineStr">
        <is>
          <t>Mediclinic Parkview</t>
        </is>
      </c>
      <c r="R778" t="inlineStr">
        <is>
          <t>First Avenue Mall</t>
        </is>
      </c>
      <c r="S778" t="inlineStr">
        <is>
          <t>Hessa St / E611</t>
        </is>
      </c>
      <c r="T778" t="inlineStr">
        <is>
          <t>20</t>
        </is>
      </c>
      <c r="U778" t="inlineStr">
        <is>
          <t>20</t>
        </is>
      </c>
      <c r="V778" t="inlineStr">
        <is>
          <t>25</t>
        </is>
      </c>
      <c r="W778" t="inlineStr">
        <is>
          <t>25</t>
        </is>
      </c>
      <c r="X778" t="inlineStr">
        <is>
          <t>Guild.csv</t>
        </is>
      </c>
    </row>
    <row r="779">
      <c r="A779" t="n">
        <v>778</v>
      </c>
      <c r="B779" t="n">
        <v>242</v>
      </c>
      <c r="C779" t="inlineStr">
        <is>
          <t>Amara</t>
        </is>
      </c>
      <c r="D779" t="inlineStr">
        <is>
          <t>Majid Al Futtaim</t>
        </is>
      </c>
      <c r="E779" t="inlineStr">
        <is>
          <t>Tilal Al Ghaf</t>
        </is>
      </c>
      <c r="F779" t="inlineStr">
        <is>
          <t>Twin Villas</t>
        </is>
      </c>
      <c r="G779" t="inlineStr">
        <is>
          <t>Modern / Hill</t>
        </is>
      </c>
      <c r="H779" t="inlineStr">
        <is>
          <t>6.5M</t>
        </is>
      </c>
      <c r="I779" t="inlineStr">
        <is>
          <t>1800</t>
        </is>
      </c>
      <c r="J779" t="inlineStr">
        <is>
          <t>18</t>
        </is>
      </c>
      <c r="K779" t="inlineStr">
        <is>
          <t>60/40</t>
        </is>
      </c>
      <c r="L779" t="inlineStr">
        <is>
          <t>2023</t>
        </is>
      </c>
      <c r="M779" t="inlineStr">
        <is>
          <t>5.5-6.0</t>
        </is>
      </c>
      <c r="N779" t="inlineStr">
        <is>
          <t>8-10</t>
        </is>
      </c>
      <c r="O779" t="inlineStr">
        <is>
          <t>13.5-16.0</t>
        </is>
      </c>
      <c r="P779" t="inlineStr">
        <is>
          <t>Royal Grammar</t>
        </is>
      </c>
      <c r="Q779" t="inlineStr">
        <is>
          <t>Mediclinic Parkview</t>
        </is>
      </c>
      <c r="R779" t="inlineStr">
        <is>
          <t>First Avenue Mall</t>
        </is>
      </c>
      <c r="S779" t="inlineStr">
        <is>
          <t>Hessa St / E611</t>
        </is>
      </c>
      <c r="T779" t="inlineStr">
        <is>
          <t>20</t>
        </is>
      </c>
      <c r="U779" t="inlineStr">
        <is>
          <t>20</t>
        </is>
      </c>
      <c r="V779" t="inlineStr">
        <is>
          <t>25</t>
        </is>
      </c>
      <c r="W779" t="inlineStr">
        <is>
          <t>25</t>
        </is>
      </c>
      <c r="X779" t="inlineStr">
        <is>
          <t>Guild.csv</t>
        </is>
      </c>
    </row>
    <row r="780">
      <c r="A780" t="n">
        <v>779</v>
      </c>
      <c r="B780" t="n">
        <v>243</v>
      </c>
      <c r="C780" t="inlineStr">
        <is>
          <t>Alaya</t>
        </is>
      </c>
      <c r="D780" t="inlineStr">
        <is>
          <t>Majid Al Futtaim</t>
        </is>
      </c>
      <c r="E780" t="inlineStr">
        <is>
          <t>Tilal Al Ghaf</t>
        </is>
      </c>
      <c r="F780" t="inlineStr">
        <is>
          <t>Villas</t>
        </is>
      </c>
      <c r="G780" t="inlineStr">
        <is>
          <t>Luxury / Zen</t>
        </is>
      </c>
      <c r="H780" t="inlineStr">
        <is>
          <t>9.0M</t>
        </is>
      </c>
      <c r="I780" t="inlineStr">
        <is>
          <t>1900</t>
        </is>
      </c>
      <c r="J780" t="inlineStr">
        <is>
          <t>18</t>
        </is>
      </c>
      <c r="K780" t="inlineStr">
        <is>
          <t>50/50</t>
        </is>
      </c>
      <c r="L780" t="inlineStr">
        <is>
          <t>2022</t>
        </is>
      </c>
      <c r="M780" t="inlineStr">
        <is>
          <t>5.0-5.5</t>
        </is>
      </c>
      <c r="N780" t="inlineStr">
        <is>
          <t>8-10</t>
        </is>
      </c>
      <c r="O780" t="inlineStr">
        <is>
          <t>13.0-15.5</t>
        </is>
      </c>
      <c r="P780" t="inlineStr">
        <is>
          <t>Royal Grammar</t>
        </is>
      </c>
      <c r="Q780" t="inlineStr">
        <is>
          <t>Mediclinic Parkview</t>
        </is>
      </c>
      <c r="R780" t="inlineStr">
        <is>
          <t>First Avenue Mall</t>
        </is>
      </c>
      <c r="S780" t="inlineStr">
        <is>
          <t>Hessa St / E611</t>
        </is>
      </c>
      <c r="T780" t="inlineStr">
        <is>
          <t>20</t>
        </is>
      </c>
      <c r="U780" t="inlineStr">
        <is>
          <t>20</t>
        </is>
      </c>
      <c r="V780" t="inlineStr">
        <is>
          <t>25</t>
        </is>
      </c>
      <c r="W780" t="inlineStr">
        <is>
          <t>25</t>
        </is>
      </c>
      <c r="X780" t="inlineStr">
        <is>
          <t>Guild.csv</t>
        </is>
      </c>
    </row>
    <row r="781">
      <c r="A781" t="n">
        <v>780</v>
      </c>
      <c r="B781" t="n">
        <v>244</v>
      </c>
      <c r="C781" t="inlineStr">
        <is>
          <t>Alaya Beach</t>
        </is>
      </c>
      <c r="D781" t="inlineStr">
        <is>
          <t>Majid Al Futtaim</t>
        </is>
      </c>
      <c r="E781" t="inlineStr">
        <is>
          <t>Tilal Al Ghaf</t>
        </is>
      </c>
      <c r="F781" t="inlineStr">
        <is>
          <t>Villas</t>
        </is>
      </c>
      <c r="G781" t="inlineStr">
        <is>
          <t>Beachfront</t>
        </is>
      </c>
      <c r="H781" t="inlineStr">
        <is>
          <t>12M+</t>
        </is>
      </c>
      <c r="I781" t="inlineStr">
        <is>
          <t>2200</t>
        </is>
      </c>
      <c r="J781" t="inlineStr">
        <is>
          <t>20</t>
        </is>
      </c>
      <c r="K781" t="inlineStr">
        <is>
          <t>50/50</t>
        </is>
      </c>
      <c r="L781" t="inlineStr">
        <is>
          <t>2022</t>
        </is>
      </c>
      <c r="M781" t="inlineStr">
        <is>
          <t>5.0-5.5</t>
        </is>
      </c>
      <c r="N781" t="inlineStr">
        <is>
          <t>8-10</t>
        </is>
      </c>
      <c r="O781" t="inlineStr">
        <is>
          <t>13.0-15.5</t>
        </is>
      </c>
      <c r="P781" t="inlineStr">
        <is>
          <t>Royal Grammar</t>
        </is>
      </c>
      <c r="Q781" t="inlineStr">
        <is>
          <t>Mediclinic Parkview</t>
        </is>
      </c>
      <c r="R781" t="inlineStr">
        <is>
          <t>First Avenue Mall</t>
        </is>
      </c>
      <c r="S781" t="inlineStr">
        <is>
          <t>Hessa St / E611</t>
        </is>
      </c>
      <c r="T781" t="inlineStr">
        <is>
          <t>20</t>
        </is>
      </c>
      <c r="U781" t="inlineStr">
        <is>
          <t>20</t>
        </is>
      </c>
      <c r="V781" t="inlineStr">
        <is>
          <t>25</t>
        </is>
      </c>
      <c r="W781" t="inlineStr">
        <is>
          <t>25</t>
        </is>
      </c>
      <c r="X781" t="inlineStr">
        <is>
          <t>Guild.csv</t>
        </is>
      </c>
    </row>
    <row r="782">
      <c r="A782" t="n">
        <v>781</v>
      </c>
      <c r="B782" t="n">
        <v>245</v>
      </c>
      <c r="C782" t="inlineStr">
        <is>
          <t>Elysian Mansions</t>
        </is>
      </c>
      <c r="D782" t="inlineStr">
        <is>
          <t>Majid Al Futtaim</t>
        </is>
      </c>
      <c r="E782" t="inlineStr">
        <is>
          <t>Tilal Al Ghaf</t>
        </is>
      </c>
      <c r="F782" t="inlineStr">
        <is>
          <t>Mansions</t>
        </is>
      </c>
      <c r="G782" t="inlineStr">
        <is>
          <t>Smart / Luxury</t>
        </is>
      </c>
      <c r="H782" t="inlineStr">
        <is>
          <t>18M+</t>
        </is>
      </c>
      <c r="I782" t="inlineStr">
        <is>
          <t>2500</t>
        </is>
      </c>
      <c r="J782" t="inlineStr">
        <is>
          <t>TBA</t>
        </is>
      </c>
      <c r="K782" t="inlineStr">
        <is>
          <t>50/50</t>
        </is>
      </c>
      <c r="L782" t="inlineStr">
        <is>
          <t>2022</t>
        </is>
      </c>
      <c r="M782" t="inlineStr">
        <is>
          <t>4.5-5.0</t>
        </is>
      </c>
      <c r="N782" t="inlineStr">
        <is>
          <t>8-10</t>
        </is>
      </c>
      <c r="O782" t="inlineStr">
        <is>
          <t>12.5-15.0</t>
        </is>
      </c>
      <c r="P782" t="inlineStr">
        <is>
          <t>Royal Grammar</t>
        </is>
      </c>
      <c r="Q782" t="inlineStr">
        <is>
          <t>Mediclinic Parkview</t>
        </is>
      </c>
      <c r="R782" t="inlineStr">
        <is>
          <t>First Avenue Mall</t>
        </is>
      </c>
      <c r="S782" t="inlineStr">
        <is>
          <t>Hessa St / E611</t>
        </is>
      </c>
      <c r="T782" t="inlineStr">
        <is>
          <t>20</t>
        </is>
      </c>
      <c r="U782" t="inlineStr">
        <is>
          <t>20</t>
        </is>
      </c>
      <c r="V782" t="inlineStr">
        <is>
          <t>25</t>
        </is>
      </c>
      <c r="W782" t="inlineStr">
        <is>
          <t>25</t>
        </is>
      </c>
      <c r="X782" t="inlineStr">
        <is>
          <t>Guild.csv</t>
        </is>
      </c>
    </row>
    <row r="783">
      <c r="A783" t="n">
        <v>782</v>
      </c>
      <c r="B783" t="n">
        <v>246</v>
      </c>
      <c r="C783" t="inlineStr">
        <is>
          <t>Harmony 1</t>
        </is>
      </c>
      <c r="D783" t="inlineStr">
        <is>
          <t>Majid Al Futtaim</t>
        </is>
      </c>
      <c r="E783" t="inlineStr">
        <is>
          <t>Tilal Al Ghaf</t>
        </is>
      </c>
      <c r="F783" t="inlineStr">
        <is>
          <t>Villas</t>
        </is>
      </c>
      <c r="G783" t="inlineStr">
        <is>
          <t>Family / Gated</t>
        </is>
      </c>
      <c r="H783" t="inlineStr">
        <is>
          <t>Resale (4.5M+)</t>
        </is>
      </c>
      <c r="I783" t="inlineStr">
        <is>
          <t>1400</t>
        </is>
      </c>
      <c r="J783" t="inlineStr">
        <is>
          <t>15</t>
        </is>
      </c>
      <c r="K783" t="inlineStr">
        <is>
          <t>Completed</t>
        </is>
      </c>
      <c r="L783" t="inlineStr">
        <is>
          <t>2023</t>
        </is>
      </c>
      <c r="M783" t="inlineStr">
        <is>
          <t>5.5-6.0</t>
        </is>
      </c>
      <c r="N783" t="inlineStr">
        <is>
          <t>6-8</t>
        </is>
      </c>
      <c r="O783" t="inlineStr">
        <is>
          <t>11.5-14.0</t>
        </is>
      </c>
      <c r="P783" t="inlineStr">
        <is>
          <t>Royal Grammar</t>
        </is>
      </c>
      <c r="Q783" t="inlineStr">
        <is>
          <t>Mediclinic Parkview</t>
        </is>
      </c>
      <c r="R783" t="inlineStr">
        <is>
          <t>First Avenue Mall</t>
        </is>
      </c>
      <c r="S783" t="inlineStr">
        <is>
          <t>Hessa St / E611</t>
        </is>
      </c>
      <c r="T783" t="inlineStr">
        <is>
          <t>20</t>
        </is>
      </c>
      <c r="U783" t="inlineStr">
        <is>
          <t>20</t>
        </is>
      </c>
      <c r="V783" t="inlineStr">
        <is>
          <t>25</t>
        </is>
      </c>
      <c r="W783" t="inlineStr">
        <is>
          <t>25</t>
        </is>
      </c>
      <c r="X783" t="inlineStr">
        <is>
          <t>Guild.csv</t>
        </is>
      </c>
    </row>
    <row r="784">
      <c r="A784" t="n">
        <v>783</v>
      </c>
      <c r="B784" t="n">
        <v>247</v>
      </c>
      <c r="C784" t="inlineStr">
        <is>
          <t>Harmony 2</t>
        </is>
      </c>
      <c r="D784" t="inlineStr">
        <is>
          <t>Majid Al Futtaim</t>
        </is>
      </c>
      <c r="E784" t="inlineStr">
        <is>
          <t>Tilal Al Ghaf</t>
        </is>
      </c>
      <c r="F784" t="inlineStr">
        <is>
          <t>Villas</t>
        </is>
      </c>
      <c r="G784" t="inlineStr">
        <is>
          <t>Family / Gated</t>
        </is>
      </c>
      <c r="H784" t="inlineStr">
        <is>
          <t>Resale (4.6M+)</t>
        </is>
      </c>
      <c r="I784" t="inlineStr">
        <is>
          <t>1450</t>
        </is>
      </c>
      <c r="J784" t="inlineStr">
        <is>
          <t>15</t>
        </is>
      </c>
      <c r="K784" t="inlineStr">
        <is>
          <t>Completed</t>
        </is>
      </c>
      <c r="L784" t="inlineStr">
        <is>
          <t>2023</t>
        </is>
      </c>
      <c r="M784" t="inlineStr">
        <is>
          <t>5.5-6.0</t>
        </is>
      </c>
      <c r="N784" t="inlineStr">
        <is>
          <t>6-8</t>
        </is>
      </c>
      <c r="O784" t="inlineStr">
        <is>
          <t>11.5-14.0</t>
        </is>
      </c>
      <c r="P784" t="inlineStr">
        <is>
          <t>Royal Grammar</t>
        </is>
      </c>
      <c r="Q784" t="inlineStr">
        <is>
          <t>Mediclinic Parkview</t>
        </is>
      </c>
      <c r="R784" t="inlineStr">
        <is>
          <t>First Avenue Mall</t>
        </is>
      </c>
      <c r="S784" t="inlineStr">
        <is>
          <t>Hessa St / E611</t>
        </is>
      </c>
      <c r="T784" t="inlineStr">
        <is>
          <t>20</t>
        </is>
      </c>
      <c r="U784" t="inlineStr">
        <is>
          <t>20</t>
        </is>
      </c>
      <c r="V784" t="inlineStr">
        <is>
          <t>25</t>
        </is>
      </c>
      <c r="W784" t="inlineStr">
        <is>
          <t>25</t>
        </is>
      </c>
      <c r="X784" t="inlineStr">
        <is>
          <t>Guild.csv</t>
        </is>
      </c>
    </row>
    <row r="785">
      <c r="A785" t="n">
        <v>784</v>
      </c>
      <c r="B785" t="n">
        <v>248</v>
      </c>
      <c r="C785" t="inlineStr">
        <is>
          <t>Harmony 3</t>
        </is>
      </c>
      <c r="D785" t="inlineStr">
        <is>
          <t>Majid Al Futtaim</t>
        </is>
      </c>
      <c r="E785" t="inlineStr">
        <is>
          <t>Tilal Al Ghaf</t>
        </is>
      </c>
      <c r="F785" t="inlineStr">
        <is>
          <t>Villas</t>
        </is>
      </c>
      <c r="G785" t="inlineStr">
        <is>
          <t>Family / Gated</t>
        </is>
      </c>
      <c r="H785" t="inlineStr">
        <is>
          <t>Resale (4.8M+)</t>
        </is>
      </c>
      <c r="I785" t="inlineStr">
        <is>
          <t>1500</t>
        </is>
      </c>
      <c r="J785" t="inlineStr">
        <is>
          <t>15</t>
        </is>
      </c>
      <c r="K785" t="inlineStr">
        <is>
          <t>Completed</t>
        </is>
      </c>
      <c r="L785" t="inlineStr">
        <is>
          <t>2023</t>
        </is>
      </c>
      <c r="M785" t="inlineStr">
        <is>
          <t>5.5-6.0</t>
        </is>
      </c>
      <c r="N785" t="inlineStr">
        <is>
          <t>6-8</t>
        </is>
      </c>
      <c r="O785" t="inlineStr">
        <is>
          <t>11.5-14.0</t>
        </is>
      </c>
      <c r="P785" t="inlineStr">
        <is>
          <t>Royal Grammar</t>
        </is>
      </c>
      <c r="Q785" t="inlineStr">
        <is>
          <t>Mediclinic Parkview</t>
        </is>
      </c>
      <c r="R785" t="inlineStr">
        <is>
          <t>First Avenue Mall</t>
        </is>
      </c>
      <c r="S785" t="inlineStr">
        <is>
          <t>Hessa St / E611</t>
        </is>
      </c>
      <c r="T785" t="inlineStr">
        <is>
          <t>20</t>
        </is>
      </c>
      <c r="U785" t="inlineStr">
        <is>
          <t>20</t>
        </is>
      </c>
      <c r="V785" t="inlineStr">
        <is>
          <t>25</t>
        </is>
      </c>
      <c r="W785" t="inlineStr">
        <is>
          <t>25</t>
        </is>
      </c>
      <c r="X785" t="inlineStr">
        <is>
          <t>Guild.csv</t>
        </is>
      </c>
    </row>
    <row r="786">
      <c r="A786" t="n">
        <v>785</v>
      </c>
      <c r="B786" t="n">
        <v>249</v>
      </c>
      <c r="C786" t="inlineStr">
        <is>
          <t>Elan</t>
        </is>
      </c>
      <c r="D786" t="inlineStr">
        <is>
          <t>Majid Al Futtaim</t>
        </is>
      </c>
      <c r="E786" t="inlineStr">
        <is>
          <t>Tilal Al Ghaf</t>
        </is>
      </c>
      <c r="F786" t="inlineStr">
        <is>
          <t>Townhouses</t>
        </is>
      </c>
      <c r="G786" t="inlineStr">
        <is>
          <t>Gated / Starter</t>
        </is>
      </c>
      <c r="H786" t="inlineStr">
        <is>
          <t>Resale (2.5M+)</t>
        </is>
      </c>
      <c r="I786" t="inlineStr">
        <is>
          <t>1300</t>
        </is>
      </c>
      <c r="J786" t="inlineStr">
        <is>
          <t>15</t>
        </is>
      </c>
      <c r="K786" t="inlineStr">
        <is>
          <t>Completed</t>
        </is>
      </c>
      <c r="L786" t="inlineStr">
        <is>
          <t>2022</t>
        </is>
      </c>
      <c r="M786" t="inlineStr">
        <is>
          <t>6.5-7.0</t>
        </is>
      </c>
      <c r="N786" t="inlineStr">
        <is>
          <t>6-8</t>
        </is>
      </c>
      <c r="O786" t="inlineStr">
        <is>
          <t>12.5-15.0</t>
        </is>
      </c>
      <c r="P786" t="inlineStr">
        <is>
          <t>Royal Grammar</t>
        </is>
      </c>
      <c r="Q786" t="inlineStr">
        <is>
          <t>Mediclinic Parkview</t>
        </is>
      </c>
      <c r="R786" t="inlineStr">
        <is>
          <t>First Avenue Mall</t>
        </is>
      </c>
      <c r="S786" t="inlineStr">
        <is>
          <t>Hessa St / E611</t>
        </is>
      </c>
      <c r="T786" t="inlineStr">
        <is>
          <t>20</t>
        </is>
      </c>
      <c r="U786" t="inlineStr">
        <is>
          <t>20</t>
        </is>
      </c>
      <c r="V786" t="inlineStr">
        <is>
          <t>25</t>
        </is>
      </c>
      <c r="W786" t="inlineStr">
        <is>
          <t>25</t>
        </is>
      </c>
      <c r="X786" t="inlineStr">
        <is>
          <t>Guild.csv</t>
        </is>
      </c>
    </row>
    <row r="787">
      <c r="A787" t="n">
        <v>786</v>
      </c>
      <c r="B787" t="n">
        <v>250</v>
      </c>
      <c r="C787" t="inlineStr">
        <is>
          <t>Aura</t>
        </is>
      </c>
      <c r="D787" t="inlineStr">
        <is>
          <t>Majid Al Futtaim</t>
        </is>
      </c>
      <c r="E787" t="inlineStr">
        <is>
          <t>Tilal Al Ghaf</t>
        </is>
      </c>
      <c r="F787" t="inlineStr">
        <is>
          <t>Twin Villas</t>
        </is>
      </c>
      <c r="G787" t="inlineStr">
        <is>
          <t>Gated / Modern</t>
        </is>
      </c>
      <c r="H787" t="inlineStr">
        <is>
          <t>Resale (3.5M+)</t>
        </is>
      </c>
      <c r="I787" t="inlineStr">
        <is>
          <t>1400</t>
        </is>
      </c>
      <c r="J787" t="inlineStr">
        <is>
          <t>15</t>
        </is>
      </c>
      <c r="K787" t="inlineStr">
        <is>
          <t>Completed</t>
        </is>
      </c>
      <c r="L787" t="inlineStr">
        <is>
          <t>2023</t>
        </is>
      </c>
      <c r="M787" t="inlineStr">
        <is>
          <t>6.0-6.5</t>
        </is>
      </c>
      <c r="N787" t="inlineStr">
        <is>
          <t>6-8</t>
        </is>
      </c>
      <c r="O787" t="inlineStr">
        <is>
          <t>12.0-14.5</t>
        </is>
      </c>
      <c r="P787" t="inlineStr">
        <is>
          <t>Royal Grammar</t>
        </is>
      </c>
      <c r="Q787" t="inlineStr">
        <is>
          <t>Mediclinic Parkview</t>
        </is>
      </c>
      <c r="R787" t="inlineStr">
        <is>
          <t>First Avenue Mall</t>
        </is>
      </c>
      <c r="S787" t="inlineStr">
        <is>
          <t>Hessa St / E611</t>
        </is>
      </c>
      <c r="T787" t="inlineStr">
        <is>
          <t>20</t>
        </is>
      </c>
      <c r="U787" t="inlineStr">
        <is>
          <t>20</t>
        </is>
      </c>
      <c r="V787" t="inlineStr">
        <is>
          <t>25</t>
        </is>
      </c>
      <c r="W787" t="inlineStr">
        <is>
          <t>25</t>
        </is>
      </c>
      <c r="X787" t="inlineStr">
        <is>
          <t>Guild.csv</t>
        </is>
      </c>
    </row>
    <row r="788">
      <c r="A788" t="n">
        <v>787</v>
      </c>
      <c r="B788" t="n">
        <v>251</v>
      </c>
      <c r="C788" t="inlineStr">
        <is>
          <t>The Highgrove</t>
        </is>
      </c>
      <c r="D788" t="inlineStr">
        <is>
          <t>Ellington Properties</t>
        </is>
      </c>
      <c r="E788" t="inlineStr">
        <is>
          <t>MBR City</t>
        </is>
      </c>
      <c r="F788" t="inlineStr">
        <is>
          <t>Apartments</t>
        </is>
      </c>
      <c r="G788" t="inlineStr">
        <is>
          <t>Design / Boutique</t>
        </is>
      </c>
      <c r="H788" t="inlineStr">
        <is>
          <t>1.8M</t>
        </is>
      </c>
      <c r="I788" t="inlineStr">
        <is>
          <t>2000</t>
        </is>
      </c>
      <c r="J788" t="inlineStr">
        <is>
          <t>18</t>
        </is>
      </c>
      <c r="K788" t="inlineStr">
        <is>
          <t>70/30</t>
        </is>
      </c>
      <c r="L788" t="inlineStr">
        <is>
          <t>2024</t>
        </is>
      </c>
      <c r="M788" t="inlineStr">
        <is>
          <t>6.0-6.5</t>
        </is>
      </c>
      <c r="N788" t="inlineStr">
        <is>
          <t>8-10</t>
        </is>
      </c>
      <c r="O788" t="inlineStr">
        <is>
          <t>14.0-16.5</t>
        </is>
      </c>
      <c r="P788" t="inlineStr">
        <is>
          <t>Hartland Intl</t>
        </is>
      </c>
      <c r="Q788" t="inlineStr">
        <is>
          <t>American Hospital</t>
        </is>
      </c>
      <c r="R788" t="inlineStr">
        <is>
          <t>Dubai Mall</t>
        </is>
      </c>
      <c r="S788" t="inlineStr">
        <is>
          <t>Ras Al Khor / E44</t>
        </is>
      </c>
      <c r="T788" t="inlineStr">
        <is>
          <t>12</t>
        </is>
      </c>
      <c r="U788" t="inlineStr">
        <is>
          <t>25</t>
        </is>
      </c>
      <c r="V788" t="inlineStr">
        <is>
          <t>15</t>
        </is>
      </c>
      <c r="W788" t="inlineStr">
        <is>
          <t>40</t>
        </is>
      </c>
      <c r="X788" t="inlineStr">
        <is>
          <t>Guild.csv</t>
        </is>
      </c>
    </row>
    <row r="789">
      <c r="A789" t="n">
        <v>788</v>
      </c>
      <c r="B789" t="n">
        <v>252</v>
      </c>
      <c r="C789" t="inlineStr">
        <is>
          <t>Claydon House</t>
        </is>
      </c>
      <c r="D789" t="inlineStr">
        <is>
          <t>Ellington Properties</t>
        </is>
      </c>
      <c r="E789" t="inlineStr">
        <is>
          <t>MBR City</t>
        </is>
      </c>
      <c r="F789" t="inlineStr">
        <is>
          <t>Apartments</t>
        </is>
      </c>
      <c r="G789" t="inlineStr">
        <is>
          <t>Design / Boutique</t>
        </is>
      </c>
      <c r="H789" t="inlineStr">
        <is>
          <t>1.9M</t>
        </is>
      </c>
      <c r="I789" t="inlineStr">
        <is>
          <t>2000</t>
        </is>
      </c>
      <c r="J789" t="inlineStr">
        <is>
          <t>18</t>
        </is>
      </c>
      <c r="K789" t="inlineStr">
        <is>
          <t>70/30</t>
        </is>
      </c>
      <c r="L789" t="inlineStr">
        <is>
          <t>2024</t>
        </is>
      </c>
      <c r="M789" t="inlineStr">
        <is>
          <t>6.0-6.5</t>
        </is>
      </c>
      <c r="N789" t="inlineStr">
        <is>
          <t>8-10</t>
        </is>
      </c>
      <c r="O789" t="inlineStr">
        <is>
          <t>14.0-16.5</t>
        </is>
      </c>
      <c r="P789" t="inlineStr">
        <is>
          <t>Hartland Intl</t>
        </is>
      </c>
      <c r="Q789" t="inlineStr">
        <is>
          <t>American Hospital</t>
        </is>
      </c>
      <c r="R789" t="inlineStr">
        <is>
          <t>Dubai Mall</t>
        </is>
      </c>
      <c r="S789" t="inlineStr">
        <is>
          <t>Ras Al Khor / E44</t>
        </is>
      </c>
      <c r="T789" t="inlineStr">
        <is>
          <t>12</t>
        </is>
      </c>
      <c r="U789" t="inlineStr">
        <is>
          <t>25</t>
        </is>
      </c>
      <c r="V789" t="inlineStr">
        <is>
          <t>15</t>
        </is>
      </c>
      <c r="W789" t="inlineStr">
        <is>
          <t>40</t>
        </is>
      </c>
      <c r="X789" t="inlineStr">
        <is>
          <t>Guild.csv</t>
        </is>
      </c>
    </row>
    <row r="790">
      <c r="A790" t="n">
        <v>789</v>
      </c>
      <c r="B790" t="n">
        <v>253</v>
      </c>
      <c r="C790" t="inlineStr">
        <is>
          <t>Wilton Terraces 1</t>
        </is>
      </c>
      <c r="D790" t="inlineStr">
        <is>
          <t>Ellington Properties</t>
        </is>
      </c>
      <c r="E790" t="inlineStr">
        <is>
          <t>MBR City</t>
        </is>
      </c>
      <c r="F790" t="inlineStr">
        <is>
          <t>Apartments</t>
        </is>
      </c>
      <c r="G790" t="inlineStr">
        <is>
          <t>Design / Garden</t>
        </is>
      </c>
      <c r="H790" t="inlineStr">
        <is>
          <t>Resale (1.6M+)</t>
        </is>
      </c>
      <c r="I790" t="inlineStr">
        <is>
          <t>1700</t>
        </is>
      </c>
      <c r="J790" t="inlineStr">
        <is>
          <t>18</t>
        </is>
      </c>
      <c r="K790" t="inlineStr">
        <is>
          <t>Completed</t>
        </is>
      </c>
      <c r="L790" t="inlineStr">
        <is>
          <t>2019</t>
        </is>
      </c>
      <c r="M790" t="inlineStr">
        <is>
          <t>6.5-7.0</t>
        </is>
      </c>
      <c r="N790" t="inlineStr">
        <is>
          <t>5-7</t>
        </is>
      </c>
      <c r="O790" t="inlineStr">
        <is>
          <t>11.5-14.0</t>
        </is>
      </c>
      <c r="P790" t="inlineStr">
        <is>
          <t>Hartland Intl</t>
        </is>
      </c>
      <c r="Q790" t="inlineStr">
        <is>
          <t>American Hospital</t>
        </is>
      </c>
      <c r="R790" t="inlineStr">
        <is>
          <t>Dubai Mall</t>
        </is>
      </c>
      <c r="S790" t="inlineStr">
        <is>
          <t>Ras Al Khor / E44</t>
        </is>
      </c>
      <c r="T790" t="inlineStr">
        <is>
          <t>12</t>
        </is>
      </c>
      <c r="U790" t="inlineStr">
        <is>
          <t>25</t>
        </is>
      </c>
      <c r="V790" t="inlineStr">
        <is>
          <t>15</t>
        </is>
      </c>
      <c r="W790" t="inlineStr">
        <is>
          <t>40</t>
        </is>
      </c>
      <c r="X790" t="inlineStr">
        <is>
          <t>Guild.csv</t>
        </is>
      </c>
    </row>
    <row r="791">
      <c r="A791" t="n">
        <v>790</v>
      </c>
      <c r="B791" t="n">
        <v>254</v>
      </c>
      <c r="C791" t="inlineStr">
        <is>
          <t>Wilton Terraces 2</t>
        </is>
      </c>
      <c r="D791" t="inlineStr">
        <is>
          <t>Ellington Properties</t>
        </is>
      </c>
      <c r="E791" t="inlineStr">
        <is>
          <t>MBR City</t>
        </is>
      </c>
      <c r="F791" t="inlineStr">
        <is>
          <t>Apartments</t>
        </is>
      </c>
      <c r="G791" t="inlineStr">
        <is>
          <t>Design / Garden</t>
        </is>
      </c>
      <c r="H791" t="inlineStr">
        <is>
          <t>Resale (1.6M+)</t>
        </is>
      </c>
      <c r="I791" t="inlineStr">
        <is>
          <t>1700</t>
        </is>
      </c>
      <c r="J791" t="inlineStr">
        <is>
          <t>18</t>
        </is>
      </c>
      <c r="K791" t="inlineStr">
        <is>
          <t>Completed</t>
        </is>
      </c>
      <c r="L791" t="inlineStr">
        <is>
          <t>2019</t>
        </is>
      </c>
      <c r="M791" t="inlineStr">
        <is>
          <t>6.5-7.0</t>
        </is>
      </c>
      <c r="N791" t="inlineStr">
        <is>
          <t>5-7</t>
        </is>
      </c>
      <c r="O791" t="inlineStr">
        <is>
          <t>11.5-14.0</t>
        </is>
      </c>
      <c r="P791" t="inlineStr">
        <is>
          <t>Hartland Intl</t>
        </is>
      </c>
      <c r="Q791" t="inlineStr">
        <is>
          <t>American Hospital</t>
        </is>
      </c>
      <c r="R791" t="inlineStr">
        <is>
          <t>Dubai Mall</t>
        </is>
      </c>
      <c r="S791" t="inlineStr">
        <is>
          <t>Ras Al Khor / E44</t>
        </is>
      </c>
      <c r="T791" t="inlineStr">
        <is>
          <t>12</t>
        </is>
      </c>
      <c r="U791" t="inlineStr">
        <is>
          <t>25</t>
        </is>
      </c>
      <c r="V791" t="inlineStr">
        <is>
          <t>15</t>
        </is>
      </c>
      <c r="W791" t="inlineStr">
        <is>
          <t>40</t>
        </is>
      </c>
      <c r="X791" t="inlineStr">
        <is>
          <t>Guild.csv</t>
        </is>
      </c>
    </row>
    <row r="792">
      <c r="A792" t="n">
        <v>791</v>
      </c>
      <c r="B792" t="n">
        <v>255</v>
      </c>
      <c r="C792" t="inlineStr">
        <is>
          <t>Wilton Park Residences</t>
        </is>
      </c>
      <c r="D792" t="inlineStr">
        <is>
          <t>Ellington Properties</t>
        </is>
      </c>
      <c r="E792" t="inlineStr">
        <is>
          <t>MBR City</t>
        </is>
      </c>
      <c r="F792" t="inlineStr">
        <is>
          <t>Apartments</t>
        </is>
      </c>
      <c r="G792" t="inlineStr">
        <is>
          <t>Park / Modern</t>
        </is>
      </c>
      <c r="H792" t="inlineStr">
        <is>
          <t>Resale (1.5M+)</t>
        </is>
      </c>
      <c r="I792" t="inlineStr">
        <is>
          <t>1600</t>
        </is>
      </c>
      <c r="J792" t="inlineStr">
        <is>
          <t>18</t>
        </is>
      </c>
      <c r="K792" t="inlineStr">
        <is>
          <t>Completed</t>
        </is>
      </c>
      <c r="L792" t="inlineStr">
        <is>
          <t>2021</t>
        </is>
      </c>
      <c r="M792" t="inlineStr">
        <is>
          <t>6.5-7.0</t>
        </is>
      </c>
      <c r="N792" t="inlineStr">
        <is>
          <t>5-7</t>
        </is>
      </c>
      <c r="O792" t="inlineStr">
        <is>
          <t>11.5-14.0</t>
        </is>
      </c>
      <c r="P792" t="inlineStr">
        <is>
          <t>Hartland Intl</t>
        </is>
      </c>
      <c r="Q792" t="inlineStr">
        <is>
          <t>American Hospital</t>
        </is>
      </c>
      <c r="R792" t="inlineStr">
        <is>
          <t>Dubai Mall</t>
        </is>
      </c>
      <c r="S792" t="inlineStr">
        <is>
          <t>Ras Al Khor / E44</t>
        </is>
      </c>
      <c r="T792" t="inlineStr">
        <is>
          <t>12</t>
        </is>
      </c>
      <c r="U792" t="inlineStr">
        <is>
          <t>25</t>
        </is>
      </c>
      <c r="V792" t="inlineStr">
        <is>
          <t>15</t>
        </is>
      </c>
      <c r="W792" t="inlineStr">
        <is>
          <t>40</t>
        </is>
      </c>
      <c r="X792" t="inlineStr">
        <is>
          <t>Guild.csv</t>
        </is>
      </c>
    </row>
    <row r="793">
      <c r="A793" t="n">
        <v>792</v>
      </c>
      <c r="B793" t="n">
        <v>256</v>
      </c>
      <c r="C793" t="inlineStr">
        <is>
          <t>The Sanctuary</t>
        </is>
      </c>
      <c r="D793" t="inlineStr">
        <is>
          <t>Ellington Properties</t>
        </is>
      </c>
      <c r="E793" t="inlineStr">
        <is>
          <t>MBR City (District 11)</t>
        </is>
      </c>
      <c r="F793" t="inlineStr">
        <is>
          <t>Villas</t>
        </is>
      </c>
      <c r="G793" t="inlineStr">
        <is>
          <t>Gated / Water</t>
        </is>
      </c>
      <c r="H793" t="inlineStr">
        <is>
          <t>15M+</t>
        </is>
      </c>
      <c r="I793" t="inlineStr">
        <is>
          <t>2200</t>
        </is>
      </c>
      <c r="J793" t="inlineStr">
        <is>
          <t>20</t>
        </is>
      </c>
      <c r="K793" t="inlineStr">
        <is>
          <t>60/40</t>
        </is>
      </c>
      <c r="L793" t="inlineStr">
        <is>
          <t>2023</t>
        </is>
      </c>
      <c r="M793" t="inlineStr">
        <is>
          <t>5.0-5.5</t>
        </is>
      </c>
      <c r="N793" t="inlineStr">
        <is>
          <t>8-10</t>
        </is>
      </c>
      <c r="O793" t="inlineStr">
        <is>
          <t>13.0-15.5</t>
        </is>
      </c>
      <c r="P793" t="inlineStr">
        <is>
          <t>Repton School</t>
        </is>
      </c>
      <c r="Q793" t="inlineStr">
        <is>
          <t>Nad Al Sheba Health</t>
        </is>
      </c>
      <c r="R793" t="inlineStr">
        <is>
          <t>Meydan One (Planned)</t>
        </is>
      </c>
      <c r="S793" t="inlineStr">
        <is>
          <t>Al Ain Rd E66</t>
        </is>
      </c>
      <c r="T793" t="inlineStr">
        <is>
          <t>15</t>
        </is>
      </c>
      <c r="U793" t="inlineStr">
        <is>
          <t>20</t>
        </is>
      </c>
      <c r="V793" t="inlineStr">
        <is>
          <t>20</t>
        </is>
      </c>
      <c r="W793" t="inlineStr">
        <is>
          <t>30</t>
        </is>
      </c>
      <c r="X793" t="inlineStr">
        <is>
          <t>Guild.csv</t>
        </is>
      </c>
    </row>
    <row r="794">
      <c r="A794" t="n">
        <v>793</v>
      </c>
      <c r="B794" t="n">
        <v>257</v>
      </c>
      <c r="C794" t="inlineStr">
        <is>
          <t>Ellington Sands</t>
        </is>
      </c>
      <c r="D794" t="inlineStr">
        <is>
          <t>Ellington Properties</t>
        </is>
      </c>
      <c r="E794" t="inlineStr">
        <is>
          <t>Al Marjan Is. (RAK)</t>
        </is>
      </c>
      <c r="F794" t="inlineStr">
        <is>
          <t>Apartments</t>
        </is>
      </c>
      <c r="G794" t="inlineStr">
        <is>
          <t>Beach / Resort</t>
        </is>
      </c>
      <c r="H794" t="inlineStr">
        <is>
          <t>2.2M</t>
        </is>
      </c>
      <c r="I794" t="inlineStr">
        <is>
          <t>2100</t>
        </is>
      </c>
      <c r="J794" t="inlineStr">
        <is>
          <t>20</t>
        </is>
      </c>
      <c r="K794" t="inlineStr">
        <is>
          <t>60/40</t>
        </is>
      </c>
      <c r="L794" t="inlineStr">
        <is>
          <t>2024</t>
        </is>
      </c>
      <c r="M794" t="inlineStr">
        <is>
          <t>6.5-7.5</t>
        </is>
      </c>
      <c r="N794" t="inlineStr">
        <is>
          <t>10-15</t>
        </is>
      </c>
      <c r="O794" t="inlineStr">
        <is>
          <t>16.5-22.5</t>
        </is>
      </c>
      <c r="P794" t="inlineStr">
        <is>
          <t>RAK Academy</t>
        </is>
      </c>
      <c r="Q794" t="inlineStr">
        <is>
          <t>RAK Hospital</t>
        </is>
      </c>
      <c r="R794" t="inlineStr">
        <is>
          <t>Al Hamra Mall</t>
        </is>
      </c>
      <c r="S794" t="inlineStr">
        <is>
          <t>E11 (RAK)</t>
        </is>
      </c>
      <c r="T794" t="inlineStr">
        <is>
          <t>60+</t>
        </is>
      </c>
      <c r="U794" t="inlineStr">
        <is>
          <t>60+</t>
        </is>
      </c>
      <c r="V794" t="inlineStr">
        <is>
          <t>50</t>
        </is>
      </c>
      <c r="W794" t="inlineStr">
        <is>
          <t>60+</t>
        </is>
      </c>
      <c r="X794" t="inlineStr">
        <is>
          <t>Guild.csv</t>
        </is>
      </c>
    </row>
    <row r="795">
      <c r="A795" t="n">
        <v>794</v>
      </c>
      <c r="B795" t="n">
        <v>258</v>
      </c>
      <c r="C795" t="inlineStr">
        <is>
          <t>One River Point</t>
        </is>
      </c>
      <c r="D795" t="inlineStr">
        <is>
          <t>Ellington Properties</t>
        </is>
      </c>
      <c r="E795" t="inlineStr">
        <is>
          <t>Business Bay</t>
        </is>
      </c>
      <c r="F795" t="inlineStr">
        <is>
          <t>Apartments</t>
        </is>
      </c>
      <c r="G795" t="inlineStr">
        <is>
          <t>Canal / Luxury</t>
        </is>
      </c>
      <c r="H795" t="inlineStr">
        <is>
          <t>2.5M</t>
        </is>
      </c>
      <c r="I795" t="inlineStr">
        <is>
          <t>2500</t>
        </is>
      </c>
      <c r="J795" t="inlineStr">
        <is>
          <t>22</t>
        </is>
      </c>
      <c r="K795" t="inlineStr">
        <is>
          <t>70/30</t>
        </is>
      </c>
      <c r="L795" t="inlineStr">
        <is>
          <t>2023</t>
        </is>
      </c>
      <c r="M795" t="inlineStr">
        <is>
          <t>6.0-6.5</t>
        </is>
      </c>
      <c r="N795" t="inlineStr">
        <is>
          <t>8-10</t>
        </is>
      </c>
      <c r="O795" t="inlineStr">
        <is>
          <t>14.0-16.5</t>
        </is>
      </c>
      <c r="P795" t="inlineStr">
        <is>
          <t>Hartland Intl</t>
        </is>
      </c>
      <c r="Q795" t="inlineStr">
        <is>
          <t>Emirates Hospital BB</t>
        </is>
      </c>
      <c r="R795" t="inlineStr">
        <is>
          <t>Dubai Mall</t>
        </is>
      </c>
      <c r="S795" t="inlineStr">
        <is>
          <t>Al Khail E44</t>
        </is>
      </c>
      <c r="T795" t="inlineStr">
        <is>
          <t>5</t>
        </is>
      </c>
      <c r="U795" t="inlineStr">
        <is>
          <t>20</t>
        </is>
      </c>
      <c r="V795" t="inlineStr">
        <is>
          <t>15</t>
        </is>
      </c>
      <c r="W795" t="inlineStr">
        <is>
          <t>35</t>
        </is>
      </c>
      <c r="X795" t="inlineStr">
        <is>
          <t>Guild.csv</t>
        </is>
      </c>
    </row>
    <row r="796">
      <c r="A796" t="n">
        <v>795</v>
      </c>
      <c r="B796" t="n">
        <v>259</v>
      </c>
      <c r="C796" t="inlineStr">
        <is>
          <t>The Crestmark</t>
        </is>
      </c>
      <c r="D796" t="inlineStr">
        <is>
          <t>Ellington Properties</t>
        </is>
      </c>
      <c r="E796" t="inlineStr">
        <is>
          <t>Business Bay</t>
        </is>
      </c>
      <c r="F796" t="inlineStr">
        <is>
          <t>Apartments</t>
        </is>
      </c>
      <c r="G796" t="inlineStr">
        <is>
          <t>Canal / Design</t>
        </is>
      </c>
      <c r="H796" t="inlineStr">
        <is>
          <t>2.6M</t>
        </is>
      </c>
      <c r="I796" t="inlineStr">
        <is>
          <t>2600</t>
        </is>
      </c>
      <c r="J796" t="inlineStr">
        <is>
          <t>22</t>
        </is>
      </c>
      <c r="K796" t="inlineStr">
        <is>
          <t>70/30</t>
        </is>
      </c>
      <c r="L796" t="inlineStr">
        <is>
          <t>2023</t>
        </is>
      </c>
      <c r="M796" t="inlineStr">
        <is>
          <t>6.0-6.5</t>
        </is>
      </c>
      <c r="N796" t="inlineStr">
        <is>
          <t>8-10</t>
        </is>
      </c>
      <c r="O796" t="inlineStr">
        <is>
          <t>14.0-16.5</t>
        </is>
      </c>
      <c r="P796" t="inlineStr">
        <is>
          <t>Hartland Intl</t>
        </is>
      </c>
      <c r="Q796" t="inlineStr">
        <is>
          <t>Emirates Hospital BB</t>
        </is>
      </c>
      <c r="R796" t="inlineStr">
        <is>
          <t>Dubai Mall</t>
        </is>
      </c>
      <c r="S796" t="inlineStr">
        <is>
          <t>Al Khail E44</t>
        </is>
      </c>
      <c r="T796" t="inlineStr">
        <is>
          <t>5</t>
        </is>
      </c>
      <c r="U796" t="inlineStr">
        <is>
          <t>20</t>
        </is>
      </c>
      <c r="V796" t="inlineStr">
        <is>
          <t>15</t>
        </is>
      </c>
      <c r="W796" t="inlineStr">
        <is>
          <t>35</t>
        </is>
      </c>
      <c r="X796" t="inlineStr">
        <is>
          <t>Guild.csv</t>
        </is>
      </c>
    </row>
    <row r="797">
      <c r="A797" t="n">
        <v>796</v>
      </c>
      <c r="B797" t="n">
        <v>260</v>
      </c>
      <c r="C797" t="inlineStr">
        <is>
          <t>DT1</t>
        </is>
      </c>
      <c r="D797" t="inlineStr">
        <is>
          <t>Ellington Properties</t>
        </is>
      </c>
      <c r="E797" t="inlineStr">
        <is>
          <t>Downtown Dubai</t>
        </is>
      </c>
      <c r="F797" t="inlineStr">
        <is>
          <t>Apartments</t>
        </is>
      </c>
      <c r="G797" t="inlineStr">
        <is>
          <t>Luxury / City</t>
        </is>
      </c>
      <c r="H797" t="inlineStr">
        <is>
          <t>Resale (2.5M+)</t>
        </is>
      </c>
      <c r="I797" t="inlineStr">
        <is>
          <t>2800</t>
        </is>
      </c>
      <c r="J797" t="inlineStr">
        <is>
          <t>25</t>
        </is>
      </c>
      <c r="K797" t="inlineStr">
        <is>
          <t>Completed</t>
        </is>
      </c>
      <c r="L797" t="inlineStr">
        <is>
          <t>2019</t>
        </is>
      </c>
      <c r="M797" t="inlineStr">
        <is>
          <t>6.0-6.5</t>
        </is>
      </c>
      <c r="N797" t="inlineStr">
        <is>
          <t>5-7</t>
        </is>
      </c>
      <c r="O797" t="inlineStr">
        <is>
          <t>11.0-13.5</t>
        </is>
      </c>
      <c r="P797" t="inlineStr">
        <is>
          <t>Hartland Intl</t>
        </is>
      </c>
      <c r="Q797" t="inlineStr">
        <is>
          <t>Mediclinic Dubai Mall</t>
        </is>
      </c>
      <c r="R797" t="inlineStr">
        <is>
          <t>Dubai Mall</t>
        </is>
      </c>
      <c r="S797" t="inlineStr">
        <is>
          <t>Financial Ctr Rd</t>
        </is>
      </c>
      <c r="T797" t="inlineStr">
        <is>
          <t>5</t>
        </is>
      </c>
      <c r="U797" t="inlineStr">
        <is>
          <t>20</t>
        </is>
      </c>
      <c r="V797" t="inlineStr">
        <is>
          <t>15</t>
        </is>
      </c>
      <c r="W797" t="inlineStr">
        <is>
          <t>35</t>
        </is>
      </c>
      <c r="X797" t="inlineStr">
        <is>
          <t>Guild.csv</t>
        </is>
      </c>
    </row>
    <row r="798">
      <c r="A798" t="n">
        <v>797</v>
      </c>
      <c r="B798" t="n">
        <v>261</v>
      </c>
      <c r="C798" t="inlineStr">
        <is>
          <t>Mercer House</t>
        </is>
      </c>
      <c r="D798" t="inlineStr">
        <is>
          <t>Ellington Properties</t>
        </is>
      </c>
      <c r="E798" t="inlineStr">
        <is>
          <t>JLT</t>
        </is>
      </c>
      <c r="F798" t="inlineStr">
        <is>
          <t>Apartments</t>
        </is>
      </c>
      <c r="G798" t="inlineStr">
        <is>
          <t>High-Rise / View</t>
        </is>
      </c>
      <c r="H798" t="inlineStr">
        <is>
          <t>1.8M</t>
        </is>
      </c>
      <c r="I798" t="inlineStr">
        <is>
          <t>2000</t>
        </is>
      </c>
      <c r="J798" t="inlineStr">
        <is>
          <t>20</t>
        </is>
      </c>
      <c r="K798" t="inlineStr">
        <is>
          <t>70/30</t>
        </is>
      </c>
      <c r="L798" t="inlineStr">
        <is>
          <t>2023</t>
        </is>
      </c>
      <c r="M798" t="inlineStr">
        <is>
          <t>6.5-7.0</t>
        </is>
      </c>
      <c r="N798" t="inlineStr">
        <is>
          <t>8-10</t>
        </is>
      </c>
      <c r="O798" t="inlineStr">
        <is>
          <t>14.5-17.0</t>
        </is>
      </c>
      <c r="P798" t="inlineStr">
        <is>
          <t>Emirates Intl School</t>
        </is>
      </c>
      <c r="Q798" t="inlineStr">
        <is>
          <t>Saudi German Hospital</t>
        </is>
      </c>
      <c r="R798" t="inlineStr">
        <is>
          <t>Dubai Marina Mall</t>
        </is>
      </c>
      <c r="S798" t="inlineStr">
        <is>
          <t>Sheikh Zayed E11</t>
        </is>
      </c>
      <c r="T798" t="inlineStr">
        <is>
          <t>20</t>
        </is>
      </c>
      <c r="U798" t="inlineStr">
        <is>
          <t>5</t>
        </is>
      </c>
      <c r="V798" t="inlineStr">
        <is>
          <t>25</t>
        </is>
      </c>
      <c r="W798" t="inlineStr">
        <is>
          <t>30</t>
        </is>
      </c>
      <c r="X798" t="inlineStr">
        <is>
          <t>Guild.csv</t>
        </is>
      </c>
    </row>
    <row r="799">
      <c r="A799" t="n">
        <v>798</v>
      </c>
      <c r="B799" t="n">
        <v>262</v>
      </c>
      <c r="C799" t="inlineStr">
        <is>
          <t>Upper House</t>
        </is>
      </c>
      <c r="D799" t="inlineStr">
        <is>
          <t>Ellington Properties</t>
        </is>
      </c>
      <c r="E799" t="inlineStr">
        <is>
          <t>JLT</t>
        </is>
      </c>
      <c r="F799" t="inlineStr">
        <is>
          <t>Apartments</t>
        </is>
      </c>
      <c r="G799" t="inlineStr">
        <is>
          <t>High-Rise / View</t>
        </is>
      </c>
      <c r="H799" t="inlineStr">
        <is>
          <t>1.6M</t>
        </is>
      </c>
      <c r="I799" t="inlineStr">
        <is>
          <t>1900</t>
        </is>
      </c>
      <c r="J799" t="inlineStr">
        <is>
          <t>20</t>
        </is>
      </c>
      <c r="K799" t="inlineStr">
        <is>
          <t>70/30</t>
        </is>
      </c>
      <c r="L799" t="inlineStr">
        <is>
          <t>2023</t>
        </is>
      </c>
      <c r="M799" t="inlineStr">
        <is>
          <t>6.5-7.0</t>
        </is>
      </c>
      <c r="N799" t="inlineStr">
        <is>
          <t>8-10</t>
        </is>
      </c>
      <c r="O799" t="inlineStr">
        <is>
          <t>14.5-17.0</t>
        </is>
      </c>
      <c r="P799" t="inlineStr">
        <is>
          <t>Emirates Intl School</t>
        </is>
      </c>
      <c r="Q799" t="inlineStr">
        <is>
          <t>Saudi German Hospital</t>
        </is>
      </c>
      <c r="R799" t="inlineStr">
        <is>
          <t>Dubai Marina Mall</t>
        </is>
      </c>
      <c r="S799" t="inlineStr">
        <is>
          <t>Sheikh Zayed E11</t>
        </is>
      </c>
      <c r="T799" t="inlineStr">
        <is>
          <t>20</t>
        </is>
      </c>
      <c r="U799" t="inlineStr">
        <is>
          <t>5</t>
        </is>
      </c>
      <c r="V799" t="inlineStr">
        <is>
          <t>25</t>
        </is>
      </c>
      <c r="W799" t="inlineStr">
        <is>
          <t>30</t>
        </is>
      </c>
      <c r="X799" t="inlineStr">
        <is>
          <t>Guild.csv</t>
        </is>
      </c>
    </row>
    <row r="800">
      <c r="A800" t="n">
        <v>799</v>
      </c>
      <c r="B800" t="n">
        <v>263</v>
      </c>
      <c r="C800" t="inlineStr">
        <is>
          <t>Ocean House</t>
        </is>
      </c>
      <c r="D800" t="inlineStr">
        <is>
          <t>Ellington Properties</t>
        </is>
      </c>
      <c r="E800" t="inlineStr">
        <is>
          <t>Palm Jumeirah</t>
        </is>
      </c>
      <c r="F800" t="inlineStr">
        <is>
          <t>Apartments</t>
        </is>
      </c>
      <c r="G800" t="inlineStr">
        <is>
          <t>Luxury / Beach</t>
        </is>
      </c>
      <c r="H800" t="inlineStr">
        <is>
          <t>8.0M+</t>
        </is>
      </c>
      <c r="I800" t="inlineStr">
        <is>
          <t>4000</t>
        </is>
      </c>
      <c r="J800" t="inlineStr">
        <is>
          <t>30</t>
        </is>
      </c>
      <c r="K800" t="inlineStr">
        <is>
          <t>60/40</t>
        </is>
      </c>
      <c r="L800" t="inlineStr">
        <is>
          <t>2022</t>
        </is>
      </c>
      <c r="M800" t="inlineStr">
        <is>
          <t>4.5-5.0</t>
        </is>
      </c>
      <c r="N800" t="inlineStr">
        <is>
          <t>8-12</t>
        </is>
      </c>
      <c r="O800" t="inlineStr">
        <is>
          <t>12.5-17.0</t>
        </is>
      </c>
      <c r="P800" t="inlineStr">
        <is>
          <t>Chevalier College</t>
        </is>
      </c>
      <c r="Q800" t="inlineStr">
        <is>
          <t>Emirates Hospital</t>
        </is>
      </c>
      <c r="R800" t="inlineStr">
        <is>
          <t>Nakheel Mall</t>
        </is>
      </c>
      <c r="S800" t="inlineStr">
        <is>
          <t>Sheikh Zayed E11</t>
        </is>
      </c>
      <c r="T800" t="inlineStr">
        <is>
          <t>20</t>
        </is>
      </c>
      <c r="U800" t="inlineStr">
        <is>
          <t>10</t>
        </is>
      </c>
      <c r="V800" t="inlineStr">
        <is>
          <t>25</t>
        </is>
      </c>
      <c r="W800" t="inlineStr">
        <is>
          <t>35</t>
        </is>
      </c>
      <c r="X800" t="inlineStr">
        <is>
          <t>Guild.csv</t>
        </is>
      </c>
    </row>
    <row r="801">
      <c r="A801" t="n">
        <v>800</v>
      </c>
      <c r="B801" t="n">
        <v>264</v>
      </c>
      <c r="C801" t="inlineStr">
        <is>
          <t>Ellington Beach House</t>
        </is>
      </c>
      <c r="D801" t="inlineStr">
        <is>
          <t>Ellington Properties</t>
        </is>
      </c>
      <c r="E801" t="inlineStr">
        <is>
          <t>Palm Jumeirah</t>
        </is>
      </c>
      <c r="F801" t="inlineStr">
        <is>
          <t>Apartments</t>
        </is>
      </c>
      <c r="G801" t="inlineStr">
        <is>
          <t>Luxury / Beach</t>
        </is>
      </c>
      <c r="H801" t="inlineStr">
        <is>
          <t>7.5M+</t>
        </is>
      </c>
      <c r="I801" t="inlineStr">
        <is>
          <t>3800</t>
        </is>
      </c>
      <c r="J801" t="inlineStr">
        <is>
          <t>30</t>
        </is>
      </c>
      <c r="K801" t="inlineStr">
        <is>
          <t>60/40</t>
        </is>
      </c>
      <c r="L801" t="inlineStr">
        <is>
          <t>2022</t>
        </is>
      </c>
      <c r="M801" t="inlineStr">
        <is>
          <t>4.5-5.0</t>
        </is>
      </c>
      <c r="N801" t="inlineStr">
        <is>
          <t>8-12</t>
        </is>
      </c>
      <c r="O801" t="inlineStr">
        <is>
          <t>12.5-17.0</t>
        </is>
      </c>
      <c r="P801" t="inlineStr">
        <is>
          <t>Chevalier College</t>
        </is>
      </c>
      <c r="Q801" t="inlineStr">
        <is>
          <t>Emirates Hospital</t>
        </is>
      </c>
      <c r="R801" t="inlineStr">
        <is>
          <t>Nakheel Mall</t>
        </is>
      </c>
      <c r="S801" t="inlineStr">
        <is>
          <t>Sheikh Zayed E11</t>
        </is>
      </c>
      <c r="T801" t="inlineStr">
        <is>
          <t>20</t>
        </is>
      </c>
      <c r="U801" t="inlineStr">
        <is>
          <t>10</t>
        </is>
      </c>
      <c r="V801" t="inlineStr">
        <is>
          <t>25</t>
        </is>
      </c>
      <c r="W801" t="inlineStr">
        <is>
          <t>35</t>
        </is>
      </c>
      <c r="X801" t="inlineStr">
        <is>
          <t>Guild.csv</t>
        </is>
      </c>
    </row>
    <row r="802">
      <c r="A802" t="n">
        <v>801</v>
      </c>
      <c r="B802" t="n">
        <v>265</v>
      </c>
      <c r="C802" t="inlineStr">
        <is>
          <t>The Sloane</t>
        </is>
      </c>
      <c r="D802" t="inlineStr">
        <is>
          <t>Ellington Properties</t>
        </is>
      </c>
      <c r="E802" t="inlineStr">
        <is>
          <t>JVC</t>
        </is>
      </c>
      <c r="F802" t="inlineStr">
        <is>
          <t>Apartments</t>
        </is>
      </c>
      <c r="G802" t="inlineStr">
        <is>
          <t>Boutique / Design</t>
        </is>
      </c>
      <c r="H802" t="inlineStr">
        <is>
          <t>Resale (1.2M+)</t>
        </is>
      </c>
      <c r="I802" t="inlineStr">
        <is>
          <t>1400</t>
        </is>
      </c>
      <c r="J802" t="inlineStr">
        <is>
          <t>15</t>
        </is>
      </c>
      <c r="K802" t="inlineStr">
        <is>
          <t>Completed</t>
        </is>
      </c>
      <c r="L802" t="inlineStr">
        <is>
          <t>2022</t>
        </is>
      </c>
      <c r="M802" t="inlineStr">
        <is>
          <t>7.0-7.5</t>
        </is>
      </c>
      <c r="N802" t="inlineStr">
        <is>
          <t>6-8</t>
        </is>
      </c>
      <c r="O802" t="inlineStr">
        <is>
          <t>13.0-15.5</t>
        </is>
      </c>
      <c r="P802" t="inlineStr">
        <is>
          <t>JSS International</t>
        </is>
      </c>
      <c r="Q802" t="inlineStr">
        <is>
          <t>Saudi German Hospital</t>
        </is>
      </c>
      <c r="R802" t="inlineStr">
        <is>
          <t>Circle Mall</t>
        </is>
      </c>
      <c r="S802" t="inlineStr">
        <is>
          <t>Hessa St / E44</t>
        </is>
      </c>
      <c r="T802" t="inlineStr">
        <is>
          <t>20</t>
        </is>
      </c>
      <c r="U802" t="inlineStr">
        <is>
          <t>15</t>
        </is>
      </c>
      <c r="V802" t="inlineStr">
        <is>
          <t>25</t>
        </is>
      </c>
      <c r="W802" t="inlineStr">
        <is>
          <t>30</t>
        </is>
      </c>
      <c r="X802" t="inlineStr">
        <is>
          <t>Guild.csv</t>
        </is>
      </c>
    </row>
    <row r="803">
      <c r="A803" t="n">
        <v>802</v>
      </c>
      <c r="B803" t="n">
        <v>266</v>
      </c>
      <c r="C803" t="inlineStr">
        <is>
          <t>Belgravia 1</t>
        </is>
      </c>
      <c r="D803" t="inlineStr">
        <is>
          <t>Ellington Properties</t>
        </is>
      </c>
      <c r="E803" t="inlineStr">
        <is>
          <t>JVC</t>
        </is>
      </c>
      <c r="F803" t="inlineStr">
        <is>
          <t>Apartments</t>
        </is>
      </c>
      <c r="G803" t="inlineStr">
        <is>
          <t>Boutique / Family</t>
        </is>
      </c>
      <c r="H803" t="inlineStr">
        <is>
          <t>Resale (1.1M+)</t>
        </is>
      </c>
      <c r="I803" t="inlineStr">
        <is>
          <t>1300</t>
        </is>
      </c>
      <c r="J803" t="inlineStr">
        <is>
          <t>15</t>
        </is>
      </c>
      <c r="K803" t="inlineStr">
        <is>
          <t>Completed</t>
        </is>
      </c>
      <c r="L803" t="inlineStr">
        <is>
          <t>2016</t>
        </is>
      </c>
      <c r="M803" t="inlineStr">
        <is>
          <t>7.5-8.0</t>
        </is>
      </c>
      <c r="N803" t="inlineStr">
        <is>
          <t>5-7</t>
        </is>
      </c>
      <c r="O803" t="inlineStr">
        <is>
          <t>12.5-15.0</t>
        </is>
      </c>
      <c r="P803" t="inlineStr">
        <is>
          <t>JSS International</t>
        </is>
      </c>
      <c r="Q803" t="inlineStr">
        <is>
          <t>Saudi German Hospital</t>
        </is>
      </c>
      <c r="R803" t="inlineStr">
        <is>
          <t>Circle Mall</t>
        </is>
      </c>
      <c r="S803" t="inlineStr">
        <is>
          <t>Hessa St / E44</t>
        </is>
      </c>
      <c r="T803" t="inlineStr">
        <is>
          <t>20</t>
        </is>
      </c>
      <c r="U803" t="inlineStr">
        <is>
          <t>15</t>
        </is>
      </c>
      <c r="V803" t="inlineStr">
        <is>
          <t>25</t>
        </is>
      </c>
      <c r="W803" t="inlineStr">
        <is>
          <t>30</t>
        </is>
      </c>
      <c r="X803" t="inlineStr">
        <is>
          <t>Guild.csv</t>
        </is>
      </c>
    </row>
    <row r="804">
      <c r="A804" t="n">
        <v>803</v>
      </c>
      <c r="B804" t="n">
        <v>267</v>
      </c>
      <c r="C804" t="inlineStr">
        <is>
          <t>Belgravia 2</t>
        </is>
      </c>
      <c r="D804" t="inlineStr">
        <is>
          <t>Ellington Properties</t>
        </is>
      </c>
      <c r="E804" t="inlineStr">
        <is>
          <t>JVC</t>
        </is>
      </c>
      <c r="F804" t="inlineStr">
        <is>
          <t>Apartments</t>
        </is>
      </c>
      <c r="G804" t="inlineStr">
        <is>
          <t>Boutique / Family</t>
        </is>
      </c>
      <c r="H804" t="inlineStr">
        <is>
          <t>Resale (1.1M+)</t>
        </is>
      </c>
      <c r="I804" t="inlineStr">
        <is>
          <t>1300</t>
        </is>
      </c>
      <c r="J804" t="inlineStr">
        <is>
          <t>15</t>
        </is>
      </c>
      <c r="K804" t="inlineStr">
        <is>
          <t>Completed</t>
        </is>
      </c>
      <c r="L804" t="inlineStr">
        <is>
          <t>2018</t>
        </is>
      </c>
      <c r="M804" t="inlineStr">
        <is>
          <t>7.5-8.0</t>
        </is>
      </c>
      <c r="N804" t="inlineStr">
        <is>
          <t>5-7</t>
        </is>
      </c>
      <c r="O804" t="inlineStr">
        <is>
          <t>12.5-15.0</t>
        </is>
      </c>
      <c r="P804" t="inlineStr">
        <is>
          <t>JSS International</t>
        </is>
      </c>
      <c r="Q804" t="inlineStr">
        <is>
          <t>Saudi German Hospital</t>
        </is>
      </c>
      <c r="R804" t="inlineStr">
        <is>
          <t>Circle Mall</t>
        </is>
      </c>
      <c r="S804" t="inlineStr">
        <is>
          <t>Hessa St / E44</t>
        </is>
      </c>
      <c r="T804" t="inlineStr">
        <is>
          <t>20</t>
        </is>
      </c>
      <c r="U804" t="inlineStr">
        <is>
          <t>15</t>
        </is>
      </c>
      <c r="V804" t="inlineStr">
        <is>
          <t>25</t>
        </is>
      </c>
      <c r="W804" t="inlineStr">
        <is>
          <t>30</t>
        </is>
      </c>
      <c r="X804" t="inlineStr">
        <is>
          <t>Guild.csv</t>
        </is>
      </c>
    </row>
    <row r="805">
      <c r="A805" t="n">
        <v>804</v>
      </c>
      <c r="B805" t="n">
        <v>268</v>
      </c>
      <c r="C805" t="inlineStr">
        <is>
          <t>Belgravia 3</t>
        </is>
      </c>
      <c r="D805" t="inlineStr">
        <is>
          <t>Ellington Properties</t>
        </is>
      </c>
      <c r="E805" t="inlineStr">
        <is>
          <t>JVC</t>
        </is>
      </c>
      <c r="F805" t="inlineStr">
        <is>
          <t>Apartments</t>
        </is>
      </c>
      <c r="G805" t="inlineStr">
        <is>
          <t>Boutique / Family</t>
        </is>
      </c>
      <c r="H805" t="inlineStr">
        <is>
          <t>Resale (1.1M+)</t>
        </is>
      </c>
      <c r="I805" t="inlineStr">
        <is>
          <t>1300</t>
        </is>
      </c>
      <c r="J805" t="inlineStr">
        <is>
          <t>15</t>
        </is>
      </c>
      <c r="K805" t="inlineStr">
        <is>
          <t>Completed</t>
        </is>
      </c>
      <c r="L805" t="inlineStr">
        <is>
          <t>2020</t>
        </is>
      </c>
      <c r="M805" t="inlineStr">
        <is>
          <t>7.5-8.0</t>
        </is>
      </c>
      <c r="N805" t="inlineStr">
        <is>
          <t>5-7</t>
        </is>
      </c>
      <c r="O805" t="inlineStr">
        <is>
          <t>12.5-15.0</t>
        </is>
      </c>
      <c r="P805" t="inlineStr">
        <is>
          <t>JSS International</t>
        </is>
      </c>
      <c r="Q805" t="inlineStr">
        <is>
          <t>Saudi German Hospital</t>
        </is>
      </c>
      <c r="R805" t="inlineStr">
        <is>
          <t>Circle Mall</t>
        </is>
      </c>
      <c r="S805" t="inlineStr">
        <is>
          <t>Hessa St / E44</t>
        </is>
      </c>
      <c r="T805" t="inlineStr">
        <is>
          <t>20</t>
        </is>
      </c>
      <c r="U805" t="inlineStr">
        <is>
          <t>15</t>
        </is>
      </c>
      <c r="V805" t="inlineStr">
        <is>
          <t>25</t>
        </is>
      </c>
      <c r="W805" t="inlineStr">
        <is>
          <t>30</t>
        </is>
      </c>
      <c r="X805" t="inlineStr">
        <is>
          <t>Guild.csv</t>
        </is>
      </c>
    </row>
    <row r="806">
      <c r="A806" t="n">
        <v>805</v>
      </c>
      <c r="B806" t="n">
        <v>269</v>
      </c>
      <c r="C806" t="inlineStr">
        <is>
          <t>Belgravia Square</t>
        </is>
      </c>
      <c r="D806" t="inlineStr">
        <is>
          <t>Ellington Properties</t>
        </is>
      </c>
      <c r="E806" t="inlineStr">
        <is>
          <t>JVC</t>
        </is>
      </c>
      <c r="F806" t="inlineStr">
        <is>
          <t>Apartments</t>
        </is>
      </c>
      <c r="G806" t="inlineStr">
        <is>
          <t>Boutique / Design</t>
        </is>
      </c>
      <c r="H806" t="inlineStr">
        <is>
          <t>Resale (1.2M+)</t>
        </is>
      </c>
      <c r="I806" t="inlineStr">
        <is>
          <t>1350</t>
        </is>
      </c>
      <c r="J806" t="inlineStr">
        <is>
          <t>15</t>
        </is>
      </c>
      <c r="K806" t="inlineStr">
        <is>
          <t>Completed</t>
        </is>
      </c>
      <c r="L806" t="inlineStr">
        <is>
          <t>2021</t>
        </is>
      </c>
      <c r="M806" t="inlineStr">
        <is>
          <t>7.5-8.0</t>
        </is>
      </c>
      <c r="N806" t="inlineStr">
        <is>
          <t>5-7</t>
        </is>
      </c>
      <c r="O806" t="inlineStr">
        <is>
          <t>12.5-15.0</t>
        </is>
      </c>
      <c r="P806" t="inlineStr">
        <is>
          <t>JSS International</t>
        </is>
      </c>
      <c r="Q806" t="inlineStr">
        <is>
          <t>Saudi German Hospital</t>
        </is>
      </c>
      <c r="R806" t="inlineStr">
        <is>
          <t>Circle Mall</t>
        </is>
      </c>
      <c r="S806" t="inlineStr">
        <is>
          <t>Hessa St / E44</t>
        </is>
      </c>
      <c r="T806" t="inlineStr">
        <is>
          <t>20</t>
        </is>
      </c>
      <c r="U806" t="inlineStr">
        <is>
          <t>15</t>
        </is>
      </c>
      <c r="V806" t="inlineStr">
        <is>
          <t>25</t>
        </is>
      </c>
      <c r="W806" t="inlineStr">
        <is>
          <t>30</t>
        </is>
      </c>
      <c r="X806" t="inlineStr">
        <is>
          <t>Guild.csv</t>
        </is>
      </c>
    </row>
    <row r="807">
      <c r="A807" t="n">
        <v>806</v>
      </c>
      <c r="B807" t="n">
        <v>270</v>
      </c>
      <c r="C807" t="inlineStr">
        <is>
          <t>Belgravia Heights</t>
        </is>
      </c>
      <c r="D807" t="inlineStr">
        <is>
          <t>Ellington Properties</t>
        </is>
      </c>
      <c r="E807" t="inlineStr">
        <is>
          <t>JVC</t>
        </is>
      </c>
      <c r="F807" t="inlineStr">
        <is>
          <t>Apartments</t>
        </is>
      </c>
      <c r="G807" t="inlineStr">
        <is>
          <t>Boutique / View</t>
        </is>
      </c>
      <c r="H807" t="inlineStr">
        <is>
          <t>Resale (1.2M+)</t>
        </is>
      </c>
      <c r="I807" t="inlineStr">
        <is>
          <t>1350</t>
        </is>
      </c>
      <c r="J807" t="inlineStr">
        <is>
          <t>15</t>
        </is>
      </c>
      <c r="K807" t="inlineStr">
        <is>
          <t>Completed</t>
        </is>
      </c>
      <c r="L807" t="inlineStr">
        <is>
          <t>2021</t>
        </is>
      </c>
      <c r="M807" t="inlineStr">
        <is>
          <t>7.5-8.0</t>
        </is>
      </c>
      <c r="N807" t="inlineStr">
        <is>
          <t>5-7</t>
        </is>
      </c>
      <c r="O807" t="inlineStr">
        <is>
          <t>12.5-15.0</t>
        </is>
      </c>
      <c r="P807" t="inlineStr">
        <is>
          <t>JSS International</t>
        </is>
      </c>
      <c r="Q807" t="inlineStr">
        <is>
          <t>Saudi German Hospital</t>
        </is>
      </c>
      <c r="R807" t="inlineStr">
        <is>
          <t>Circle Mall</t>
        </is>
      </c>
      <c r="S807" t="inlineStr">
        <is>
          <t>Hessa St / E44</t>
        </is>
      </c>
      <c r="T807" t="inlineStr">
        <is>
          <t>20</t>
        </is>
      </c>
      <c r="U807" t="inlineStr">
        <is>
          <t>15</t>
        </is>
      </c>
      <c r="V807" t="inlineStr">
        <is>
          <t>25</t>
        </is>
      </c>
      <c r="W807" t="inlineStr">
        <is>
          <t>30</t>
        </is>
      </c>
      <c r="X807" t="inlineStr">
        <is>
          <t>Guild.csv</t>
        </is>
      </c>
    </row>
    <row r="808">
      <c r="A808" t="n">
        <v>807</v>
      </c>
      <c r="B808" t="n">
        <v>271</v>
      </c>
      <c r="C808" t="inlineStr">
        <is>
          <t>Oakley Square</t>
        </is>
      </c>
      <c r="D808" t="inlineStr">
        <is>
          <t>Ellington Properties</t>
        </is>
      </c>
      <c r="E808" t="inlineStr">
        <is>
          <t>JVC</t>
        </is>
      </c>
      <c r="F808" t="inlineStr">
        <is>
          <t>Apartments</t>
        </is>
      </c>
      <c r="G808" t="inlineStr">
        <is>
          <t>Boutique / Park</t>
        </is>
      </c>
      <c r="H808" t="inlineStr">
        <is>
          <t>1.0M</t>
        </is>
      </c>
      <c r="I808" t="inlineStr">
        <is>
          <t>1400</t>
        </is>
      </c>
      <c r="J808" t="inlineStr">
        <is>
          <t>15</t>
        </is>
      </c>
      <c r="K808" t="inlineStr">
        <is>
          <t>70/30</t>
        </is>
      </c>
      <c r="L808" t="inlineStr">
        <is>
          <t>2022</t>
        </is>
      </c>
      <c r="M808" t="inlineStr">
        <is>
          <t>7.5-8.0</t>
        </is>
      </c>
      <c r="N808" t="inlineStr">
        <is>
          <t>6-8</t>
        </is>
      </c>
      <c r="O808" t="inlineStr">
        <is>
          <t>13.5-16.0</t>
        </is>
      </c>
      <c r="P808" t="inlineStr">
        <is>
          <t>JSS International</t>
        </is>
      </c>
      <c r="Q808" t="inlineStr">
        <is>
          <t>Saudi German Hospital</t>
        </is>
      </c>
      <c r="R808" t="inlineStr">
        <is>
          <t>Circle Mall</t>
        </is>
      </c>
      <c r="S808" t="inlineStr">
        <is>
          <t>Hessa St / E44</t>
        </is>
      </c>
      <c r="T808" t="inlineStr">
        <is>
          <t>20</t>
        </is>
      </c>
      <c r="U808" t="inlineStr">
        <is>
          <t>15</t>
        </is>
      </c>
      <c r="V808" t="inlineStr">
        <is>
          <t>25</t>
        </is>
      </c>
      <c r="W808" t="inlineStr">
        <is>
          <t>30</t>
        </is>
      </c>
      <c r="X808" t="inlineStr">
        <is>
          <t>Guild.csv</t>
        </is>
      </c>
    </row>
    <row r="809">
      <c r="A809" t="n">
        <v>808</v>
      </c>
      <c r="B809" t="n">
        <v>272</v>
      </c>
      <c r="C809" t="inlineStr">
        <is>
          <t>Hamilton House</t>
        </is>
      </c>
      <c r="D809" t="inlineStr">
        <is>
          <t>Ellington Properties</t>
        </is>
      </c>
      <c r="E809" t="inlineStr">
        <is>
          <t>JVC</t>
        </is>
      </c>
      <c r="F809" t="inlineStr">
        <is>
          <t>Apartments</t>
        </is>
      </c>
      <c r="G809" t="inlineStr">
        <is>
          <t>Boutique / Design</t>
        </is>
      </c>
      <c r="H809" t="inlineStr">
        <is>
          <t>1.1M</t>
        </is>
      </c>
      <c r="I809" t="inlineStr">
        <is>
          <t>1450</t>
        </is>
      </c>
      <c r="J809" t="inlineStr">
        <is>
          <t>15</t>
        </is>
      </c>
      <c r="K809" t="inlineStr">
        <is>
          <t>70/30</t>
        </is>
      </c>
      <c r="L809" t="inlineStr">
        <is>
          <t>2022</t>
        </is>
      </c>
      <c r="M809" t="inlineStr">
        <is>
          <t>7.5-8.0</t>
        </is>
      </c>
      <c r="N809" t="inlineStr">
        <is>
          <t>6-8</t>
        </is>
      </c>
      <c r="O809" t="inlineStr">
        <is>
          <t>13.5-16.0</t>
        </is>
      </c>
      <c r="P809" t="inlineStr">
        <is>
          <t>JSS International</t>
        </is>
      </c>
      <c r="Q809" t="inlineStr">
        <is>
          <t>Saudi German Hospital</t>
        </is>
      </c>
      <c r="R809" t="inlineStr">
        <is>
          <t>Circle Mall</t>
        </is>
      </c>
      <c r="S809" t="inlineStr">
        <is>
          <t>Hessa St / E44</t>
        </is>
      </c>
      <c r="T809" t="inlineStr">
        <is>
          <t>20</t>
        </is>
      </c>
      <c r="U809" t="inlineStr">
        <is>
          <t>15</t>
        </is>
      </c>
      <c r="V809" t="inlineStr">
        <is>
          <t>25</t>
        </is>
      </c>
      <c r="W809" t="inlineStr">
        <is>
          <t>30</t>
        </is>
      </c>
      <c r="X809" t="inlineStr">
        <is>
          <t>Guild.csv</t>
        </is>
      </c>
    </row>
    <row r="810">
      <c r="A810" t="n">
        <v>809</v>
      </c>
      <c r="B810" t="n">
        <v>273</v>
      </c>
      <c r="C810" t="inlineStr">
        <is>
          <t>The Portman</t>
        </is>
      </c>
      <c r="D810" t="inlineStr">
        <is>
          <t>Ellington Properties</t>
        </is>
      </c>
      <c r="E810" t="inlineStr">
        <is>
          <t>JVC</t>
        </is>
      </c>
      <c r="F810" t="inlineStr">
        <is>
          <t>Apartments</t>
        </is>
      </c>
      <c r="G810" t="inlineStr">
        <is>
          <t>Boutique / Design</t>
        </is>
      </c>
      <c r="H810" t="inlineStr">
        <is>
          <t>1.1M</t>
        </is>
      </c>
      <c r="I810" t="inlineStr">
        <is>
          <t>1450</t>
        </is>
      </c>
      <c r="J810" t="inlineStr">
        <is>
          <t>15</t>
        </is>
      </c>
      <c r="K810" t="inlineStr">
        <is>
          <t>70/30</t>
        </is>
      </c>
      <c r="L810" t="inlineStr">
        <is>
          <t>2022</t>
        </is>
      </c>
      <c r="M810" t="inlineStr">
        <is>
          <t>7.5-8.0</t>
        </is>
      </c>
      <c r="N810" t="inlineStr">
        <is>
          <t>6-8</t>
        </is>
      </c>
      <c r="O810" t="inlineStr">
        <is>
          <t>13.5-16.0</t>
        </is>
      </c>
      <c r="P810" t="inlineStr">
        <is>
          <t>JSS International</t>
        </is>
      </c>
      <c r="Q810" t="inlineStr">
        <is>
          <t>Saudi German Hospital</t>
        </is>
      </c>
      <c r="R810" t="inlineStr">
        <is>
          <t>Circle Mall</t>
        </is>
      </c>
      <c r="S810" t="inlineStr">
        <is>
          <t>Hessa St / E44</t>
        </is>
      </c>
      <c r="T810" t="inlineStr">
        <is>
          <t>20</t>
        </is>
      </c>
      <c r="U810" t="inlineStr">
        <is>
          <t>15</t>
        </is>
      </c>
      <c r="V810" t="inlineStr">
        <is>
          <t>25</t>
        </is>
      </c>
      <c r="W810" t="inlineStr">
        <is>
          <t>30</t>
        </is>
      </c>
      <c r="X810" t="inlineStr">
        <is>
          <t>Guild.csv</t>
        </is>
      </c>
    </row>
    <row r="811">
      <c r="A811" t="n">
        <v>810</v>
      </c>
      <c r="B811" t="n">
        <v>274</v>
      </c>
      <c r="C811" t="inlineStr">
        <is>
          <t>Arbor View</t>
        </is>
      </c>
      <c r="D811" t="inlineStr">
        <is>
          <t>Ellington Properties</t>
        </is>
      </c>
      <c r="E811" t="inlineStr">
        <is>
          <t>Arjan</t>
        </is>
      </c>
      <c r="F811" t="inlineStr">
        <is>
          <t>Apartments</t>
        </is>
      </c>
      <c r="G811" t="inlineStr">
        <is>
          <t>Green / Family</t>
        </is>
      </c>
      <c r="H811" t="inlineStr">
        <is>
          <t>1.2M</t>
        </is>
      </c>
      <c r="I811" t="inlineStr">
        <is>
          <t>1300</t>
        </is>
      </c>
      <c r="J811" t="inlineStr">
        <is>
          <t>15</t>
        </is>
      </c>
      <c r="K811" t="inlineStr">
        <is>
          <t>70/30</t>
        </is>
      </c>
      <c r="L811" t="inlineStr">
        <is>
          <t>2023</t>
        </is>
      </c>
      <c r="M811" t="inlineStr">
        <is>
          <t>7.0-7.5</t>
        </is>
      </c>
      <c r="N811" t="inlineStr">
        <is>
          <t>7-9</t>
        </is>
      </c>
      <c r="O811" t="inlineStr">
        <is>
          <t>14.0-16.5</t>
        </is>
      </c>
      <c r="P811" t="inlineStr">
        <is>
          <t>Nord Anglia</t>
        </is>
      </c>
      <c r="Q811" t="inlineStr">
        <is>
          <t>Mediclinic Parkview</t>
        </is>
      </c>
      <c r="R811" t="inlineStr">
        <is>
          <t>Dubai Hills Mall</t>
        </is>
      </c>
      <c r="S811" t="inlineStr">
        <is>
          <t>Umm Suqeim / E311</t>
        </is>
      </c>
      <c r="T811" t="inlineStr">
        <is>
          <t>20</t>
        </is>
      </c>
      <c r="U811" t="inlineStr">
        <is>
          <t>20</t>
        </is>
      </c>
      <c r="V811" t="inlineStr">
        <is>
          <t>30</t>
        </is>
      </c>
      <c r="W811" t="inlineStr">
        <is>
          <t>25</t>
        </is>
      </c>
      <c r="X811" t="inlineStr">
        <is>
          <t>Guild.csv</t>
        </is>
      </c>
    </row>
    <row r="812">
      <c r="A812" t="n">
        <v>811</v>
      </c>
      <c r="B812" t="n">
        <v>275</v>
      </c>
      <c r="C812" t="inlineStr">
        <is>
          <t>Art Bay</t>
        </is>
      </c>
      <c r="D812" t="inlineStr">
        <is>
          <t>Ellington Properties</t>
        </is>
      </c>
      <c r="E812" t="inlineStr">
        <is>
          <t>Jaddaf Waterfront</t>
        </is>
      </c>
      <c r="F812" t="inlineStr">
        <is>
          <t>Apartments</t>
        </is>
      </c>
      <c r="G812" t="inlineStr">
        <is>
          <t>Art / Creek</t>
        </is>
      </c>
      <c r="H812" t="inlineStr">
        <is>
          <t>1.6M</t>
        </is>
      </c>
      <c r="I812" t="inlineStr">
        <is>
          <t>1800</t>
        </is>
      </c>
      <c r="J812" t="inlineStr">
        <is>
          <t>18</t>
        </is>
      </c>
      <c r="K812" t="inlineStr">
        <is>
          <t>70/30</t>
        </is>
      </c>
      <c r="L812" t="inlineStr">
        <is>
          <t>2024</t>
        </is>
      </c>
      <c r="M812" t="inlineStr">
        <is>
          <t>6.0-6.5</t>
        </is>
      </c>
      <c r="N812" t="inlineStr">
        <is>
          <t>8-10</t>
        </is>
      </c>
      <c r="O812" t="inlineStr">
        <is>
          <t>14.0-16.5</t>
        </is>
      </c>
      <c r="P812" t="inlineStr">
        <is>
          <t>Swiss Intl School</t>
        </is>
      </c>
      <c r="Q812" t="inlineStr">
        <is>
          <t>American Hospital</t>
        </is>
      </c>
      <c r="R812" t="inlineStr">
        <is>
          <t>Dubai Festival City</t>
        </is>
      </c>
      <c r="S812" t="inlineStr">
        <is>
          <t>Al Khail E44</t>
        </is>
      </c>
      <c r="T812" t="inlineStr">
        <is>
          <t>10</t>
        </is>
      </c>
      <c r="U812" t="inlineStr">
        <is>
          <t>25</t>
        </is>
      </c>
      <c r="V812" t="inlineStr">
        <is>
          <t>10</t>
        </is>
      </c>
      <c r="W812" t="inlineStr">
        <is>
          <t>40</t>
        </is>
      </c>
      <c r="X812" t="inlineStr">
        <is>
          <t>Guild.csv</t>
        </is>
      </c>
    </row>
    <row r="813">
      <c r="A813" t="n">
        <v>812</v>
      </c>
      <c r="B813" t="n">
        <v>276</v>
      </c>
      <c r="C813" t="inlineStr">
        <is>
          <t>Six Senses Residences Dubai Marina</t>
        </is>
      </c>
      <c r="D813" t="inlineStr">
        <is>
          <t>Select Group</t>
        </is>
      </c>
      <c r="E813" t="inlineStr">
        <is>
          <t>Dubai Marina</t>
        </is>
      </c>
      <c r="F813" t="inlineStr">
        <is>
          <t>Branded Apts</t>
        </is>
      </c>
      <c r="G813" t="inlineStr">
        <is>
          <t>Ultra-Luxury / Wellness</t>
        </is>
      </c>
      <c r="H813" t="inlineStr">
        <is>
          <t>5.8M</t>
        </is>
      </c>
      <c r="I813" t="inlineStr">
        <is>
          <t>4500</t>
        </is>
      </c>
      <c r="J813" t="inlineStr">
        <is>
          <t>40+</t>
        </is>
      </c>
      <c r="K813" t="inlineStr">
        <is>
          <t>60/40</t>
        </is>
      </c>
      <c r="L813" t="inlineStr">
        <is>
          <t>2024</t>
        </is>
      </c>
      <c r="M813" t="inlineStr">
        <is>
          <t>4.5-5.0</t>
        </is>
      </c>
      <c r="N813" t="inlineStr">
        <is>
          <t>10-12</t>
        </is>
      </c>
      <c r="O813" t="inlineStr">
        <is>
          <t>14.5-17.0</t>
        </is>
      </c>
      <c r="P813" t="inlineStr">
        <is>
          <t>American Univ. Dubai</t>
        </is>
      </c>
      <c r="Q813" t="inlineStr">
        <is>
          <t>Saudi German Hospital</t>
        </is>
      </c>
      <c r="R813" t="inlineStr">
        <is>
          <t>Dubai Marina Mall</t>
        </is>
      </c>
      <c r="S813" t="inlineStr">
        <is>
          <t>Sheikh Zayed E11</t>
        </is>
      </c>
      <c r="T813" t="inlineStr">
        <is>
          <t>20</t>
        </is>
      </c>
      <c r="U813" t="inlineStr">
        <is>
          <t>2</t>
        </is>
      </c>
      <c r="V813" t="inlineStr">
        <is>
          <t>25</t>
        </is>
      </c>
      <c r="W813" t="inlineStr">
        <is>
          <t>30</t>
        </is>
      </c>
      <c r="X813" t="inlineStr">
        <is>
          <t>Guild.csv</t>
        </is>
      </c>
    </row>
    <row r="814">
      <c r="A814" t="n">
        <v>813</v>
      </c>
      <c r="B814" t="n">
        <v>277</v>
      </c>
      <c r="C814" t="inlineStr">
        <is>
          <t>Marina Gate 1</t>
        </is>
      </c>
      <c r="D814" t="inlineStr">
        <is>
          <t>Select Group</t>
        </is>
      </c>
      <c r="E814" t="inlineStr">
        <is>
          <t>Dubai Marina</t>
        </is>
      </c>
      <c r="F814" t="inlineStr">
        <is>
          <t>Apartments</t>
        </is>
      </c>
      <c r="G814" t="inlineStr">
        <is>
          <t>Marina / Prime</t>
        </is>
      </c>
      <c r="H814" t="inlineStr">
        <is>
          <t>Resale (2.5M+)</t>
        </is>
      </c>
      <c r="I814" t="inlineStr">
        <is>
          <t>2200</t>
        </is>
      </c>
      <c r="J814" t="inlineStr">
        <is>
          <t>25</t>
        </is>
      </c>
      <c r="K814" t="inlineStr">
        <is>
          <t>Completed</t>
        </is>
      </c>
      <c r="L814" t="inlineStr">
        <is>
          <t>2016</t>
        </is>
      </c>
      <c r="M814" t="inlineStr">
        <is>
          <t>6.0-6.5</t>
        </is>
      </c>
      <c r="N814" t="inlineStr">
        <is>
          <t>5-7</t>
        </is>
      </c>
      <c r="O814" t="inlineStr">
        <is>
          <t>11.0-13.5</t>
        </is>
      </c>
      <c r="P814" t="inlineStr">
        <is>
          <t>American Univ. Dubai</t>
        </is>
      </c>
      <c r="Q814" t="inlineStr">
        <is>
          <t>Saudi German Hospital</t>
        </is>
      </c>
      <c r="R814" t="inlineStr">
        <is>
          <t>Dubai Marina Mall</t>
        </is>
      </c>
      <c r="S814" t="inlineStr">
        <is>
          <t>Sheikh Zayed E11</t>
        </is>
      </c>
      <c r="T814" t="inlineStr">
        <is>
          <t>20</t>
        </is>
      </c>
      <c r="U814" t="inlineStr">
        <is>
          <t>2</t>
        </is>
      </c>
      <c r="V814" t="inlineStr">
        <is>
          <t>25</t>
        </is>
      </c>
      <c r="W814" t="inlineStr">
        <is>
          <t>30</t>
        </is>
      </c>
      <c r="X814" t="inlineStr">
        <is>
          <t>Guild.csv</t>
        </is>
      </c>
    </row>
    <row r="815">
      <c r="A815" t="n">
        <v>814</v>
      </c>
      <c r="B815" t="n">
        <v>278</v>
      </c>
      <c r="C815" t="inlineStr">
        <is>
          <t>Marina Gate 2</t>
        </is>
      </c>
      <c r="D815" t="inlineStr">
        <is>
          <t>Select Group</t>
        </is>
      </c>
      <c r="E815" t="inlineStr">
        <is>
          <t>Dubai Marina</t>
        </is>
      </c>
      <c r="F815" t="inlineStr">
        <is>
          <t>Apartments</t>
        </is>
      </c>
      <c r="G815" t="inlineStr">
        <is>
          <t>Marina / Prime</t>
        </is>
      </c>
      <c r="H815" t="inlineStr">
        <is>
          <t>Resale (2.5M+)</t>
        </is>
      </c>
      <c r="I815" t="inlineStr">
        <is>
          <t>2200</t>
        </is>
      </c>
      <c r="J815" t="inlineStr">
        <is>
          <t>25</t>
        </is>
      </c>
      <c r="K815" t="inlineStr">
        <is>
          <t>Completed</t>
        </is>
      </c>
      <c r="L815" t="inlineStr">
        <is>
          <t>2018</t>
        </is>
      </c>
      <c r="M815" t="inlineStr">
        <is>
          <t>6.0-6.5</t>
        </is>
      </c>
      <c r="N815" t="inlineStr">
        <is>
          <t>5-7</t>
        </is>
      </c>
      <c r="O815" t="inlineStr">
        <is>
          <t>11.0-13.5</t>
        </is>
      </c>
      <c r="P815" t="inlineStr">
        <is>
          <t>American Univ. Dubai</t>
        </is>
      </c>
      <c r="Q815" t="inlineStr">
        <is>
          <t>Saudi German Hospital</t>
        </is>
      </c>
      <c r="R815" t="inlineStr">
        <is>
          <t>Dubai Marina Mall</t>
        </is>
      </c>
      <c r="S815" t="inlineStr">
        <is>
          <t>Sheikh Zayed E11</t>
        </is>
      </c>
      <c r="T815" t="inlineStr">
        <is>
          <t>20</t>
        </is>
      </c>
      <c r="U815" t="inlineStr">
        <is>
          <t>2</t>
        </is>
      </c>
      <c r="V815" t="inlineStr">
        <is>
          <t>25</t>
        </is>
      </c>
      <c r="W815" t="inlineStr">
        <is>
          <t>30</t>
        </is>
      </c>
      <c r="X815" t="inlineStr">
        <is>
          <t>Guild.csv</t>
        </is>
      </c>
    </row>
    <row r="816">
      <c r="A816" t="n">
        <v>815</v>
      </c>
      <c r="B816" t="n">
        <v>279</v>
      </c>
      <c r="C816" t="inlineStr">
        <is>
          <t>Jumeirah Living Marina Gate</t>
        </is>
      </c>
      <c r="D816" t="inlineStr">
        <is>
          <t>Select Group</t>
        </is>
      </c>
      <c r="E816" t="inlineStr">
        <is>
          <t>Dubai Marina</t>
        </is>
      </c>
      <c r="F816" t="inlineStr">
        <is>
          <t>Branded Apts</t>
        </is>
      </c>
      <c r="G816" t="inlineStr">
        <is>
          <t>Luxury / Service</t>
        </is>
      </c>
      <c r="H816" t="inlineStr">
        <is>
          <t>Resale (3.5M+)</t>
        </is>
      </c>
      <c r="I816" t="inlineStr">
        <is>
          <t>3000</t>
        </is>
      </c>
      <c r="J816" t="inlineStr">
        <is>
          <t>30</t>
        </is>
      </c>
      <c r="K816" t="inlineStr">
        <is>
          <t>Completed</t>
        </is>
      </c>
      <c r="L816" t="inlineStr">
        <is>
          <t>2020</t>
        </is>
      </c>
      <c r="M816" t="inlineStr">
        <is>
          <t>5.5-6.0</t>
        </is>
      </c>
      <c r="N816" t="inlineStr">
        <is>
          <t>5-7</t>
        </is>
      </c>
      <c r="O816" t="inlineStr">
        <is>
          <t>10.5-13.0</t>
        </is>
      </c>
      <c r="P816" t="inlineStr">
        <is>
          <t>American Univ. Dubai</t>
        </is>
      </c>
      <c r="Q816" t="inlineStr">
        <is>
          <t>Saudi German Hospital</t>
        </is>
      </c>
      <c r="R816" t="inlineStr">
        <is>
          <t>Dubai Marina Mall</t>
        </is>
      </c>
      <c r="S816" t="inlineStr">
        <is>
          <t>Sheikh Zayed E11</t>
        </is>
      </c>
      <c r="T816" t="inlineStr">
        <is>
          <t>20</t>
        </is>
      </c>
      <c r="U816" t="inlineStr">
        <is>
          <t>2</t>
        </is>
      </c>
      <c r="V816" t="inlineStr">
        <is>
          <t>25</t>
        </is>
      </c>
      <c r="W816" t="inlineStr">
        <is>
          <t>30</t>
        </is>
      </c>
      <c r="X816" t="inlineStr">
        <is>
          <t>Guild.csv</t>
        </is>
      </c>
    </row>
    <row r="817">
      <c r="A817" t="n">
        <v>816</v>
      </c>
      <c r="B817" t="n">
        <v>280</v>
      </c>
      <c r="C817" t="inlineStr">
        <is>
          <t>Studio One</t>
        </is>
      </c>
      <c r="D817" t="inlineStr">
        <is>
          <t>Select Group</t>
        </is>
      </c>
      <c r="E817" t="inlineStr">
        <is>
          <t>Dubai Marina</t>
        </is>
      </c>
      <c r="F817" t="inlineStr">
        <is>
          <t>Apartments</t>
        </is>
      </c>
      <c r="G817" t="inlineStr">
        <is>
          <t>Studio/1Bed Focus</t>
        </is>
      </c>
      <c r="H817" t="inlineStr">
        <is>
          <t>Resale (1.1M+)</t>
        </is>
      </c>
      <c r="I817" t="inlineStr">
        <is>
          <t>1800</t>
        </is>
      </c>
      <c r="J817" t="inlineStr">
        <is>
          <t>20</t>
        </is>
      </c>
      <c r="K817" t="inlineStr">
        <is>
          <t>Completed</t>
        </is>
      </c>
      <c r="L817" t="inlineStr">
        <is>
          <t>2019</t>
        </is>
      </c>
      <c r="M817" t="inlineStr">
        <is>
          <t>6.5-7.5</t>
        </is>
      </c>
      <c r="N817" t="inlineStr">
        <is>
          <t>5-7</t>
        </is>
      </c>
      <c r="O817" t="inlineStr">
        <is>
          <t>11.5-14.5</t>
        </is>
      </c>
      <c r="P817" t="inlineStr">
        <is>
          <t>American Univ. Dubai</t>
        </is>
      </c>
      <c r="Q817" t="inlineStr">
        <is>
          <t>Saudi German Hospital</t>
        </is>
      </c>
      <c r="R817" t="inlineStr">
        <is>
          <t>Dubai Marina Mall</t>
        </is>
      </c>
      <c r="S817" t="inlineStr">
        <is>
          <t>Sheikh Zayed E11</t>
        </is>
      </c>
      <c r="T817" t="inlineStr">
        <is>
          <t>20</t>
        </is>
      </c>
      <c r="U817" t="inlineStr">
        <is>
          <t>2</t>
        </is>
      </c>
      <c r="V817" t="inlineStr">
        <is>
          <t>25</t>
        </is>
      </c>
      <c r="W817" t="inlineStr">
        <is>
          <t>30</t>
        </is>
      </c>
      <c r="X817" t="inlineStr">
        <is>
          <t>Guild.csv</t>
        </is>
      </c>
    </row>
    <row r="818">
      <c r="A818" t="n">
        <v>817</v>
      </c>
      <c r="B818" t="n">
        <v>281</v>
      </c>
      <c r="C818" t="inlineStr">
        <is>
          <t>The Torch</t>
        </is>
      </c>
      <c r="D818" t="inlineStr">
        <is>
          <t>Select Group</t>
        </is>
      </c>
      <c r="E818" t="inlineStr">
        <is>
          <t>Dubai Marina</t>
        </is>
      </c>
      <c r="F818" t="inlineStr">
        <is>
          <t>Apartments</t>
        </is>
      </c>
      <c r="G818" t="inlineStr">
        <is>
          <t>High-Rise</t>
        </is>
      </c>
      <c r="H818" t="inlineStr">
        <is>
          <t>Resale</t>
        </is>
      </c>
      <c r="I818" t="inlineStr">
        <is>
          <t>1400</t>
        </is>
      </c>
      <c r="J818" t="inlineStr">
        <is>
          <t>20</t>
        </is>
      </c>
      <c r="K818" t="inlineStr">
        <is>
          <t>Completed</t>
        </is>
      </c>
      <c r="L818" t="inlineStr">
        <is>
          <t>2011</t>
        </is>
      </c>
      <c r="M818" t="inlineStr">
        <is>
          <t>7.0-7.5</t>
        </is>
      </c>
      <c r="N818" t="inlineStr">
        <is>
          <t>4-6</t>
        </is>
      </c>
      <c r="O818" t="inlineStr">
        <is>
          <t>11.0-13.5</t>
        </is>
      </c>
      <c r="P818" t="inlineStr">
        <is>
          <t>American Univ. Dubai</t>
        </is>
      </c>
      <c r="Q818" t="inlineStr">
        <is>
          <t>Saudi German Hospital</t>
        </is>
      </c>
      <c r="R818" t="inlineStr">
        <is>
          <t>Dubai Marina Mall</t>
        </is>
      </c>
      <c r="S818" t="inlineStr">
        <is>
          <t>Sheikh Zayed E11</t>
        </is>
      </c>
      <c r="T818" t="inlineStr">
        <is>
          <t>20</t>
        </is>
      </c>
      <c r="U818" t="inlineStr">
        <is>
          <t>2</t>
        </is>
      </c>
      <c r="V818" t="inlineStr">
        <is>
          <t>25</t>
        </is>
      </c>
      <c r="W818" t="inlineStr">
        <is>
          <t>30</t>
        </is>
      </c>
      <c r="X818" t="inlineStr">
        <is>
          <t>Guild.csv</t>
        </is>
      </c>
    </row>
    <row r="819">
      <c r="A819" t="n">
        <v>818</v>
      </c>
      <c r="B819" t="n">
        <v>282</v>
      </c>
      <c r="C819" t="inlineStr">
        <is>
          <t>No.9</t>
        </is>
      </c>
      <c r="D819" t="inlineStr">
        <is>
          <t>Select Group</t>
        </is>
      </c>
      <c r="E819" t="inlineStr">
        <is>
          <t>Dubai Marina</t>
        </is>
      </c>
      <c r="F819" t="inlineStr">
        <is>
          <t>Apartments</t>
        </is>
      </c>
      <c r="G819" t="inlineStr">
        <is>
          <t>Waterfront</t>
        </is>
      </c>
      <c r="H819" t="inlineStr">
        <is>
          <t>Resale</t>
        </is>
      </c>
      <c r="I819" t="inlineStr">
        <is>
          <t>1600</t>
        </is>
      </c>
      <c r="J819" t="inlineStr">
        <is>
          <t>20</t>
        </is>
      </c>
      <c r="K819" t="inlineStr">
        <is>
          <t>Completed</t>
        </is>
      </c>
      <c r="L819" t="inlineStr">
        <is>
          <t>2018</t>
        </is>
      </c>
      <c r="M819" t="inlineStr">
        <is>
          <t>6.5-7.0</t>
        </is>
      </c>
      <c r="N819" t="inlineStr">
        <is>
          <t>5-7</t>
        </is>
      </c>
      <c r="O819" t="inlineStr">
        <is>
          <t>11.5-14.0</t>
        </is>
      </c>
      <c r="P819" t="inlineStr">
        <is>
          <t>American Univ. Dubai</t>
        </is>
      </c>
      <c r="Q819" t="inlineStr">
        <is>
          <t>Saudi German Hospital</t>
        </is>
      </c>
      <c r="R819" t="inlineStr">
        <is>
          <t>Dubai Marina Mall</t>
        </is>
      </c>
      <c r="S819" t="inlineStr">
        <is>
          <t>Sheikh Zayed E11</t>
        </is>
      </c>
      <c r="T819" t="inlineStr">
        <is>
          <t>20</t>
        </is>
      </c>
      <c r="U819" t="inlineStr">
        <is>
          <t>2</t>
        </is>
      </c>
      <c r="V819" t="inlineStr">
        <is>
          <t>25</t>
        </is>
      </c>
      <c r="W819" t="inlineStr">
        <is>
          <t>30</t>
        </is>
      </c>
      <c r="X819" t="inlineStr">
        <is>
          <t>Guild.csv</t>
        </is>
      </c>
    </row>
    <row r="820">
      <c r="A820" t="n">
        <v>819</v>
      </c>
      <c r="B820" t="n">
        <v>283</v>
      </c>
      <c r="C820" t="inlineStr">
        <is>
          <t>Botanica</t>
        </is>
      </c>
      <c r="D820" t="inlineStr">
        <is>
          <t>Select Group</t>
        </is>
      </c>
      <c r="E820" t="inlineStr">
        <is>
          <t>Dubai Marina</t>
        </is>
      </c>
      <c r="F820" t="inlineStr">
        <is>
          <t>Apartments</t>
        </is>
      </c>
      <c r="G820" t="inlineStr">
        <is>
          <t>Green / Tower</t>
        </is>
      </c>
      <c r="H820" t="inlineStr">
        <is>
          <t>Resale</t>
        </is>
      </c>
      <c r="I820" t="inlineStr">
        <is>
          <t>1500</t>
        </is>
      </c>
      <c r="J820" t="inlineStr">
        <is>
          <t>20</t>
        </is>
      </c>
      <c r="K820" t="inlineStr">
        <is>
          <t>Completed</t>
        </is>
      </c>
      <c r="L820" t="inlineStr">
        <is>
          <t>2011</t>
        </is>
      </c>
      <c r="M820" t="inlineStr">
        <is>
          <t>6.5-7.0</t>
        </is>
      </c>
      <c r="N820" t="inlineStr">
        <is>
          <t>4-6</t>
        </is>
      </c>
      <c r="O820" t="inlineStr">
        <is>
          <t>10.5-13.0</t>
        </is>
      </c>
      <c r="P820" t="inlineStr">
        <is>
          <t>American Univ. Dubai</t>
        </is>
      </c>
      <c r="Q820" t="inlineStr">
        <is>
          <t>Saudi German Hospital</t>
        </is>
      </c>
      <c r="R820" t="inlineStr">
        <is>
          <t>Dubai Marina Mall</t>
        </is>
      </c>
      <c r="S820" t="inlineStr">
        <is>
          <t>Sheikh Zayed E11</t>
        </is>
      </c>
      <c r="T820" t="inlineStr">
        <is>
          <t>20</t>
        </is>
      </c>
      <c r="U820" t="inlineStr">
        <is>
          <t>2</t>
        </is>
      </c>
      <c r="V820" t="inlineStr">
        <is>
          <t>25</t>
        </is>
      </c>
      <c r="W820" t="inlineStr">
        <is>
          <t>30</t>
        </is>
      </c>
      <c r="X820" t="inlineStr">
        <is>
          <t>Guild.csv</t>
        </is>
      </c>
    </row>
    <row r="821">
      <c r="A821" t="n">
        <v>820</v>
      </c>
      <c r="B821" t="n">
        <v>284</v>
      </c>
      <c r="C821" t="inlineStr">
        <is>
          <t>Six Senses Residences The Palm</t>
        </is>
      </c>
      <c r="D821" t="inlineStr">
        <is>
          <t>Select Group</t>
        </is>
      </c>
      <c r="E821" t="inlineStr">
        <is>
          <t>Palm Jumeirah</t>
        </is>
      </c>
      <c r="F821" t="inlineStr">
        <is>
          <t>Branded Villas/Apts</t>
        </is>
      </c>
      <c r="G821" t="inlineStr">
        <is>
          <t>Ultra-Luxury / Wellness</t>
        </is>
      </c>
      <c r="H821" t="inlineStr">
        <is>
          <t>25M+</t>
        </is>
      </c>
      <c r="I821" t="inlineStr">
        <is>
          <t>5000</t>
        </is>
      </c>
      <c r="J821" t="inlineStr">
        <is>
          <t>40+</t>
        </is>
      </c>
      <c r="K821" t="inlineStr">
        <is>
          <t>60/40</t>
        </is>
      </c>
      <c r="L821" t="inlineStr">
        <is>
          <t>2022</t>
        </is>
      </c>
      <c r="M821" t="inlineStr">
        <is>
          <t>3.5-4.0</t>
        </is>
      </c>
      <c r="N821" t="inlineStr">
        <is>
          <t>8-12</t>
        </is>
      </c>
      <c r="O821" t="inlineStr">
        <is>
          <t>11.5-16.0</t>
        </is>
      </c>
      <c r="P821" t="inlineStr">
        <is>
          <t>Chevalier College</t>
        </is>
      </c>
      <c r="Q821" t="inlineStr">
        <is>
          <t>Emirates Hospital</t>
        </is>
      </c>
      <c r="R821" t="inlineStr">
        <is>
          <t>Nakheel Mall</t>
        </is>
      </c>
      <c r="S821" t="inlineStr">
        <is>
          <t>Sheikh Zayed E11</t>
        </is>
      </c>
      <c r="T821" t="inlineStr">
        <is>
          <t>20</t>
        </is>
      </c>
      <c r="U821" t="inlineStr">
        <is>
          <t>10</t>
        </is>
      </c>
      <c r="V821" t="inlineStr">
        <is>
          <t>25</t>
        </is>
      </c>
      <c r="W821" t="inlineStr">
        <is>
          <t>35</t>
        </is>
      </c>
      <c r="X821" t="inlineStr">
        <is>
          <t>Guild.csv</t>
        </is>
      </c>
    </row>
    <row r="822">
      <c r="A822" t="n">
        <v>821</v>
      </c>
      <c r="B822" t="n">
        <v>285</v>
      </c>
      <c r="C822" t="inlineStr">
        <is>
          <t>Peninsula One</t>
        </is>
      </c>
      <c r="D822" t="inlineStr">
        <is>
          <t>Select Group</t>
        </is>
      </c>
      <c r="E822" t="inlineStr">
        <is>
          <t>Business Bay</t>
        </is>
      </c>
      <c r="F822" t="inlineStr">
        <is>
          <t>Apartments</t>
        </is>
      </c>
      <c r="G822" t="inlineStr">
        <is>
          <t>Canal / City</t>
        </is>
      </c>
      <c r="H822" t="inlineStr">
        <is>
          <t>1.8M</t>
        </is>
      </c>
      <c r="I822" t="inlineStr">
        <is>
          <t>2000</t>
        </is>
      </c>
      <c r="J822" t="inlineStr">
        <is>
          <t>22</t>
        </is>
      </c>
      <c r="K822" t="inlineStr">
        <is>
          <t>60/40</t>
        </is>
      </c>
      <c r="L822" t="inlineStr">
        <is>
          <t>2021</t>
        </is>
      </c>
      <c r="M822" t="inlineStr">
        <is>
          <t>6.5-7.0</t>
        </is>
      </c>
      <c r="N822" t="inlineStr">
        <is>
          <t>6-8</t>
        </is>
      </c>
      <c r="O822" t="inlineStr">
        <is>
          <t>12.5-15.0</t>
        </is>
      </c>
      <c r="P822" t="inlineStr">
        <is>
          <t>Hartland Intl</t>
        </is>
      </c>
      <c r="Q822" t="inlineStr">
        <is>
          <t>Emirates Hospital BB</t>
        </is>
      </c>
      <c r="R822" t="inlineStr">
        <is>
          <t>Dubai Mall</t>
        </is>
      </c>
      <c r="S822" t="inlineStr">
        <is>
          <t>Al Khail E44</t>
        </is>
      </c>
      <c r="T822" t="inlineStr">
        <is>
          <t>5</t>
        </is>
      </c>
      <c r="U822" t="inlineStr">
        <is>
          <t>20</t>
        </is>
      </c>
      <c r="V822" t="inlineStr">
        <is>
          <t>15</t>
        </is>
      </c>
      <c r="W822" t="inlineStr">
        <is>
          <t>35</t>
        </is>
      </c>
      <c r="X822" t="inlineStr">
        <is>
          <t>Guild.csv</t>
        </is>
      </c>
    </row>
    <row r="823">
      <c r="A823" t="n">
        <v>822</v>
      </c>
      <c r="B823" t="n">
        <v>286</v>
      </c>
      <c r="C823" t="inlineStr">
        <is>
          <t>Peninsula Two</t>
        </is>
      </c>
      <c r="D823" t="inlineStr">
        <is>
          <t>Select Group</t>
        </is>
      </c>
      <c r="E823" t="inlineStr">
        <is>
          <t>Business Bay</t>
        </is>
      </c>
      <c r="F823" t="inlineStr">
        <is>
          <t>Apartments</t>
        </is>
      </c>
      <c r="G823" t="inlineStr">
        <is>
          <t>Canal / City</t>
        </is>
      </c>
      <c r="H823" t="inlineStr">
        <is>
          <t>1.8M</t>
        </is>
      </c>
      <c r="I823" t="inlineStr">
        <is>
          <t>2000</t>
        </is>
      </c>
      <c r="J823" t="inlineStr">
        <is>
          <t>22</t>
        </is>
      </c>
      <c r="K823" t="inlineStr">
        <is>
          <t>60/40</t>
        </is>
      </c>
      <c r="L823" t="inlineStr">
        <is>
          <t>2021</t>
        </is>
      </c>
      <c r="M823" t="inlineStr">
        <is>
          <t>6.5-7.0</t>
        </is>
      </c>
      <c r="N823" t="inlineStr">
        <is>
          <t>6-8</t>
        </is>
      </c>
      <c r="O823" t="inlineStr">
        <is>
          <t>12.5-15.0</t>
        </is>
      </c>
      <c r="P823" t="inlineStr">
        <is>
          <t>Hartland Intl</t>
        </is>
      </c>
      <c r="Q823" t="inlineStr">
        <is>
          <t>Emirates Hospital BB</t>
        </is>
      </c>
      <c r="R823" t="inlineStr">
        <is>
          <t>Dubai Mall</t>
        </is>
      </c>
      <c r="S823" t="inlineStr">
        <is>
          <t>Al Khail E44</t>
        </is>
      </c>
      <c r="T823" t="inlineStr">
        <is>
          <t>5</t>
        </is>
      </c>
      <c r="U823" t="inlineStr">
        <is>
          <t>20</t>
        </is>
      </c>
      <c r="V823" t="inlineStr">
        <is>
          <t>15</t>
        </is>
      </c>
      <c r="W823" t="inlineStr">
        <is>
          <t>35</t>
        </is>
      </c>
      <c r="X823" t="inlineStr">
        <is>
          <t>Guild.csv</t>
        </is>
      </c>
    </row>
    <row r="824">
      <c r="A824" t="n">
        <v>823</v>
      </c>
      <c r="B824" t="n">
        <v>287</v>
      </c>
      <c r="C824" t="inlineStr">
        <is>
          <t>Peninsula Three</t>
        </is>
      </c>
      <c r="D824" t="inlineStr">
        <is>
          <t>Select Group</t>
        </is>
      </c>
      <c r="E824" t="inlineStr">
        <is>
          <t>Business Bay</t>
        </is>
      </c>
      <c r="F824" t="inlineStr">
        <is>
          <t>Apartments</t>
        </is>
      </c>
      <c r="G824" t="inlineStr">
        <is>
          <t>Canal / City</t>
        </is>
      </c>
      <c r="H824" t="inlineStr">
        <is>
          <t>1.9M</t>
        </is>
      </c>
      <c r="I824" t="inlineStr">
        <is>
          <t>2100</t>
        </is>
      </c>
      <c r="J824" t="inlineStr">
        <is>
          <t>22</t>
        </is>
      </c>
      <c r="K824" t="inlineStr">
        <is>
          <t>60/40</t>
        </is>
      </c>
      <c r="L824" t="inlineStr">
        <is>
          <t>2022</t>
        </is>
      </c>
      <c r="M824" t="inlineStr">
        <is>
          <t>6.5-7.0</t>
        </is>
      </c>
      <c r="N824" t="inlineStr">
        <is>
          <t>6-8</t>
        </is>
      </c>
      <c r="O824" t="inlineStr">
        <is>
          <t>12.5-15.0</t>
        </is>
      </c>
      <c r="P824" t="inlineStr">
        <is>
          <t>Hartland Intl</t>
        </is>
      </c>
      <c r="Q824" t="inlineStr">
        <is>
          <t>Emirates Hospital BB</t>
        </is>
      </c>
      <c r="R824" t="inlineStr">
        <is>
          <t>Dubai Mall</t>
        </is>
      </c>
      <c r="S824" t="inlineStr">
        <is>
          <t>Al Khail E44</t>
        </is>
      </c>
      <c r="T824" t="inlineStr">
        <is>
          <t>5</t>
        </is>
      </c>
      <c r="U824" t="inlineStr">
        <is>
          <t>20</t>
        </is>
      </c>
      <c r="V824" t="inlineStr">
        <is>
          <t>15</t>
        </is>
      </c>
      <c r="W824" t="inlineStr">
        <is>
          <t>35</t>
        </is>
      </c>
      <c r="X824" t="inlineStr">
        <is>
          <t>Guild.csv</t>
        </is>
      </c>
    </row>
    <row r="825">
      <c r="A825" t="n">
        <v>824</v>
      </c>
      <c r="B825" t="n">
        <v>288</v>
      </c>
      <c r="C825" t="inlineStr">
        <is>
          <t>Peninsula Four (The Plaza)</t>
        </is>
      </c>
      <c r="D825" t="inlineStr">
        <is>
          <t>Select Group</t>
        </is>
      </c>
      <c r="E825" t="inlineStr">
        <is>
          <t>Business Bay</t>
        </is>
      </c>
      <c r="F825" t="inlineStr">
        <is>
          <t>Apartments</t>
        </is>
      </c>
      <c r="G825" t="inlineStr">
        <is>
          <t>Canal / Luxury</t>
        </is>
      </c>
      <c r="H825" t="inlineStr">
        <is>
          <t>2.2M</t>
        </is>
      </c>
      <c r="I825" t="inlineStr">
        <is>
          <t>2300</t>
        </is>
      </c>
      <c r="J825" t="inlineStr">
        <is>
          <t>22</t>
        </is>
      </c>
      <c r="K825" t="inlineStr">
        <is>
          <t>60/40</t>
        </is>
      </c>
      <c r="L825" t="inlineStr">
        <is>
          <t>2022</t>
        </is>
      </c>
      <c r="M825" t="inlineStr">
        <is>
          <t>6.0-6.5</t>
        </is>
      </c>
      <c r="N825" t="inlineStr">
        <is>
          <t>7-9</t>
        </is>
      </c>
      <c r="O825" t="inlineStr">
        <is>
          <t>13.0-15.5</t>
        </is>
      </c>
      <c r="P825" t="inlineStr">
        <is>
          <t>Hartland Intl</t>
        </is>
      </c>
      <c r="Q825" t="inlineStr">
        <is>
          <t>Emirates Hospital BB</t>
        </is>
      </c>
      <c r="R825" t="inlineStr">
        <is>
          <t>Dubai Mall</t>
        </is>
      </c>
      <c r="S825" t="inlineStr">
        <is>
          <t>Al Khail E44</t>
        </is>
      </c>
      <c r="T825" t="inlineStr">
        <is>
          <t>5</t>
        </is>
      </c>
      <c r="U825" t="inlineStr">
        <is>
          <t>20</t>
        </is>
      </c>
      <c r="V825" t="inlineStr">
        <is>
          <t>15</t>
        </is>
      </c>
      <c r="W825" t="inlineStr">
        <is>
          <t>35</t>
        </is>
      </c>
      <c r="X825" t="inlineStr">
        <is>
          <t>Guild.csv</t>
        </is>
      </c>
    </row>
    <row r="826">
      <c r="A826" t="n">
        <v>825</v>
      </c>
      <c r="B826" t="n">
        <v>289</v>
      </c>
      <c r="C826" t="inlineStr">
        <is>
          <t>Peninsula Five</t>
        </is>
      </c>
      <c r="D826" t="inlineStr">
        <is>
          <t>Select Group</t>
        </is>
      </c>
      <c r="E826" t="inlineStr">
        <is>
          <t>Business Bay</t>
        </is>
      </c>
      <c r="F826" t="inlineStr">
        <is>
          <t>Apartments</t>
        </is>
      </c>
      <c r="G826" t="inlineStr">
        <is>
          <t>Canal / Premium</t>
        </is>
      </c>
      <c r="H826" t="inlineStr">
        <is>
          <t>2.4M</t>
        </is>
      </c>
      <c r="I826" t="inlineStr">
        <is>
          <t>2400</t>
        </is>
      </c>
      <c r="J826" t="inlineStr">
        <is>
          <t>22</t>
        </is>
      </c>
      <c r="K826" t="inlineStr">
        <is>
          <t>60/40</t>
        </is>
      </c>
      <c r="L826" t="inlineStr">
        <is>
          <t>2022</t>
        </is>
      </c>
      <c r="M826" t="inlineStr">
        <is>
          <t>6.0-6.5</t>
        </is>
      </c>
      <c r="N826" t="inlineStr">
        <is>
          <t>7-9</t>
        </is>
      </c>
      <c r="O826" t="inlineStr">
        <is>
          <t>13.0-15.5</t>
        </is>
      </c>
      <c r="P826" t="inlineStr">
        <is>
          <t>Hartland Intl</t>
        </is>
      </c>
      <c r="Q826" t="inlineStr">
        <is>
          <t>Emirates Hospital BB</t>
        </is>
      </c>
      <c r="R826" t="inlineStr">
        <is>
          <t>Dubai Mall</t>
        </is>
      </c>
      <c r="S826" t="inlineStr">
        <is>
          <t>Al Khail E44</t>
        </is>
      </c>
      <c r="T826" t="inlineStr">
        <is>
          <t>5</t>
        </is>
      </c>
      <c r="U826" t="inlineStr">
        <is>
          <t>20</t>
        </is>
      </c>
      <c r="V826" t="inlineStr">
        <is>
          <t>15</t>
        </is>
      </c>
      <c r="W826" t="inlineStr">
        <is>
          <t>35</t>
        </is>
      </c>
      <c r="X826" t="inlineStr">
        <is>
          <t>Guild.csv</t>
        </is>
      </c>
    </row>
    <row r="827">
      <c r="A827" t="n">
        <v>826</v>
      </c>
      <c r="B827" t="n">
        <v>290</v>
      </c>
      <c r="C827" t="inlineStr">
        <is>
          <t>Jumeirah Living Business Bay</t>
        </is>
      </c>
      <c r="D827" t="inlineStr">
        <is>
          <t>Select Group</t>
        </is>
      </c>
      <c r="E827" t="inlineStr">
        <is>
          <t>Business Bay</t>
        </is>
      </c>
      <c r="F827" t="inlineStr">
        <is>
          <t>Branded Apts</t>
        </is>
      </c>
      <c r="G827" t="inlineStr">
        <is>
          <t>Luxury / Service</t>
        </is>
      </c>
      <c r="H827" t="inlineStr">
        <is>
          <t>3.5M</t>
        </is>
      </c>
      <c r="I827" t="inlineStr">
        <is>
          <t>3000</t>
        </is>
      </c>
      <c r="J827" t="inlineStr">
        <is>
          <t>30</t>
        </is>
      </c>
      <c r="K827" t="inlineStr">
        <is>
          <t>60/40</t>
        </is>
      </c>
      <c r="L827" t="inlineStr">
        <is>
          <t>2022</t>
        </is>
      </c>
      <c r="M827" t="inlineStr">
        <is>
          <t>5.0-5.5</t>
        </is>
      </c>
      <c r="N827" t="inlineStr">
        <is>
          <t>7-9</t>
        </is>
      </c>
      <c r="O827" t="inlineStr">
        <is>
          <t>12.0-14.5</t>
        </is>
      </c>
      <c r="P827" t="inlineStr">
        <is>
          <t>Hartland Intl</t>
        </is>
      </c>
      <c r="Q827" t="inlineStr">
        <is>
          <t>Emirates Hospital BB</t>
        </is>
      </c>
      <c r="R827" t="inlineStr">
        <is>
          <t>Dubai Mall</t>
        </is>
      </c>
      <c r="S827" t="inlineStr">
        <is>
          <t>Al Khail E44</t>
        </is>
      </c>
      <c r="T827" t="inlineStr">
        <is>
          <t>5</t>
        </is>
      </c>
      <c r="U827" t="inlineStr">
        <is>
          <t>20</t>
        </is>
      </c>
      <c r="V827" t="inlineStr">
        <is>
          <t>15</t>
        </is>
      </c>
      <c r="W827" t="inlineStr">
        <is>
          <t>35</t>
        </is>
      </c>
      <c r="X827" t="inlineStr">
        <is>
          <t>Guild.csv</t>
        </is>
      </c>
    </row>
    <row r="828">
      <c r="A828" t="n">
        <v>827</v>
      </c>
      <c r="B828" t="n">
        <v>291</v>
      </c>
      <c r="C828" t="inlineStr">
        <is>
          <t>Nautica One</t>
        </is>
      </c>
      <c r="D828" t="inlineStr">
        <is>
          <t>Select Group</t>
        </is>
      </c>
      <c r="E828" t="inlineStr">
        <is>
          <t>Dubai Maritime City</t>
        </is>
      </c>
      <c r="F828" t="inlineStr">
        <is>
          <t>Apartments</t>
        </is>
      </c>
      <c r="G828" t="inlineStr">
        <is>
          <t>Sea View / Tower</t>
        </is>
      </c>
      <c r="H828" t="inlineStr">
        <is>
          <t>1.6M</t>
        </is>
      </c>
      <c r="I828" t="inlineStr">
        <is>
          <t>1900</t>
        </is>
      </c>
      <c r="J828" t="inlineStr">
        <is>
          <t>20</t>
        </is>
      </c>
      <c r="K828" t="inlineStr">
        <is>
          <t>60/40</t>
        </is>
      </c>
      <c r="L828" t="inlineStr">
        <is>
          <t>2023</t>
        </is>
      </c>
      <c r="M828" t="inlineStr">
        <is>
          <t>6.5-7.0</t>
        </is>
      </c>
      <c r="N828" t="inlineStr">
        <is>
          <t>8-10</t>
        </is>
      </c>
      <c r="O828" t="inlineStr">
        <is>
          <t>14.5-17.0</t>
        </is>
      </c>
      <c r="P828" t="inlineStr">
        <is>
          <t>New Academy School</t>
        </is>
      </c>
      <c r="Q828" t="inlineStr">
        <is>
          <t>Aster Hospital Mankhool</t>
        </is>
      </c>
      <c r="R828" t="inlineStr">
        <is>
          <t>Dubai Mall</t>
        </is>
      </c>
      <c r="S828" t="inlineStr">
        <is>
          <t>Al Khaleej / E11</t>
        </is>
      </c>
      <c r="T828" t="inlineStr">
        <is>
          <t>15</t>
        </is>
      </c>
      <c r="U828" t="inlineStr">
        <is>
          <t>25</t>
        </is>
      </c>
      <c r="V828" t="inlineStr">
        <is>
          <t>15</t>
        </is>
      </c>
      <c r="W828" t="inlineStr">
        <is>
          <t>45</t>
        </is>
      </c>
      <c r="X828" t="inlineStr">
        <is>
          <t>Guild.csv</t>
        </is>
      </c>
    </row>
    <row r="829">
      <c r="A829" t="n">
        <v>828</v>
      </c>
      <c r="B829" t="n">
        <v>292</v>
      </c>
      <c r="C829" t="inlineStr">
        <is>
          <t>Nautica Two</t>
        </is>
      </c>
      <c r="D829" t="inlineStr">
        <is>
          <t>Select Group</t>
        </is>
      </c>
      <c r="E829" t="inlineStr">
        <is>
          <t>Dubai Maritime City</t>
        </is>
      </c>
      <c r="F829" t="inlineStr">
        <is>
          <t>Apartments</t>
        </is>
      </c>
      <c r="G829" t="inlineStr">
        <is>
          <t>Sea View / Tower</t>
        </is>
      </c>
      <c r="H829" t="inlineStr">
        <is>
          <t>1.6M</t>
        </is>
      </c>
      <c r="I829" t="inlineStr">
        <is>
          <t>1900</t>
        </is>
      </c>
      <c r="J829" t="inlineStr">
        <is>
          <t>20</t>
        </is>
      </c>
      <c r="K829" t="inlineStr">
        <is>
          <t>60/40</t>
        </is>
      </c>
      <c r="L829" t="inlineStr">
        <is>
          <t>2023</t>
        </is>
      </c>
      <c r="M829" t="inlineStr">
        <is>
          <t>6.5-7.0</t>
        </is>
      </c>
      <c r="N829" t="inlineStr">
        <is>
          <t>8-10</t>
        </is>
      </c>
      <c r="O829" t="inlineStr">
        <is>
          <t>14.5-17.0</t>
        </is>
      </c>
      <c r="P829" t="inlineStr">
        <is>
          <t>New Academy School</t>
        </is>
      </c>
      <c r="Q829" t="inlineStr">
        <is>
          <t>Aster Hospital Mankhool</t>
        </is>
      </c>
      <c r="R829" t="inlineStr">
        <is>
          <t>Dubai Mall</t>
        </is>
      </c>
      <c r="S829" t="inlineStr">
        <is>
          <t>Al Khaleej / E11</t>
        </is>
      </c>
      <c r="T829" t="inlineStr">
        <is>
          <t>15</t>
        </is>
      </c>
      <c r="U829" t="inlineStr">
        <is>
          <t>25</t>
        </is>
      </c>
      <c r="V829" t="inlineStr">
        <is>
          <t>15</t>
        </is>
      </c>
      <c r="W829" t="inlineStr">
        <is>
          <t>45</t>
        </is>
      </c>
      <c r="X829" t="inlineStr">
        <is>
          <t>Guild.csv</t>
        </is>
      </c>
    </row>
    <row r="830">
      <c r="A830" t="n">
        <v>829</v>
      </c>
      <c r="B830" t="n">
        <v>293</v>
      </c>
      <c r="C830" t="inlineStr">
        <is>
          <t>Vela</t>
        </is>
      </c>
      <c r="D830" t="inlineStr">
        <is>
          <t>Omniyat</t>
        </is>
      </c>
      <c r="E830" t="inlineStr">
        <is>
          <t>Business Bay (Marasi)</t>
        </is>
      </c>
      <c r="F830" t="inlineStr">
        <is>
          <t>Ultra-Luxury Apts</t>
        </is>
      </c>
      <c r="G830" t="inlineStr">
        <is>
          <t>Dorchester Collection</t>
        </is>
      </c>
      <c r="H830" t="inlineStr">
        <is>
          <t>30M+</t>
        </is>
      </c>
      <c r="I830" t="inlineStr">
        <is>
          <t>5000+</t>
        </is>
      </c>
      <c r="J830" t="inlineStr">
        <is>
          <t>50+</t>
        </is>
      </c>
      <c r="K830" t="inlineStr">
        <is>
          <t>60/40</t>
        </is>
      </c>
      <c r="L830" t="inlineStr">
        <is>
          <t>2023</t>
        </is>
      </c>
      <c r="M830" t="inlineStr">
        <is>
          <t>3.5-4.5</t>
        </is>
      </c>
      <c r="N830" t="inlineStr">
        <is>
          <t>8-12</t>
        </is>
      </c>
      <c r="O830" t="inlineStr">
        <is>
          <t>11.5-16.5</t>
        </is>
      </c>
      <c r="P830" t="inlineStr">
        <is>
          <t>Hartland Intl</t>
        </is>
      </c>
      <c r="Q830" t="inlineStr">
        <is>
          <t>Emirates Hospital BB</t>
        </is>
      </c>
      <c r="R830" t="inlineStr">
        <is>
          <t>Dubai Mall</t>
        </is>
      </c>
      <c r="S830" t="inlineStr">
        <is>
          <t>Al Khail E44</t>
        </is>
      </c>
      <c r="T830" t="inlineStr">
        <is>
          <t>5</t>
        </is>
      </c>
      <c r="U830" t="inlineStr">
        <is>
          <t>20</t>
        </is>
      </c>
      <c r="V830" t="inlineStr">
        <is>
          <t>15</t>
        </is>
      </c>
      <c r="W830" t="inlineStr">
        <is>
          <t>35</t>
        </is>
      </c>
      <c r="X830" t="inlineStr">
        <is>
          <t>Guild.csv</t>
        </is>
      </c>
    </row>
    <row r="831">
      <c r="A831" t="n">
        <v>830</v>
      </c>
      <c r="B831" t="n">
        <v>294</v>
      </c>
      <c r="C831" t="inlineStr">
        <is>
          <t>Vela Viento</t>
        </is>
      </c>
      <c r="D831" t="inlineStr">
        <is>
          <t>Omniyat</t>
        </is>
      </c>
      <c r="E831" t="inlineStr">
        <is>
          <t>Business Bay (Marasi)</t>
        </is>
      </c>
      <c r="F831" t="inlineStr">
        <is>
          <t>Ultra-Luxury Apts</t>
        </is>
      </c>
      <c r="G831" t="inlineStr">
        <is>
          <t>Dorchester Collection</t>
        </is>
      </c>
      <c r="H831" t="inlineStr">
        <is>
          <t>35M+</t>
        </is>
      </c>
      <c r="I831" t="inlineStr">
        <is>
          <t>5500+</t>
        </is>
      </c>
      <c r="J831" t="inlineStr">
        <is>
          <t>50+</t>
        </is>
      </c>
      <c r="K831" t="inlineStr">
        <is>
          <t>60/40</t>
        </is>
      </c>
      <c r="L831" t="inlineStr">
        <is>
          <t>2023</t>
        </is>
      </c>
      <c r="M831" t="inlineStr">
        <is>
          <t>3.5-4.5</t>
        </is>
      </c>
      <c r="N831" t="inlineStr">
        <is>
          <t>8-12</t>
        </is>
      </c>
      <c r="O831" t="inlineStr">
        <is>
          <t>11.5-16.5</t>
        </is>
      </c>
      <c r="P831" t="inlineStr">
        <is>
          <t>Hartland Intl</t>
        </is>
      </c>
      <c r="Q831" t="inlineStr">
        <is>
          <t>Emirates Hospital BB</t>
        </is>
      </c>
      <c r="R831" t="inlineStr">
        <is>
          <t>Dubai Mall</t>
        </is>
      </c>
      <c r="S831" t="inlineStr">
        <is>
          <t>Al Khail E44</t>
        </is>
      </c>
      <c r="T831" t="inlineStr">
        <is>
          <t>5</t>
        </is>
      </c>
      <c r="U831" t="inlineStr">
        <is>
          <t>20</t>
        </is>
      </c>
      <c r="V831" t="inlineStr">
        <is>
          <t>15</t>
        </is>
      </c>
      <c r="W831" t="inlineStr">
        <is>
          <t>35</t>
        </is>
      </c>
      <c r="X831" t="inlineStr">
        <is>
          <t>Guild.csv</t>
        </is>
      </c>
    </row>
    <row r="832">
      <c r="A832" t="n">
        <v>831</v>
      </c>
      <c r="B832" t="n">
        <v>295</v>
      </c>
      <c r="C832" t="inlineStr">
        <is>
          <t>The Lana</t>
        </is>
      </c>
      <c r="D832" t="inlineStr">
        <is>
          <t>Omniyat</t>
        </is>
      </c>
      <c r="E832" t="inlineStr">
        <is>
          <t>Business Bay</t>
        </is>
      </c>
      <c r="F832" t="inlineStr">
        <is>
          <t>Hotel/Residences</t>
        </is>
      </c>
      <c r="G832" t="inlineStr">
        <is>
          <t>Dorchester / Icon</t>
        </is>
      </c>
      <c r="J832" t="inlineStr">
        <is>
          <t>50+</t>
        </is>
      </c>
      <c r="K832" t="inlineStr">
        <is>
          <t>Completed</t>
        </is>
      </c>
      <c r="L832" t="inlineStr">
        <is>
          <t>2023</t>
        </is>
      </c>
      <c r="M832" t="inlineStr">
        <is>
          <t>3.5-4.5</t>
        </is>
      </c>
      <c r="N832" t="inlineStr">
        <is>
          <t>5-8</t>
        </is>
      </c>
      <c r="O832" t="inlineStr">
        <is>
          <t>8.5-12.5</t>
        </is>
      </c>
      <c r="P832" t="inlineStr">
        <is>
          <t>Hartland Intl</t>
        </is>
      </c>
      <c r="Q832" t="inlineStr">
        <is>
          <t>Emirates Hospital BB</t>
        </is>
      </c>
      <c r="R832" t="inlineStr">
        <is>
          <t>Dubai Mall</t>
        </is>
      </c>
      <c r="S832" t="inlineStr">
        <is>
          <t>Al Khail E44</t>
        </is>
      </c>
      <c r="T832" t="inlineStr">
        <is>
          <t>5</t>
        </is>
      </c>
      <c r="U832" t="inlineStr">
        <is>
          <t>20</t>
        </is>
      </c>
      <c r="V832" t="inlineStr">
        <is>
          <t>15</t>
        </is>
      </c>
      <c r="W832" t="inlineStr">
        <is>
          <t>35</t>
        </is>
      </c>
      <c r="X832" t="inlineStr">
        <is>
          <t>Guild.csv</t>
        </is>
      </c>
    </row>
    <row r="833">
      <c r="A833" t="n">
        <v>832</v>
      </c>
      <c r="B833" t="n">
        <v>296</v>
      </c>
      <c r="C833" t="inlineStr">
        <is>
          <t>The Opus</t>
        </is>
      </c>
      <c r="D833" t="inlineStr">
        <is>
          <t>Omniyat</t>
        </is>
      </c>
      <c r="E833" t="inlineStr">
        <is>
          <t>Business Bay</t>
        </is>
      </c>
      <c r="F833" t="inlineStr">
        <is>
          <t>Apartments/Office</t>
        </is>
      </c>
      <c r="G833" t="inlineStr">
        <is>
          <t>Zaha Hadid / Icon</t>
        </is>
      </c>
      <c r="H833" t="inlineStr">
        <is>
          <t>Resale (3M+)</t>
        </is>
      </c>
      <c r="I833" t="inlineStr">
        <is>
          <t>2500</t>
        </is>
      </c>
      <c r="J833" t="inlineStr">
        <is>
          <t>35</t>
        </is>
      </c>
      <c r="K833" t="inlineStr">
        <is>
          <t>Completed</t>
        </is>
      </c>
      <c r="L833" t="inlineStr">
        <is>
          <t>2018</t>
        </is>
      </c>
      <c r="M833" t="inlineStr">
        <is>
          <t>5.0-5.5</t>
        </is>
      </c>
      <c r="N833" t="inlineStr">
        <is>
          <t>5-7</t>
        </is>
      </c>
      <c r="O833" t="inlineStr">
        <is>
          <t>10.0-12.5</t>
        </is>
      </c>
      <c r="P833" t="inlineStr">
        <is>
          <t>Hartland Intl</t>
        </is>
      </c>
      <c r="Q833" t="inlineStr">
        <is>
          <t>Emirates Hospital BB</t>
        </is>
      </c>
      <c r="R833" t="inlineStr">
        <is>
          <t>Bay Avenue</t>
        </is>
      </c>
      <c r="S833" t="inlineStr">
        <is>
          <t>Sheikh Zayed E11</t>
        </is>
      </c>
      <c r="T833" t="inlineStr">
        <is>
          <t>5</t>
        </is>
      </c>
      <c r="U833" t="inlineStr">
        <is>
          <t>20</t>
        </is>
      </c>
      <c r="V833" t="inlineStr">
        <is>
          <t>15</t>
        </is>
      </c>
      <c r="W833" t="inlineStr">
        <is>
          <t>35</t>
        </is>
      </c>
      <c r="X833" t="inlineStr">
        <is>
          <t>Guild.csv</t>
        </is>
      </c>
    </row>
    <row r="834">
      <c r="A834" t="n">
        <v>833</v>
      </c>
      <c r="B834" t="n">
        <v>297</v>
      </c>
      <c r="C834" t="inlineStr">
        <is>
          <t>Orla</t>
        </is>
      </c>
      <c r="D834" t="inlineStr">
        <is>
          <t>Omniyat</t>
        </is>
      </c>
      <c r="E834" t="inlineStr">
        <is>
          <t>Palm Jumeirah</t>
        </is>
      </c>
      <c r="F834" t="inlineStr">
        <is>
          <t>Ultra-Luxury Apts</t>
        </is>
      </c>
      <c r="G834" t="inlineStr">
        <is>
          <t>Dorchester / Beach</t>
        </is>
      </c>
      <c r="H834" t="inlineStr">
        <is>
          <t>25M+</t>
        </is>
      </c>
      <c r="I834" t="inlineStr">
        <is>
          <t>6000+</t>
        </is>
      </c>
      <c r="J834" t="inlineStr">
        <is>
          <t>50+</t>
        </is>
      </c>
      <c r="K834" t="inlineStr">
        <is>
          <t>60/40</t>
        </is>
      </c>
      <c r="L834" t="inlineStr">
        <is>
          <t>2022</t>
        </is>
      </c>
      <c r="M834" t="inlineStr">
        <is>
          <t>3.0-3.5</t>
        </is>
      </c>
      <c r="N834" t="inlineStr">
        <is>
          <t>8-12</t>
        </is>
      </c>
      <c r="O834" t="inlineStr">
        <is>
          <t>11.0-15.5</t>
        </is>
      </c>
      <c r="P834" t="inlineStr">
        <is>
          <t>Chevalier College</t>
        </is>
      </c>
      <c r="Q834" t="inlineStr">
        <is>
          <t>Emirates Hospital</t>
        </is>
      </c>
      <c r="R834" t="inlineStr">
        <is>
          <t>Nakheel Mall</t>
        </is>
      </c>
      <c r="S834" t="inlineStr">
        <is>
          <t>Sheikh Zayed E11</t>
        </is>
      </c>
      <c r="T834" t="inlineStr">
        <is>
          <t>20</t>
        </is>
      </c>
      <c r="U834" t="inlineStr">
        <is>
          <t>10</t>
        </is>
      </c>
      <c r="V834" t="inlineStr">
        <is>
          <t>25</t>
        </is>
      </c>
      <c r="W834" t="inlineStr">
        <is>
          <t>35</t>
        </is>
      </c>
      <c r="X834" t="inlineStr">
        <is>
          <t>Guild.csv</t>
        </is>
      </c>
    </row>
    <row r="835">
      <c r="A835" t="n">
        <v>834</v>
      </c>
      <c r="B835" t="n">
        <v>298</v>
      </c>
      <c r="C835" t="inlineStr">
        <is>
          <t>Orla Infinity</t>
        </is>
      </c>
      <c r="D835" t="inlineStr">
        <is>
          <t>Omniyat</t>
        </is>
      </c>
      <c r="E835" t="inlineStr">
        <is>
          <t>Palm Jumeirah</t>
        </is>
      </c>
      <c r="F835" t="inlineStr">
        <is>
          <t>Ultra-Luxury Apts</t>
        </is>
      </c>
      <c r="G835" t="inlineStr">
        <is>
          <t>Dorchester / Beach</t>
        </is>
      </c>
      <c r="H835" t="inlineStr">
        <is>
          <t>30M+</t>
        </is>
      </c>
      <c r="I835" t="inlineStr">
        <is>
          <t>6500+</t>
        </is>
      </c>
      <c r="J835" t="inlineStr">
        <is>
          <t>50+</t>
        </is>
      </c>
      <c r="K835" t="inlineStr">
        <is>
          <t>60/40</t>
        </is>
      </c>
      <c r="L835" t="inlineStr">
        <is>
          <t>2023</t>
        </is>
      </c>
      <c r="M835" t="inlineStr">
        <is>
          <t>3.0-3.5</t>
        </is>
      </c>
      <c r="N835" t="inlineStr">
        <is>
          <t>8-12</t>
        </is>
      </c>
      <c r="O835" t="inlineStr">
        <is>
          <t>11.0-15.5</t>
        </is>
      </c>
      <c r="P835" t="inlineStr">
        <is>
          <t>Chevalier College</t>
        </is>
      </c>
      <c r="Q835" t="inlineStr">
        <is>
          <t>Emirates Hospital</t>
        </is>
      </c>
      <c r="R835" t="inlineStr">
        <is>
          <t>Nakheel Mall</t>
        </is>
      </c>
      <c r="S835" t="inlineStr">
        <is>
          <t>Sheikh Zayed E11</t>
        </is>
      </c>
      <c r="T835" t="inlineStr">
        <is>
          <t>20</t>
        </is>
      </c>
      <c r="U835" t="inlineStr">
        <is>
          <t>10</t>
        </is>
      </c>
      <c r="V835" t="inlineStr">
        <is>
          <t>25</t>
        </is>
      </c>
      <c r="W835" t="inlineStr">
        <is>
          <t>35</t>
        </is>
      </c>
      <c r="X835" t="inlineStr">
        <is>
          <t>Guild.csv</t>
        </is>
      </c>
    </row>
    <row r="836">
      <c r="A836" t="n">
        <v>835</v>
      </c>
      <c r="B836" t="n">
        <v>299</v>
      </c>
      <c r="C836" t="inlineStr">
        <is>
          <t>One at Palm Jumeirah</t>
        </is>
      </c>
      <c r="D836" t="inlineStr">
        <is>
          <t>Omniyat</t>
        </is>
      </c>
      <c r="E836" t="inlineStr">
        <is>
          <t>Palm Jumeirah</t>
        </is>
      </c>
      <c r="F836" t="inlineStr">
        <is>
          <t>Ultra-Luxury Apts</t>
        </is>
      </c>
      <c r="G836" t="inlineStr">
        <is>
          <t>Dorchester / Beach</t>
        </is>
      </c>
      <c r="H836" t="inlineStr">
        <is>
          <t>Resale (20M+)</t>
        </is>
      </c>
      <c r="I836" t="inlineStr">
        <is>
          <t>5000+</t>
        </is>
      </c>
      <c r="J836" t="inlineStr">
        <is>
          <t>50+</t>
        </is>
      </c>
      <c r="K836" t="inlineStr">
        <is>
          <t>Completed</t>
        </is>
      </c>
      <c r="L836" t="inlineStr">
        <is>
          <t>2017</t>
        </is>
      </c>
      <c r="M836" t="inlineStr">
        <is>
          <t>4.0-4.5</t>
        </is>
      </c>
      <c r="N836" t="inlineStr">
        <is>
          <t>5-7</t>
        </is>
      </c>
      <c r="O836" t="inlineStr">
        <is>
          <t>9.0-11.5</t>
        </is>
      </c>
      <c r="P836" t="inlineStr">
        <is>
          <t>Chevalier College</t>
        </is>
      </c>
      <c r="Q836" t="inlineStr">
        <is>
          <t>Emirates Hospital</t>
        </is>
      </c>
      <c r="R836" t="inlineStr">
        <is>
          <t>Nakheel Mall</t>
        </is>
      </c>
      <c r="S836" t="inlineStr">
        <is>
          <t>Sheikh Zayed E11</t>
        </is>
      </c>
      <c r="T836" t="inlineStr">
        <is>
          <t>20</t>
        </is>
      </c>
      <c r="U836" t="inlineStr">
        <is>
          <t>10</t>
        </is>
      </c>
      <c r="V836" t="inlineStr">
        <is>
          <t>25</t>
        </is>
      </c>
      <c r="W836" t="inlineStr">
        <is>
          <t>35</t>
        </is>
      </c>
      <c r="X836" t="inlineStr">
        <is>
          <t>Guild.csv</t>
        </is>
      </c>
    </row>
    <row r="837">
      <c r="A837" t="n">
        <v>836</v>
      </c>
      <c r="B837" t="n">
        <v>300</v>
      </c>
      <c r="C837" t="inlineStr">
        <is>
          <t>Ava at Palm Jumeirah</t>
        </is>
      </c>
      <c r="D837" t="inlineStr">
        <is>
          <t>Omniyat</t>
        </is>
      </c>
      <c r="E837" t="inlineStr">
        <is>
          <t>Palm Jumeirah</t>
        </is>
      </c>
      <c r="F837" t="inlineStr">
        <is>
          <t>Ultra-Luxury Apts</t>
        </is>
      </c>
      <c r="G837" t="inlineStr">
        <is>
          <t>Dorchester / Private</t>
        </is>
      </c>
      <c r="H837" t="inlineStr">
        <is>
          <t>40M+</t>
        </is>
      </c>
      <c r="I837" t="inlineStr">
        <is>
          <t>6000+</t>
        </is>
      </c>
      <c r="J837" t="inlineStr">
        <is>
          <t>50+</t>
        </is>
      </c>
      <c r="K837" t="inlineStr">
        <is>
          <t>60/40</t>
        </is>
      </c>
      <c r="L837" t="inlineStr">
        <is>
          <t>2022</t>
        </is>
      </c>
      <c r="M837" t="inlineStr">
        <is>
          <t>3.0-3.5</t>
        </is>
      </c>
      <c r="N837" t="inlineStr">
        <is>
          <t>8-12</t>
        </is>
      </c>
      <c r="O837" t="inlineStr">
        <is>
          <t>11.0-15.5</t>
        </is>
      </c>
      <c r="P837" t="inlineStr">
        <is>
          <t>Chevalier College</t>
        </is>
      </c>
      <c r="Q837" t="inlineStr">
        <is>
          <t>Emirates Hospital</t>
        </is>
      </c>
      <c r="R837" t="inlineStr">
        <is>
          <t>Nakheel Mall</t>
        </is>
      </c>
      <c r="S837" t="inlineStr">
        <is>
          <t>Sheikh Zayed E11</t>
        </is>
      </c>
      <c r="T837" t="inlineStr">
        <is>
          <t>20</t>
        </is>
      </c>
      <c r="U837" t="inlineStr">
        <is>
          <t>10</t>
        </is>
      </c>
      <c r="V837" t="inlineStr">
        <is>
          <t>25</t>
        </is>
      </c>
      <c r="W837" t="inlineStr">
        <is>
          <t>35</t>
        </is>
      </c>
      <c r="X837" t="inlineStr">
        <is>
          <t>Guild.csv</t>
        </is>
      </c>
    </row>
    <row r="838">
      <c r="A838" t="n">
        <v>837</v>
      </c>
      <c r="B838" t="n">
        <v>301</v>
      </c>
      <c r="C838" t="inlineStr">
        <is>
          <t>Anwa</t>
        </is>
      </c>
      <c r="D838" t="inlineStr">
        <is>
          <t>Omniyat</t>
        </is>
      </c>
      <c r="E838" t="inlineStr">
        <is>
          <t>Dubai Maritime City</t>
        </is>
      </c>
      <c r="F838" t="inlineStr">
        <is>
          <t>Apartments</t>
        </is>
      </c>
      <c r="G838" t="inlineStr">
        <is>
          <t>Sea View / Luxury</t>
        </is>
      </c>
      <c r="H838" t="inlineStr">
        <is>
          <t>Resale (2M+)</t>
        </is>
      </c>
      <c r="I838" t="inlineStr">
        <is>
          <t>1800</t>
        </is>
      </c>
      <c r="J838" t="inlineStr">
        <is>
          <t>25</t>
        </is>
      </c>
      <c r="K838" t="inlineStr">
        <is>
          <t>Completed</t>
        </is>
      </c>
      <c r="L838" t="inlineStr">
        <is>
          <t>2021</t>
        </is>
      </c>
      <c r="M838" t="inlineStr">
        <is>
          <t>6.0-6.5</t>
        </is>
      </c>
      <c r="N838" t="inlineStr">
        <is>
          <t>6-8</t>
        </is>
      </c>
      <c r="O838" t="inlineStr">
        <is>
          <t>12.0-14.5</t>
        </is>
      </c>
      <c r="P838" t="inlineStr">
        <is>
          <t>New Academy School</t>
        </is>
      </c>
      <c r="Q838" t="inlineStr">
        <is>
          <t>Aster Hospital Mankhool</t>
        </is>
      </c>
      <c r="R838" t="inlineStr">
        <is>
          <t>Dubai Mall</t>
        </is>
      </c>
      <c r="S838" t="inlineStr">
        <is>
          <t>Al Khaleej / E11</t>
        </is>
      </c>
      <c r="T838" t="inlineStr">
        <is>
          <t>15</t>
        </is>
      </c>
      <c r="U838" t="inlineStr">
        <is>
          <t>25</t>
        </is>
      </c>
      <c r="V838" t="inlineStr">
        <is>
          <t>15</t>
        </is>
      </c>
      <c r="W838" t="inlineStr">
        <is>
          <t>45</t>
        </is>
      </c>
      <c r="X838" t="inlineStr">
        <is>
          <t>Guild.csv</t>
        </is>
      </c>
    </row>
    <row r="839">
      <c r="A839" t="n">
        <v>838</v>
      </c>
      <c r="B839" t="n">
        <v>302</v>
      </c>
      <c r="C839" t="inlineStr">
        <is>
          <t>Anwa Aria</t>
        </is>
      </c>
      <c r="D839" t="inlineStr">
        <is>
          <t>Omniyat</t>
        </is>
      </c>
      <c r="E839" t="inlineStr">
        <is>
          <t>Dubai Maritime City</t>
        </is>
      </c>
      <c r="F839" t="inlineStr">
        <is>
          <t>Apartments</t>
        </is>
      </c>
      <c r="G839" t="inlineStr">
        <is>
          <t>Sea View / Luxury</t>
        </is>
      </c>
      <c r="H839" t="inlineStr">
        <is>
          <t>2.2M</t>
        </is>
      </c>
      <c r="I839" t="inlineStr">
        <is>
          <t>2000</t>
        </is>
      </c>
      <c r="J839" t="inlineStr">
        <is>
          <t>25</t>
        </is>
      </c>
      <c r="K839" t="inlineStr">
        <is>
          <t>60/40</t>
        </is>
      </c>
      <c r="L839" t="inlineStr">
        <is>
          <t>2023</t>
        </is>
      </c>
      <c r="M839" t="inlineStr">
        <is>
          <t>6.0-6.5</t>
        </is>
      </c>
      <c r="N839" t="inlineStr">
        <is>
          <t>8-10</t>
        </is>
      </c>
      <c r="O839" t="inlineStr">
        <is>
          <t>14.0-16.5</t>
        </is>
      </c>
      <c r="P839" t="inlineStr">
        <is>
          <t>New Academy School</t>
        </is>
      </c>
      <c r="Q839" t="inlineStr">
        <is>
          <t>Aster Hospital Mankhool</t>
        </is>
      </c>
      <c r="R839" t="inlineStr">
        <is>
          <t>Dubai Mall</t>
        </is>
      </c>
      <c r="S839" t="inlineStr">
        <is>
          <t>Al Khaleej / E11</t>
        </is>
      </c>
      <c r="T839" t="inlineStr">
        <is>
          <t>15</t>
        </is>
      </c>
      <c r="U839" t="inlineStr">
        <is>
          <t>25</t>
        </is>
      </c>
      <c r="V839" t="inlineStr">
        <is>
          <t>15</t>
        </is>
      </c>
      <c r="W839" t="inlineStr">
        <is>
          <t>45</t>
        </is>
      </c>
      <c r="X839" t="inlineStr">
        <is>
          <t>Guild.csv</t>
        </is>
      </c>
    </row>
    <row r="840">
      <c r="A840" t="n">
        <v>839</v>
      </c>
      <c r="B840" t="n">
        <v>303</v>
      </c>
      <c r="C840" t="inlineStr">
        <is>
          <t>Armani Beach Residences</t>
        </is>
      </c>
      <c r="D840" t="inlineStr">
        <is>
          <t>Arada</t>
        </is>
      </c>
      <c r="E840" t="inlineStr">
        <is>
          <t>Palm Jumeirah</t>
        </is>
      </c>
      <c r="F840" t="inlineStr">
        <is>
          <t>Branded Apts</t>
        </is>
      </c>
      <c r="G840" t="inlineStr">
        <is>
          <t>Ultra-Luxury / Design</t>
        </is>
      </c>
      <c r="H840" t="inlineStr">
        <is>
          <t>20M+</t>
        </is>
      </c>
      <c r="I840" t="inlineStr">
        <is>
          <t>6000</t>
        </is>
      </c>
      <c r="J840" t="inlineStr">
        <is>
          <t>45+</t>
        </is>
      </c>
      <c r="K840" t="inlineStr">
        <is>
          <t>60/40</t>
        </is>
      </c>
      <c r="L840" t="inlineStr">
        <is>
          <t>2023</t>
        </is>
      </c>
      <c r="M840" t="inlineStr">
        <is>
          <t>3.5-4.0</t>
        </is>
      </c>
      <c r="N840" t="inlineStr">
        <is>
          <t>8-12</t>
        </is>
      </c>
      <c r="O840" t="inlineStr">
        <is>
          <t>11.5-16.0</t>
        </is>
      </c>
      <c r="P840" t="inlineStr">
        <is>
          <t>Chevalier College</t>
        </is>
      </c>
      <c r="Q840" t="inlineStr">
        <is>
          <t>Emirates Hospital</t>
        </is>
      </c>
      <c r="R840" t="inlineStr">
        <is>
          <t>Nakheel Mall</t>
        </is>
      </c>
      <c r="S840" t="inlineStr">
        <is>
          <t>Sheikh Zayed E11</t>
        </is>
      </c>
      <c r="T840" t="inlineStr">
        <is>
          <t>20</t>
        </is>
      </c>
      <c r="U840" t="inlineStr">
        <is>
          <t>10</t>
        </is>
      </c>
      <c r="V840" t="inlineStr">
        <is>
          <t>25</t>
        </is>
      </c>
      <c r="W840" t="inlineStr">
        <is>
          <t>35</t>
        </is>
      </c>
      <c r="X840" t="inlineStr">
        <is>
          <t>Guild.csv</t>
        </is>
      </c>
    </row>
    <row r="841">
      <c r="A841" t="n">
        <v>840</v>
      </c>
      <c r="B841" t="n">
        <v>304</v>
      </c>
      <c r="C841" t="inlineStr">
        <is>
          <t>W Residences Dubai Harbour</t>
        </is>
      </c>
      <c r="D841" t="inlineStr">
        <is>
          <t>Arada</t>
        </is>
      </c>
      <c r="E841" t="inlineStr">
        <is>
          <t>Dubai Harbour</t>
        </is>
      </c>
      <c r="F841" t="inlineStr">
        <is>
          <t>Branded Apts</t>
        </is>
      </c>
      <c r="G841" t="inlineStr">
        <is>
          <t>Luxury / Hotel</t>
        </is>
      </c>
      <c r="H841" t="inlineStr">
        <is>
          <t>4.5M</t>
        </is>
      </c>
      <c r="I841" t="inlineStr">
        <is>
          <t>3500</t>
        </is>
      </c>
      <c r="J841" t="inlineStr">
        <is>
          <t>35+</t>
        </is>
      </c>
      <c r="K841" t="inlineStr">
        <is>
          <t>60/40</t>
        </is>
      </c>
      <c r="L841" t="inlineStr">
        <is>
          <t>2024</t>
        </is>
      </c>
      <c r="M841" t="inlineStr">
        <is>
          <t>5.0-5.5</t>
        </is>
      </c>
      <c r="N841" t="inlineStr">
        <is>
          <t>10-12</t>
        </is>
      </c>
      <c r="O841" t="inlineStr">
        <is>
          <t>15.0-17.5</t>
        </is>
      </c>
      <c r="P841" t="inlineStr">
        <is>
          <t>American Univ. Dubai</t>
        </is>
      </c>
      <c r="Q841" t="inlineStr">
        <is>
          <t>Saudi German Hospital</t>
        </is>
      </c>
      <c r="R841" t="inlineStr">
        <is>
          <t>Dubai Marina Mall</t>
        </is>
      </c>
      <c r="S841" t="inlineStr">
        <is>
          <t>Sheikh Zayed E11</t>
        </is>
      </c>
      <c r="T841" t="inlineStr">
        <is>
          <t>20</t>
        </is>
      </c>
      <c r="U841" t="inlineStr">
        <is>
          <t>5</t>
        </is>
      </c>
      <c r="V841" t="inlineStr">
        <is>
          <t>25</t>
        </is>
      </c>
      <c r="W841" t="inlineStr">
        <is>
          <t>30</t>
        </is>
      </c>
      <c r="X841" t="inlineStr">
        <is>
          <t>Guild.csv</t>
        </is>
      </c>
    </row>
    <row r="842">
      <c r="A842" t="n">
        <v>841</v>
      </c>
      <c r="B842" t="n">
        <v>305</v>
      </c>
      <c r="C842" t="inlineStr">
        <is>
          <t>Jouri Hills</t>
        </is>
      </c>
      <c r="D842" t="inlineStr">
        <is>
          <t>Arada</t>
        </is>
      </c>
      <c r="E842" t="inlineStr">
        <is>
          <t>Jumeirah Golf Estates</t>
        </is>
      </c>
      <c r="F842" t="inlineStr">
        <is>
          <t>Villas</t>
        </is>
      </c>
      <c r="G842" t="inlineStr">
        <is>
          <t>Golf / Luxury</t>
        </is>
      </c>
      <c r="H842" t="inlineStr">
        <is>
          <t>4.5M</t>
        </is>
      </c>
      <c r="I842" t="inlineStr">
        <is>
          <t>1800</t>
        </is>
      </c>
      <c r="J842" t="inlineStr">
        <is>
          <t>20</t>
        </is>
      </c>
      <c r="K842" t="inlineStr">
        <is>
          <t>60/40</t>
        </is>
      </c>
      <c r="L842" t="inlineStr">
        <is>
          <t>2022</t>
        </is>
      </c>
      <c r="M842" t="inlineStr">
        <is>
          <t>5.5-6.0</t>
        </is>
      </c>
      <c r="N842" t="inlineStr">
        <is>
          <t>6-9</t>
        </is>
      </c>
      <c r="O842" t="inlineStr">
        <is>
          <t>11.5-15.0</t>
        </is>
      </c>
      <c r="P842" t="inlineStr">
        <is>
          <t>Victory Heights</t>
        </is>
      </c>
      <c r="Q842" t="inlineStr">
        <is>
          <t>NMC Royal DIP</t>
        </is>
      </c>
      <c r="R842" t="inlineStr">
        <is>
          <t>City Centre Me'aisem</t>
        </is>
      </c>
      <c r="S842" t="inlineStr">
        <is>
          <t>E311 / Yalayis</t>
        </is>
      </c>
      <c r="T842" t="inlineStr">
        <is>
          <t>25</t>
        </is>
      </c>
      <c r="U842" t="inlineStr">
        <is>
          <t>20</t>
        </is>
      </c>
      <c r="V842" t="inlineStr">
        <is>
          <t>30</t>
        </is>
      </c>
      <c r="W842" t="inlineStr">
        <is>
          <t>20</t>
        </is>
      </c>
      <c r="X842" t="inlineStr">
        <is>
          <t>Guild.csv</t>
        </is>
      </c>
    </row>
    <row r="843">
      <c r="A843" t="n">
        <v>842</v>
      </c>
      <c r="B843" t="n">
        <v>306</v>
      </c>
      <c r="C843" t="inlineStr">
        <is>
          <t>South Garden</t>
        </is>
      </c>
      <c r="D843" t="inlineStr">
        <is>
          <t>Wasl Asset Management</t>
        </is>
      </c>
      <c r="E843" t="inlineStr">
        <is>
          <t>Wasl Gate (Jebel Ali)</t>
        </is>
      </c>
      <c r="F843" t="inlineStr">
        <is>
          <t>Apartments</t>
        </is>
      </c>
      <c r="G843" t="inlineStr">
        <is>
          <t>Community / Garden</t>
        </is>
      </c>
      <c r="H843" t="inlineStr">
        <is>
          <t>TBA</t>
        </is>
      </c>
      <c r="I843" t="inlineStr">
        <is>
          <t>TBA</t>
        </is>
      </c>
      <c r="J843" t="inlineStr">
        <is>
          <t>15</t>
        </is>
      </c>
      <c r="K843" t="inlineStr">
        <is>
          <t>TBA</t>
        </is>
      </c>
      <c r="L843" t="inlineStr">
        <is>
          <t>2024</t>
        </is>
      </c>
      <c r="M843" t="inlineStr">
        <is>
          <t>7.0-7.5</t>
        </is>
      </c>
      <c r="N843" t="inlineStr">
        <is>
          <t>8-10</t>
        </is>
      </c>
      <c r="O843" t="inlineStr">
        <is>
          <t>15.0-17.5</t>
        </is>
      </c>
      <c r="P843" t="inlineStr">
        <is>
          <t>The Arbor School</t>
        </is>
      </c>
      <c r="Q843" t="inlineStr">
        <is>
          <t>Aster Cedars Jebel Ali</t>
        </is>
      </c>
      <c r="R843" t="inlineStr">
        <is>
          <t>Ibn Battuta Mall</t>
        </is>
      </c>
      <c r="S843" t="inlineStr">
        <is>
          <t>Sheikh Zayed E11</t>
        </is>
      </c>
      <c r="T843" t="inlineStr">
        <is>
          <t>25</t>
        </is>
      </c>
      <c r="U843" t="inlineStr">
        <is>
          <t>10</t>
        </is>
      </c>
      <c r="V843" t="inlineStr">
        <is>
          <t>35</t>
        </is>
      </c>
      <c r="W843" t="inlineStr">
        <is>
          <t>20</t>
        </is>
      </c>
      <c r="X843" t="inlineStr">
        <is>
          <t>Guild.csv</t>
        </is>
      </c>
    </row>
    <row r="844">
      <c r="A844" t="n">
        <v>843</v>
      </c>
      <c r="B844" t="n">
        <v>307</v>
      </c>
      <c r="C844" t="inlineStr">
        <is>
          <t>Hillside Residences</t>
        </is>
      </c>
      <c r="D844" t="inlineStr">
        <is>
          <t>Wasl Asset Management</t>
        </is>
      </c>
      <c r="E844" t="inlineStr">
        <is>
          <t>Wasl Gate</t>
        </is>
      </c>
      <c r="F844" t="inlineStr">
        <is>
          <t>Apartments</t>
        </is>
      </c>
      <c r="G844" t="inlineStr">
        <is>
          <t>Community / Hill</t>
        </is>
      </c>
      <c r="H844" t="inlineStr">
        <is>
          <t>1.2M</t>
        </is>
      </c>
      <c r="I844" t="inlineStr">
        <is>
          <t>1100</t>
        </is>
      </c>
      <c r="J844" t="inlineStr">
        <is>
          <t>15</t>
        </is>
      </c>
      <c r="K844" t="inlineStr">
        <is>
          <t>60/40</t>
        </is>
      </c>
      <c r="L844" t="inlineStr">
        <is>
          <t>2023</t>
        </is>
      </c>
      <c r="M844" t="inlineStr">
        <is>
          <t>7.0-7.5</t>
        </is>
      </c>
      <c r="N844" t="inlineStr">
        <is>
          <t>8-10</t>
        </is>
      </c>
      <c r="O844" t="inlineStr">
        <is>
          <t>15.0-17.5</t>
        </is>
      </c>
      <c r="P844" t="inlineStr">
        <is>
          <t>The Arbor School</t>
        </is>
      </c>
      <c r="Q844" t="inlineStr">
        <is>
          <t>Aster Cedars Jebel Ali</t>
        </is>
      </c>
      <c r="R844" t="inlineStr">
        <is>
          <t>Ibn Battuta Mall</t>
        </is>
      </c>
      <c r="S844" t="inlineStr">
        <is>
          <t>Sheikh Zayed E11</t>
        </is>
      </c>
      <c r="T844" t="inlineStr">
        <is>
          <t>25</t>
        </is>
      </c>
      <c r="U844" t="inlineStr">
        <is>
          <t>10</t>
        </is>
      </c>
      <c r="V844" t="inlineStr">
        <is>
          <t>35</t>
        </is>
      </c>
      <c r="W844" t="inlineStr">
        <is>
          <t>20</t>
        </is>
      </c>
      <c r="X844" t="inlineStr">
        <is>
          <t>Guild.csv</t>
        </is>
      </c>
    </row>
    <row r="845">
      <c r="A845" t="n">
        <v>844</v>
      </c>
      <c r="B845" t="n">
        <v>308</v>
      </c>
      <c r="C845" t="inlineStr">
        <is>
          <t>Gardenia Townhomes</t>
        </is>
      </c>
      <c r="D845" t="inlineStr">
        <is>
          <t>Wasl Asset Management</t>
        </is>
      </c>
      <c r="E845" t="inlineStr">
        <is>
          <t>Wasl Gate</t>
        </is>
      </c>
      <c r="F845" t="inlineStr">
        <is>
          <t>Townhouses</t>
        </is>
      </c>
      <c r="G845" t="inlineStr">
        <is>
          <t>Family / Gated</t>
        </is>
      </c>
      <c r="H845" t="inlineStr">
        <is>
          <t>Resale (1.8M+)</t>
        </is>
      </c>
      <c r="I845" t="inlineStr">
        <is>
          <t>1000</t>
        </is>
      </c>
      <c r="J845" t="inlineStr">
        <is>
          <t>12</t>
        </is>
      </c>
      <c r="K845" t="inlineStr">
        <is>
          <t>Completed</t>
        </is>
      </c>
      <c r="L845" t="inlineStr">
        <is>
          <t>2021</t>
        </is>
      </c>
      <c r="M845" t="inlineStr">
        <is>
          <t>6.5-7.0</t>
        </is>
      </c>
      <c r="N845" t="inlineStr">
        <is>
          <t>5-7</t>
        </is>
      </c>
      <c r="O845" t="inlineStr">
        <is>
          <t>11.5-14.0</t>
        </is>
      </c>
      <c r="P845" t="inlineStr">
        <is>
          <t>The Arbor School</t>
        </is>
      </c>
      <c r="Q845" t="inlineStr">
        <is>
          <t>Aster Cedars Jebel Ali</t>
        </is>
      </c>
      <c r="R845" t="inlineStr">
        <is>
          <t>Ibn Battuta Mall</t>
        </is>
      </c>
      <c r="S845" t="inlineStr">
        <is>
          <t>Sheikh Zayed E11</t>
        </is>
      </c>
      <c r="T845" t="inlineStr">
        <is>
          <t>25</t>
        </is>
      </c>
      <c r="U845" t="inlineStr">
        <is>
          <t>10</t>
        </is>
      </c>
      <c r="V845" t="inlineStr">
        <is>
          <t>35</t>
        </is>
      </c>
      <c r="W845" t="inlineStr">
        <is>
          <t>20</t>
        </is>
      </c>
      <c r="X845" t="inlineStr">
        <is>
          <t>Guild.csv</t>
        </is>
      </c>
    </row>
    <row r="846">
      <c r="A846" t="n">
        <v>845</v>
      </c>
      <c r="B846" t="n">
        <v>309</v>
      </c>
      <c r="C846" t="inlineStr">
        <is>
          <t>The Nook</t>
        </is>
      </c>
      <c r="D846" t="inlineStr">
        <is>
          <t>Wasl Asset Management</t>
        </is>
      </c>
      <c r="E846" t="inlineStr">
        <is>
          <t>Wasl Gate</t>
        </is>
      </c>
      <c r="F846" t="inlineStr">
        <is>
          <t>Apartments</t>
        </is>
      </c>
      <c r="G846" t="inlineStr">
        <is>
          <t>Budget</t>
        </is>
      </c>
      <c r="H846" t="inlineStr">
        <is>
          <t>Resale (500k+)</t>
        </is>
      </c>
      <c r="I846" t="inlineStr">
        <is>
          <t>800</t>
        </is>
      </c>
      <c r="J846" t="inlineStr">
        <is>
          <t>12</t>
        </is>
      </c>
      <c r="K846" t="inlineStr">
        <is>
          <t>Completed</t>
        </is>
      </c>
      <c r="L846" t="inlineStr">
        <is>
          <t>2020</t>
        </is>
      </c>
      <c r="M846" t="inlineStr">
        <is>
          <t>7.5-8.0</t>
        </is>
      </c>
      <c r="N846" t="inlineStr">
        <is>
          <t>5-7</t>
        </is>
      </c>
      <c r="O846" t="inlineStr">
        <is>
          <t>12.5-15.0</t>
        </is>
      </c>
      <c r="P846" t="inlineStr">
        <is>
          <t>The Arbor School</t>
        </is>
      </c>
      <c r="Q846" t="inlineStr">
        <is>
          <t>Aster Cedars Jebel Ali</t>
        </is>
      </c>
      <c r="R846" t="inlineStr">
        <is>
          <t>Ibn Battuta Mall</t>
        </is>
      </c>
      <c r="S846" t="inlineStr">
        <is>
          <t>Sheikh Zayed E11</t>
        </is>
      </c>
      <c r="T846" t="inlineStr">
        <is>
          <t>25</t>
        </is>
      </c>
      <c r="U846" t="inlineStr">
        <is>
          <t>10</t>
        </is>
      </c>
      <c r="V846" t="inlineStr">
        <is>
          <t>35</t>
        </is>
      </c>
      <c r="W846" t="inlineStr">
        <is>
          <t>20</t>
        </is>
      </c>
      <c r="X846" t="inlineStr">
        <is>
          <t>Guild.csv</t>
        </is>
      </c>
    </row>
    <row r="847">
      <c r="A847" t="n">
        <v>846</v>
      </c>
      <c r="B847" t="n">
        <v>310</v>
      </c>
      <c r="C847" t="inlineStr">
        <is>
          <t>Park Gate Residences</t>
        </is>
      </c>
      <c r="D847" t="inlineStr">
        <is>
          <t>Wasl Asset Management</t>
        </is>
      </c>
      <c r="E847" t="inlineStr">
        <is>
          <t>Zabeel (Wasl 1)</t>
        </is>
      </c>
      <c r="F847" t="inlineStr">
        <is>
          <t>Apartments</t>
        </is>
      </c>
      <c r="G847" t="inlineStr">
        <is>
          <t>Park View / City</t>
        </is>
      </c>
      <c r="H847" t="inlineStr">
        <is>
          <t>Resale (2M+)</t>
        </is>
      </c>
      <c r="I847" t="inlineStr">
        <is>
          <t>1800</t>
        </is>
      </c>
      <c r="J847" t="inlineStr">
        <is>
          <t>20</t>
        </is>
      </c>
      <c r="K847" t="inlineStr">
        <is>
          <t>Completed</t>
        </is>
      </c>
      <c r="L847" t="inlineStr">
        <is>
          <t>2020</t>
        </is>
      </c>
      <c r="M847" t="inlineStr">
        <is>
          <t>6.0-6.5</t>
        </is>
      </c>
      <c r="N847" t="inlineStr">
        <is>
          <t>5-7</t>
        </is>
      </c>
      <c r="O847" t="inlineStr">
        <is>
          <t>11.0-13.5</t>
        </is>
      </c>
      <c r="P847" t="inlineStr">
        <is>
          <t>Dubai English Speaking</t>
        </is>
      </c>
      <c r="Q847" t="inlineStr">
        <is>
          <t>American Hospital</t>
        </is>
      </c>
      <c r="R847" t="inlineStr">
        <is>
          <t>WAFI Mall</t>
        </is>
      </c>
      <c r="S847" t="inlineStr">
        <is>
          <t>Sheikh Zayed E11</t>
        </is>
      </c>
      <c r="T847" t="inlineStr">
        <is>
          <t>10</t>
        </is>
      </c>
      <c r="U847" t="inlineStr">
        <is>
          <t>25</t>
        </is>
      </c>
      <c r="V847" t="inlineStr">
        <is>
          <t>10</t>
        </is>
      </c>
      <c r="W847" t="inlineStr">
        <is>
          <t>40</t>
        </is>
      </c>
      <c r="X847" t="inlineStr">
        <is>
          <t>Guild.csv</t>
        </is>
      </c>
    </row>
    <row r="848">
      <c r="A848" t="n">
        <v>847</v>
      </c>
      <c r="B848" t="n">
        <v>311</v>
      </c>
      <c r="C848" t="inlineStr">
        <is>
          <t>1 Residences</t>
        </is>
      </c>
      <c r="D848" t="inlineStr">
        <is>
          <t>Wasl Asset Management</t>
        </is>
      </c>
      <c r="E848" t="inlineStr">
        <is>
          <t>Zabeel (Wasl 1)</t>
        </is>
      </c>
      <c r="F848" t="inlineStr">
        <is>
          <t>Apartments</t>
        </is>
      </c>
      <c r="G848" t="inlineStr">
        <is>
          <t>Park View / City</t>
        </is>
      </c>
      <c r="H848" t="inlineStr">
        <is>
          <t>1.8M</t>
        </is>
      </c>
      <c r="I848" t="inlineStr">
        <is>
          <t>1900</t>
        </is>
      </c>
      <c r="J848" t="inlineStr">
        <is>
          <t>20</t>
        </is>
      </c>
      <c r="K848" t="inlineStr">
        <is>
          <t>Completed</t>
        </is>
      </c>
      <c r="L848" t="inlineStr">
        <is>
          <t>2022</t>
        </is>
      </c>
      <c r="M848" t="inlineStr">
        <is>
          <t>6.0-6.5</t>
        </is>
      </c>
      <c r="N848" t="inlineStr">
        <is>
          <t>6-8</t>
        </is>
      </c>
      <c r="O848" t="inlineStr">
        <is>
          <t>12.0-14.5</t>
        </is>
      </c>
      <c r="P848" t="inlineStr">
        <is>
          <t>Dubai English Speaking</t>
        </is>
      </c>
      <c r="Q848" t="inlineStr">
        <is>
          <t>American Hospital</t>
        </is>
      </c>
      <c r="R848" t="inlineStr">
        <is>
          <t>WAFI Mall</t>
        </is>
      </c>
      <c r="S848" t="inlineStr">
        <is>
          <t>Sheikh Zayed E11</t>
        </is>
      </c>
      <c r="T848" t="inlineStr">
        <is>
          <t>10</t>
        </is>
      </c>
      <c r="U848" t="inlineStr">
        <is>
          <t>25</t>
        </is>
      </c>
      <c r="V848" t="inlineStr">
        <is>
          <t>10</t>
        </is>
      </c>
      <c r="W848" t="inlineStr">
        <is>
          <t>40</t>
        </is>
      </c>
      <c r="X848" t="inlineStr">
        <is>
          <t>Guild.csv</t>
        </is>
      </c>
    </row>
    <row r="849">
      <c r="A849" t="n">
        <v>848</v>
      </c>
      <c r="B849" t="n">
        <v>312</v>
      </c>
      <c r="C849" t="inlineStr">
        <is>
          <t>One B Tower</t>
        </is>
      </c>
      <c r="D849" t="inlineStr">
        <is>
          <t>Wasl Asset Management</t>
        </is>
      </c>
      <c r="E849" t="inlineStr">
        <is>
          <t>Sheikh Zayed Road</t>
        </is>
      </c>
      <c r="F849" t="inlineStr">
        <is>
          <t>Apartments</t>
        </is>
      </c>
      <c r="G849" t="inlineStr">
        <is>
          <t>High-Rise / Luxury</t>
        </is>
      </c>
      <c r="H849" t="inlineStr">
        <is>
          <t>2.5M</t>
        </is>
      </c>
      <c r="I849" t="inlineStr">
        <is>
          <t>2200</t>
        </is>
      </c>
      <c r="J849" t="inlineStr">
        <is>
          <t>22</t>
        </is>
      </c>
      <c r="K849" t="inlineStr">
        <is>
          <t>60/40</t>
        </is>
      </c>
      <c r="L849" t="inlineStr">
        <is>
          <t>2024</t>
        </is>
      </c>
      <c r="M849" t="inlineStr">
        <is>
          <t>6.0-6.5</t>
        </is>
      </c>
      <c r="N849" t="inlineStr">
        <is>
          <t>8-10</t>
        </is>
      </c>
      <c r="O849" t="inlineStr">
        <is>
          <t>14.0-16.5</t>
        </is>
      </c>
      <c r="P849" t="inlineStr">
        <is>
          <t>Hartland Intl</t>
        </is>
      </c>
      <c r="Q849" t="inlineStr">
        <is>
          <t>Mediclinic Dubai Mall</t>
        </is>
      </c>
      <c r="R849" t="inlineStr">
        <is>
          <t>Dubai Mall</t>
        </is>
      </c>
      <c r="S849" t="inlineStr">
        <is>
          <t>Sheikh Zayed E11</t>
        </is>
      </c>
      <c r="T849" t="inlineStr">
        <is>
          <t>5</t>
        </is>
      </c>
      <c r="U849" t="inlineStr">
        <is>
          <t>15</t>
        </is>
      </c>
      <c r="V849" t="inlineStr">
        <is>
          <t>15</t>
        </is>
      </c>
      <c r="W849" t="inlineStr">
        <is>
          <t>35</t>
        </is>
      </c>
      <c r="X849" t="inlineStr">
        <is>
          <t>Guild.csv</t>
        </is>
      </c>
    </row>
    <row r="850">
      <c r="A850" t="n">
        <v>849</v>
      </c>
      <c r="B850" t="n">
        <v>313</v>
      </c>
      <c r="C850" t="inlineStr">
        <is>
          <t>Wasl Tower</t>
        </is>
      </c>
      <c r="D850" t="inlineStr">
        <is>
          <t>Wasl Asset Management</t>
        </is>
      </c>
      <c r="E850" t="inlineStr">
        <is>
          <t>Sheikh Zayed Road</t>
        </is>
      </c>
      <c r="F850" t="inlineStr">
        <is>
          <t>Mixed/Hotel</t>
        </is>
      </c>
      <c r="G850" t="inlineStr">
        <is>
          <t>Mandarin Oriental</t>
        </is>
      </c>
      <c r="J850" t="inlineStr">
        <is>
          <t>TBA</t>
        </is>
      </c>
      <c r="K850" t="inlineStr">
        <is>
          <t>Under Const</t>
        </is>
      </c>
      <c r="L850" t="inlineStr">
        <is>
          <t>2024</t>
        </is>
      </c>
      <c r="M850" t="inlineStr">
        <is>
          <t>4.5-5.5</t>
        </is>
      </c>
      <c r="N850" t="inlineStr">
        <is>
          <t>8-10</t>
        </is>
      </c>
      <c r="O850" t="inlineStr">
        <is>
          <t>12.5-15.5</t>
        </is>
      </c>
      <c r="P850" t="inlineStr">
        <is>
          <t>Hartland Intl</t>
        </is>
      </c>
      <c r="Q850" t="inlineStr">
        <is>
          <t>Mediclinic Dubai Mall</t>
        </is>
      </c>
      <c r="R850" t="inlineStr">
        <is>
          <t>Dubai Mall</t>
        </is>
      </c>
      <c r="S850" t="inlineStr">
        <is>
          <t>Sheikh Zayed E11</t>
        </is>
      </c>
      <c r="T850" t="inlineStr">
        <is>
          <t>5</t>
        </is>
      </c>
      <c r="U850" t="inlineStr">
        <is>
          <t>15</t>
        </is>
      </c>
      <c r="V850" t="inlineStr">
        <is>
          <t>15</t>
        </is>
      </c>
      <c r="W850" t="inlineStr">
        <is>
          <t>35</t>
        </is>
      </c>
      <c r="X850" t="inlineStr">
        <is>
          <t>Guild.csv</t>
        </is>
      </c>
    </row>
    <row r="851">
      <c r="A851" t="n">
        <v>850</v>
      </c>
      <c r="B851" t="n">
        <v>314</v>
      </c>
      <c r="C851" t="inlineStr">
        <is>
          <t>Riviera Heights</t>
        </is>
      </c>
      <c r="D851" t="inlineStr">
        <is>
          <t>Wasl Asset Management</t>
        </is>
      </c>
      <c r="E851" t="inlineStr">
        <is>
          <t>MBR City</t>
        </is>
      </c>
      <c r="F851" t="inlineStr">
        <is>
          <t>Apartments</t>
        </is>
      </c>
      <c r="G851" t="inlineStr">
        <is>
          <t>Mid-Rise</t>
        </is>
      </c>
      <c r="H851" t="inlineStr">
        <is>
          <t>TBA</t>
        </is>
      </c>
      <c r="I851" t="inlineStr">
        <is>
          <t>TBA</t>
        </is>
      </c>
      <c r="J851" t="inlineStr">
        <is>
          <t>18</t>
        </is>
      </c>
      <c r="K851" t="inlineStr">
        <is>
          <t>TBA</t>
        </is>
      </c>
      <c r="L851" t="inlineStr">
        <is>
          <t>2024</t>
        </is>
      </c>
      <c r="M851" t="inlineStr">
        <is>
          <t>6.5-7.0</t>
        </is>
      </c>
      <c r="N851" t="inlineStr">
        <is>
          <t>8-10</t>
        </is>
      </c>
      <c r="O851" t="inlineStr">
        <is>
          <t>14.5-17.0</t>
        </is>
      </c>
      <c r="P851" t="inlineStr">
        <is>
          <t>Hartland Intl</t>
        </is>
      </c>
      <c r="Q851" t="inlineStr">
        <is>
          <t>American Hospital</t>
        </is>
      </c>
      <c r="R851" t="inlineStr">
        <is>
          <t>Dubai Mall</t>
        </is>
      </c>
      <c r="S851" t="inlineStr">
        <is>
          <t>Ras Al Khor / E44</t>
        </is>
      </c>
      <c r="T851" t="inlineStr">
        <is>
          <t>12</t>
        </is>
      </c>
      <c r="U851" t="inlineStr">
        <is>
          <t>25</t>
        </is>
      </c>
      <c r="V851" t="inlineStr">
        <is>
          <t>15</t>
        </is>
      </c>
      <c r="W851" t="inlineStr">
        <is>
          <t>40</t>
        </is>
      </c>
      <c r="X851" t="inlineStr">
        <is>
          <t>Guild.csv</t>
        </is>
      </c>
    </row>
    <row r="852">
      <c r="A852" t="n">
        <v>851</v>
      </c>
      <c r="B852" t="n">
        <v>315</v>
      </c>
      <c r="C852" t="inlineStr">
        <is>
          <t>Wasl 51</t>
        </is>
      </c>
      <c r="D852" t="inlineStr">
        <is>
          <t>Wasl Asset Management</t>
        </is>
      </c>
      <c r="E852" t="inlineStr">
        <is>
          <t>Jumeirah 1</t>
        </is>
      </c>
      <c r="F852" t="inlineStr">
        <is>
          <t>Villas/Apts</t>
        </is>
      </c>
      <c r="G852" t="inlineStr">
        <is>
          <t>Luxury / Boutique</t>
        </is>
      </c>
      <c r="H852" t="inlineStr">
        <is>
          <t>Rental Only</t>
        </is>
      </c>
      <c r="K852" t="inlineStr">
        <is>
          <t>Completed</t>
        </is>
      </c>
      <c r="L852" t="inlineStr">
        <is>
          <t>2019</t>
        </is>
      </c>
      <c r="P852" t="inlineStr">
        <is>
          <t>Jumeirah Baccalaureate</t>
        </is>
      </c>
      <c r="Q852" t="inlineStr">
        <is>
          <t>Valiant Clinic</t>
        </is>
      </c>
      <c r="R852" t="inlineStr">
        <is>
          <t>Mercato Mall</t>
        </is>
      </c>
      <c r="S852" t="inlineStr">
        <is>
          <t>Jumeirah St / D94</t>
        </is>
      </c>
      <c r="T852" t="inlineStr">
        <is>
          <t>15</t>
        </is>
      </c>
      <c r="U852" t="inlineStr">
        <is>
          <t>20</t>
        </is>
      </c>
      <c r="V852" t="inlineStr">
        <is>
          <t>20</t>
        </is>
      </c>
      <c r="W852" t="inlineStr">
        <is>
          <t>40</t>
        </is>
      </c>
      <c r="X852" t="inlineStr">
        <is>
          <t>Guild.csv</t>
        </is>
      </c>
    </row>
    <row r="853">
      <c r="A853" t="n">
        <v>852</v>
      </c>
      <c r="B853" t="n">
        <v>316</v>
      </c>
      <c r="C853" t="inlineStr">
        <is>
          <t>Diamondz</t>
        </is>
      </c>
      <c r="D853" t="inlineStr">
        <is>
          <t>Danube Properties</t>
        </is>
      </c>
      <c r="E853" t="inlineStr">
        <is>
          <t>JLT</t>
        </is>
      </c>
      <c r="F853" t="inlineStr">
        <is>
          <t>Apartments</t>
        </is>
      </c>
      <c r="G853" t="inlineStr">
        <is>
          <t>Luxury / High-Rise</t>
        </is>
      </c>
      <c r="H853" t="inlineStr">
        <is>
          <t>1.1M</t>
        </is>
      </c>
      <c r="I853" t="inlineStr">
        <is>
          <t>1800</t>
        </is>
      </c>
      <c r="J853" t="inlineStr">
        <is>
          <t>18</t>
        </is>
      </c>
      <c r="K853" t="inlineStr">
        <is>
          <t>1% Monthly</t>
        </is>
      </c>
      <c r="L853" t="inlineStr">
        <is>
          <t>2024</t>
        </is>
      </c>
      <c r="M853" t="inlineStr">
        <is>
          <t>6.5-7.0</t>
        </is>
      </c>
      <c r="N853" t="inlineStr">
        <is>
          <t>6-9</t>
        </is>
      </c>
      <c r="O853" t="inlineStr">
        <is>
          <t>12.5-16.0</t>
        </is>
      </c>
      <c r="P853" t="inlineStr">
        <is>
          <t>Emirates Intl School</t>
        </is>
      </c>
      <c r="Q853" t="inlineStr">
        <is>
          <t>Saudi German Hospital</t>
        </is>
      </c>
      <c r="R853" t="inlineStr">
        <is>
          <t>Dubai Marina Mall</t>
        </is>
      </c>
      <c r="S853" t="inlineStr">
        <is>
          <t>Sheikh Zayed E11</t>
        </is>
      </c>
      <c r="T853" t="inlineStr">
        <is>
          <t>20</t>
        </is>
      </c>
      <c r="U853" t="inlineStr">
        <is>
          <t>5</t>
        </is>
      </c>
      <c r="V853" t="inlineStr">
        <is>
          <t>25</t>
        </is>
      </c>
      <c r="W853" t="inlineStr">
        <is>
          <t>30</t>
        </is>
      </c>
      <c r="X853" t="inlineStr">
        <is>
          <t>Guild.csv</t>
        </is>
      </c>
    </row>
    <row r="854">
      <c r="A854" t="n">
        <v>853</v>
      </c>
      <c r="B854" t="n">
        <v>317</v>
      </c>
      <c r="C854" t="inlineStr">
        <is>
          <t>Viewz</t>
        </is>
      </c>
      <c r="D854" t="inlineStr">
        <is>
          <t>Danube Properties</t>
        </is>
      </c>
      <c r="E854" t="inlineStr">
        <is>
          <t>JLT</t>
        </is>
      </c>
      <c r="F854" t="inlineStr">
        <is>
          <t>Branded Apts (Aston Martin)</t>
        </is>
      </c>
      <c r="G854" t="inlineStr">
        <is>
          <t>Luxury / View</t>
        </is>
      </c>
      <c r="H854" t="inlineStr">
        <is>
          <t>1.2M</t>
        </is>
      </c>
      <c r="I854" t="inlineStr">
        <is>
          <t>1900</t>
        </is>
      </c>
      <c r="J854" t="inlineStr">
        <is>
          <t>18</t>
        </is>
      </c>
      <c r="K854" t="inlineStr">
        <is>
          <t>1% Monthly</t>
        </is>
      </c>
      <c r="L854" t="inlineStr">
        <is>
          <t>2023</t>
        </is>
      </c>
      <c r="M854" t="inlineStr">
        <is>
          <t>6.5-7.0</t>
        </is>
      </c>
      <c r="N854" t="inlineStr">
        <is>
          <t>6-9</t>
        </is>
      </c>
      <c r="O854" t="inlineStr">
        <is>
          <t>12.5-16.0</t>
        </is>
      </c>
      <c r="P854" t="inlineStr">
        <is>
          <t>Emirates Intl School</t>
        </is>
      </c>
      <c r="Q854" t="inlineStr">
        <is>
          <t>Saudi German Hospital</t>
        </is>
      </c>
      <c r="R854" t="inlineStr">
        <is>
          <t>Dubai Marina Mall</t>
        </is>
      </c>
      <c r="S854" t="inlineStr">
        <is>
          <t>Sheikh Zayed E11</t>
        </is>
      </c>
      <c r="T854" t="inlineStr">
        <is>
          <t>20</t>
        </is>
      </c>
      <c r="U854" t="inlineStr">
        <is>
          <t>5</t>
        </is>
      </c>
      <c r="V854" t="inlineStr">
        <is>
          <t>25</t>
        </is>
      </c>
      <c r="W854" t="inlineStr">
        <is>
          <t>30</t>
        </is>
      </c>
      <c r="X854" t="inlineStr">
        <is>
          <t>Guild.csv</t>
        </is>
      </c>
    </row>
    <row r="855">
      <c r="A855" t="n">
        <v>854</v>
      </c>
      <c r="B855" t="n">
        <v>318</v>
      </c>
      <c r="C855" t="inlineStr">
        <is>
          <t>Bayz 101</t>
        </is>
      </c>
      <c r="D855" t="inlineStr">
        <is>
          <t>Danube Properties</t>
        </is>
      </c>
      <c r="E855" t="inlineStr">
        <is>
          <t>Business Bay</t>
        </is>
      </c>
      <c r="F855" t="inlineStr">
        <is>
          <t>Apartments</t>
        </is>
      </c>
      <c r="G855" t="inlineStr">
        <is>
          <t>High-Rise / City</t>
        </is>
      </c>
      <c r="H855" t="inlineStr">
        <is>
          <t>1.3M</t>
        </is>
      </c>
      <c r="I855" t="inlineStr">
        <is>
          <t>2000</t>
        </is>
      </c>
      <c r="J855" t="inlineStr">
        <is>
          <t>18</t>
        </is>
      </c>
      <c r="K855" t="inlineStr">
        <is>
          <t>1% Monthly</t>
        </is>
      </c>
      <c r="L855" t="inlineStr">
        <is>
          <t>2024</t>
        </is>
      </c>
      <c r="M855" t="inlineStr">
        <is>
          <t>6.5-7.0</t>
        </is>
      </c>
      <c r="N855" t="inlineStr">
        <is>
          <t>6-9</t>
        </is>
      </c>
      <c r="O855" t="inlineStr">
        <is>
          <t>12.5-16.0</t>
        </is>
      </c>
      <c r="P855" t="inlineStr">
        <is>
          <t>Hartland Intl</t>
        </is>
      </c>
      <c r="Q855" t="inlineStr">
        <is>
          <t>Emirates Hospital BB</t>
        </is>
      </c>
      <c r="R855" t="inlineStr">
        <is>
          <t>Dubai Mall</t>
        </is>
      </c>
      <c r="S855" t="inlineStr">
        <is>
          <t>Al Khail E44</t>
        </is>
      </c>
      <c r="T855" t="inlineStr">
        <is>
          <t>5</t>
        </is>
      </c>
      <c r="U855" t="inlineStr">
        <is>
          <t>20</t>
        </is>
      </c>
      <c r="V855" t="inlineStr">
        <is>
          <t>15</t>
        </is>
      </c>
      <c r="W855" t="inlineStr">
        <is>
          <t>35</t>
        </is>
      </c>
      <c r="X855" t="inlineStr">
        <is>
          <t>Guild.csv</t>
        </is>
      </c>
    </row>
    <row r="856">
      <c r="A856" t="n">
        <v>855</v>
      </c>
      <c r="B856" t="n">
        <v>319</v>
      </c>
      <c r="C856" t="inlineStr">
        <is>
          <t>Bayz 102</t>
        </is>
      </c>
      <c r="D856" t="inlineStr">
        <is>
          <t>Danube Properties</t>
        </is>
      </c>
      <c r="E856" t="inlineStr">
        <is>
          <t>Business Bay</t>
        </is>
      </c>
      <c r="F856" t="inlineStr">
        <is>
          <t>Apartments</t>
        </is>
      </c>
      <c r="G856" t="inlineStr">
        <is>
          <t>High-Rise / City</t>
        </is>
      </c>
      <c r="H856" t="inlineStr">
        <is>
          <t>1.35M</t>
        </is>
      </c>
      <c r="I856" t="inlineStr">
        <is>
          <t>2000</t>
        </is>
      </c>
      <c r="J856" t="inlineStr">
        <is>
          <t>18</t>
        </is>
      </c>
      <c r="K856" t="inlineStr">
        <is>
          <t>1% Monthly</t>
        </is>
      </c>
      <c r="L856" t="inlineStr">
        <is>
          <t>2024</t>
        </is>
      </c>
      <c r="M856" t="inlineStr">
        <is>
          <t>6.5-7.0</t>
        </is>
      </c>
      <c r="N856" t="inlineStr">
        <is>
          <t>6-9</t>
        </is>
      </c>
      <c r="O856" t="inlineStr">
        <is>
          <t>12.5-16.0</t>
        </is>
      </c>
      <c r="P856" t="inlineStr">
        <is>
          <t>Hartland Intl</t>
        </is>
      </c>
      <c r="Q856" t="inlineStr">
        <is>
          <t>Emirates Hospital BB</t>
        </is>
      </c>
      <c r="R856" t="inlineStr">
        <is>
          <t>Dubai Mall</t>
        </is>
      </c>
      <c r="S856" t="inlineStr">
        <is>
          <t>Al Khail E44</t>
        </is>
      </c>
      <c r="T856" t="inlineStr">
        <is>
          <t>5</t>
        </is>
      </c>
      <c r="U856" t="inlineStr">
        <is>
          <t>20</t>
        </is>
      </c>
      <c r="V856" t="inlineStr">
        <is>
          <t>15</t>
        </is>
      </c>
      <c r="W856" t="inlineStr">
        <is>
          <t>35</t>
        </is>
      </c>
      <c r="X856" t="inlineStr">
        <is>
          <t>Guild.csv</t>
        </is>
      </c>
    </row>
    <row r="857">
      <c r="A857" t="n">
        <v>856</v>
      </c>
      <c r="B857" t="n">
        <v>320</v>
      </c>
      <c r="C857" t="inlineStr">
        <is>
          <t>Oceanz</t>
        </is>
      </c>
      <c r="D857" t="inlineStr">
        <is>
          <t>Danube Properties</t>
        </is>
      </c>
      <c r="E857" t="inlineStr">
        <is>
          <t>Dubai Maritime City</t>
        </is>
      </c>
      <c r="F857" t="inlineStr">
        <is>
          <t>Apartments</t>
        </is>
      </c>
      <c r="G857" t="inlineStr">
        <is>
          <t>Sea View</t>
        </is>
      </c>
      <c r="H857" t="inlineStr">
        <is>
          <t>1.1M</t>
        </is>
      </c>
      <c r="I857" t="inlineStr">
        <is>
          <t>1800</t>
        </is>
      </c>
      <c r="J857" t="inlineStr">
        <is>
          <t>18</t>
        </is>
      </c>
      <c r="K857" t="inlineStr">
        <is>
          <t>1% Monthly</t>
        </is>
      </c>
      <c r="L857" t="inlineStr">
        <is>
          <t>2023</t>
        </is>
      </c>
      <c r="M857" t="inlineStr">
        <is>
          <t>6.5-7.0</t>
        </is>
      </c>
      <c r="N857" t="inlineStr">
        <is>
          <t>8-10</t>
        </is>
      </c>
      <c r="O857" t="inlineStr">
        <is>
          <t>14.5-17.0</t>
        </is>
      </c>
      <c r="P857" t="inlineStr">
        <is>
          <t>New Academy School</t>
        </is>
      </c>
      <c r="Q857" t="inlineStr">
        <is>
          <t>Aster Hospital Mankhool</t>
        </is>
      </c>
      <c r="R857" t="inlineStr">
        <is>
          <t>Dubai Mall</t>
        </is>
      </c>
      <c r="S857" t="inlineStr">
        <is>
          <t>Al Khaleej / E11</t>
        </is>
      </c>
      <c r="T857" t="inlineStr">
        <is>
          <t>15</t>
        </is>
      </c>
      <c r="U857" t="inlineStr">
        <is>
          <t>25</t>
        </is>
      </c>
      <c r="V857" t="inlineStr">
        <is>
          <t>15</t>
        </is>
      </c>
      <c r="W857" t="inlineStr">
        <is>
          <t>45</t>
        </is>
      </c>
      <c r="X857" t="inlineStr">
        <is>
          <t>Guild.csv</t>
        </is>
      </c>
    </row>
    <row r="858">
      <c r="A858" t="n">
        <v>857</v>
      </c>
      <c r="B858" t="n">
        <v>321</v>
      </c>
      <c r="C858" t="inlineStr">
        <is>
          <t>Sportz</t>
        </is>
      </c>
      <c r="D858" t="inlineStr">
        <is>
          <t>Danube Properties</t>
        </is>
      </c>
      <c r="E858" t="inlineStr">
        <is>
          <t>Dubai Sports City</t>
        </is>
      </c>
      <c r="F858" t="inlineStr">
        <is>
          <t>Apartments</t>
        </is>
      </c>
      <c r="G858" t="inlineStr">
        <is>
          <t>Sports Amenities</t>
        </is>
      </c>
      <c r="H858" t="inlineStr">
        <is>
          <t>900k</t>
        </is>
      </c>
      <c r="I858" t="inlineStr">
        <is>
          <t>1300</t>
        </is>
      </c>
      <c r="J858" t="inlineStr">
        <is>
          <t>15</t>
        </is>
      </c>
      <c r="K858" t="inlineStr">
        <is>
          <t>1% Monthly</t>
        </is>
      </c>
      <c r="L858" t="inlineStr">
        <is>
          <t>2023</t>
        </is>
      </c>
      <c r="M858" t="inlineStr">
        <is>
          <t>7.5-8.0</t>
        </is>
      </c>
      <c r="N858" t="inlineStr">
        <is>
          <t>6-8</t>
        </is>
      </c>
      <c r="O858" t="inlineStr">
        <is>
          <t>13.5-16.0</t>
        </is>
      </c>
      <c r="P858" t="inlineStr">
        <is>
          <t>Victory Heights</t>
        </is>
      </c>
      <c r="Q858" t="inlineStr">
        <is>
          <t>NMC Royal DIP</t>
        </is>
      </c>
      <c r="R858" t="inlineStr">
        <is>
          <t>City Centre Me'aisem</t>
        </is>
      </c>
      <c r="S858" t="inlineStr">
        <is>
          <t>E311 / Hessa St</t>
        </is>
      </c>
      <c r="T858" t="inlineStr">
        <is>
          <t>20</t>
        </is>
      </c>
      <c r="U858" t="inlineStr">
        <is>
          <t>15</t>
        </is>
      </c>
      <c r="V858" t="inlineStr">
        <is>
          <t>25</t>
        </is>
      </c>
      <c r="W858" t="inlineStr">
        <is>
          <t>25</t>
        </is>
      </c>
      <c r="X858" t="inlineStr">
        <is>
          <t>Guild.csv</t>
        </is>
      </c>
    </row>
    <row r="859">
      <c r="A859" t="n">
        <v>858</v>
      </c>
      <c r="B859" t="n">
        <v>322</v>
      </c>
      <c r="C859" t="inlineStr">
        <is>
          <t>Eleganz</t>
        </is>
      </c>
      <c r="D859" t="inlineStr">
        <is>
          <t>Danube Properties</t>
        </is>
      </c>
      <c r="E859" t="inlineStr">
        <is>
          <t>JVC</t>
        </is>
      </c>
      <c r="F859" t="inlineStr">
        <is>
          <t>Apartments</t>
        </is>
      </c>
      <c r="G859" t="inlineStr">
        <is>
          <t>Ready to Move</t>
        </is>
      </c>
      <c r="H859" t="inlineStr">
        <is>
          <t>1.1M</t>
        </is>
      </c>
      <c r="I859" t="inlineStr">
        <is>
          <t>1400</t>
        </is>
      </c>
      <c r="J859" t="inlineStr">
        <is>
          <t>15</t>
        </is>
      </c>
      <c r="K859" t="inlineStr">
        <is>
          <t>1% Monthly</t>
        </is>
      </c>
      <c r="L859" t="inlineStr">
        <is>
          <t>2023</t>
        </is>
      </c>
      <c r="M859" t="inlineStr">
        <is>
          <t>7.5-8.0</t>
        </is>
      </c>
      <c r="N859" t="inlineStr">
        <is>
          <t>5-7</t>
        </is>
      </c>
      <c r="O859" t="inlineStr">
        <is>
          <t>12.5-15.0</t>
        </is>
      </c>
      <c r="P859" t="inlineStr">
        <is>
          <t>JSS International</t>
        </is>
      </c>
      <c r="Q859" t="inlineStr">
        <is>
          <t>Saudi German Hospital</t>
        </is>
      </c>
      <c r="R859" t="inlineStr">
        <is>
          <t>Circle Mall</t>
        </is>
      </c>
      <c r="S859" t="inlineStr">
        <is>
          <t>Hessa St / E44</t>
        </is>
      </c>
      <c r="T859" t="inlineStr">
        <is>
          <t>20</t>
        </is>
      </c>
      <c r="U859" t="inlineStr">
        <is>
          <t>15</t>
        </is>
      </c>
      <c r="V859" t="inlineStr">
        <is>
          <t>25</t>
        </is>
      </c>
      <c r="W859" t="inlineStr">
        <is>
          <t>30</t>
        </is>
      </c>
      <c r="X859" t="inlineStr">
        <is>
          <t>Guild.csv</t>
        </is>
      </c>
    </row>
    <row r="860">
      <c r="A860" t="n">
        <v>859</v>
      </c>
      <c r="B860" t="n">
        <v>323</v>
      </c>
      <c r="C860" t="inlineStr">
        <is>
          <t>Elitz 1</t>
        </is>
      </c>
      <c r="D860" t="inlineStr">
        <is>
          <t>Danube Properties</t>
        </is>
      </c>
      <c r="E860" t="inlineStr">
        <is>
          <t>JVC</t>
        </is>
      </c>
      <c r="F860" t="inlineStr">
        <is>
          <t>Apartments</t>
        </is>
      </c>
      <c r="G860" t="inlineStr">
        <is>
          <t>High-Rise</t>
        </is>
      </c>
      <c r="H860" t="inlineStr">
        <is>
          <t>1.0M</t>
        </is>
      </c>
      <c r="I860" t="inlineStr">
        <is>
          <t>1400</t>
        </is>
      </c>
      <c r="J860" t="inlineStr">
        <is>
          <t>15</t>
        </is>
      </c>
      <c r="K860" t="inlineStr">
        <is>
          <t>1% Monthly</t>
        </is>
      </c>
      <c r="L860" t="inlineStr">
        <is>
          <t>2022</t>
        </is>
      </c>
      <c r="M860" t="inlineStr">
        <is>
          <t>7.5-8.0</t>
        </is>
      </c>
      <c r="N860" t="inlineStr">
        <is>
          <t>6-8</t>
        </is>
      </c>
      <c r="O860" t="inlineStr">
        <is>
          <t>13.5-16.0</t>
        </is>
      </c>
      <c r="P860" t="inlineStr">
        <is>
          <t>JSS International</t>
        </is>
      </c>
      <c r="Q860" t="inlineStr">
        <is>
          <t>Saudi German Hospital</t>
        </is>
      </c>
      <c r="R860" t="inlineStr">
        <is>
          <t>Circle Mall</t>
        </is>
      </c>
      <c r="S860" t="inlineStr">
        <is>
          <t>Hessa St / E44</t>
        </is>
      </c>
      <c r="T860" t="inlineStr">
        <is>
          <t>20</t>
        </is>
      </c>
      <c r="U860" t="inlineStr">
        <is>
          <t>15</t>
        </is>
      </c>
      <c r="V860" t="inlineStr">
        <is>
          <t>25</t>
        </is>
      </c>
      <c r="W860" t="inlineStr">
        <is>
          <t>30</t>
        </is>
      </c>
      <c r="X860" t="inlineStr">
        <is>
          <t>Guild.csv</t>
        </is>
      </c>
    </row>
    <row r="861">
      <c r="A861" t="n">
        <v>860</v>
      </c>
      <c r="B861" t="n">
        <v>324</v>
      </c>
      <c r="C861" t="inlineStr">
        <is>
          <t>Elitz 2</t>
        </is>
      </c>
      <c r="D861" t="inlineStr">
        <is>
          <t>Danube Properties</t>
        </is>
      </c>
      <c r="E861" t="inlineStr">
        <is>
          <t>JVC</t>
        </is>
      </c>
      <c r="F861" t="inlineStr">
        <is>
          <t>Apartments</t>
        </is>
      </c>
      <c r="G861" t="inlineStr">
        <is>
          <t>High-Rise</t>
        </is>
      </c>
      <c r="H861" t="inlineStr">
        <is>
          <t>1.0M</t>
        </is>
      </c>
      <c r="I861" t="inlineStr">
        <is>
          <t>1400</t>
        </is>
      </c>
      <c r="J861" t="inlineStr">
        <is>
          <t>15</t>
        </is>
      </c>
      <c r="K861" t="inlineStr">
        <is>
          <t>1% Monthly</t>
        </is>
      </c>
      <c r="L861" t="inlineStr">
        <is>
          <t>2023</t>
        </is>
      </c>
      <c r="M861" t="inlineStr">
        <is>
          <t>7.5-8.0</t>
        </is>
      </c>
      <c r="N861" t="inlineStr">
        <is>
          <t>6-8</t>
        </is>
      </c>
      <c r="O861" t="inlineStr">
        <is>
          <t>13.5-16.0</t>
        </is>
      </c>
      <c r="P861" t="inlineStr">
        <is>
          <t>JSS International</t>
        </is>
      </c>
      <c r="Q861" t="inlineStr">
        <is>
          <t>Saudi German Hospital</t>
        </is>
      </c>
      <c r="R861" t="inlineStr">
        <is>
          <t>Circle Mall</t>
        </is>
      </c>
      <c r="S861" t="inlineStr">
        <is>
          <t>Hessa St / E44</t>
        </is>
      </c>
      <c r="T861" t="inlineStr">
        <is>
          <t>20</t>
        </is>
      </c>
      <c r="U861" t="inlineStr">
        <is>
          <t>15</t>
        </is>
      </c>
      <c r="V861" t="inlineStr">
        <is>
          <t>25</t>
        </is>
      </c>
      <c r="W861" t="inlineStr">
        <is>
          <t>30</t>
        </is>
      </c>
      <c r="X861" t="inlineStr">
        <is>
          <t>Guild.csv</t>
        </is>
      </c>
    </row>
    <row r="862">
      <c r="A862" t="n">
        <v>861</v>
      </c>
      <c r="B862" t="n">
        <v>325</v>
      </c>
      <c r="C862" t="inlineStr">
        <is>
          <t>Elitz 3</t>
        </is>
      </c>
      <c r="D862" t="inlineStr">
        <is>
          <t>Danube Properties</t>
        </is>
      </c>
      <c r="E862" t="inlineStr">
        <is>
          <t>JVC</t>
        </is>
      </c>
      <c r="F862" t="inlineStr">
        <is>
          <t>Apartments</t>
        </is>
      </c>
      <c r="G862" t="inlineStr">
        <is>
          <t>High-Rise</t>
        </is>
      </c>
      <c r="H862" t="inlineStr">
        <is>
          <t>1.0M</t>
        </is>
      </c>
      <c r="I862" t="inlineStr">
        <is>
          <t>1400</t>
        </is>
      </c>
      <c r="J862" t="inlineStr">
        <is>
          <t>15</t>
        </is>
      </c>
      <c r="K862" t="inlineStr">
        <is>
          <t>1% Monthly</t>
        </is>
      </c>
      <c r="L862" t="inlineStr">
        <is>
          <t>2023</t>
        </is>
      </c>
      <c r="M862" t="inlineStr">
        <is>
          <t>7.5-8.0</t>
        </is>
      </c>
      <c r="N862" t="inlineStr">
        <is>
          <t>6-8</t>
        </is>
      </c>
      <c r="O862" t="inlineStr">
        <is>
          <t>13.5-16.0</t>
        </is>
      </c>
      <c r="P862" t="inlineStr">
        <is>
          <t>JSS International</t>
        </is>
      </c>
      <c r="Q862" t="inlineStr">
        <is>
          <t>Saudi German Hospital</t>
        </is>
      </c>
      <c r="R862" t="inlineStr">
        <is>
          <t>Circle Mall</t>
        </is>
      </c>
      <c r="S862" t="inlineStr">
        <is>
          <t>Hessa St / E44</t>
        </is>
      </c>
      <c r="T862" t="inlineStr">
        <is>
          <t>20</t>
        </is>
      </c>
      <c r="U862" t="inlineStr">
        <is>
          <t>15</t>
        </is>
      </c>
      <c r="V862" t="inlineStr">
        <is>
          <t>25</t>
        </is>
      </c>
      <c r="W862" t="inlineStr">
        <is>
          <t>30</t>
        </is>
      </c>
      <c r="X862" t="inlineStr">
        <is>
          <t>Guild.csv</t>
        </is>
      </c>
    </row>
    <row r="863">
      <c r="A863" t="n">
        <v>862</v>
      </c>
      <c r="B863" t="n">
        <v>326</v>
      </c>
      <c r="C863" t="inlineStr">
        <is>
          <t>Fashionz</t>
        </is>
      </c>
      <c r="D863" t="inlineStr">
        <is>
          <t>Danube Properties</t>
        </is>
      </c>
      <c r="E863" t="inlineStr">
        <is>
          <t>JVT</t>
        </is>
      </c>
      <c r="F863" t="inlineStr">
        <is>
          <t>Branded Apts (Fashion TV)</t>
        </is>
      </c>
      <c r="G863" t="inlineStr">
        <is>
          <t>Style / Tower</t>
        </is>
      </c>
      <c r="H863" t="inlineStr">
        <is>
          <t>900k</t>
        </is>
      </c>
      <c r="I863" t="inlineStr">
        <is>
          <t>1300</t>
        </is>
      </c>
      <c r="J863" t="inlineStr">
        <is>
          <t>15</t>
        </is>
      </c>
      <c r="K863" t="inlineStr">
        <is>
          <t>1% Monthly</t>
        </is>
      </c>
      <c r="L863" t="inlineStr">
        <is>
          <t>2023</t>
        </is>
      </c>
      <c r="M863" t="inlineStr">
        <is>
          <t>7.0-7.5</t>
        </is>
      </c>
      <c r="N863" t="inlineStr">
        <is>
          <t>6-8</t>
        </is>
      </c>
      <c r="O863" t="inlineStr">
        <is>
          <t>13.0-15.5</t>
        </is>
      </c>
      <c r="P863" t="inlineStr">
        <is>
          <t>Sunmarke School</t>
        </is>
      </c>
      <c r="Q863" t="inlineStr">
        <is>
          <t>NMC Royal DIP</t>
        </is>
      </c>
      <c r="R863" t="inlineStr">
        <is>
          <t>Circle Mall</t>
        </is>
      </c>
      <c r="S863" t="inlineStr">
        <is>
          <t>E311 / Yalayis</t>
        </is>
      </c>
      <c r="T863" t="inlineStr">
        <is>
          <t>20</t>
        </is>
      </c>
      <c r="U863" t="inlineStr">
        <is>
          <t>15</t>
        </is>
      </c>
      <c r="V863" t="inlineStr">
        <is>
          <t>30</t>
        </is>
      </c>
      <c r="W863" t="inlineStr">
        <is>
          <t>20</t>
        </is>
      </c>
      <c r="X863" t="inlineStr">
        <is>
          <t>Guild.csv</t>
        </is>
      </c>
    </row>
    <row r="864">
      <c r="A864" t="n">
        <v>863</v>
      </c>
      <c r="B864" t="n">
        <v>327</v>
      </c>
      <c r="C864" t="inlineStr">
        <is>
          <t>Gemz</t>
        </is>
      </c>
      <c r="D864" t="inlineStr">
        <is>
          <t>Danube Properties</t>
        </is>
      </c>
      <c r="E864" t="inlineStr">
        <is>
          <t>Al Furjan</t>
        </is>
      </c>
      <c r="F864" t="inlineStr">
        <is>
          <t>Apartments</t>
        </is>
      </c>
      <c r="G864" t="inlineStr">
        <is>
          <t>Pyramid Design</t>
        </is>
      </c>
      <c r="H864" t="inlineStr">
        <is>
          <t>900k</t>
        </is>
      </c>
      <c r="I864" t="inlineStr">
        <is>
          <t>1200</t>
        </is>
      </c>
      <c r="J864" t="inlineStr">
        <is>
          <t>12</t>
        </is>
      </c>
      <c r="K864" t="inlineStr">
        <is>
          <t>1% Monthly</t>
        </is>
      </c>
      <c r="L864" t="inlineStr">
        <is>
          <t>2022</t>
        </is>
      </c>
      <c r="M864" t="inlineStr">
        <is>
          <t>7.0-7.5</t>
        </is>
      </c>
      <c r="N864" t="inlineStr">
        <is>
          <t>6-8</t>
        </is>
      </c>
      <c r="O864" t="inlineStr">
        <is>
          <t>13.0-15.5</t>
        </is>
      </c>
      <c r="P864" t="inlineStr">
        <is>
          <t>The Arbor School</t>
        </is>
      </c>
      <c r="Q864" t="inlineStr">
        <is>
          <t>NMC Royal DIP</t>
        </is>
      </c>
      <c r="R864" t="inlineStr">
        <is>
          <t>Ibn Battuta Mall</t>
        </is>
      </c>
      <c r="S864" t="inlineStr">
        <is>
          <t>Yalayis / E311</t>
        </is>
      </c>
      <c r="T864" t="inlineStr">
        <is>
          <t>25</t>
        </is>
      </c>
      <c r="U864" t="inlineStr">
        <is>
          <t>15</t>
        </is>
      </c>
      <c r="V864" t="inlineStr">
        <is>
          <t>30</t>
        </is>
      </c>
      <c r="W864" t="inlineStr">
        <is>
          <t>20</t>
        </is>
      </c>
      <c r="X864" t="inlineStr">
        <is>
          <t>Guild.csv</t>
        </is>
      </c>
    </row>
    <row r="865">
      <c r="A865" t="n">
        <v>864</v>
      </c>
      <c r="B865" t="n">
        <v>328</v>
      </c>
      <c r="C865" t="inlineStr">
        <is>
          <t>Pearlz</t>
        </is>
      </c>
      <c r="D865" t="inlineStr">
        <is>
          <t>Danube Properties</t>
        </is>
      </c>
      <c r="E865" t="inlineStr">
        <is>
          <t>Al Furjan</t>
        </is>
      </c>
      <c r="F865" t="inlineStr">
        <is>
          <t>Apartments</t>
        </is>
      </c>
      <c r="G865" t="inlineStr">
        <is>
          <t>Budget / Family</t>
        </is>
      </c>
      <c r="H865" t="inlineStr">
        <is>
          <t>850k</t>
        </is>
      </c>
      <c r="I865" t="inlineStr">
        <is>
          <t>1100</t>
        </is>
      </c>
      <c r="J865" t="inlineStr">
        <is>
          <t>12</t>
        </is>
      </c>
      <c r="K865" t="inlineStr">
        <is>
          <t>1% Monthly</t>
        </is>
      </c>
      <c r="L865" t="inlineStr">
        <is>
          <t>2022</t>
        </is>
      </c>
      <c r="M865" t="inlineStr">
        <is>
          <t>7.0-7.5</t>
        </is>
      </c>
      <c r="N865" t="inlineStr">
        <is>
          <t>6-8</t>
        </is>
      </c>
      <c r="O865" t="inlineStr">
        <is>
          <t>13.0-15.5</t>
        </is>
      </c>
      <c r="P865" t="inlineStr">
        <is>
          <t>The Arbor School</t>
        </is>
      </c>
      <c r="Q865" t="inlineStr">
        <is>
          <t>NMC Royal DIP</t>
        </is>
      </c>
      <c r="R865" t="inlineStr">
        <is>
          <t>Ibn Battuta Mall</t>
        </is>
      </c>
      <c r="S865" t="inlineStr">
        <is>
          <t>Yalayis / E311</t>
        </is>
      </c>
      <c r="T865" t="inlineStr">
        <is>
          <t>25</t>
        </is>
      </c>
      <c r="U865" t="inlineStr">
        <is>
          <t>15</t>
        </is>
      </c>
      <c r="V865" t="inlineStr">
        <is>
          <t>30</t>
        </is>
      </c>
      <c r="W865" t="inlineStr">
        <is>
          <t>20</t>
        </is>
      </c>
      <c r="X865" t="inlineStr">
        <is>
          <t>Guild.csv</t>
        </is>
      </c>
    </row>
    <row r="866">
      <c r="A866" t="n">
        <v>865</v>
      </c>
      <c r="B866" t="n">
        <v>329</v>
      </c>
      <c r="C866" t="inlineStr">
        <is>
          <t>Opalz</t>
        </is>
      </c>
      <c r="D866" t="inlineStr">
        <is>
          <t>Danube Properties</t>
        </is>
      </c>
      <c r="E866" t="inlineStr">
        <is>
          <t>Arjan</t>
        </is>
      </c>
      <c r="F866" t="inlineStr">
        <is>
          <t>Apartments</t>
        </is>
      </c>
      <c r="G866" t="inlineStr">
        <is>
          <t>High-Rise / Family</t>
        </is>
      </c>
      <c r="H866" t="inlineStr">
        <is>
          <t>900k</t>
        </is>
      </c>
      <c r="I866" t="inlineStr">
        <is>
          <t>1200</t>
        </is>
      </c>
      <c r="J866" t="inlineStr">
        <is>
          <t>14</t>
        </is>
      </c>
      <c r="K866" t="inlineStr">
        <is>
          <t>1% Monthly</t>
        </is>
      </c>
      <c r="L866" t="inlineStr">
        <is>
          <t>2022</t>
        </is>
      </c>
      <c r="M866" t="inlineStr">
        <is>
          <t>7.5-8.0</t>
        </is>
      </c>
      <c r="N866" t="inlineStr">
        <is>
          <t>6-8</t>
        </is>
      </c>
      <c r="O866" t="inlineStr">
        <is>
          <t>13.5-16.0</t>
        </is>
      </c>
      <c r="P866" t="inlineStr">
        <is>
          <t>Nord Anglia</t>
        </is>
      </c>
      <c r="Q866" t="inlineStr">
        <is>
          <t>Mediclinic Parkview</t>
        </is>
      </c>
      <c r="R866" t="inlineStr">
        <is>
          <t>Dubai Hills Mall</t>
        </is>
      </c>
      <c r="S866" t="inlineStr">
        <is>
          <t>Umm Suqeim / E311</t>
        </is>
      </c>
      <c r="T866" t="inlineStr">
        <is>
          <t>20</t>
        </is>
      </c>
      <c r="U866" t="inlineStr">
        <is>
          <t>20</t>
        </is>
      </c>
      <c r="V866" t="inlineStr">
        <is>
          <t>30</t>
        </is>
      </c>
      <c r="W866" t="inlineStr">
        <is>
          <t>25</t>
        </is>
      </c>
      <c r="X866" t="inlineStr">
        <is>
          <t>Guild.csv</t>
        </is>
      </c>
    </row>
    <row r="867">
      <c r="A867" t="n">
        <v>866</v>
      </c>
      <c r="B867" t="n">
        <v>330</v>
      </c>
      <c r="C867" t="inlineStr">
        <is>
          <t>Petalz</t>
        </is>
      </c>
      <c r="D867" t="inlineStr">
        <is>
          <t>Danube Properties</t>
        </is>
      </c>
      <c r="E867" t="inlineStr">
        <is>
          <t>International City (Warsan)</t>
        </is>
      </c>
      <c r="F867" t="inlineStr">
        <is>
          <t>Apartments</t>
        </is>
      </c>
      <c r="G867" t="inlineStr">
        <is>
          <t>Budget</t>
        </is>
      </c>
      <c r="H867" t="inlineStr">
        <is>
          <t>700k</t>
        </is>
      </c>
      <c r="I867" t="inlineStr">
        <is>
          <t>1000</t>
        </is>
      </c>
      <c r="J867" t="inlineStr">
        <is>
          <t>12</t>
        </is>
      </c>
      <c r="K867" t="inlineStr">
        <is>
          <t>1% Monthly</t>
        </is>
      </c>
      <c r="L867" t="inlineStr">
        <is>
          <t>2022</t>
        </is>
      </c>
      <c r="M867" t="inlineStr">
        <is>
          <t>8.0-8.5</t>
        </is>
      </c>
      <c r="N867" t="inlineStr">
        <is>
          <t>5-7</t>
        </is>
      </c>
      <c r="O867" t="inlineStr">
        <is>
          <t>13.0-15.5</t>
        </is>
      </c>
      <c r="P867" t="inlineStr">
        <is>
          <t>Intl School of Arts</t>
        </is>
      </c>
      <c r="Q867" t="inlineStr">
        <is>
          <t>Aster Hospital</t>
        </is>
      </c>
      <c r="R867" t="inlineStr">
        <is>
          <t>Dragon Mart</t>
        </is>
      </c>
      <c r="S867" t="inlineStr">
        <is>
          <t>E44 / E311</t>
        </is>
      </c>
      <c r="T867" t="inlineStr">
        <is>
          <t>20</t>
        </is>
      </c>
      <c r="U867" t="inlineStr">
        <is>
          <t>30</t>
        </is>
      </c>
      <c r="V867" t="inlineStr">
        <is>
          <t>15</t>
        </is>
      </c>
      <c r="W867" t="inlineStr">
        <is>
          <t>35</t>
        </is>
      </c>
      <c r="X867" t="inlineStr">
        <is>
          <t>Guild.csv</t>
        </is>
      </c>
    </row>
    <row r="868">
      <c r="A868" t="n">
        <v>867</v>
      </c>
      <c r="B868" t="n">
        <v>331</v>
      </c>
      <c r="C868" t="inlineStr">
        <is>
          <t>Skyz</t>
        </is>
      </c>
      <c r="D868" t="inlineStr">
        <is>
          <t>Danube Properties</t>
        </is>
      </c>
      <c r="E868" t="inlineStr">
        <is>
          <t>Arjan</t>
        </is>
      </c>
      <c r="F868" t="inlineStr">
        <is>
          <t>Apartments</t>
        </is>
      </c>
      <c r="G868" t="inlineStr">
        <is>
          <t>High-Rise</t>
        </is>
      </c>
      <c r="H868" t="inlineStr">
        <is>
          <t>800k</t>
        </is>
      </c>
      <c r="I868" t="inlineStr">
        <is>
          <t>1100</t>
        </is>
      </c>
      <c r="J868" t="inlineStr">
        <is>
          <t>14</t>
        </is>
      </c>
      <c r="K868" t="inlineStr">
        <is>
          <t>1% Monthly</t>
        </is>
      </c>
      <c r="L868" t="inlineStr">
        <is>
          <t>2021</t>
        </is>
      </c>
      <c r="M868" t="inlineStr">
        <is>
          <t>7.5-8.0</t>
        </is>
      </c>
      <c r="N868" t="inlineStr">
        <is>
          <t>6-8</t>
        </is>
      </c>
      <c r="O868" t="inlineStr">
        <is>
          <t>13.5-16.0</t>
        </is>
      </c>
      <c r="P868" t="inlineStr">
        <is>
          <t>Nord Anglia</t>
        </is>
      </c>
      <c r="Q868" t="inlineStr">
        <is>
          <t>Mediclinic Parkview</t>
        </is>
      </c>
      <c r="R868" t="inlineStr">
        <is>
          <t>Dubai Hills Mall</t>
        </is>
      </c>
      <c r="S868" t="inlineStr">
        <is>
          <t>Umm Suqeim / E311</t>
        </is>
      </c>
      <c r="T868" t="inlineStr">
        <is>
          <t>20</t>
        </is>
      </c>
      <c r="U868" t="inlineStr">
        <is>
          <t>20</t>
        </is>
      </c>
      <c r="V868" t="inlineStr">
        <is>
          <t>30</t>
        </is>
      </c>
      <c r="W868" t="inlineStr">
        <is>
          <t>25</t>
        </is>
      </c>
      <c r="X868" t="inlineStr">
        <is>
          <t>Guild.csv</t>
        </is>
      </c>
    </row>
    <row r="869">
      <c r="A869" t="n">
        <v>868</v>
      </c>
      <c r="B869" t="n">
        <v>332</v>
      </c>
      <c r="C869" t="inlineStr">
        <is>
          <t>Olivz</t>
        </is>
      </c>
      <c r="D869" t="inlineStr">
        <is>
          <t>Danube Properties</t>
        </is>
      </c>
      <c r="E869" t="inlineStr">
        <is>
          <t>International City (Warsan)</t>
        </is>
      </c>
      <c r="F869" t="inlineStr">
        <is>
          <t>Apartments</t>
        </is>
      </c>
      <c r="G869" t="inlineStr">
        <is>
          <t>Budget</t>
        </is>
      </c>
      <c r="H869" t="inlineStr">
        <is>
          <t>600k</t>
        </is>
      </c>
      <c r="I869" t="inlineStr">
        <is>
          <t>900</t>
        </is>
      </c>
      <c r="J869" t="inlineStr">
        <is>
          <t>12</t>
        </is>
      </c>
      <c r="K869" t="inlineStr">
        <is>
          <t>1% Monthly</t>
        </is>
      </c>
      <c r="L869" t="inlineStr">
        <is>
          <t>2020</t>
        </is>
      </c>
      <c r="M869" t="inlineStr">
        <is>
          <t>8.0-8.5</t>
        </is>
      </c>
      <c r="N869" t="inlineStr">
        <is>
          <t>5-7</t>
        </is>
      </c>
      <c r="O869" t="inlineStr">
        <is>
          <t>13.0-15.5</t>
        </is>
      </c>
      <c r="P869" t="inlineStr">
        <is>
          <t>Intl School of Arts</t>
        </is>
      </c>
      <c r="Q869" t="inlineStr">
        <is>
          <t>Aster Hospital</t>
        </is>
      </c>
      <c r="R869" t="inlineStr">
        <is>
          <t>Dragon Mart</t>
        </is>
      </c>
      <c r="S869" t="inlineStr">
        <is>
          <t>E44 / E311</t>
        </is>
      </c>
      <c r="T869" t="inlineStr">
        <is>
          <t>20</t>
        </is>
      </c>
      <c r="U869" t="inlineStr">
        <is>
          <t>30</t>
        </is>
      </c>
      <c r="V869" t="inlineStr">
        <is>
          <t>15</t>
        </is>
      </c>
      <c r="W869" t="inlineStr">
        <is>
          <t>35</t>
        </is>
      </c>
      <c r="X869" t="inlineStr">
        <is>
          <t>Guild.csv</t>
        </is>
      </c>
    </row>
    <row r="870">
      <c r="A870" t="n">
        <v>869</v>
      </c>
      <c r="B870" t="n">
        <v>333</v>
      </c>
      <c r="C870" t="inlineStr">
        <is>
          <t>Elz</t>
        </is>
      </c>
      <c r="D870" t="inlineStr">
        <is>
          <t>Danube Properties</t>
        </is>
      </c>
      <c r="E870" t="inlineStr">
        <is>
          <t>Arjan</t>
        </is>
      </c>
      <c r="F870" t="inlineStr">
        <is>
          <t>Apartments</t>
        </is>
      </c>
      <c r="G870" t="inlineStr">
        <is>
          <t>Budget</t>
        </is>
      </c>
      <c r="H870" t="inlineStr">
        <is>
          <t>650k</t>
        </is>
      </c>
      <c r="I870" t="inlineStr">
        <is>
          <t>1000</t>
        </is>
      </c>
      <c r="J870" t="inlineStr">
        <is>
          <t>14</t>
        </is>
      </c>
      <c r="K870" t="inlineStr">
        <is>
          <t>Completed</t>
        </is>
      </c>
      <c r="L870" t="inlineStr">
        <is>
          <t>2018</t>
        </is>
      </c>
      <c r="M870" t="inlineStr">
        <is>
          <t>7.5-8.0</t>
        </is>
      </c>
      <c r="N870" t="inlineStr">
        <is>
          <t>5-7</t>
        </is>
      </c>
      <c r="O870" t="inlineStr">
        <is>
          <t>12.5-15.0</t>
        </is>
      </c>
      <c r="P870" t="inlineStr">
        <is>
          <t>Nord Anglia</t>
        </is>
      </c>
      <c r="Q870" t="inlineStr">
        <is>
          <t>Mediclinic Parkview</t>
        </is>
      </c>
      <c r="R870" t="inlineStr">
        <is>
          <t>Dubai Hills Mall</t>
        </is>
      </c>
      <c r="S870" t="inlineStr">
        <is>
          <t>Umm Suqeim / E311</t>
        </is>
      </c>
      <c r="T870" t="inlineStr">
        <is>
          <t>20</t>
        </is>
      </c>
      <c r="U870" t="inlineStr">
        <is>
          <t>20</t>
        </is>
      </c>
      <c r="V870" t="inlineStr">
        <is>
          <t>30</t>
        </is>
      </c>
      <c r="W870" t="inlineStr">
        <is>
          <t>25</t>
        </is>
      </c>
      <c r="X870" t="inlineStr">
        <is>
          <t>Guild.csv</t>
        </is>
      </c>
    </row>
    <row r="871">
      <c r="A871" t="n">
        <v>870</v>
      </c>
      <c r="B871" t="n">
        <v>334</v>
      </c>
      <c r="C871" t="inlineStr">
        <is>
          <t>Lawz</t>
        </is>
      </c>
      <c r="D871" t="inlineStr">
        <is>
          <t>Danube Properties</t>
        </is>
      </c>
      <c r="E871" t="inlineStr">
        <is>
          <t>International City (Warsan)</t>
        </is>
      </c>
      <c r="F871" t="inlineStr">
        <is>
          <t>Apartments</t>
        </is>
      </c>
      <c r="G871" t="inlineStr">
        <is>
          <t>Budget</t>
        </is>
      </c>
      <c r="H871" t="inlineStr">
        <is>
          <t>600k</t>
        </is>
      </c>
      <c r="I871" t="inlineStr">
        <is>
          <t>900</t>
        </is>
      </c>
      <c r="J871" t="inlineStr">
        <is>
          <t>12</t>
        </is>
      </c>
      <c r="K871" t="inlineStr">
        <is>
          <t>Completed</t>
        </is>
      </c>
      <c r="L871" t="inlineStr">
        <is>
          <t>2018</t>
        </is>
      </c>
      <c r="M871" t="inlineStr">
        <is>
          <t>8.0-8.5</t>
        </is>
      </c>
      <c r="N871" t="inlineStr">
        <is>
          <t>5-7</t>
        </is>
      </c>
      <c r="O871" t="inlineStr">
        <is>
          <t>13.0-15.5</t>
        </is>
      </c>
      <c r="P871" t="inlineStr">
        <is>
          <t>Intl School of Arts</t>
        </is>
      </c>
      <c r="Q871" t="inlineStr">
        <is>
          <t>Aster Hospital</t>
        </is>
      </c>
      <c r="R871" t="inlineStr">
        <is>
          <t>Dragon Mart</t>
        </is>
      </c>
      <c r="S871" t="inlineStr">
        <is>
          <t>E44 / E311</t>
        </is>
      </c>
      <c r="T871" t="inlineStr">
        <is>
          <t>20</t>
        </is>
      </c>
      <c r="U871" t="inlineStr">
        <is>
          <t>30</t>
        </is>
      </c>
      <c r="V871" t="inlineStr">
        <is>
          <t>15</t>
        </is>
      </c>
      <c r="W871" t="inlineStr">
        <is>
          <t>35</t>
        </is>
      </c>
      <c r="X871" t="inlineStr">
        <is>
          <t>Guild.csv</t>
        </is>
      </c>
    </row>
    <row r="872">
      <c r="A872" t="n">
        <v>871</v>
      </c>
      <c r="B872" t="n">
        <v>335</v>
      </c>
      <c r="C872" t="inlineStr">
        <is>
          <t>Jewelz</t>
        </is>
      </c>
      <c r="D872" t="inlineStr">
        <is>
          <t>Danube Properties</t>
        </is>
      </c>
      <c r="E872" t="inlineStr">
        <is>
          <t>Arjan</t>
        </is>
      </c>
      <c r="F872" t="inlineStr">
        <is>
          <t>Apartments</t>
        </is>
      </c>
      <c r="G872" t="inlineStr">
        <is>
          <t>Budget</t>
        </is>
      </c>
      <c r="H872" t="inlineStr">
        <is>
          <t>700k</t>
        </is>
      </c>
      <c r="I872" t="inlineStr">
        <is>
          <t>1000</t>
        </is>
      </c>
      <c r="J872" t="inlineStr">
        <is>
          <t>14</t>
        </is>
      </c>
      <c r="K872" t="inlineStr">
        <is>
          <t>Completed</t>
        </is>
      </c>
      <c r="L872" t="inlineStr">
        <is>
          <t>2018</t>
        </is>
      </c>
      <c r="M872" t="inlineStr">
        <is>
          <t>7.5-8.0</t>
        </is>
      </c>
      <c r="N872" t="inlineStr">
        <is>
          <t>5-7</t>
        </is>
      </c>
      <c r="O872" t="inlineStr">
        <is>
          <t>12.5-15.0</t>
        </is>
      </c>
      <c r="P872" t="inlineStr">
        <is>
          <t>Nord Anglia</t>
        </is>
      </c>
      <c r="Q872" t="inlineStr">
        <is>
          <t>Mediclinic Parkview</t>
        </is>
      </c>
      <c r="R872" t="inlineStr">
        <is>
          <t>Dubai Hills Mall</t>
        </is>
      </c>
      <c r="S872" t="inlineStr">
        <is>
          <t>Umm Suqeim / E311</t>
        </is>
      </c>
      <c r="T872" t="inlineStr">
        <is>
          <t>20</t>
        </is>
      </c>
      <c r="U872" t="inlineStr">
        <is>
          <t>20</t>
        </is>
      </c>
      <c r="V872" t="inlineStr">
        <is>
          <t>30</t>
        </is>
      </c>
      <c r="W872" t="inlineStr">
        <is>
          <t>25</t>
        </is>
      </c>
      <c r="X872" t="inlineStr">
        <is>
          <t>Guild.csv</t>
        </is>
      </c>
    </row>
    <row r="873">
      <c r="A873" t="n">
        <v>872</v>
      </c>
      <c r="B873" t="n">
        <v>336</v>
      </c>
      <c r="C873" t="inlineStr">
        <is>
          <t>Wavez</t>
        </is>
      </c>
      <c r="D873" t="inlineStr">
        <is>
          <t>Danube Properties</t>
        </is>
      </c>
      <c r="E873" t="inlineStr">
        <is>
          <t>Liwan</t>
        </is>
      </c>
      <c r="F873" t="inlineStr">
        <is>
          <t>Apartments</t>
        </is>
      </c>
      <c r="G873" t="inlineStr">
        <is>
          <t>Budget</t>
        </is>
      </c>
      <c r="H873" t="inlineStr">
        <is>
          <t>600k</t>
        </is>
      </c>
      <c r="I873" t="inlineStr">
        <is>
          <t>900</t>
        </is>
      </c>
      <c r="J873" t="inlineStr">
        <is>
          <t>12</t>
        </is>
      </c>
      <c r="K873" t="inlineStr">
        <is>
          <t>Completed</t>
        </is>
      </c>
      <c r="L873" t="inlineStr">
        <is>
          <t>2019</t>
        </is>
      </c>
      <c r="M873" t="inlineStr">
        <is>
          <t>7.5-8.0</t>
        </is>
      </c>
      <c r="N873" t="inlineStr">
        <is>
          <t>5-7</t>
        </is>
      </c>
      <c r="O873" t="inlineStr">
        <is>
          <t>12.5-15.0</t>
        </is>
      </c>
      <c r="P873" t="inlineStr">
        <is>
          <t>GEMS Winchester</t>
        </is>
      </c>
      <c r="Q873" t="inlineStr">
        <is>
          <t>Fakeeh University Hosp</t>
        </is>
      </c>
      <c r="R873" t="inlineStr">
        <is>
          <t>Silicon Central</t>
        </is>
      </c>
      <c r="S873" t="inlineStr">
        <is>
          <t>E66 / E311</t>
        </is>
      </c>
      <c r="T873" t="inlineStr">
        <is>
          <t>20</t>
        </is>
      </c>
      <c r="U873" t="inlineStr">
        <is>
          <t>30</t>
        </is>
      </c>
      <c r="V873" t="inlineStr">
        <is>
          <t>20</t>
        </is>
      </c>
      <c r="W873" t="inlineStr">
        <is>
          <t>35</t>
        </is>
      </c>
      <c r="X873" t="inlineStr">
        <is>
          <t>Guild.csv</t>
        </is>
      </c>
    </row>
    <row r="874">
      <c r="A874" t="n">
        <v>873</v>
      </c>
      <c r="B874" t="n">
        <v>337</v>
      </c>
      <c r="C874" t="inlineStr">
        <is>
          <t>Resortz</t>
        </is>
      </c>
      <c r="D874" t="inlineStr">
        <is>
          <t>Danube Properties</t>
        </is>
      </c>
      <c r="E874" t="inlineStr">
        <is>
          <t>Arjan</t>
        </is>
      </c>
      <c r="F874" t="inlineStr">
        <is>
          <t>Apartments</t>
        </is>
      </c>
      <c r="G874" t="inlineStr">
        <is>
          <t>Neoclassical</t>
        </is>
      </c>
      <c r="H874" t="inlineStr">
        <is>
          <t>750k</t>
        </is>
      </c>
      <c r="I874" t="inlineStr">
        <is>
          <t>1000</t>
        </is>
      </c>
      <c r="J874" t="inlineStr">
        <is>
          <t>14</t>
        </is>
      </c>
      <c r="K874" t="inlineStr">
        <is>
          <t>Completed</t>
        </is>
      </c>
      <c r="L874" t="inlineStr">
        <is>
          <t>2017</t>
        </is>
      </c>
      <c r="M874" t="inlineStr">
        <is>
          <t>7.0-7.5</t>
        </is>
      </c>
      <c r="N874" t="inlineStr">
        <is>
          <t>5-7</t>
        </is>
      </c>
      <c r="O874" t="inlineStr">
        <is>
          <t>12.0-14.5</t>
        </is>
      </c>
      <c r="P874" t="inlineStr">
        <is>
          <t>Nord Anglia</t>
        </is>
      </c>
      <c r="Q874" t="inlineStr">
        <is>
          <t>Mediclinic Parkview</t>
        </is>
      </c>
      <c r="R874" t="inlineStr">
        <is>
          <t>Dubai Hills Mall</t>
        </is>
      </c>
      <c r="S874" t="inlineStr">
        <is>
          <t>Umm Suqeim / E311</t>
        </is>
      </c>
      <c r="T874" t="inlineStr">
        <is>
          <t>20</t>
        </is>
      </c>
      <c r="U874" t="inlineStr">
        <is>
          <t>20</t>
        </is>
      </c>
      <c r="V874" t="inlineStr">
        <is>
          <t>30</t>
        </is>
      </c>
      <c r="W874" t="inlineStr">
        <is>
          <t>25</t>
        </is>
      </c>
      <c r="X874" t="inlineStr">
        <is>
          <t>Guild.csv</t>
        </is>
      </c>
    </row>
    <row r="875">
      <c r="A875" t="n">
        <v>874</v>
      </c>
      <c r="B875" t="n">
        <v>338</v>
      </c>
      <c r="C875" t="inlineStr">
        <is>
          <t>Miraclz</t>
        </is>
      </c>
      <c r="D875" t="inlineStr">
        <is>
          <t>Danube Properties</t>
        </is>
      </c>
      <c r="E875" t="inlineStr">
        <is>
          <t>Arjan</t>
        </is>
      </c>
      <c r="F875" t="inlineStr">
        <is>
          <t>Apartments</t>
        </is>
      </c>
      <c r="G875" t="inlineStr">
        <is>
          <t>High-Rise</t>
        </is>
      </c>
      <c r="H875" t="inlineStr">
        <is>
          <t>750k</t>
        </is>
      </c>
      <c r="I875" t="inlineStr">
        <is>
          <t>1000</t>
        </is>
      </c>
      <c r="J875" t="inlineStr">
        <is>
          <t>14</t>
        </is>
      </c>
      <c r="K875" t="inlineStr">
        <is>
          <t>Completed</t>
        </is>
      </c>
      <c r="L875" t="inlineStr">
        <is>
          <t>2017</t>
        </is>
      </c>
      <c r="M875" t="inlineStr">
        <is>
          <t>7.0-7.5</t>
        </is>
      </c>
      <c r="N875" t="inlineStr">
        <is>
          <t>5-7</t>
        </is>
      </c>
      <c r="O875" t="inlineStr">
        <is>
          <t>12.0-14.5</t>
        </is>
      </c>
      <c r="P875" t="inlineStr">
        <is>
          <t>Nord Anglia</t>
        </is>
      </c>
      <c r="Q875" t="inlineStr">
        <is>
          <t>Mediclinic Parkview</t>
        </is>
      </c>
      <c r="R875" t="inlineStr">
        <is>
          <t>Dubai Hills Mall</t>
        </is>
      </c>
      <c r="S875" t="inlineStr">
        <is>
          <t>Umm Suqeim / E311</t>
        </is>
      </c>
      <c r="T875" t="inlineStr">
        <is>
          <t>20</t>
        </is>
      </c>
      <c r="U875" t="inlineStr">
        <is>
          <t>20</t>
        </is>
      </c>
      <c r="V875" t="inlineStr">
        <is>
          <t>30</t>
        </is>
      </c>
      <c r="W875" t="inlineStr">
        <is>
          <t>25</t>
        </is>
      </c>
      <c r="X875" t="inlineStr">
        <is>
          <t>Guild.csv</t>
        </is>
      </c>
    </row>
    <row r="876">
      <c r="A876" t="n">
        <v>875</v>
      </c>
      <c r="B876" t="n">
        <v>339</v>
      </c>
      <c r="C876" t="inlineStr">
        <is>
          <t>Binghatti Skyrise</t>
        </is>
      </c>
      <c r="D876" t="inlineStr">
        <is>
          <t>Binghatti Developers</t>
        </is>
      </c>
      <c r="E876" t="inlineStr">
        <is>
          <t>Business Bay</t>
        </is>
      </c>
      <c r="F876" t="inlineStr">
        <is>
          <t>Apartments</t>
        </is>
      </c>
      <c r="G876" t="inlineStr">
        <is>
          <t>High-Rise / Canal</t>
        </is>
      </c>
      <c r="H876" t="inlineStr">
        <is>
          <t>1.2M</t>
        </is>
      </c>
      <c r="I876" t="inlineStr">
        <is>
          <t>2000</t>
        </is>
      </c>
      <c r="J876" t="inlineStr">
        <is>
          <t>18</t>
        </is>
      </c>
      <c r="K876" t="inlineStr">
        <is>
          <t>70/30</t>
        </is>
      </c>
      <c r="L876" t="inlineStr">
        <is>
          <t>2024</t>
        </is>
      </c>
      <c r="M876" t="inlineStr">
        <is>
          <t>6.0-6.5</t>
        </is>
      </c>
      <c r="N876" t="inlineStr">
        <is>
          <t>8-10</t>
        </is>
      </c>
      <c r="O876" t="inlineStr">
        <is>
          <t>14.0-16.5</t>
        </is>
      </c>
      <c r="P876" t="inlineStr">
        <is>
          <t>Hartland Intl</t>
        </is>
      </c>
      <c r="Q876" t="inlineStr">
        <is>
          <t>Emirates Hospital BB</t>
        </is>
      </c>
      <c r="R876" t="inlineStr">
        <is>
          <t>Dubai Mall</t>
        </is>
      </c>
      <c r="S876" t="inlineStr">
        <is>
          <t>Al Khail E44</t>
        </is>
      </c>
      <c r="T876" t="inlineStr">
        <is>
          <t>5</t>
        </is>
      </c>
      <c r="U876" t="inlineStr">
        <is>
          <t>20</t>
        </is>
      </c>
      <c r="V876" t="inlineStr">
        <is>
          <t>15</t>
        </is>
      </c>
      <c r="W876" t="inlineStr">
        <is>
          <t>35</t>
        </is>
      </c>
      <c r="X876" t="inlineStr">
        <is>
          <t>Guild.csv</t>
        </is>
      </c>
    </row>
    <row r="877">
      <c r="A877" t="n">
        <v>876</v>
      </c>
      <c r="B877" t="n">
        <v>340</v>
      </c>
      <c r="C877" t="inlineStr">
        <is>
          <t>Binghatti Aquarise</t>
        </is>
      </c>
      <c r="D877" t="inlineStr">
        <is>
          <t>Binghatti Developers</t>
        </is>
      </c>
      <c r="E877" t="inlineStr">
        <is>
          <t>Business Bay</t>
        </is>
      </c>
      <c r="F877" t="inlineStr">
        <is>
          <t>Apartments</t>
        </is>
      </c>
      <c r="G877" t="inlineStr">
        <is>
          <t>Canal / Modern</t>
        </is>
      </c>
      <c r="H877" t="inlineStr">
        <is>
          <t>1.3M</t>
        </is>
      </c>
      <c r="I877" t="inlineStr">
        <is>
          <t>2100</t>
        </is>
      </c>
      <c r="J877" t="inlineStr">
        <is>
          <t>18</t>
        </is>
      </c>
      <c r="K877" t="inlineStr">
        <is>
          <t>70/30</t>
        </is>
      </c>
      <c r="L877" t="inlineStr">
        <is>
          <t>2024</t>
        </is>
      </c>
      <c r="M877" t="inlineStr">
        <is>
          <t>6.0-6.5</t>
        </is>
      </c>
      <c r="N877" t="inlineStr">
        <is>
          <t>8-10</t>
        </is>
      </c>
      <c r="O877" t="inlineStr">
        <is>
          <t>14.0-16.5</t>
        </is>
      </c>
      <c r="P877" t="inlineStr">
        <is>
          <t>Hartland Intl</t>
        </is>
      </c>
      <c r="Q877" t="inlineStr">
        <is>
          <t>Emirates Hospital BB</t>
        </is>
      </c>
      <c r="R877" t="inlineStr">
        <is>
          <t>Dubai Mall</t>
        </is>
      </c>
      <c r="S877" t="inlineStr">
        <is>
          <t>Al Khail E44</t>
        </is>
      </c>
      <c r="T877" t="inlineStr">
        <is>
          <t>5</t>
        </is>
      </c>
      <c r="U877" t="inlineStr">
        <is>
          <t>20</t>
        </is>
      </c>
      <c r="V877" t="inlineStr">
        <is>
          <t>15</t>
        </is>
      </c>
      <c r="W877" t="inlineStr">
        <is>
          <t>35</t>
        </is>
      </c>
      <c r="X877" t="inlineStr">
        <is>
          <t>Guild.csv</t>
        </is>
      </c>
    </row>
    <row r="878">
      <c r="A878" t="n">
        <v>877</v>
      </c>
      <c r="B878" t="n">
        <v>341</v>
      </c>
      <c r="C878" t="inlineStr">
        <is>
          <t>Binghatti Ghost</t>
        </is>
      </c>
      <c r="D878" t="inlineStr">
        <is>
          <t>Binghatti Developers</t>
        </is>
      </c>
      <c r="E878" t="inlineStr">
        <is>
          <t>Al Jaddaf</t>
        </is>
      </c>
      <c r="F878" t="inlineStr">
        <is>
          <t>Apartments</t>
        </is>
      </c>
      <c r="G878" t="inlineStr">
        <is>
          <t>Modern / Budget</t>
        </is>
      </c>
      <c r="H878" t="inlineStr">
        <is>
          <t>800k</t>
        </is>
      </c>
      <c r="I878" t="inlineStr">
        <is>
          <t>1400</t>
        </is>
      </c>
      <c r="J878" t="inlineStr">
        <is>
          <t>15</t>
        </is>
      </c>
      <c r="K878" t="inlineStr">
        <is>
          <t>70/30</t>
        </is>
      </c>
      <c r="L878" t="inlineStr">
        <is>
          <t>2024</t>
        </is>
      </c>
      <c r="M878" t="inlineStr">
        <is>
          <t>7.0-7.5</t>
        </is>
      </c>
      <c r="N878" t="inlineStr">
        <is>
          <t>6-8</t>
        </is>
      </c>
      <c r="O878" t="inlineStr">
        <is>
          <t>13.0-15.5</t>
        </is>
      </c>
      <c r="P878" t="inlineStr">
        <is>
          <t>Swiss Intl School</t>
        </is>
      </c>
      <c r="Q878" t="inlineStr">
        <is>
          <t>American Hospital</t>
        </is>
      </c>
      <c r="R878" t="inlineStr">
        <is>
          <t>Dubai Festival City</t>
        </is>
      </c>
      <c r="S878" t="inlineStr">
        <is>
          <t>Al Khail E44</t>
        </is>
      </c>
      <c r="T878" t="inlineStr">
        <is>
          <t>10</t>
        </is>
      </c>
      <c r="U878" t="inlineStr">
        <is>
          <t>25</t>
        </is>
      </c>
      <c r="V878" t="inlineStr">
        <is>
          <t>10</t>
        </is>
      </c>
      <c r="W878" t="inlineStr">
        <is>
          <t>40</t>
        </is>
      </c>
      <c r="X878" t="inlineStr">
        <is>
          <t>Guild.csv</t>
        </is>
      </c>
    </row>
    <row r="879">
      <c r="A879" t="n">
        <v>878</v>
      </c>
      <c r="B879" t="n">
        <v>342</v>
      </c>
      <c r="C879" t="inlineStr">
        <is>
          <t>One by Binghatti</t>
        </is>
      </c>
      <c r="D879" t="inlineStr">
        <is>
          <t>Binghatti Developers</t>
        </is>
      </c>
      <c r="E879" t="inlineStr">
        <is>
          <t>Business Bay</t>
        </is>
      </c>
      <c r="F879" t="inlineStr">
        <is>
          <t>Apartments</t>
        </is>
      </c>
      <c r="G879" t="inlineStr">
        <is>
          <t>Luxury / Waterfront</t>
        </is>
      </c>
      <c r="H879" t="inlineStr">
        <is>
          <t>1.5M</t>
        </is>
      </c>
      <c r="I879" t="inlineStr">
        <is>
          <t>2200</t>
        </is>
      </c>
      <c r="J879" t="inlineStr">
        <is>
          <t>18</t>
        </is>
      </c>
      <c r="K879" t="inlineStr">
        <is>
          <t>70/30</t>
        </is>
      </c>
      <c r="L879" t="inlineStr">
        <is>
          <t>2024</t>
        </is>
      </c>
      <c r="M879" t="inlineStr">
        <is>
          <t>6.0-6.5</t>
        </is>
      </c>
      <c r="N879" t="inlineStr">
        <is>
          <t>8-10</t>
        </is>
      </c>
      <c r="O879" t="inlineStr">
        <is>
          <t>14.0-16.5</t>
        </is>
      </c>
      <c r="P879" t="inlineStr">
        <is>
          <t>Hartland Intl</t>
        </is>
      </c>
      <c r="Q879" t="inlineStr">
        <is>
          <t>Emirates Hospital BB</t>
        </is>
      </c>
      <c r="R879" t="inlineStr">
        <is>
          <t>Dubai Mall</t>
        </is>
      </c>
      <c r="S879" t="inlineStr">
        <is>
          <t>Al Khail E44</t>
        </is>
      </c>
      <c r="T879" t="inlineStr">
        <is>
          <t>5</t>
        </is>
      </c>
      <c r="U879" t="inlineStr">
        <is>
          <t>20</t>
        </is>
      </c>
      <c r="V879" t="inlineStr">
        <is>
          <t>15</t>
        </is>
      </c>
      <c r="W879" t="inlineStr">
        <is>
          <t>35</t>
        </is>
      </c>
      <c r="X879" t="inlineStr">
        <is>
          <t>Guild.csv</t>
        </is>
      </c>
    </row>
    <row r="880">
      <c r="A880" t="n">
        <v>879</v>
      </c>
      <c r="B880" t="n">
        <v>343</v>
      </c>
      <c r="C880" t="inlineStr">
        <is>
          <t>Bugatti Residences</t>
        </is>
      </c>
      <c r="D880" t="inlineStr">
        <is>
          <t>Binghatti Developers</t>
        </is>
      </c>
      <c r="E880" t="inlineStr">
        <is>
          <t>Business Bay</t>
        </is>
      </c>
      <c r="F880" t="inlineStr">
        <is>
          <t>Branded Apts</t>
        </is>
      </c>
      <c r="G880" t="inlineStr">
        <is>
          <t>Ultra-Luxury / Car Lift</t>
        </is>
      </c>
      <c r="H880" t="inlineStr">
        <is>
          <t>19M+</t>
        </is>
      </c>
      <c r="I880" t="inlineStr">
        <is>
          <t>5000+</t>
        </is>
      </c>
      <c r="J880" t="inlineStr">
        <is>
          <t>40+</t>
        </is>
      </c>
      <c r="K880" t="inlineStr">
        <is>
          <t>70/30</t>
        </is>
      </c>
      <c r="L880" t="inlineStr">
        <is>
          <t>2023</t>
        </is>
      </c>
      <c r="M880" t="inlineStr">
        <is>
          <t>4.0-4.5</t>
        </is>
      </c>
      <c r="N880" t="inlineStr">
        <is>
          <t>8-12</t>
        </is>
      </c>
      <c r="O880" t="inlineStr">
        <is>
          <t>12.0-16.5</t>
        </is>
      </c>
      <c r="P880" t="inlineStr">
        <is>
          <t>Hartland Intl</t>
        </is>
      </c>
      <c r="Q880" t="inlineStr">
        <is>
          <t>Emirates Hospital BB</t>
        </is>
      </c>
      <c r="R880" t="inlineStr">
        <is>
          <t>Dubai Mall</t>
        </is>
      </c>
      <c r="S880" t="inlineStr">
        <is>
          <t>Al Khail E44</t>
        </is>
      </c>
      <c r="T880" t="inlineStr">
        <is>
          <t>5</t>
        </is>
      </c>
      <c r="U880" t="inlineStr">
        <is>
          <t>20</t>
        </is>
      </c>
      <c r="V880" t="inlineStr">
        <is>
          <t>15</t>
        </is>
      </c>
      <c r="W880" t="inlineStr">
        <is>
          <t>35</t>
        </is>
      </c>
      <c r="X880" t="inlineStr">
        <is>
          <t>Guild.csv</t>
        </is>
      </c>
    </row>
    <row r="881">
      <c r="A881" t="n">
        <v>880</v>
      </c>
      <c r="B881" t="n">
        <v>344</v>
      </c>
      <c r="C881" t="inlineStr">
        <is>
          <t>Burj Binghatti Jacob &amp; Co</t>
        </is>
      </c>
      <c r="D881" t="inlineStr">
        <is>
          <t>Binghatti Developers</t>
        </is>
      </c>
      <c r="E881" t="inlineStr">
        <is>
          <t>Business Bay</t>
        </is>
      </c>
      <c r="F881" t="inlineStr">
        <is>
          <t>Branded Apts</t>
        </is>
      </c>
      <c r="G881" t="inlineStr">
        <is>
          <t>Hyper-Tower / Jewel</t>
        </is>
      </c>
      <c r="H881" t="inlineStr">
        <is>
          <t>8M+</t>
        </is>
      </c>
      <c r="I881" t="inlineStr">
        <is>
          <t>4500</t>
        </is>
      </c>
      <c r="J881" t="inlineStr">
        <is>
          <t>35+</t>
        </is>
      </c>
      <c r="K881" t="inlineStr">
        <is>
          <t>70/30</t>
        </is>
      </c>
      <c r="L881" t="inlineStr">
        <is>
          <t>2022</t>
        </is>
      </c>
      <c r="M881" t="inlineStr">
        <is>
          <t>4.0-4.5</t>
        </is>
      </c>
      <c r="N881" t="inlineStr">
        <is>
          <t>8-12</t>
        </is>
      </c>
      <c r="O881" t="inlineStr">
        <is>
          <t>12.0-16.5</t>
        </is>
      </c>
      <c r="P881" t="inlineStr">
        <is>
          <t>Hartland Intl</t>
        </is>
      </c>
      <c r="Q881" t="inlineStr">
        <is>
          <t>Emirates Hospital BB</t>
        </is>
      </c>
      <c r="R881" t="inlineStr">
        <is>
          <t>Dubai Mall</t>
        </is>
      </c>
      <c r="S881" t="inlineStr">
        <is>
          <t>Al Khail E44</t>
        </is>
      </c>
      <c r="T881" t="inlineStr">
        <is>
          <t>5</t>
        </is>
      </c>
      <c r="U881" t="inlineStr">
        <is>
          <t>20</t>
        </is>
      </c>
      <c r="V881" t="inlineStr">
        <is>
          <t>15</t>
        </is>
      </c>
      <c r="W881" t="inlineStr">
        <is>
          <t>35</t>
        </is>
      </c>
      <c r="X881" t="inlineStr">
        <is>
          <t>Guild.csv</t>
        </is>
      </c>
    </row>
    <row r="882">
      <c r="A882" t="n">
        <v>881</v>
      </c>
      <c r="B882" t="n">
        <v>345</v>
      </c>
      <c r="C882" t="inlineStr">
        <is>
          <t>Binghatti Trillionaire</t>
        </is>
      </c>
      <c r="D882" t="inlineStr">
        <is>
          <t>Binghatti Developers</t>
        </is>
      </c>
      <c r="E882" t="inlineStr">
        <is>
          <t>Business Bay</t>
        </is>
      </c>
      <c r="F882" t="inlineStr">
        <is>
          <t>Apartments</t>
        </is>
      </c>
      <c r="G882" t="inlineStr">
        <is>
          <t>Waterfront / Luxury</t>
        </is>
      </c>
      <c r="H882" t="inlineStr">
        <is>
          <t>1.8M</t>
        </is>
      </c>
      <c r="I882" t="inlineStr">
        <is>
          <t>2300</t>
        </is>
      </c>
      <c r="J882" t="inlineStr">
        <is>
          <t>18</t>
        </is>
      </c>
      <c r="K882" t="inlineStr">
        <is>
          <t>70/30</t>
        </is>
      </c>
      <c r="L882" t="inlineStr">
        <is>
          <t>2023</t>
        </is>
      </c>
      <c r="M882" t="inlineStr">
        <is>
          <t>6.0-6.5</t>
        </is>
      </c>
      <c r="N882" t="inlineStr">
        <is>
          <t>7-9</t>
        </is>
      </c>
      <c r="O882" t="inlineStr">
        <is>
          <t>13.0-15.5</t>
        </is>
      </c>
      <c r="P882" t="inlineStr">
        <is>
          <t>Hartland Intl</t>
        </is>
      </c>
      <c r="Q882" t="inlineStr">
        <is>
          <t>Emirates Hospital BB</t>
        </is>
      </c>
      <c r="R882" t="inlineStr">
        <is>
          <t>Dubai Mall</t>
        </is>
      </c>
      <c r="S882" t="inlineStr">
        <is>
          <t>Al Khail E44</t>
        </is>
      </c>
      <c r="T882" t="inlineStr">
        <is>
          <t>5</t>
        </is>
      </c>
      <c r="U882" t="inlineStr">
        <is>
          <t>20</t>
        </is>
      </c>
      <c r="V882" t="inlineStr">
        <is>
          <t>15</t>
        </is>
      </c>
      <c r="W882" t="inlineStr">
        <is>
          <t>35</t>
        </is>
      </c>
      <c r="X882" t="inlineStr">
        <is>
          <t>Guild.csv</t>
        </is>
      </c>
    </row>
    <row r="883">
      <c r="A883" t="n">
        <v>882</v>
      </c>
      <c r="B883" t="n">
        <v>346</v>
      </c>
      <c r="C883" t="inlineStr">
        <is>
          <t>Binghatti Mercedes-Benz Places</t>
        </is>
      </c>
      <c r="D883" t="inlineStr">
        <is>
          <t>Binghatti Developers</t>
        </is>
      </c>
      <c r="E883" t="inlineStr">
        <is>
          <t>Downtown Dubai</t>
        </is>
      </c>
      <c r="F883" t="inlineStr">
        <is>
          <t>Branded Apts</t>
        </is>
      </c>
      <c r="G883" t="inlineStr">
        <is>
          <t>Iconic Tower</t>
        </is>
      </c>
      <c r="H883" t="inlineStr">
        <is>
          <t>8.8M</t>
        </is>
      </c>
      <c r="I883" t="inlineStr">
        <is>
          <t>3500</t>
        </is>
      </c>
      <c r="J883" t="inlineStr">
        <is>
          <t>35+</t>
        </is>
      </c>
      <c r="K883" t="inlineStr">
        <is>
          <t>70/30</t>
        </is>
      </c>
      <c r="L883" t="inlineStr">
        <is>
          <t>Q4 2026</t>
        </is>
      </c>
      <c r="M883" t="inlineStr">
        <is>
          <t>4.0-4.5</t>
        </is>
      </c>
      <c r="N883" t="inlineStr">
        <is>
          <t>10-15</t>
        </is>
      </c>
      <c r="O883" t="inlineStr">
        <is>
          <t>14.0-19.5</t>
        </is>
      </c>
      <c r="P883" t="inlineStr">
        <is>
          <t>Hartland Intl</t>
        </is>
      </c>
      <c r="Q883" t="inlineStr">
        <is>
          <t>Mediclinic Dubai Mall</t>
        </is>
      </c>
      <c r="R883" t="inlineStr">
        <is>
          <t>Dubai Mall</t>
        </is>
      </c>
      <c r="S883" t="inlineStr">
        <is>
          <t>Financial Ctr Rd</t>
        </is>
      </c>
      <c r="T883" t="inlineStr">
        <is>
          <t>5</t>
        </is>
      </c>
      <c r="U883" t="inlineStr">
        <is>
          <t>20</t>
        </is>
      </c>
      <c r="V883" t="inlineStr">
        <is>
          <t>15</t>
        </is>
      </c>
      <c r="W883" t="inlineStr">
        <is>
          <t>35</t>
        </is>
      </c>
      <c r="X883" t="inlineStr">
        <is>
          <t>Guild.csv</t>
        </is>
      </c>
    </row>
    <row r="884">
      <c r="A884" t="n">
        <v>883</v>
      </c>
      <c r="B884" t="n">
        <v>347</v>
      </c>
      <c r="C884" t="inlineStr">
        <is>
          <t>Binghatti Cullinan</t>
        </is>
      </c>
      <c r="D884" t="inlineStr">
        <is>
          <t>Binghatti Developers</t>
        </is>
      </c>
      <c r="E884" t="inlineStr">
        <is>
          <t>Al Jaddaf</t>
        </is>
      </c>
      <c r="F884" t="inlineStr">
        <is>
          <t>Apartments</t>
        </is>
      </c>
      <c r="G884" t="inlineStr">
        <is>
          <t>Luxury / Budget</t>
        </is>
      </c>
      <c r="H884" t="inlineStr">
        <is>
          <t>900k</t>
        </is>
      </c>
      <c r="I884" t="inlineStr">
        <is>
          <t>1500</t>
        </is>
      </c>
      <c r="J884" t="inlineStr">
        <is>
          <t>15</t>
        </is>
      </c>
      <c r="K884" t="inlineStr">
        <is>
          <t>70/30</t>
        </is>
      </c>
      <c r="L884" t="inlineStr">
        <is>
          <t>2024</t>
        </is>
      </c>
      <c r="M884" t="inlineStr">
        <is>
          <t>7.0-7.5</t>
        </is>
      </c>
      <c r="N884" t="inlineStr">
        <is>
          <t>6-8</t>
        </is>
      </c>
      <c r="O884" t="inlineStr">
        <is>
          <t>13.0-15.5</t>
        </is>
      </c>
      <c r="P884" t="inlineStr">
        <is>
          <t>Swiss Intl School</t>
        </is>
      </c>
      <c r="Q884" t="inlineStr">
        <is>
          <t>American Hospital</t>
        </is>
      </c>
      <c r="R884" t="inlineStr">
        <is>
          <t>Dubai Festival City</t>
        </is>
      </c>
      <c r="S884" t="inlineStr">
        <is>
          <t>Al Khail E44</t>
        </is>
      </c>
      <c r="T884" t="inlineStr">
        <is>
          <t>10</t>
        </is>
      </c>
      <c r="U884" t="inlineStr">
        <is>
          <t>25</t>
        </is>
      </c>
      <c r="V884" t="inlineStr">
        <is>
          <t>10</t>
        </is>
      </c>
      <c r="W884" t="inlineStr">
        <is>
          <t>40</t>
        </is>
      </c>
      <c r="X884" t="inlineStr">
        <is>
          <t>Guild.csv</t>
        </is>
      </c>
    </row>
    <row r="885">
      <c r="A885" t="n">
        <v>884</v>
      </c>
      <c r="B885" t="n">
        <v>348</v>
      </c>
      <c r="C885" t="inlineStr">
        <is>
          <t>Binghatti Hills Phase 1</t>
        </is>
      </c>
      <c r="D885" t="inlineStr">
        <is>
          <t>Binghatti Developers</t>
        </is>
      </c>
      <c r="E885" t="inlineStr">
        <is>
          <t>Dubai Science Park</t>
        </is>
      </c>
      <c r="F885" t="inlineStr">
        <is>
          <t>Apartments</t>
        </is>
      </c>
      <c r="G885" t="inlineStr">
        <is>
          <t>Large Scale / Hill</t>
        </is>
      </c>
      <c r="H885" t="inlineStr">
        <is>
          <t>900k</t>
        </is>
      </c>
      <c r="I885" t="inlineStr">
        <is>
          <t>1400</t>
        </is>
      </c>
      <c r="J885" t="inlineStr">
        <is>
          <t>15</t>
        </is>
      </c>
      <c r="K885" t="inlineStr">
        <is>
          <t>70/30</t>
        </is>
      </c>
      <c r="L885" t="inlineStr">
        <is>
          <t>2024</t>
        </is>
      </c>
      <c r="M885" t="inlineStr">
        <is>
          <t>7.0-7.5</t>
        </is>
      </c>
      <c r="N885" t="inlineStr">
        <is>
          <t>7-9</t>
        </is>
      </c>
      <c r="O885" t="inlineStr">
        <is>
          <t>14.0-16.5</t>
        </is>
      </c>
      <c r="P885" t="inlineStr">
        <is>
          <t>GEMS Founders</t>
        </is>
      </c>
      <c r="Q885" t="inlineStr">
        <is>
          <t>Mediclinic Parkview</t>
        </is>
      </c>
      <c r="R885" t="inlineStr">
        <is>
          <t>Dubai Hills Mall</t>
        </is>
      </c>
      <c r="S885" t="inlineStr">
        <is>
          <t>Umm Suqeim / E44</t>
        </is>
      </c>
      <c r="T885" t="inlineStr">
        <is>
          <t>20</t>
        </is>
      </c>
      <c r="U885" t="inlineStr">
        <is>
          <t>20</t>
        </is>
      </c>
      <c r="V885" t="inlineStr">
        <is>
          <t>25</t>
        </is>
      </c>
      <c r="W885" t="inlineStr">
        <is>
          <t>30</t>
        </is>
      </c>
      <c r="X885" t="inlineStr">
        <is>
          <t>Guild.csv</t>
        </is>
      </c>
    </row>
    <row r="886">
      <c r="A886" t="n">
        <v>885</v>
      </c>
      <c r="B886" t="n">
        <v>349</v>
      </c>
      <c r="C886" t="inlineStr">
        <is>
          <t>Binghatti Hills Phase 2</t>
        </is>
      </c>
      <c r="D886" t="inlineStr">
        <is>
          <t>Binghatti Developers</t>
        </is>
      </c>
      <c r="E886" t="inlineStr">
        <is>
          <t>Dubai Science Park</t>
        </is>
      </c>
      <c r="F886" t="inlineStr">
        <is>
          <t>Apartments</t>
        </is>
      </c>
      <c r="G886" t="inlineStr">
        <is>
          <t>Large Scale / Hill</t>
        </is>
      </c>
      <c r="H886" t="inlineStr">
        <is>
          <t>950k</t>
        </is>
      </c>
      <c r="I886" t="inlineStr">
        <is>
          <t>1450</t>
        </is>
      </c>
      <c r="J886" t="inlineStr">
        <is>
          <t>15</t>
        </is>
      </c>
      <c r="K886" t="inlineStr">
        <is>
          <t>70/30</t>
        </is>
      </c>
      <c r="L886" t="inlineStr">
        <is>
          <t>2024</t>
        </is>
      </c>
      <c r="M886" t="inlineStr">
        <is>
          <t>7.0-7.5</t>
        </is>
      </c>
      <c r="N886" t="inlineStr">
        <is>
          <t>7-9</t>
        </is>
      </c>
      <c r="O886" t="inlineStr">
        <is>
          <t>14.0-16.5</t>
        </is>
      </c>
      <c r="P886" t="inlineStr">
        <is>
          <t>GEMS Founders</t>
        </is>
      </c>
      <c r="Q886" t="inlineStr">
        <is>
          <t>Mediclinic Parkview</t>
        </is>
      </c>
      <c r="R886" t="inlineStr">
        <is>
          <t>Dubai Hills Mall</t>
        </is>
      </c>
      <c r="S886" t="inlineStr">
        <is>
          <t>Umm Suqeim / E44</t>
        </is>
      </c>
      <c r="T886" t="inlineStr">
        <is>
          <t>20</t>
        </is>
      </c>
      <c r="U886" t="inlineStr">
        <is>
          <t>20</t>
        </is>
      </c>
      <c r="V886" t="inlineStr">
        <is>
          <t>25</t>
        </is>
      </c>
      <c r="W886" t="inlineStr">
        <is>
          <t>30</t>
        </is>
      </c>
      <c r="X886" t="inlineStr">
        <is>
          <t>Guild.csv</t>
        </is>
      </c>
    </row>
    <row r="887">
      <c r="A887" t="n">
        <v>886</v>
      </c>
      <c r="B887" t="n">
        <v>350</v>
      </c>
      <c r="C887" t="inlineStr">
        <is>
          <t>Binghatti Royale</t>
        </is>
      </c>
      <c r="D887" t="inlineStr">
        <is>
          <t>Binghatti Developers</t>
        </is>
      </c>
      <c r="E887" t="inlineStr">
        <is>
          <t>JVC</t>
        </is>
      </c>
      <c r="F887" t="inlineStr">
        <is>
          <t>Apartments</t>
        </is>
      </c>
      <c r="G887" t="inlineStr">
        <is>
          <t>Circle / Design</t>
        </is>
      </c>
      <c r="H887" t="inlineStr">
        <is>
          <t>900k</t>
        </is>
      </c>
      <c r="I887" t="inlineStr">
        <is>
          <t>1400</t>
        </is>
      </c>
      <c r="J887" t="inlineStr">
        <is>
          <t>15</t>
        </is>
      </c>
      <c r="K887" t="inlineStr">
        <is>
          <t>70/30</t>
        </is>
      </c>
      <c r="L887" t="inlineStr">
        <is>
          <t>2024</t>
        </is>
      </c>
      <c r="M887" t="inlineStr">
        <is>
          <t>7.5-8.0</t>
        </is>
      </c>
      <c r="N887" t="inlineStr">
        <is>
          <t>7-9</t>
        </is>
      </c>
      <c r="O887" t="inlineStr">
        <is>
          <t>14.5-17.0</t>
        </is>
      </c>
      <c r="P887" t="inlineStr">
        <is>
          <t>JSS International</t>
        </is>
      </c>
      <c r="Q887" t="inlineStr">
        <is>
          <t>Saudi German Hospital</t>
        </is>
      </c>
      <c r="R887" t="inlineStr">
        <is>
          <t>Circle Mall</t>
        </is>
      </c>
      <c r="S887" t="inlineStr">
        <is>
          <t>Hessa St / E44</t>
        </is>
      </c>
      <c r="T887" t="inlineStr">
        <is>
          <t>20</t>
        </is>
      </c>
      <c r="U887" t="inlineStr">
        <is>
          <t>15</t>
        </is>
      </c>
      <c r="V887" t="inlineStr">
        <is>
          <t>25</t>
        </is>
      </c>
      <c r="W887" t="inlineStr">
        <is>
          <t>30</t>
        </is>
      </c>
      <c r="X887" t="inlineStr">
        <is>
          <t>Guild.csv</t>
        </is>
      </c>
    </row>
    <row r="888">
      <c r="A888" t="n">
        <v>887</v>
      </c>
      <c r="B888" t="n">
        <v>351</v>
      </c>
      <c r="C888" t="inlineStr">
        <is>
          <t>Binghatti Aurora</t>
        </is>
      </c>
      <c r="D888" t="inlineStr">
        <is>
          <t>Binghatti Developers</t>
        </is>
      </c>
      <c r="E888" t="inlineStr">
        <is>
          <t>JVC</t>
        </is>
      </c>
      <c r="F888" t="inlineStr">
        <is>
          <t>Apartments</t>
        </is>
      </c>
      <c r="G888" t="inlineStr">
        <is>
          <t>Circle / Design</t>
        </is>
      </c>
      <c r="H888" t="inlineStr">
        <is>
          <t>850k</t>
        </is>
      </c>
      <c r="I888" t="inlineStr">
        <is>
          <t>1350</t>
        </is>
      </c>
      <c r="J888" t="inlineStr">
        <is>
          <t>15</t>
        </is>
      </c>
      <c r="K888" t="inlineStr">
        <is>
          <t>70/30</t>
        </is>
      </c>
      <c r="L888" t="inlineStr">
        <is>
          <t>2024</t>
        </is>
      </c>
      <c r="M888" t="inlineStr">
        <is>
          <t>7.5-8.0</t>
        </is>
      </c>
      <c r="N888" t="inlineStr">
        <is>
          <t>7-9</t>
        </is>
      </c>
      <c r="O888" t="inlineStr">
        <is>
          <t>14.5-17.0</t>
        </is>
      </c>
      <c r="P888" t="inlineStr">
        <is>
          <t>JSS International</t>
        </is>
      </c>
      <c r="Q888" t="inlineStr">
        <is>
          <t>Saudi German Hospital</t>
        </is>
      </c>
      <c r="R888" t="inlineStr">
        <is>
          <t>Circle Mall</t>
        </is>
      </c>
      <c r="S888" t="inlineStr">
        <is>
          <t>Hessa St / E44</t>
        </is>
      </c>
      <c r="T888" t="inlineStr">
        <is>
          <t>20</t>
        </is>
      </c>
      <c r="U888" t="inlineStr">
        <is>
          <t>15</t>
        </is>
      </c>
      <c r="V888" t="inlineStr">
        <is>
          <t>25</t>
        </is>
      </c>
      <c r="W888" t="inlineStr">
        <is>
          <t>30</t>
        </is>
      </c>
      <c r="X888" t="inlineStr">
        <is>
          <t>Guild.csv</t>
        </is>
      </c>
    </row>
    <row r="889">
      <c r="A889" t="n">
        <v>888</v>
      </c>
      <c r="B889" t="n">
        <v>352</v>
      </c>
      <c r="C889" t="inlineStr">
        <is>
          <t>Binghatti Galaxy 1</t>
        </is>
      </c>
      <c r="D889" t="inlineStr">
        <is>
          <t>Binghatti Developers</t>
        </is>
      </c>
      <c r="E889" t="inlineStr">
        <is>
          <t>JVC</t>
        </is>
      </c>
      <c r="F889" t="inlineStr">
        <is>
          <t>Apartments</t>
        </is>
      </c>
      <c r="G889" t="inlineStr">
        <is>
          <t>Circle / Design</t>
        </is>
      </c>
      <c r="H889" t="inlineStr">
        <is>
          <t>850k</t>
        </is>
      </c>
      <c r="I889" t="inlineStr">
        <is>
          <t>1350</t>
        </is>
      </c>
      <c r="J889" t="inlineStr">
        <is>
          <t>15</t>
        </is>
      </c>
      <c r="K889" t="inlineStr">
        <is>
          <t>70/30</t>
        </is>
      </c>
      <c r="L889" t="inlineStr">
        <is>
          <t>2024</t>
        </is>
      </c>
      <c r="M889" t="inlineStr">
        <is>
          <t>7.5-8.0</t>
        </is>
      </c>
      <c r="N889" t="inlineStr">
        <is>
          <t>7-9</t>
        </is>
      </c>
      <c r="O889" t="inlineStr">
        <is>
          <t>14.5-17.0</t>
        </is>
      </c>
      <c r="P889" t="inlineStr">
        <is>
          <t>JSS International</t>
        </is>
      </c>
      <c r="Q889" t="inlineStr">
        <is>
          <t>Saudi German Hospital</t>
        </is>
      </c>
      <c r="R889" t="inlineStr">
        <is>
          <t>Circle Mall</t>
        </is>
      </c>
      <c r="S889" t="inlineStr">
        <is>
          <t>Hessa St / E44</t>
        </is>
      </c>
      <c r="T889" t="inlineStr">
        <is>
          <t>20</t>
        </is>
      </c>
      <c r="U889" t="inlineStr">
        <is>
          <t>15</t>
        </is>
      </c>
      <c r="V889" t="inlineStr">
        <is>
          <t>25</t>
        </is>
      </c>
      <c r="W889" t="inlineStr">
        <is>
          <t>30</t>
        </is>
      </c>
      <c r="X889" t="inlineStr">
        <is>
          <t>Guild.csv</t>
        </is>
      </c>
    </row>
    <row r="890">
      <c r="A890" t="n">
        <v>889</v>
      </c>
      <c r="B890" t="n">
        <v>353</v>
      </c>
      <c r="C890" t="inlineStr">
        <is>
          <t>Binghatti Galaxy 2</t>
        </is>
      </c>
      <c r="D890" t="inlineStr">
        <is>
          <t>Binghatti Developers</t>
        </is>
      </c>
      <c r="E890" t="inlineStr">
        <is>
          <t>JVC</t>
        </is>
      </c>
      <c r="F890" t="inlineStr">
        <is>
          <t>Apartments</t>
        </is>
      </c>
      <c r="G890" t="inlineStr">
        <is>
          <t>Circle / Design</t>
        </is>
      </c>
      <c r="H890" t="inlineStr">
        <is>
          <t>850k</t>
        </is>
      </c>
      <c r="I890" t="inlineStr">
        <is>
          <t>1350</t>
        </is>
      </c>
      <c r="J890" t="inlineStr">
        <is>
          <t>15</t>
        </is>
      </c>
      <c r="K890" t="inlineStr">
        <is>
          <t>70/30</t>
        </is>
      </c>
      <c r="L890" t="inlineStr">
        <is>
          <t>2024</t>
        </is>
      </c>
      <c r="M890" t="inlineStr">
        <is>
          <t>7.5-8.0</t>
        </is>
      </c>
      <c r="N890" t="inlineStr">
        <is>
          <t>7-9</t>
        </is>
      </c>
      <c r="O890" t="inlineStr">
        <is>
          <t>14.5-17.0</t>
        </is>
      </c>
      <c r="P890" t="inlineStr">
        <is>
          <t>JSS International</t>
        </is>
      </c>
      <c r="Q890" t="inlineStr">
        <is>
          <t>Saudi German Hospital</t>
        </is>
      </c>
      <c r="R890" t="inlineStr">
        <is>
          <t>Circle Mall</t>
        </is>
      </c>
      <c r="S890" t="inlineStr">
        <is>
          <t>Hessa St / E44</t>
        </is>
      </c>
      <c r="T890" t="inlineStr">
        <is>
          <t>20</t>
        </is>
      </c>
      <c r="U890" t="inlineStr">
        <is>
          <t>15</t>
        </is>
      </c>
      <c r="V890" t="inlineStr">
        <is>
          <t>25</t>
        </is>
      </c>
      <c r="W890" t="inlineStr">
        <is>
          <t>30</t>
        </is>
      </c>
      <c r="X890" t="inlineStr">
        <is>
          <t>Guild.csv</t>
        </is>
      </c>
    </row>
    <row r="891">
      <c r="A891" t="n">
        <v>890</v>
      </c>
      <c r="B891" t="n">
        <v>354</v>
      </c>
      <c r="C891" t="inlineStr">
        <is>
          <t>Binghatti Phantom</t>
        </is>
      </c>
      <c r="D891" t="inlineStr">
        <is>
          <t>Binghatti Developers</t>
        </is>
      </c>
      <c r="E891" t="inlineStr">
        <is>
          <t>JVC</t>
        </is>
      </c>
      <c r="F891" t="inlineStr">
        <is>
          <t>Apartments</t>
        </is>
      </c>
      <c r="G891" t="inlineStr">
        <is>
          <t>Circle / Design</t>
        </is>
      </c>
      <c r="H891" t="inlineStr">
        <is>
          <t>800k</t>
        </is>
      </c>
      <c r="I891" t="inlineStr">
        <is>
          <t>1300</t>
        </is>
      </c>
      <c r="J891" t="inlineStr">
        <is>
          <t>15</t>
        </is>
      </c>
      <c r="K891" t="inlineStr">
        <is>
          <t>70/30</t>
        </is>
      </c>
      <c r="L891" t="inlineStr">
        <is>
          <t>2024</t>
        </is>
      </c>
      <c r="M891" t="inlineStr">
        <is>
          <t>7.5-8.0</t>
        </is>
      </c>
      <c r="N891" t="inlineStr">
        <is>
          <t>7-9</t>
        </is>
      </c>
      <c r="O891" t="inlineStr">
        <is>
          <t>14.5-17.0</t>
        </is>
      </c>
      <c r="P891" t="inlineStr">
        <is>
          <t>JSS International</t>
        </is>
      </c>
      <c r="Q891" t="inlineStr">
        <is>
          <t>Saudi German Hospital</t>
        </is>
      </c>
      <c r="R891" t="inlineStr">
        <is>
          <t>Circle Mall</t>
        </is>
      </c>
      <c r="S891" t="inlineStr">
        <is>
          <t>Hessa St / E44</t>
        </is>
      </c>
      <c r="T891" t="inlineStr">
        <is>
          <t>20</t>
        </is>
      </c>
      <c r="U891" t="inlineStr">
        <is>
          <t>15</t>
        </is>
      </c>
      <c r="V891" t="inlineStr">
        <is>
          <t>25</t>
        </is>
      </c>
      <c r="W891" t="inlineStr">
        <is>
          <t>30</t>
        </is>
      </c>
      <c r="X891" t="inlineStr">
        <is>
          <t>Guild.csv</t>
        </is>
      </c>
    </row>
    <row r="892">
      <c r="A892" t="n">
        <v>891</v>
      </c>
      <c r="B892" t="n">
        <v>355</v>
      </c>
      <c r="C892" t="inlineStr">
        <is>
          <t>Binghatti Phoenix</t>
        </is>
      </c>
      <c r="D892" t="inlineStr">
        <is>
          <t>Binghatti Developers</t>
        </is>
      </c>
      <c r="E892" t="inlineStr">
        <is>
          <t>JVC</t>
        </is>
      </c>
      <c r="F892" t="inlineStr">
        <is>
          <t>Apartments</t>
        </is>
      </c>
      <c r="G892" t="inlineStr">
        <is>
          <t>Circle / Design</t>
        </is>
      </c>
      <c r="H892" t="inlineStr">
        <is>
          <t>800k</t>
        </is>
      </c>
      <c r="I892" t="inlineStr">
        <is>
          <t>1300</t>
        </is>
      </c>
      <c r="J892" t="inlineStr">
        <is>
          <t>15</t>
        </is>
      </c>
      <c r="K892" t="inlineStr">
        <is>
          <t>70/30</t>
        </is>
      </c>
      <c r="L892" t="inlineStr">
        <is>
          <t>2023</t>
        </is>
      </c>
      <c r="M892" t="inlineStr">
        <is>
          <t>7.5-8.0</t>
        </is>
      </c>
      <c r="N892" t="inlineStr">
        <is>
          <t>7-9</t>
        </is>
      </c>
      <c r="O892" t="inlineStr">
        <is>
          <t>14.5-17.0</t>
        </is>
      </c>
      <c r="P892" t="inlineStr">
        <is>
          <t>JSS International</t>
        </is>
      </c>
      <c r="Q892" t="inlineStr">
        <is>
          <t>Saudi German Hospital</t>
        </is>
      </c>
      <c r="R892" t="inlineStr">
        <is>
          <t>Circle Mall</t>
        </is>
      </c>
      <c r="S892" t="inlineStr">
        <is>
          <t>Hessa St / E44</t>
        </is>
      </c>
      <c r="T892" t="inlineStr">
        <is>
          <t>20</t>
        </is>
      </c>
      <c r="U892" t="inlineStr">
        <is>
          <t>15</t>
        </is>
      </c>
      <c r="V892" t="inlineStr">
        <is>
          <t>25</t>
        </is>
      </c>
      <c r="W892" t="inlineStr">
        <is>
          <t>30</t>
        </is>
      </c>
      <c r="X892" t="inlineStr">
        <is>
          <t>Guild.csv</t>
        </is>
      </c>
    </row>
    <row r="893">
      <c r="A893" t="n">
        <v>892</v>
      </c>
      <c r="B893" t="n">
        <v>356</v>
      </c>
      <c r="C893" t="inlineStr">
        <is>
          <t>Binghatti Twilight</t>
        </is>
      </c>
      <c r="D893" t="inlineStr">
        <is>
          <t>Binghatti Developers</t>
        </is>
      </c>
      <c r="E893" t="inlineStr">
        <is>
          <t>JVC</t>
        </is>
      </c>
      <c r="F893" t="inlineStr">
        <is>
          <t>Apartments</t>
        </is>
      </c>
      <c r="G893" t="inlineStr">
        <is>
          <t>Circle / Design</t>
        </is>
      </c>
      <c r="H893" t="inlineStr">
        <is>
          <t>800k</t>
        </is>
      </c>
      <c r="I893" t="inlineStr">
        <is>
          <t>1300</t>
        </is>
      </c>
      <c r="J893" t="inlineStr">
        <is>
          <t>15</t>
        </is>
      </c>
      <c r="K893" t="inlineStr">
        <is>
          <t>70/30</t>
        </is>
      </c>
      <c r="L893" t="inlineStr">
        <is>
          <t>2023</t>
        </is>
      </c>
      <c r="M893" t="inlineStr">
        <is>
          <t>7.5-8.0</t>
        </is>
      </c>
      <c r="N893" t="inlineStr">
        <is>
          <t>7-9</t>
        </is>
      </c>
      <c r="O893" t="inlineStr">
        <is>
          <t>14.5-17.0</t>
        </is>
      </c>
      <c r="P893" t="inlineStr">
        <is>
          <t>JSS International</t>
        </is>
      </c>
      <c r="Q893" t="inlineStr">
        <is>
          <t>Saudi German Hospital</t>
        </is>
      </c>
      <c r="R893" t="inlineStr">
        <is>
          <t>Circle Mall</t>
        </is>
      </c>
      <c r="S893" t="inlineStr">
        <is>
          <t>Hessa St / E44</t>
        </is>
      </c>
      <c r="T893" t="inlineStr">
        <is>
          <t>20</t>
        </is>
      </c>
      <c r="U893" t="inlineStr">
        <is>
          <t>15</t>
        </is>
      </c>
      <c r="V893" t="inlineStr">
        <is>
          <t>25</t>
        </is>
      </c>
      <c r="W893" t="inlineStr">
        <is>
          <t>30</t>
        </is>
      </c>
      <c r="X893" t="inlineStr">
        <is>
          <t>Guild.csv</t>
        </is>
      </c>
    </row>
    <row r="894">
      <c r="A894" t="n">
        <v>893</v>
      </c>
      <c r="B894" t="n">
        <v>357</v>
      </c>
      <c r="C894" t="inlineStr">
        <is>
          <t>Binghatti Dawn</t>
        </is>
      </c>
      <c r="D894" t="inlineStr">
        <is>
          <t>Binghatti Developers</t>
        </is>
      </c>
      <c r="E894" t="inlineStr">
        <is>
          <t>JVC</t>
        </is>
      </c>
      <c r="F894" t="inlineStr">
        <is>
          <t>Apartments</t>
        </is>
      </c>
      <c r="G894" t="inlineStr">
        <is>
          <t>Circle / Design</t>
        </is>
      </c>
      <c r="H894" t="inlineStr">
        <is>
          <t>800k</t>
        </is>
      </c>
      <c r="I894" t="inlineStr">
        <is>
          <t>1300</t>
        </is>
      </c>
      <c r="J894" t="inlineStr">
        <is>
          <t>15</t>
        </is>
      </c>
      <c r="K894" t="inlineStr">
        <is>
          <t>70/30</t>
        </is>
      </c>
      <c r="L894" t="inlineStr">
        <is>
          <t>2023</t>
        </is>
      </c>
      <c r="M894" t="inlineStr">
        <is>
          <t>7.5-8.0</t>
        </is>
      </c>
      <c r="N894" t="inlineStr">
        <is>
          <t>7-9</t>
        </is>
      </c>
      <c r="O894" t="inlineStr">
        <is>
          <t>14.5-17.0</t>
        </is>
      </c>
      <c r="P894" t="inlineStr">
        <is>
          <t>JSS International</t>
        </is>
      </c>
      <c r="Q894" t="inlineStr">
        <is>
          <t>Saudi German Hospital</t>
        </is>
      </c>
      <c r="R894" t="inlineStr">
        <is>
          <t>Circle Mall</t>
        </is>
      </c>
      <c r="S894" t="inlineStr">
        <is>
          <t>Hessa St / E44</t>
        </is>
      </c>
      <c r="T894" t="inlineStr">
        <is>
          <t>20</t>
        </is>
      </c>
      <c r="U894" t="inlineStr">
        <is>
          <t>15</t>
        </is>
      </c>
      <c r="V894" t="inlineStr">
        <is>
          <t>25</t>
        </is>
      </c>
      <c r="W894" t="inlineStr">
        <is>
          <t>30</t>
        </is>
      </c>
      <c r="X894" t="inlineStr">
        <is>
          <t>Guild.csv</t>
        </is>
      </c>
    </row>
    <row r="895">
      <c r="A895" t="n">
        <v>894</v>
      </c>
      <c r="B895" t="n">
        <v>358</v>
      </c>
      <c r="C895" t="inlineStr">
        <is>
          <t>Binghatti House</t>
        </is>
      </c>
      <c r="D895" t="inlineStr">
        <is>
          <t>Binghatti Developers</t>
        </is>
      </c>
      <c r="E895" t="inlineStr">
        <is>
          <t>JVC</t>
        </is>
      </c>
      <c r="F895" t="inlineStr">
        <is>
          <t>Apartments</t>
        </is>
      </c>
      <c r="G895" t="inlineStr">
        <is>
          <t>Circle / Design</t>
        </is>
      </c>
      <c r="H895" t="inlineStr">
        <is>
          <t>800k</t>
        </is>
      </c>
      <c r="I895" t="inlineStr">
        <is>
          <t>1300</t>
        </is>
      </c>
      <c r="J895" t="inlineStr">
        <is>
          <t>15</t>
        </is>
      </c>
      <c r="K895" t="inlineStr">
        <is>
          <t>70/30</t>
        </is>
      </c>
      <c r="L895" t="inlineStr">
        <is>
          <t>2023</t>
        </is>
      </c>
      <c r="M895" t="inlineStr">
        <is>
          <t>7.5-8.0</t>
        </is>
      </c>
      <c r="N895" t="inlineStr">
        <is>
          <t>7-9</t>
        </is>
      </c>
      <c r="O895" t="inlineStr">
        <is>
          <t>14.5-17.0</t>
        </is>
      </c>
      <c r="P895" t="inlineStr">
        <is>
          <t>JSS International</t>
        </is>
      </c>
      <c r="Q895" t="inlineStr">
        <is>
          <t>Saudi German Hospital</t>
        </is>
      </c>
      <c r="R895" t="inlineStr">
        <is>
          <t>Circle Mall</t>
        </is>
      </c>
      <c r="S895" t="inlineStr">
        <is>
          <t>Hessa St / E44</t>
        </is>
      </c>
      <c r="T895" t="inlineStr">
        <is>
          <t>20</t>
        </is>
      </c>
      <c r="U895" t="inlineStr">
        <is>
          <t>15</t>
        </is>
      </c>
      <c r="V895" t="inlineStr">
        <is>
          <t>25</t>
        </is>
      </c>
      <c r="W895" t="inlineStr">
        <is>
          <t>30</t>
        </is>
      </c>
      <c r="X895" t="inlineStr">
        <is>
          <t>Guild.csv</t>
        </is>
      </c>
    </row>
    <row r="896">
      <c r="A896" t="n">
        <v>895</v>
      </c>
      <c r="B896" t="n">
        <v>359</v>
      </c>
      <c r="C896" t="inlineStr">
        <is>
          <t>Azizi Venice (Master Community)</t>
        </is>
      </c>
      <c r="D896" t="inlineStr">
        <is>
          <t>Azizi Developments</t>
        </is>
      </c>
      <c r="E896" t="inlineStr">
        <is>
          <t>Dubai South</t>
        </is>
      </c>
      <c r="F896" t="inlineStr">
        <is>
          <t>Apartments &amp; Villas</t>
        </is>
      </c>
      <c r="G896" t="inlineStr">
        <is>
          <t>Lagoon / Opera</t>
        </is>
      </c>
      <c r="H896" t="inlineStr">
        <is>
          <t>480k</t>
        </is>
      </c>
      <c r="I896" t="inlineStr">
        <is>
          <t>1200</t>
        </is>
      </c>
      <c r="J896" t="inlineStr">
        <is>
          <t>15</t>
        </is>
      </c>
      <c r="K896" t="inlineStr">
        <is>
          <t>40/60</t>
        </is>
      </c>
      <c r="L896" t="inlineStr">
        <is>
          <t>2023</t>
        </is>
      </c>
      <c r="M896" t="inlineStr">
        <is>
          <t>7.0-8.0</t>
        </is>
      </c>
      <c r="N896" t="inlineStr">
        <is>
          <t>10-15</t>
        </is>
      </c>
      <c r="O896" t="inlineStr">
        <is>
          <t>17.0-23.0</t>
        </is>
      </c>
      <c r="P896" t="inlineStr">
        <is>
          <t>Greenfield Intl</t>
        </is>
      </c>
      <c r="Q896" t="inlineStr">
        <is>
          <t>NMC Royal DIP</t>
        </is>
      </c>
      <c r="R896" t="inlineStr">
        <is>
          <t>Urban Centre (Local)</t>
        </is>
      </c>
      <c r="S896" t="inlineStr">
        <is>
          <t>Expo Rd / E611</t>
        </is>
      </c>
      <c r="T896" t="inlineStr">
        <is>
          <t>40</t>
        </is>
      </c>
      <c r="U896" t="inlineStr">
        <is>
          <t>25</t>
        </is>
      </c>
      <c r="V896" t="inlineStr">
        <is>
          <t>45</t>
        </is>
      </c>
      <c r="W896" t="inlineStr">
        <is>
          <t>7</t>
        </is>
      </c>
      <c r="X896" t="inlineStr">
        <is>
          <t>Guild.csv</t>
        </is>
      </c>
    </row>
    <row r="897">
      <c r="A897" t="n">
        <v>896</v>
      </c>
      <c r="B897" t="n">
        <v>360</v>
      </c>
      <c r="C897" t="inlineStr">
        <is>
          <t>Monaco Mansions</t>
        </is>
      </c>
      <c r="D897" t="inlineStr">
        <is>
          <t>Azizi Developments</t>
        </is>
      </c>
      <c r="E897" t="inlineStr">
        <is>
          <t>Azizi Venice</t>
        </is>
      </c>
      <c r="F897" t="inlineStr">
        <is>
          <t>Mansions</t>
        </is>
      </c>
      <c r="G897" t="inlineStr">
        <is>
          <t>Ultra-Luxury / Lagoon</t>
        </is>
      </c>
      <c r="H897" t="inlineStr">
        <is>
          <t>10M+</t>
        </is>
      </c>
      <c r="I897" t="inlineStr">
        <is>
          <t>2000</t>
        </is>
      </c>
      <c r="J897" t="inlineStr">
        <is>
          <t>TBA</t>
        </is>
      </c>
      <c r="K897" t="inlineStr">
        <is>
          <t>40/60</t>
        </is>
      </c>
      <c r="L897" t="inlineStr">
        <is>
          <t>2024</t>
        </is>
      </c>
      <c r="M897" t="inlineStr">
        <is>
          <t>5.0-5.5</t>
        </is>
      </c>
      <c r="N897" t="inlineStr">
        <is>
          <t>12-18</t>
        </is>
      </c>
      <c r="O897" t="inlineStr">
        <is>
          <t>17.0-23.5</t>
        </is>
      </c>
      <c r="P897" t="inlineStr">
        <is>
          <t>Greenfield Intl</t>
        </is>
      </c>
      <c r="Q897" t="inlineStr">
        <is>
          <t>NMC Royal DIP</t>
        </is>
      </c>
      <c r="R897" t="inlineStr">
        <is>
          <t>Urban Centre (Local)</t>
        </is>
      </c>
      <c r="S897" t="inlineStr">
        <is>
          <t>Expo Rd / E611</t>
        </is>
      </c>
      <c r="T897" t="inlineStr">
        <is>
          <t>40</t>
        </is>
      </c>
      <c r="U897" t="inlineStr">
        <is>
          <t>25</t>
        </is>
      </c>
      <c r="V897" t="inlineStr">
        <is>
          <t>45</t>
        </is>
      </c>
      <c r="W897" t="inlineStr">
        <is>
          <t>7</t>
        </is>
      </c>
      <c r="X897" t="inlineStr">
        <is>
          <t>Guild.csv</t>
        </is>
      </c>
    </row>
    <row r="898">
      <c r="A898" t="n">
        <v>897</v>
      </c>
      <c r="B898" t="n">
        <v>361</v>
      </c>
      <c r="C898" t="inlineStr">
        <is>
          <t>Burj Azizi</t>
        </is>
      </c>
      <c r="D898" t="inlineStr">
        <is>
          <t>Azizi Developments</t>
        </is>
      </c>
      <c r="E898" t="inlineStr">
        <is>
          <t>Sheikh Zayed Road</t>
        </is>
      </c>
      <c r="F898" t="inlineStr">
        <is>
          <t>Mixed Use</t>
        </is>
      </c>
      <c r="G898" t="inlineStr">
        <is>
          <t>Skyscraper</t>
        </is>
      </c>
      <c r="H898" t="inlineStr">
        <is>
          <t>TBA</t>
        </is>
      </c>
      <c r="I898" t="inlineStr">
        <is>
          <t>TBA</t>
        </is>
      </c>
      <c r="J898" t="inlineStr">
        <is>
          <t>TBA</t>
        </is>
      </c>
      <c r="K898" t="inlineStr">
        <is>
          <t>TBA</t>
        </is>
      </c>
      <c r="L898" t="inlineStr">
        <is>
          <t>2024</t>
        </is>
      </c>
      <c r="M898" t="inlineStr">
        <is>
          <t>5.0-6.0</t>
        </is>
      </c>
      <c r="N898" t="inlineStr">
        <is>
          <t>10-15</t>
        </is>
      </c>
      <c r="O898" t="inlineStr">
        <is>
          <t>15.0-21.0</t>
        </is>
      </c>
      <c r="P898" t="inlineStr">
        <is>
          <t>Hartland Intl</t>
        </is>
      </c>
      <c r="Q898" t="inlineStr">
        <is>
          <t>Mediclinic Dubai Mall</t>
        </is>
      </c>
      <c r="R898" t="inlineStr">
        <is>
          <t>Dubai Mall</t>
        </is>
      </c>
      <c r="S898" t="inlineStr">
        <is>
          <t>Sheikh Zayed E11</t>
        </is>
      </c>
      <c r="T898" t="inlineStr">
        <is>
          <t>5</t>
        </is>
      </c>
      <c r="U898" t="inlineStr">
        <is>
          <t>15</t>
        </is>
      </c>
      <c r="V898" t="inlineStr">
        <is>
          <t>15</t>
        </is>
      </c>
      <c r="W898" t="inlineStr">
        <is>
          <t>35</t>
        </is>
      </c>
      <c r="X898" t="inlineStr">
        <is>
          <t>Guild.csv</t>
        </is>
      </c>
    </row>
    <row r="899">
      <c r="A899" t="n">
        <v>898</v>
      </c>
      <c r="B899" t="n">
        <v>362</v>
      </c>
      <c r="C899" t="inlineStr">
        <is>
          <t>Riviera Phase 1</t>
        </is>
      </c>
      <c r="D899" t="inlineStr">
        <is>
          <t>Azizi Developments</t>
        </is>
      </c>
      <c r="E899" t="inlineStr">
        <is>
          <t>MBR City (Meydan)</t>
        </is>
      </c>
      <c r="F899" t="inlineStr">
        <is>
          <t>Apartments</t>
        </is>
      </c>
      <c r="G899" t="inlineStr">
        <is>
          <t>Lagoon / French</t>
        </is>
      </c>
      <c r="H899" t="inlineStr">
        <is>
          <t>Resale (800k+)</t>
        </is>
      </c>
      <c r="I899" t="inlineStr">
        <is>
          <t>1300</t>
        </is>
      </c>
      <c r="J899" t="inlineStr">
        <is>
          <t>16</t>
        </is>
      </c>
      <c r="K899" t="inlineStr">
        <is>
          <t>Completed</t>
        </is>
      </c>
      <c r="L899" t="inlineStr">
        <is>
          <t>2017</t>
        </is>
      </c>
      <c r="M899" t="inlineStr">
        <is>
          <t>7.0-7.5</t>
        </is>
      </c>
      <c r="N899" t="inlineStr">
        <is>
          <t>5-7</t>
        </is>
      </c>
      <c r="O899" t="inlineStr">
        <is>
          <t>12.0-14.5</t>
        </is>
      </c>
      <c r="P899" t="inlineStr">
        <is>
          <t>Hartland Intl</t>
        </is>
      </c>
      <c r="Q899" t="inlineStr">
        <is>
          <t>American Hospital</t>
        </is>
      </c>
      <c r="R899" t="inlineStr">
        <is>
          <t>Dubai Mall</t>
        </is>
      </c>
      <c r="S899" t="inlineStr">
        <is>
          <t>Ras Al Khor / E44</t>
        </is>
      </c>
      <c r="T899" t="inlineStr">
        <is>
          <t>12</t>
        </is>
      </c>
      <c r="U899" t="inlineStr">
        <is>
          <t>25</t>
        </is>
      </c>
      <c r="V899" t="inlineStr">
        <is>
          <t>15</t>
        </is>
      </c>
      <c r="W899" t="inlineStr">
        <is>
          <t>40</t>
        </is>
      </c>
      <c r="X899" t="inlineStr">
        <is>
          <t>Guild.csv</t>
        </is>
      </c>
    </row>
    <row r="900">
      <c r="A900" t="n">
        <v>899</v>
      </c>
      <c r="B900" t="n">
        <v>363</v>
      </c>
      <c r="C900" t="inlineStr">
        <is>
          <t>Riviera Phase 2</t>
        </is>
      </c>
      <c r="D900" t="inlineStr">
        <is>
          <t>Azizi Developments</t>
        </is>
      </c>
      <c r="E900" t="inlineStr">
        <is>
          <t>MBR City (Meydan)</t>
        </is>
      </c>
      <c r="F900" t="inlineStr">
        <is>
          <t>Apartments</t>
        </is>
      </c>
      <c r="G900" t="inlineStr">
        <is>
          <t>Lagoon / French</t>
        </is>
      </c>
      <c r="H900" t="inlineStr">
        <is>
          <t>Resale (800k+)</t>
        </is>
      </c>
      <c r="I900" t="inlineStr">
        <is>
          <t>1300</t>
        </is>
      </c>
      <c r="J900" t="inlineStr">
        <is>
          <t>16</t>
        </is>
      </c>
      <c r="K900" t="inlineStr">
        <is>
          <t>Completed</t>
        </is>
      </c>
      <c r="L900" t="inlineStr">
        <is>
          <t>2018</t>
        </is>
      </c>
      <c r="M900" t="inlineStr">
        <is>
          <t>7.0-7.5</t>
        </is>
      </c>
      <c r="N900" t="inlineStr">
        <is>
          <t>5-7</t>
        </is>
      </c>
      <c r="O900" t="inlineStr">
        <is>
          <t>12.0-14.5</t>
        </is>
      </c>
      <c r="P900" t="inlineStr">
        <is>
          <t>Hartland Intl</t>
        </is>
      </c>
      <c r="Q900" t="inlineStr">
        <is>
          <t>American Hospital</t>
        </is>
      </c>
      <c r="R900" t="inlineStr">
        <is>
          <t>Dubai Mall</t>
        </is>
      </c>
      <c r="S900" t="inlineStr">
        <is>
          <t>Ras Al Khor / E44</t>
        </is>
      </c>
      <c r="T900" t="inlineStr">
        <is>
          <t>12</t>
        </is>
      </c>
      <c r="U900" t="inlineStr">
        <is>
          <t>25</t>
        </is>
      </c>
      <c r="V900" t="inlineStr">
        <is>
          <t>15</t>
        </is>
      </c>
      <c r="W900" t="inlineStr">
        <is>
          <t>40</t>
        </is>
      </c>
      <c r="X900" t="inlineStr">
        <is>
          <t>Guild.csv</t>
        </is>
      </c>
    </row>
    <row r="901">
      <c r="A901" t="n">
        <v>900</v>
      </c>
      <c r="B901" t="n">
        <v>364</v>
      </c>
      <c r="C901" t="inlineStr">
        <is>
          <t>Riviera Phase 3</t>
        </is>
      </c>
      <c r="D901" t="inlineStr">
        <is>
          <t>Azizi Developments</t>
        </is>
      </c>
      <c r="E901" t="inlineStr">
        <is>
          <t>MBR City (Meydan)</t>
        </is>
      </c>
      <c r="F901" t="inlineStr">
        <is>
          <t>Apartments</t>
        </is>
      </c>
      <c r="G901" t="inlineStr">
        <is>
          <t>Lagoon / French</t>
        </is>
      </c>
      <c r="H901" t="inlineStr">
        <is>
          <t>1.0M</t>
        </is>
      </c>
      <c r="I901" t="inlineStr">
        <is>
          <t>1400</t>
        </is>
      </c>
      <c r="J901" t="inlineStr">
        <is>
          <t>16</t>
        </is>
      </c>
      <c r="K901" t="inlineStr">
        <is>
          <t>50/50</t>
        </is>
      </c>
      <c r="L901" t="inlineStr">
        <is>
          <t>2019</t>
        </is>
      </c>
      <c r="M901" t="inlineStr">
        <is>
          <t>7.0-7.5</t>
        </is>
      </c>
      <c r="N901" t="inlineStr">
        <is>
          <t>6-8</t>
        </is>
      </c>
      <c r="O901" t="inlineStr">
        <is>
          <t>13.0-15.5</t>
        </is>
      </c>
      <c r="P901" t="inlineStr">
        <is>
          <t>Hartland Intl</t>
        </is>
      </c>
      <c r="Q901" t="inlineStr">
        <is>
          <t>American Hospital</t>
        </is>
      </c>
      <c r="R901" t="inlineStr">
        <is>
          <t>Dubai Mall</t>
        </is>
      </c>
      <c r="S901" t="inlineStr">
        <is>
          <t>Ras Al Khor / E44</t>
        </is>
      </c>
      <c r="T901" t="inlineStr">
        <is>
          <t>12</t>
        </is>
      </c>
      <c r="U901" t="inlineStr">
        <is>
          <t>25</t>
        </is>
      </c>
      <c r="V901" t="inlineStr">
        <is>
          <t>15</t>
        </is>
      </c>
      <c r="W901" t="inlineStr">
        <is>
          <t>40</t>
        </is>
      </c>
      <c r="X901" t="inlineStr">
        <is>
          <t>Guild.csv</t>
        </is>
      </c>
    </row>
    <row r="902">
      <c r="A902" t="n">
        <v>901</v>
      </c>
      <c r="B902" t="n">
        <v>365</v>
      </c>
      <c r="C902" t="inlineStr">
        <is>
          <t>Riviera Phase 4</t>
        </is>
      </c>
      <c r="D902" t="inlineStr">
        <is>
          <t>Azizi Developments</t>
        </is>
      </c>
      <c r="E902" t="inlineStr">
        <is>
          <t>MBR City (Meydan)</t>
        </is>
      </c>
      <c r="F902" t="inlineStr">
        <is>
          <t>Apartments</t>
        </is>
      </c>
      <c r="G902" t="inlineStr">
        <is>
          <t>Lagoon / French</t>
        </is>
      </c>
      <c r="H902" t="inlineStr">
        <is>
          <t>1.1M</t>
        </is>
      </c>
      <c r="I902" t="inlineStr">
        <is>
          <t>1450</t>
        </is>
      </c>
      <c r="J902" t="inlineStr">
        <is>
          <t>16</t>
        </is>
      </c>
      <c r="K902" t="inlineStr">
        <is>
          <t>50/50</t>
        </is>
      </c>
      <c r="L902" t="inlineStr">
        <is>
          <t>2022</t>
        </is>
      </c>
      <c r="M902" t="inlineStr">
        <is>
          <t>7.0-7.5</t>
        </is>
      </c>
      <c r="N902" t="inlineStr">
        <is>
          <t>6-8</t>
        </is>
      </c>
      <c r="O902" t="inlineStr">
        <is>
          <t>13.0-15.5</t>
        </is>
      </c>
      <c r="P902" t="inlineStr">
        <is>
          <t>Hartland Intl</t>
        </is>
      </c>
      <c r="Q902" t="inlineStr">
        <is>
          <t>American Hospital</t>
        </is>
      </c>
      <c r="R902" t="inlineStr">
        <is>
          <t>Dubai Mall</t>
        </is>
      </c>
      <c r="S902" t="inlineStr">
        <is>
          <t>Ras Al Khor / E44</t>
        </is>
      </c>
      <c r="T902" t="inlineStr">
        <is>
          <t>12</t>
        </is>
      </c>
      <c r="U902" t="inlineStr">
        <is>
          <t>25</t>
        </is>
      </c>
      <c r="V902" t="inlineStr">
        <is>
          <t>15</t>
        </is>
      </c>
      <c r="W902" t="inlineStr">
        <is>
          <t>40</t>
        </is>
      </c>
      <c r="X902" t="inlineStr">
        <is>
          <t>Guild.csv</t>
        </is>
      </c>
    </row>
    <row r="903">
      <c r="A903" t="n">
        <v>902</v>
      </c>
      <c r="B903" t="n">
        <v>366</v>
      </c>
      <c r="C903" t="inlineStr">
        <is>
          <t>Riviera Rêve</t>
        </is>
      </c>
      <c r="D903" t="inlineStr">
        <is>
          <t>Azizi Developments</t>
        </is>
      </c>
      <c r="E903" t="inlineStr">
        <is>
          <t>MBR City (Meydan)</t>
        </is>
      </c>
      <c r="F903" t="inlineStr">
        <is>
          <t>Apartments</t>
        </is>
      </c>
      <c r="G903" t="inlineStr">
        <is>
          <t>Luxury / Lagoon View</t>
        </is>
      </c>
      <c r="H903" t="inlineStr">
        <is>
          <t>1.8M</t>
        </is>
      </c>
      <c r="I903" t="inlineStr">
        <is>
          <t>1800</t>
        </is>
      </c>
      <c r="J903" t="inlineStr">
        <is>
          <t>18</t>
        </is>
      </c>
      <c r="K903" t="inlineStr">
        <is>
          <t>50/50</t>
        </is>
      </c>
      <c r="L903" t="inlineStr">
        <is>
          <t>2022</t>
        </is>
      </c>
      <c r="M903" t="inlineStr">
        <is>
          <t>6.5-7.0</t>
        </is>
      </c>
      <c r="N903" t="inlineStr">
        <is>
          <t>7-9</t>
        </is>
      </c>
      <c r="O903" t="inlineStr">
        <is>
          <t>13.5-16.0</t>
        </is>
      </c>
      <c r="P903" t="inlineStr">
        <is>
          <t>Hartland Intl</t>
        </is>
      </c>
      <c r="Q903" t="inlineStr">
        <is>
          <t>American Hospital</t>
        </is>
      </c>
      <c r="R903" t="inlineStr">
        <is>
          <t>Dubai Mall</t>
        </is>
      </c>
      <c r="S903" t="inlineStr">
        <is>
          <t>Ras Al Khor / E44</t>
        </is>
      </c>
      <c r="T903" t="inlineStr">
        <is>
          <t>12</t>
        </is>
      </c>
      <c r="U903" t="inlineStr">
        <is>
          <t>25</t>
        </is>
      </c>
      <c r="V903" t="inlineStr">
        <is>
          <t>15</t>
        </is>
      </c>
      <c r="W903" t="inlineStr">
        <is>
          <t>40</t>
        </is>
      </c>
      <c r="X903" t="inlineStr">
        <is>
          <t>Guild.csv</t>
        </is>
      </c>
    </row>
    <row r="904">
      <c r="A904" t="n">
        <v>903</v>
      </c>
      <c r="B904" t="n">
        <v>367</v>
      </c>
      <c r="C904" t="inlineStr">
        <is>
          <t>Riviera Beachfront</t>
        </is>
      </c>
      <c r="D904" t="inlineStr">
        <is>
          <t>Azizi Developments</t>
        </is>
      </c>
      <c r="E904" t="inlineStr">
        <is>
          <t>MBR City (Meydan)</t>
        </is>
      </c>
      <c r="F904" t="inlineStr">
        <is>
          <t>Apartments</t>
        </is>
      </c>
      <c r="G904" t="inlineStr">
        <is>
          <t>Beachfront / Lagoon</t>
        </is>
      </c>
      <c r="H904" t="inlineStr">
        <is>
          <t>1.5M</t>
        </is>
      </c>
      <c r="I904" t="inlineStr">
        <is>
          <t>1600</t>
        </is>
      </c>
      <c r="J904" t="inlineStr">
        <is>
          <t>18</t>
        </is>
      </c>
      <c r="K904" t="inlineStr">
        <is>
          <t>50/50</t>
        </is>
      </c>
      <c r="L904" t="inlineStr">
        <is>
          <t>2021</t>
        </is>
      </c>
      <c r="M904" t="inlineStr">
        <is>
          <t>6.5-7.0</t>
        </is>
      </c>
      <c r="N904" t="inlineStr">
        <is>
          <t>7-9</t>
        </is>
      </c>
      <c r="O904" t="inlineStr">
        <is>
          <t>13.5-16.0</t>
        </is>
      </c>
      <c r="P904" t="inlineStr">
        <is>
          <t>Hartland Intl</t>
        </is>
      </c>
      <c r="Q904" t="inlineStr">
        <is>
          <t>American Hospital</t>
        </is>
      </c>
      <c r="R904" t="inlineStr">
        <is>
          <t>Dubai Mall</t>
        </is>
      </c>
      <c r="S904" t="inlineStr">
        <is>
          <t>Ras Al Khor / E44</t>
        </is>
      </c>
      <c r="T904" t="inlineStr">
        <is>
          <t>12</t>
        </is>
      </c>
      <c r="U904" t="inlineStr">
        <is>
          <t>25</t>
        </is>
      </c>
      <c r="V904" t="inlineStr">
        <is>
          <t>15</t>
        </is>
      </c>
      <c r="W904" t="inlineStr">
        <is>
          <t>40</t>
        </is>
      </c>
      <c r="X904" t="inlineStr">
        <is>
          <t>Guild.csv</t>
        </is>
      </c>
    </row>
    <row r="905">
      <c r="A905" t="n">
        <v>904</v>
      </c>
      <c r="B905" t="n">
        <v>368</v>
      </c>
      <c r="C905" t="inlineStr">
        <is>
          <t>Azizi Vista</t>
        </is>
      </c>
      <c r="D905" t="inlineStr">
        <is>
          <t>Azizi Developments</t>
        </is>
      </c>
      <c r="E905" t="inlineStr">
        <is>
          <t>Dubai Studio City</t>
        </is>
      </c>
      <c r="F905" t="inlineStr">
        <is>
          <t>Apartments</t>
        </is>
      </c>
      <c r="G905" t="inlineStr">
        <is>
          <t>Low-Rise / Family</t>
        </is>
      </c>
      <c r="H905" t="inlineStr">
        <is>
          <t>700k</t>
        </is>
      </c>
      <c r="I905" t="inlineStr">
        <is>
          <t>1100</t>
        </is>
      </c>
      <c r="J905" t="inlineStr">
        <is>
          <t>14</t>
        </is>
      </c>
      <c r="K905" t="inlineStr">
        <is>
          <t>40/60</t>
        </is>
      </c>
      <c r="L905" t="inlineStr">
        <is>
          <t>2023</t>
        </is>
      </c>
      <c r="M905" t="inlineStr">
        <is>
          <t>7.5-8.0</t>
        </is>
      </c>
      <c r="N905" t="inlineStr">
        <is>
          <t>6-8</t>
        </is>
      </c>
      <c r="O905" t="inlineStr">
        <is>
          <t>13.5-16.0</t>
        </is>
      </c>
      <c r="P905" t="inlineStr">
        <is>
          <t>GEMS Metropole</t>
        </is>
      </c>
      <c r="Q905" t="inlineStr">
        <is>
          <t>Mediclinic Parkview</t>
        </is>
      </c>
      <c r="R905" t="inlineStr">
        <is>
          <t>First Avenue Mall</t>
        </is>
      </c>
      <c r="S905" t="inlineStr">
        <is>
          <t>Hessa St / E311</t>
        </is>
      </c>
      <c r="T905" t="inlineStr">
        <is>
          <t>20</t>
        </is>
      </c>
      <c r="U905" t="inlineStr">
        <is>
          <t>15</t>
        </is>
      </c>
      <c r="V905" t="inlineStr">
        <is>
          <t>25</t>
        </is>
      </c>
      <c r="W905" t="inlineStr">
        <is>
          <t>25</t>
        </is>
      </c>
      <c r="X905" t="inlineStr">
        <is>
          <t>Guild.csv</t>
        </is>
      </c>
    </row>
    <row r="906">
      <c r="A906" t="n">
        <v>905</v>
      </c>
      <c r="B906" t="n">
        <v>369</v>
      </c>
      <c r="C906" t="inlineStr">
        <is>
          <t>Beach Oasis</t>
        </is>
      </c>
      <c r="D906" t="inlineStr">
        <is>
          <t>Azizi Developments</t>
        </is>
      </c>
      <c r="E906" t="inlineStr">
        <is>
          <t>Dubai Studio City</t>
        </is>
      </c>
      <c r="F906" t="inlineStr">
        <is>
          <t>Apartments</t>
        </is>
      </c>
      <c r="G906" t="inlineStr">
        <is>
          <t>Pool / Low-Rise</t>
        </is>
      </c>
      <c r="H906" t="inlineStr">
        <is>
          <t>750k</t>
        </is>
      </c>
      <c r="I906" t="inlineStr">
        <is>
          <t>1100</t>
        </is>
      </c>
      <c r="J906" t="inlineStr">
        <is>
          <t>14</t>
        </is>
      </c>
      <c r="K906" t="inlineStr">
        <is>
          <t>40/60</t>
        </is>
      </c>
      <c r="L906" t="inlineStr">
        <is>
          <t>2023</t>
        </is>
      </c>
      <c r="M906" t="inlineStr">
        <is>
          <t>7.5-8.0</t>
        </is>
      </c>
      <c r="N906" t="inlineStr">
        <is>
          <t>6-8</t>
        </is>
      </c>
      <c r="O906" t="inlineStr">
        <is>
          <t>13.5-16.0</t>
        </is>
      </c>
      <c r="P906" t="inlineStr">
        <is>
          <t>GEMS Metropole</t>
        </is>
      </c>
      <c r="Q906" t="inlineStr">
        <is>
          <t>Mediclinic Parkview</t>
        </is>
      </c>
      <c r="R906" t="inlineStr">
        <is>
          <t>First Avenue Mall</t>
        </is>
      </c>
      <c r="S906" t="inlineStr">
        <is>
          <t>Hessa St / E311</t>
        </is>
      </c>
      <c r="T906" t="inlineStr">
        <is>
          <t>20</t>
        </is>
      </c>
      <c r="U906" t="inlineStr">
        <is>
          <t>15</t>
        </is>
      </c>
      <c r="V906" t="inlineStr">
        <is>
          <t>25</t>
        </is>
      </c>
      <c r="W906" t="inlineStr">
        <is>
          <t>25</t>
        </is>
      </c>
      <c r="X906" t="inlineStr">
        <is>
          <t>Guild.csv</t>
        </is>
      </c>
    </row>
    <row r="907">
      <c r="A907" t="n">
        <v>906</v>
      </c>
      <c r="B907" t="n">
        <v>370</v>
      </c>
      <c r="C907" t="inlineStr">
        <is>
          <t>Mina</t>
        </is>
      </c>
      <c r="D907" t="inlineStr">
        <is>
          <t>Azizi Developments</t>
        </is>
      </c>
      <c r="E907" t="inlineStr">
        <is>
          <t>Palm Jumeirah</t>
        </is>
      </c>
      <c r="F907" t="inlineStr">
        <is>
          <t>Apartments</t>
        </is>
      </c>
      <c r="G907" t="inlineStr">
        <is>
          <t>Beachfront / Luxury</t>
        </is>
      </c>
      <c r="H907" t="inlineStr">
        <is>
          <t>Resale (2.5M+)</t>
        </is>
      </c>
      <c r="I907" t="inlineStr">
        <is>
          <t>2500</t>
        </is>
      </c>
      <c r="J907" t="inlineStr">
        <is>
          <t>25</t>
        </is>
      </c>
      <c r="K907" t="inlineStr">
        <is>
          <t>Completed</t>
        </is>
      </c>
      <c r="L907" t="inlineStr">
        <is>
          <t>2017</t>
        </is>
      </c>
      <c r="M907" t="inlineStr">
        <is>
          <t>5.0-5.5</t>
        </is>
      </c>
      <c r="N907" t="inlineStr">
        <is>
          <t>5-7</t>
        </is>
      </c>
      <c r="O907" t="inlineStr">
        <is>
          <t>10.0-12.5</t>
        </is>
      </c>
      <c r="P907" t="inlineStr">
        <is>
          <t>Chevalier College</t>
        </is>
      </c>
      <c r="Q907" t="inlineStr">
        <is>
          <t>Emirates Hospital</t>
        </is>
      </c>
      <c r="R907" t="inlineStr">
        <is>
          <t>Nakheel Mall</t>
        </is>
      </c>
      <c r="S907" t="inlineStr">
        <is>
          <t>Sheikh Zayed E11</t>
        </is>
      </c>
      <c r="T907" t="inlineStr">
        <is>
          <t>20</t>
        </is>
      </c>
      <c r="U907" t="inlineStr">
        <is>
          <t>10</t>
        </is>
      </c>
      <c r="V907" t="inlineStr">
        <is>
          <t>25</t>
        </is>
      </c>
      <c r="W907" t="inlineStr">
        <is>
          <t>35</t>
        </is>
      </c>
      <c r="X907" t="inlineStr">
        <is>
          <t>Guild.csv</t>
        </is>
      </c>
    </row>
    <row r="908">
      <c r="A908" t="n">
        <v>907</v>
      </c>
      <c r="B908" t="n">
        <v>371</v>
      </c>
      <c r="C908" t="inlineStr">
        <is>
          <t>Berton</t>
        </is>
      </c>
      <c r="D908" t="inlineStr">
        <is>
          <t>Azizi Developments</t>
        </is>
      </c>
      <c r="E908" t="inlineStr">
        <is>
          <t>Al Furjan</t>
        </is>
      </c>
      <c r="F908" t="inlineStr">
        <is>
          <t>Apartments</t>
        </is>
      </c>
      <c r="G908" t="inlineStr">
        <is>
          <t>Modern / Budget</t>
        </is>
      </c>
      <c r="H908" t="inlineStr">
        <is>
          <t>Resale (600k+)</t>
        </is>
      </c>
      <c r="I908" t="inlineStr">
        <is>
          <t>1000</t>
        </is>
      </c>
      <c r="J908" t="inlineStr">
        <is>
          <t>12</t>
        </is>
      </c>
      <c r="K908" t="inlineStr">
        <is>
          <t>Completed</t>
        </is>
      </c>
      <c r="L908" t="inlineStr">
        <is>
          <t>2018</t>
        </is>
      </c>
      <c r="M908" t="inlineStr">
        <is>
          <t>7.0-7.5</t>
        </is>
      </c>
      <c r="N908" t="inlineStr">
        <is>
          <t>5-7</t>
        </is>
      </c>
      <c r="O908" t="inlineStr">
        <is>
          <t>12.0-14.5</t>
        </is>
      </c>
      <c r="P908" t="inlineStr">
        <is>
          <t>The Arbor School</t>
        </is>
      </c>
      <c r="Q908" t="inlineStr">
        <is>
          <t>NMC Royal DIP</t>
        </is>
      </c>
      <c r="R908" t="inlineStr">
        <is>
          <t>Ibn Battuta Mall</t>
        </is>
      </c>
      <c r="S908" t="inlineStr">
        <is>
          <t>Yalayis / E311</t>
        </is>
      </c>
      <c r="T908" t="inlineStr">
        <is>
          <t>25</t>
        </is>
      </c>
      <c r="U908" t="inlineStr">
        <is>
          <t>15</t>
        </is>
      </c>
      <c r="V908" t="inlineStr">
        <is>
          <t>30</t>
        </is>
      </c>
      <c r="W908" t="inlineStr">
        <is>
          <t>20</t>
        </is>
      </c>
      <c r="X908" t="inlineStr">
        <is>
          <t>Guild.csv</t>
        </is>
      </c>
    </row>
    <row r="909">
      <c r="A909" t="n">
        <v>908</v>
      </c>
      <c r="B909" t="n">
        <v>372</v>
      </c>
      <c r="C909" t="inlineStr">
        <is>
          <t>Aliyah</t>
        </is>
      </c>
      <c r="D909" t="inlineStr">
        <is>
          <t>Azizi Developments</t>
        </is>
      </c>
      <c r="E909" t="inlineStr">
        <is>
          <t>Dubai Healthcare City</t>
        </is>
      </c>
      <c r="F909" t="inlineStr">
        <is>
          <t>Apartments</t>
        </is>
      </c>
      <c r="G909" t="inlineStr">
        <is>
          <t>City / Budget</t>
        </is>
      </c>
      <c r="H909" t="inlineStr">
        <is>
          <t>Resale (800k+)</t>
        </is>
      </c>
      <c r="I909" t="inlineStr">
        <is>
          <t>1100</t>
        </is>
      </c>
      <c r="J909" t="inlineStr">
        <is>
          <t>15</t>
        </is>
      </c>
      <c r="K909" t="inlineStr">
        <is>
          <t>Completed</t>
        </is>
      </c>
      <c r="L909" t="inlineStr">
        <is>
          <t>2016</t>
        </is>
      </c>
      <c r="M909" t="inlineStr">
        <is>
          <t>6.5-7.0</t>
        </is>
      </c>
      <c r="N909" t="inlineStr">
        <is>
          <t>4-6</t>
        </is>
      </c>
      <c r="O909" t="inlineStr">
        <is>
          <t>10.5-13.0</t>
        </is>
      </c>
      <c r="P909" t="inlineStr">
        <is>
          <t>Swiss Intl School</t>
        </is>
      </c>
      <c r="Q909" t="inlineStr">
        <is>
          <t>American Hospital</t>
        </is>
      </c>
      <c r="R909" t="inlineStr">
        <is>
          <t>WAFI Mall</t>
        </is>
      </c>
      <c r="S909" t="inlineStr">
        <is>
          <t>Al Khail E44</t>
        </is>
      </c>
      <c r="T909" t="inlineStr">
        <is>
          <t>10</t>
        </is>
      </c>
      <c r="U909" t="inlineStr">
        <is>
          <t>25</t>
        </is>
      </c>
      <c r="V909" t="inlineStr">
        <is>
          <t>10</t>
        </is>
      </c>
      <c r="W909" t="inlineStr">
        <is>
          <t>40</t>
        </is>
      </c>
      <c r="X909" t="inlineStr">
        <is>
          <t>Guild.csv</t>
        </is>
      </c>
    </row>
    <row r="910">
      <c r="A910" t="n">
        <v>909</v>
      </c>
      <c r="B910" t="n">
        <v>373</v>
      </c>
      <c r="C910" t="inlineStr">
        <is>
          <t>Tiger Sky Tower</t>
        </is>
      </c>
      <c r="D910" t="inlineStr">
        <is>
          <t>Tiger Group</t>
        </is>
      </c>
      <c r="E910" t="inlineStr">
        <is>
          <t>Business Bay</t>
        </is>
      </c>
      <c r="F910" t="inlineStr">
        <is>
          <t>Apartments</t>
        </is>
      </c>
      <c r="G910" t="inlineStr">
        <is>
          <t>Highest Rainforest</t>
        </is>
      </c>
      <c r="H910" t="inlineStr">
        <is>
          <t>2.2M</t>
        </is>
      </c>
      <c r="I910" t="inlineStr">
        <is>
          <t>2400</t>
        </is>
      </c>
      <c r="J910" t="inlineStr">
        <is>
          <t>20</t>
        </is>
      </c>
      <c r="K910" t="inlineStr">
        <is>
          <t>70/30</t>
        </is>
      </c>
      <c r="L910" t="inlineStr">
        <is>
          <t>2024</t>
        </is>
      </c>
      <c r="M910" t="inlineStr">
        <is>
          <t>6.0-6.5</t>
        </is>
      </c>
      <c r="N910" t="inlineStr">
        <is>
          <t>8-10</t>
        </is>
      </c>
      <c r="O910" t="inlineStr">
        <is>
          <t>14.0-16.5</t>
        </is>
      </c>
      <c r="P910" t="inlineStr">
        <is>
          <t>Hartland Intl</t>
        </is>
      </c>
      <c r="Q910" t="inlineStr">
        <is>
          <t>Emirates Hospital BB</t>
        </is>
      </c>
      <c r="R910" t="inlineStr">
        <is>
          <t>Dubai Mall</t>
        </is>
      </c>
      <c r="S910" t="inlineStr">
        <is>
          <t>Al Khail E44</t>
        </is>
      </c>
      <c r="T910" t="inlineStr">
        <is>
          <t>5</t>
        </is>
      </c>
      <c r="U910" t="inlineStr">
        <is>
          <t>20</t>
        </is>
      </c>
      <c r="V910" t="inlineStr">
        <is>
          <t>15</t>
        </is>
      </c>
      <c r="W910" t="inlineStr">
        <is>
          <t>35</t>
        </is>
      </c>
      <c r="X910" t="inlineStr">
        <is>
          <t>Guild.csv</t>
        </is>
      </c>
    </row>
    <row r="911">
      <c r="A911" t="n">
        <v>910</v>
      </c>
      <c r="B911" t="n">
        <v>374</v>
      </c>
      <c r="C911" t="inlineStr">
        <is>
          <t>Nobles Tower</t>
        </is>
      </c>
      <c r="D911" t="inlineStr">
        <is>
          <t>Tiger Group</t>
        </is>
      </c>
      <c r="E911" t="inlineStr">
        <is>
          <t>Business Bay</t>
        </is>
      </c>
      <c r="F911" t="inlineStr">
        <is>
          <t>Apartments</t>
        </is>
      </c>
      <c r="G911" t="inlineStr">
        <is>
          <t>City View</t>
        </is>
      </c>
      <c r="H911" t="inlineStr">
        <is>
          <t>1.5M</t>
        </is>
      </c>
      <c r="I911" t="inlineStr">
        <is>
          <t>1800</t>
        </is>
      </c>
      <c r="J911" t="inlineStr">
        <is>
          <t>18</t>
        </is>
      </c>
      <c r="K911" t="inlineStr">
        <is>
          <t>70/30</t>
        </is>
      </c>
      <c r="L911" t="inlineStr">
        <is>
          <t>2020</t>
        </is>
      </c>
      <c r="M911" t="inlineStr">
        <is>
          <t>6.0-6.5</t>
        </is>
      </c>
      <c r="N911" t="inlineStr">
        <is>
          <t>6-8</t>
        </is>
      </c>
      <c r="O911" t="inlineStr">
        <is>
          <t>12.0-14.5</t>
        </is>
      </c>
      <c r="P911" t="inlineStr">
        <is>
          <t>Hartland Intl</t>
        </is>
      </c>
      <c r="Q911" t="inlineStr">
        <is>
          <t>Emirates Hospital BB</t>
        </is>
      </c>
      <c r="R911" t="inlineStr">
        <is>
          <t>Dubai Mall</t>
        </is>
      </c>
      <c r="S911" t="inlineStr">
        <is>
          <t>Al Khail E44</t>
        </is>
      </c>
      <c r="T911" t="inlineStr">
        <is>
          <t>5</t>
        </is>
      </c>
      <c r="U911" t="inlineStr">
        <is>
          <t>20</t>
        </is>
      </c>
      <c r="V911" t="inlineStr">
        <is>
          <t>15</t>
        </is>
      </c>
      <c r="W911" t="inlineStr">
        <is>
          <t>35</t>
        </is>
      </c>
      <c r="X911" t="inlineStr">
        <is>
          <t>Guild.csv</t>
        </is>
      </c>
    </row>
    <row r="912">
      <c r="A912" t="n">
        <v>911</v>
      </c>
      <c r="B912" t="n">
        <v>375</v>
      </c>
      <c r="C912" t="inlineStr">
        <is>
          <t>Red Square</t>
        </is>
      </c>
      <c r="D912" t="inlineStr">
        <is>
          <t>Tiger Group</t>
        </is>
      </c>
      <c r="E912" t="inlineStr">
        <is>
          <t>JVT</t>
        </is>
      </c>
      <c r="F912" t="inlineStr">
        <is>
          <t>Apartments</t>
        </is>
      </c>
      <c r="G912" t="inlineStr">
        <is>
          <t>Twin Tower</t>
        </is>
      </c>
      <c r="H912" t="inlineStr">
        <is>
          <t>800k</t>
        </is>
      </c>
      <c r="I912" t="inlineStr">
        <is>
          <t>1200</t>
        </is>
      </c>
      <c r="J912" t="inlineStr">
        <is>
          <t>15</t>
        </is>
      </c>
      <c r="K912" t="inlineStr">
        <is>
          <t>70/30</t>
        </is>
      </c>
      <c r="L912" t="inlineStr">
        <is>
          <t>2024</t>
        </is>
      </c>
      <c r="M912" t="inlineStr">
        <is>
          <t>7.0-7.5</t>
        </is>
      </c>
      <c r="N912" t="inlineStr">
        <is>
          <t>6-8</t>
        </is>
      </c>
      <c r="O912" t="inlineStr">
        <is>
          <t>13.0-15.5</t>
        </is>
      </c>
      <c r="P912" t="inlineStr">
        <is>
          <t>Sunmarke School</t>
        </is>
      </c>
      <c r="Q912" t="inlineStr">
        <is>
          <t>NMC Royal DIP</t>
        </is>
      </c>
      <c r="R912" t="inlineStr">
        <is>
          <t>Circle Mall</t>
        </is>
      </c>
      <c r="S912" t="inlineStr">
        <is>
          <t>E311 / Yalayis</t>
        </is>
      </c>
      <c r="T912" t="inlineStr">
        <is>
          <t>20</t>
        </is>
      </c>
      <c r="U912" t="inlineStr">
        <is>
          <t>15</t>
        </is>
      </c>
      <c r="V912" t="inlineStr">
        <is>
          <t>30</t>
        </is>
      </c>
      <c r="W912" t="inlineStr">
        <is>
          <t>20</t>
        </is>
      </c>
      <c r="X912" t="inlineStr">
        <is>
          <t>Guild.csv</t>
        </is>
      </c>
    </row>
    <row r="913">
      <c r="A913" t="n">
        <v>912</v>
      </c>
      <c r="B913" t="n">
        <v>376</v>
      </c>
      <c r="C913" t="inlineStr">
        <is>
          <t>Renad Tower</t>
        </is>
      </c>
      <c r="D913" t="inlineStr">
        <is>
          <t>Tiger Group</t>
        </is>
      </c>
      <c r="E913" t="inlineStr">
        <is>
          <t>Al Reem Island (AD)</t>
        </is>
      </c>
      <c r="F913" t="inlineStr">
        <is>
          <t>Apartments</t>
        </is>
      </c>
      <c r="G913" t="inlineStr">
        <is>
          <t>Waterfront</t>
        </is>
      </c>
      <c r="H913" t="inlineStr">
        <is>
          <t>900k</t>
        </is>
      </c>
      <c r="I913" t="inlineStr">
        <is>
          <t>1300</t>
        </is>
      </c>
      <c r="J913" t="inlineStr">
        <is>
          <t>15</t>
        </is>
      </c>
      <c r="K913" t="inlineStr">
        <is>
          <t>70/30</t>
        </is>
      </c>
      <c r="L913" t="inlineStr">
        <is>
          <t>2023</t>
        </is>
      </c>
      <c r="M913" t="inlineStr">
        <is>
          <t>6.5-7.0</t>
        </is>
      </c>
      <c r="N913" t="inlineStr">
        <is>
          <t>5-7</t>
        </is>
      </c>
      <c r="O913" t="inlineStr">
        <is>
          <t>11.5-14.0</t>
        </is>
      </c>
      <c r="P913" t="inlineStr">
        <is>
          <t>Repton Abu Dhabi</t>
        </is>
      </c>
      <c r="Q913" t="inlineStr">
        <is>
          <t>Burjeel Hospital</t>
        </is>
      </c>
      <c r="R913" t="inlineStr">
        <is>
          <t>Reem Mall</t>
        </is>
      </c>
      <c r="S913" t="inlineStr">
        <is>
          <t>E10 (Abu Dhabi)</t>
        </is>
      </c>
      <c r="T913" t="inlineStr">
        <is>
          <t>90</t>
        </is>
      </c>
      <c r="U913" t="inlineStr">
        <is>
          <t>75</t>
        </is>
      </c>
      <c r="V913" t="inlineStr">
        <is>
          <t>90</t>
        </is>
      </c>
      <c r="W913" t="inlineStr">
        <is>
          <t>80</t>
        </is>
      </c>
      <c r="X913" t="inlineStr">
        <is>
          <t>Guild.csv</t>
        </is>
      </c>
    </row>
    <row r="914">
      <c r="A914" t="n">
        <v>913</v>
      </c>
      <c r="B914" t="n">
        <v>377</v>
      </c>
      <c r="C914" t="inlineStr">
        <is>
          <t>Lilium Tower</t>
        </is>
      </c>
      <c r="D914" t="inlineStr">
        <is>
          <t>Tiger Group</t>
        </is>
      </c>
      <c r="E914" t="inlineStr">
        <is>
          <t>JVT</t>
        </is>
      </c>
      <c r="F914" t="inlineStr">
        <is>
          <t>Apartments</t>
        </is>
      </c>
      <c r="G914" t="inlineStr">
        <is>
          <t>Family / Budget</t>
        </is>
      </c>
      <c r="H914" t="inlineStr">
        <is>
          <t>700k</t>
        </is>
      </c>
      <c r="I914" t="inlineStr">
        <is>
          <t>1100</t>
        </is>
      </c>
      <c r="J914" t="inlineStr">
        <is>
          <t>15</t>
        </is>
      </c>
      <c r="K914" t="inlineStr">
        <is>
          <t>70/30</t>
        </is>
      </c>
      <c r="L914" t="inlineStr">
        <is>
          <t>2023</t>
        </is>
      </c>
      <c r="M914" t="inlineStr">
        <is>
          <t>7.0-7.5</t>
        </is>
      </c>
      <c r="N914" t="inlineStr">
        <is>
          <t>6-8</t>
        </is>
      </c>
      <c r="O914" t="inlineStr">
        <is>
          <t>13.0-15.5</t>
        </is>
      </c>
      <c r="P914" t="inlineStr">
        <is>
          <t>Sunmarke School</t>
        </is>
      </c>
      <c r="Q914" t="inlineStr">
        <is>
          <t>NMC Royal DIP</t>
        </is>
      </c>
      <c r="R914" t="inlineStr">
        <is>
          <t>Circle Mall</t>
        </is>
      </c>
      <c r="S914" t="inlineStr">
        <is>
          <t>E311 / Yalayis</t>
        </is>
      </c>
      <c r="T914" t="inlineStr">
        <is>
          <t>20</t>
        </is>
      </c>
      <c r="U914" t="inlineStr">
        <is>
          <t>15</t>
        </is>
      </c>
      <c r="V914" t="inlineStr">
        <is>
          <t>30</t>
        </is>
      </c>
      <c r="W914" t="inlineStr">
        <is>
          <t>20</t>
        </is>
      </c>
      <c r="X914" t="inlineStr">
        <is>
          <t>Guild.csv</t>
        </is>
      </c>
    </row>
    <row r="915">
      <c r="A915" t="n">
        <v>914</v>
      </c>
      <c r="B915" t="n">
        <v>378</v>
      </c>
      <c r="C915" t="inlineStr">
        <is>
          <t>Seslia Tower</t>
        </is>
      </c>
      <c r="D915" t="inlineStr">
        <is>
          <t>Tiger Group</t>
        </is>
      </c>
      <c r="E915" t="inlineStr">
        <is>
          <t>JVT</t>
        </is>
      </c>
      <c r="F915" t="inlineStr">
        <is>
          <t>Apartments</t>
        </is>
      </c>
      <c r="G915" t="inlineStr">
        <is>
          <t>Family / Budget</t>
        </is>
      </c>
      <c r="H915" t="inlineStr">
        <is>
          <t>700k</t>
        </is>
      </c>
      <c r="I915" t="inlineStr">
        <is>
          <t>1100</t>
        </is>
      </c>
      <c r="J915" t="inlineStr">
        <is>
          <t>15</t>
        </is>
      </c>
      <c r="K915" t="inlineStr">
        <is>
          <t>70/30</t>
        </is>
      </c>
      <c r="L915" t="inlineStr">
        <is>
          <t>2022</t>
        </is>
      </c>
      <c r="M915" t="inlineStr">
        <is>
          <t>7.0-7.5</t>
        </is>
      </c>
      <c r="N915" t="inlineStr">
        <is>
          <t>6-8</t>
        </is>
      </c>
      <c r="O915" t="inlineStr">
        <is>
          <t>13.0-15.5</t>
        </is>
      </c>
      <c r="P915" t="inlineStr">
        <is>
          <t>Sunmarke School</t>
        </is>
      </c>
      <c r="Q915" t="inlineStr">
        <is>
          <t>NMC Royal DIP</t>
        </is>
      </c>
      <c r="R915" t="inlineStr">
        <is>
          <t>Circle Mall</t>
        </is>
      </c>
      <c r="S915" t="inlineStr">
        <is>
          <t>E311 / Yalayis</t>
        </is>
      </c>
      <c r="T915" t="inlineStr">
        <is>
          <t>20</t>
        </is>
      </c>
      <c r="U915" t="inlineStr">
        <is>
          <t>15</t>
        </is>
      </c>
      <c r="V915" t="inlineStr">
        <is>
          <t>30</t>
        </is>
      </c>
      <c r="W915" t="inlineStr">
        <is>
          <t>20</t>
        </is>
      </c>
      <c r="X915" t="inlineStr">
        <is>
          <t>Guild.csv</t>
        </is>
      </c>
    </row>
    <row r="916">
      <c r="A916" t="n">
        <v>915</v>
      </c>
      <c r="B916" t="n">
        <v>379</v>
      </c>
      <c r="C916" t="inlineStr">
        <is>
          <t>Cloud Tower</t>
        </is>
      </c>
      <c r="D916" t="inlineStr">
        <is>
          <t>Tiger Group</t>
        </is>
      </c>
      <c r="E916" t="inlineStr">
        <is>
          <t>JVT</t>
        </is>
      </c>
      <c r="F916" t="inlineStr">
        <is>
          <t>Apartments</t>
        </is>
      </c>
      <c r="G916" t="inlineStr">
        <is>
          <t>Twin Tower</t>
        </is>
      </c>
      <c r="H916" t="inlineStr">
        <is>
          <t>750k</t>
        </is>
      </c>
      <c r="I916" t="inlineStr">
        <is>
          <t>1100</t>
        </is>
      </c>
      <c r="J916" t="inlineStr">
        <is>
          <t>15</t>
        </is>
      </c>
      <c r="K916" t="inlineStr">
        <is>
          <t>70/30</t>
        </is>
      </c>
      <c r="L916" t="inlineStr">
        <is>
          <t>2022</t>
        </is>
      </c>
      <c r="M916" t="inlineStr">
        <is>
          <t>7.0-7.5</t>
        </is>
      </c>
      <c r="N916" t="inlineStr">
        <is>
          <t>6-8</t>
        </is>
      </c>
      <c r="O916" t="inlineStr">
        <is>
          <t>13.0-15.5</t>
        </is>
      </c>
      <c r="P916" t="inlineStr">
        <is>
          <t>Sunmarke School</t>
        </is>
      </c>
      <c r="Q916" t="inlineStr">
        <is>
          <t>NMC Royal DIP</t>
        </is>
      </c>
      <c r="R916" t="inlineStr">
        <is>
          <t>Circle Mall</t>
        </is>
      </c>
      <c r="S916" t="inlineStr">
        <is>
          <t>E311 / Yalayis</t>
        </is>
      </c>
      <c r="T916" t="inlineStr">
        <is>
          <t>20</t>
        </is>
      </c>
      <c r="U916" t="inlineStr">
        <is>
          <t>15</t>
        </is>
      </c>
      <c r="V916" t="inlineStr">
        <is>
          <t>30</t>
        </is>
      </c>
      <c r="W916" t="inlineStr">
        <is>
          <t>20</t>
        </is>
      </c>
      <c r="X916" t="inlineStr">
        <is>
          <t>Guild.csv</t>
        </is>
      </c>
    </row>
    <row r="917">
      <c r="A917" t="n">
        <v>916</v>
      </c>
      <c r="B917" t="n">
        <v>380</v>
      </c>
      <c r="C917" t="inlineStr">
        <is>
          <t>Neva Residences</t>
        </is>
      </c>
      <c r="D917" t="inlineStr">
        <is>
          <t>Tiger Group</t>
        </is>
      </c>
      <c r="E917" t="inlineStr">
        <is>
          <t>JVC</t>
        </is>
      </c>
      <c r="F917" t="inlineStr">
        <is>
          <t>Apartments</t>
        </is>
      </c>
      <c r="G917" t="inlineStr">
        <is>
          <t>Budget / High-Rise</t>
        </is>
      </c>
      <c r="H917" t="inlineStr">
        <is>
          <t>700k</t>
        </is>
      </c>
      <c r="I917" t="inlineStr">
        <is>
          <t>1100</t>
        </is>
      </c>
      <c r="J917" t="inlineStr">
        <is>
          <t>15</t>
        </is>
      </c>
      <c r="K917" t="inlineStr">
        <is>
          <t>70/30</t>
        </is>
      </c>
      <c r="L917" t="inlineStr">
        <is>
          <t>2022</t>
        </is>
      </c>
      <c r="M917" t="inlineStr">
        <is>
          <t>7.5-8.0</t>
        </is>
      </c>
      <c r="N917" t="inlineStr">
        <is>
          <t>6-8</t>
        </is>
      </c>
      <c r="O917" t="inlineStr">
        <is>
          <t>13.5-16.0</t>
        </is>
      </c>
      <c r="P917" t="inlineStr">
        <is>
          <t>JSS International</t>
        </is>
      </c>
      <c r="Q917" t="inlineStr">
        <is>
          <t>Saudi German Hospital</t>
        </is>
      </c>
      <c r="R917" t="inlineStr">
        <is>
          <t>Circle Mall</t>
        </is>
      </c>
      <c r="S917" t="inlineStr">
        <is>
          <t>Hessa St / E44</t>
        </is>
      </c>
      <c r="T917" t="inlineStr">
        <is>
          <t>20</t>
        </is>
      </c>
      <c r="U917" t="inlineStr">
        <is>
          <t>15</t>
        </is>
      </c>
      <c r="V917" t="inlineStr">
        <is>
          <t>25</t>
        </is>
      </c>
      <c r="W917" t="inlineStr">
        <is>
          <t>30</t>
        </is>
      </c>
      <c r="X917" t="inlineStr">
        <is>
          <t>Guild.csv</t>
        </is>
      </c>
    </row>
    <row r="918">
      <c r="A918" t="n">
        <v>917</v>
      </c>
      <c r="B918" t="n">
        <v>381</v>
      </c>
      <c r="C918" t="inlineStr">
        <is>
          <t>Elbrus Tower</t>
        </is>
      </c>
      <c r="D918" t="inlineStr">
        <is>
          <t>Tiger Group</t>
        </is>
      </c>
      <c r="E918" t="inlineStr">
        <is>
          <t>JVT</t>
        </is>
      </c>
      <c r="F918" t="inlineStr">
        <is>
          <t>Apartments</t>
        </is>
      </c>
      <c r="G918" t="inlineStr">
        <is>
          <t>Family / Budget</t>
        </is>
      </c>
      <c r="H918" t="inlineStr">
        <is>
          <t>750k</t>
        </is>
      </c>
      <c r="I918" t="inlineStr">
        <is>
          <t>1100</t>
        </is>
      </c>
      <c r="J918" t="inlineStr">
        <is>
          <t>15</t>
        </is>
      </c>
      <c r="K918" t="inlineStr">
        <is>
          <t>70/30</t>
        </is>
      </c>
      <c r="L918" t="inlineStr">
        <is>
          <t>2023</t>
        </is>
      </c>
      <c r="M918" t="inlineStr">
        <is>
          <t>7.0-7.5</t>
        </is>
      </c>
      <c r="N918" t="inlineStr">
        <is>
          <t>6-8</t>
        </is>
      </c>
      <c r="O918" t="inlineStr">
        <is>
          <t>13.0-15.5</t>
        </is>
      </c>
      <c r="P918" t="inlineStr">
        <is>
          <t>Sunmarke School</t>
        </is>
      </c>
      <c r="Q918" t="inlineStr">
        <is>
          <t>NMC Royal DIP</t>
        </is>
      </c>
      <c r="R918" t="inlineStr">
        <is>
          <t>Circle Mall</t>
        </is>
      </c>
      <c r="S918" t="inlineStr">
        <is>
          <t>E311 / Yalayis</t>
        </is>
      </c>
      <c r="T918" t="inlineStr">
        <is>
          <t>20</t>
        </is>
      </c>
      <c r="U918" t="inlineStr">
        <is>
          <t>15</t>
        </is>
      </c>
      <c r="V918" t="inlineStr">
        <is>
          <t>30</t>
        </is>
      </c>
      <c r="W918" t="inlineStr">
        <is>
          <t>20</t>
        </is>
      </c>
      <c r="X918" t="inlineStr">
        <is>
          <t>Guild.csv</t>
        </is>
      </c>
    </row>
    <row r="919">
      <c r="A919" t="n">
        <v>918</v>
      </c>
      <c r="B919" t="n">
        <v>382</v>
      </c>
      <c r="C919" t="inlineStr">
        <is>
          <t>Al Tai</t>
        </is>
      </c>
      <c r="D919" t="inlineStr">
        <is>
          <t>Tiger Group</t>
        </is>
      </c>
      <c r="E919" t="inlineStr">
        <is>
          <t>JVT</t>
        </is>
      </c>
      <c r="F919" t="inlineStr">
        <is>
          <t>Apartments</t>
        </is>
      </c>
      <c r="G919" t="inlineStr">
        <is>
          <t>Family / Budget</t>
        </is>
      </c>
      <c r="H919" t="inlineStr">
        <is>
          <t>750k</t>
        </is>
      </c>
      <c r="I919" t="inlineStr">
        <is>
          <t>1100</t>
        </is>
      </c>
      <c r="J919" t="inlineStr">
        <is>
          <t>15</t>
        </is>
      </c>
      <c r="K919" t="inlineStr">
        <is>
          <t>70/30</t>
        </is>
      </c>
      <c r="L919" t="inlineStr">
        <is>
          <t>2023</t>
        </is>
      </c>
      <c r="M919" t="inlineStr">
        <is>
          <t>7.0-7.5</t>
        </is>
      </c>
      <c r="N919" t="inlineStr">
        <is>
          <t>6-8</t>
        </is>
      </c>
      <c r="O919" t="inlineStr">
        <is>
          <t>13.0-15.5</t>
        </is>
      </c>
      <c r="P919" t="inlineStr">
        <is>
          <t>Sunmarke School</t>
        </is>
      </c>
      <c r="Q919" t="inlineStr">
        <is>
          <t>NMC Royal DIP</t>
        </is>
      </c>
      <c r="R919" t="inlineStr">
        <is>
          <t>Circle Mall</t>
        </is>
      </c>
      <c r="S919" t="inlineStr">
        <is>
          <t>E311 / Yalayis</t>
        </is>
      </c>
      <c r="T919" t="inlineStr">
        <is>
          <t>20</t>
        </is>
      </c>
      <c r="U919" t="inlineStr">
        <is>
          <t>15</t>
        </is>
      </c>
      <c r="V919" t="inlineStr">
        <is>
          <t>30</t>
        </is>
      </c>
      <c r="W919" t="inlineStr">
        <is>
          <t>20</t>
        </is>
      </c>
      <c r="X919" t="inlineStr">
        <is>
          <t>Guild.csv</t>
        </is>
      </c>
    </row>
    <row r="920">
      <c r="A920" t="n">
        <v>919</v>
      </c>
      <c r="B920" t="n">
        <v>383</v>
      </c>
      <c r="C920" t="inlineStr">
        <is>
          <t>Faradis</t>
        </is>
      </c>
      <c r="D920" t="inlineStr">
        <is>
          <t>Tiger Group</t>
        </is>
      </c>
      <c r="E920" t="inlineStr">
        <is>
          <t>Sharjah (Mamsha)</t>
        </is>
      </c>
      <c r="F920" t="inlineStr">
        <is>
          <t>Apartments</t>
        </is>
      </c>
      <c r="G920" t="inlineStr">
        <is>
          <t>Beachfront (Sharjah)</t>
        </is>
      </c>
      <c r="H920" t="inlineStr">
        <is>
          <t>800k</t>
        </is>
      </c>
      <c r="I920" t="inlineStr">
        <is>
          <t>1000</t>
        </is>
      </c>
      <c r="J920" t="inlineStr">
        <is>
          <t>TBA</t>
        </is>
      </c>
      <c r="K920" t="inlineStr">
        <is>
          <t>70/30</t>
        </is>
      </c>
      <c r="L920" t="inlineStr">
        <is>
          <t>2024</t>
        </is>
      </c>
      <c r="M920" t="inlineStr">
        <is>
          <t>6.0-6.5</t>
        </is>
      </c>
      <c r="N920" t="inlineStr">
        <is>
          <t>5-7</t>
        </is>
      </c>
      <c r="O920" t="inlineStr">
        <is>
          <t>11.0-13.5</t>
        </is>
      </c>
      <c r="P920" t="inlineStr">
        <is>
          <t>Victoria Intl</t>
        </is>
      </c>
      <c r="Q920" t="inlineStr">
        <is>
          <t>Al Qassimi Hospital</t>
        </is>
      </c>
      <c r="R920" t="inlineStr">
        <is>
          <t>Sahara Centre</t>
        </is>
      </c>
      <c r="S920" t="inlineStr">
        <is>
          <t>E11 (Sharjah)</t>
        </is>
      </c>
      <c r="T920" t="inlineStr">
        <is>
          <t>30</t>
        </is>
      </c>
      <c r="U920" t="inlineStr">
        <is>
          <t>45</t>
        </is>
      </c>
      <c r="V920" t="inlineStr">
        <is>
          <t>20</t>
        </is>
      </c>
      <c r="W920" t="inlineStr">
        <is>
          <t>55</t>
        </is>
      </c>
      <c r="X920" t="inlineStr">
        <is>
          <t>Guild.csv</t>
        </is>
      </c>
    </row>
    <row r="921">
      <c r="A921" t="n">
        <v>920</v>
      </c>
      <c r="B921" t="n">
        <v>384</v>
      </c>
      <c r="C921" t="inlineStr">
        <is>
          <t>Samana Barari Views</t>
        </is>
      </c>
      <c r="D921" t="inlineStr">
        <is>
          <t>Samana Developers</t>
        </is>
      </c>
      <c r="E921" t="inlineStr">
        <is>
          <t>Al Barari</t>
        </is>
      </c>
      <c r="F921" t="inlineStr">
        <is>
          <t>Apartments</t>
        </is>
      </c>
      <c r="G921" t="inlineStr">
        <is>
          <t>Nature / Private Pool</t>
        </is>
      </c>
      <c r="H921" t="inlineStr">
        <is>
          <t>1.8M</t>
        </is>
      </c>
      <c r="I921" t="inlineStr">
        <is>
          <t>1600</t>
        </is>
      </c>
      <c r="J921" t="inlineStr">
        <is>
          <t>18</t>
        </is>
      </c>
      <c r="K921" t="inlineStr">
        <is>
          <t>1% Monthly</t>
        </is>
      </c>
      <c r="L921" t="inlineStr">
        <is>
          <t>2023</t>
        </is>
      </c>
      <c r="M921" t="inlineStr">
        <is>
          <t>6.5-7.0</t>
        </is>
      </c>
      <c r="N921" t="inlineStr">
        <is>
          <t>8-10</t>
        </is>
      </c>
      <c r="O921" t="inlineStr">
        <is>
          <t>14.5-17.0</t>
        </is>
      </c>
      <c r="P921" t="inlineStr">
        <is>
          <t>Dunecrest American</t>
        </is>
      </c>
      <c r="Q921" t="inlineStr">
        <is>
          <t>Saudi German Hospital</t>
        </is>
      </c>
      <c r="R921" t="inlineStr">
        <is>
          <t>Silicon Central</t>
        </is>
      </c>
      <c r="S921" t="inlineStr">
        <is>
          <t>E311 / E66</t>
        </is>
      </c>
      <c r="T921" t="inlineStr">
        <is>
          <t>20</t>
        </is>
      </c>
      <c r="U921" t="inlineStr">
        <is>
          <t>30</t>
        </is>
      </c>
      <c r="V921" t="inlineStr">
        <is>
          <t>20</t>
        </is>
      </c>
      <c r="W921" t="inlineStr">
        <is>
          <t>35</t>
        </is>
      </c>
      <c r="X921" t="inlineStr">
        <is>
          <t>Guild.csv</t>
        </is>
      </c>
    </row>
    <row r="922">
      <c r="A922" t="n">
        <v>921</v>
      </c>
      <c r="B922" t="n">
        <v>385</v>
      </c>
      <c r="C922" t="inlineStr">
        <is>
          <t>Samana Barari Lagoons</t>
        </is>
      </c>
      <c r="D922" t="inlineStr">
        <is>
          <t>Samana Developers</t>
        </is>
      </c>
      <c r="E922" t="inlineStr">
        <is>
          <t>Al Barari</t>
        </is>
      </c>
      <c r="F922" t="inlineStr">
        <is>
          <t>Apartments</t>
        </is>
      </c>
      <c r="G922" t="inlineStr">
        <is>
          <t>Nature / Private Pool</t>
        </is>
      </c>
      <c r="H922" t="inlineStr">
        <is>
          <t>1.9M</t>
        </is>
      </c>
      <c r="I922" t="inlineStr">
        <is>
          <t>1650</t>
        </is>
      </c>
      <c r="J922" t="inlineStr">
        <is>
          <t>18</t>
        </is>
      </c>
      <c r="K922" t="inlineStr">
        <is>
          <t>1% Monthly</t>
        </is>
      </c>
      <c r="L922" t="inlineStr">
        <is>
          <t>2024</t>
        </is>
      </c>
      <c r="M922" t="inlineStr">
        <is>
          <t>6.5-7.0</t>
        </is>
      </c>
      <c r="N922" t="inlineStr">
        <is>
          <t>8-10</t>
        </is>
      </c>
      <c r="O922" t="inlineStr">
        <is>
          <t>14.5-17.0</t>
        </is>
      </c>
      <c r="P922" t="inlineStr">
        <is>
          <t>Dunecrest American</t>
        </is>
      </c>
      <c r="Q922" t="inlineStr">
        <is>
          <t>Saudi German Hospital</t>
        </is>
      </c>
      <c r="R922" t="inlineStr">
        <is>
          <t>Silicon Central</t>
        </is>
      </c>
      <c r="S922" t="inlineStr">
        <is>
          <t>E311 / E66</t>
        </is>
      </c>
      <c r="T922" t="inlineStr">
        <is>
          <t>20</t>
        </is>
      </c>
      <c r="U922" t="inlineStr">
        <is>
          <t>30</t>
        </is>
      </c>
      <c r="V922" t="inlineStr">
        <is>
          <t>20</t>
        </is>
      </c>
      <c r="W922" t="inlineStr">
        <is>
          <t>35</t>
        </is>
      </c>
      <c r="X922" t="inlineStr">
        <is>
          <t>Guild.csv</t>
        </is>
      </c>
    </row>
    <row r="923">
      <c r="A923" t="n">
        <v>922</v>
      </c>
      <c r="B923" t="n">
        <v>386</v>
      </c>
      <c r="C923" t="inlineStr">
        <is>
          <t>Samana Ivy Gardens 1</t>
        </is>
      </c>
      <c r="D923" t="inlineStr">
        <is>
          <t>Samana Developers</t>
        </is>
      </c>
      <c r="E923" t="inlineStr">
        <is>
          <t>Dubailand</t>
        </is>
      </c>
      <c r="F923" t="inlineStr">
        <is>
          <t>Apartments</t>
        </is>
      </c>
      <c r="G923" t="inlineStr">
        <is>
          <t>Garden / Pool</t>
        </is>
      </c>
      <c r="H923" t="inlineStr">
        <is>
          <t>900k</t>
        </is>
      </c>
      <c r="I923" t="inlineStr">
        <is>
          <t>1300</t>
        </is>
      </c>
      <c r="J923" t="inlineStr">
        <is>
          <t>15</t>
        </is>
      </c>
      <c r="K923" t="inlineStr">
        <is>
          <t>1% Monthly</t>
        </is>
      </c>
      <c r="L923" t="inlineStr">
        <is>
          <t>2023</t>
        </is>
      </c>
      <c r="M923" t="inlineStr">
        <is>
          <t>7.0-7.5</t>
        </is>
      </c>
      <c r="N923" t="inlineStr">
        <is>
          <t>6-8</t>
        </is>
      </c>
      <c r="O923" t="inlineStr">
        <is>
          <t>13.0-15.5</t>
        </is>
      </c>
      <c r="P923" t="inlineStr">
        <is>
          <t>GEMS Winchester</t>
        </is>
      </c>
      <c r="Q923" t="inlineStr">
        <is>
          <t>Fakeeh University Hosp</t>
        </is>
      </c>
      <c r="R923" t="inlineStr">
        <is>
          <t>Dubai Outlet Mall</t>
        </is>
      </c>
      <c r="S923" t="inlineStr">
        <is>
          <t>E611 / Al Ain Rd</t>
        </is>
      </c>
      <c r="T923" t="inlineStr">
        <is>
          <t>20</t>
        </is>
      </c>
      <c r="U923" t="inlineStr">
        <is>
          <t>25</t>
        </is>
      </c>
      <c r="V923" t="inlineStr">
        <is>
          <t>25</t>
        </is>
      </c>
      <c r="W923" t="inlineStr">
        <is>
          <t>30</t>
        </is>
      </c>
      <c r="X923" t="inlineStr">
        <is>
          <t>Guild.csv</t>
        </is>
      </c>
    </row>
    <row r="924">
      <c r="A924" t="n">
        <v>923</v>
      </c>
      <c r="B924" t="n">
        <v>387</v>
      </c>
      <c r="C924" t="inlineStr">
        <is>
          <t>Samana Ivy Gardens 2</t>
        </is>
      </c>
      <c r="D924" t="inlineStr">
        <is>
          <t>Samana Developers</t>
        </is>
      </c>
      <c r="E924" t="inlineStr">
        <is>
          <t>Dubailand</t>
        </is>
      </c>
      <c r="F924" t="inlineStr">
        <is>
          <t>Apartments</t>
        </is>
      </c>
      <c r="G924" t="inlineStr">
        <is>
          <t>Garden / Pool</t>
        </is>
      </c>
      <c r="H924" t="inlineStr">
        <is>
          <t>950k</t>
        </is>
      </c>
      <c r="I924" t="inlineStr">
        <is>
          <t>1350</t>
        </is>
      </c>
      <c r="J924" t="inlineStr">
        <is>
          <t>15</t>
        </is>
      </c>
      <c r="K924" t="inlineStr">
        <is>
          <t>1% Monthly</t>
        </is>
      </c>
      <c r="L924" t="inlineStr">
        <is>
          <t>2024</t>
        </is>
      </c>
      <c r="M924" t="inlineStr">
        <is>
          <t>7.0-7.5</t>
        </is>
      </c>
      <c r="N924" t="inlineStr">
        <is>
          <t>6-8</t>
        </is>
      </c>
      <c r="O924" t="inlineStr">
        <is>
          <t>13.0-15.5</t>
        </is>
      </c>
      <c r="P924" t="inlineStr">
        <is>
          <t>GEMS Winchester</t>
        </is>
      </c>
      <c r="Q924" t="inlineStr">
        <is>
          <t>Fakeeh University Hosp</t>
        </is>
      </c>
      <c r="R924" t="inlineStr">
        <is>
          <t>Dubai Outlet Mall</t>
        </is>
      </c>
      <c r="S924" t="inlineStr">
        <is>
          <t>E611 / Al Ain Rd</t>
        </is>
      </c>
      <c r="T924" t="inlineStr">
        <is>
          <t>20</t>
        </is>
      </c>
      <c r="U924" t="inlineStr">
        <is>
          <t>25</t>
        </is>
      </c>
      <c r="V924" t="inlineStr">
        <is>
          <t>25</t>
        </is>
      </c>
      <c r="W924" t="inlineStr">
        <is>
          <t>30</t>
        </is>
      </c>
      <c r="X924" t="inlineStr">
        <is>
          <t>Guild.csv</t>
        </is>
      </c>
    </row>
    <row r="925">
      <c r="A925" t="n">
        <v>924</v>
      </c>
      <c r="B925" t="n">
        <v>388</v>
      </c>
      <c r="C925" t="inlineStr">
        <is>
          <t>Samana Ocean Bay</t>
        </is>
      </c>
      <c r="D925" t="inlineStr">
        <is>
          <t>Samana Developers</t>
        </is>
      </c>
      <c r="E925" t="inlineStr">
        <is>
          <t>Dubai Islands</t>
        </is>
      </c>
      <c r="F925" t="inlineStr">
        <is>
          <t>Apartments</t>
        </is>
      </c>
      <c r="G925" t="inlineStr">
        <is>
          <t>Beach / Pool</t>
        </is>
      </c>
      <c r="H925" t="inlineStr">
        <is>
          <t>1.8M</t>
        </is>
      </c>
      <c r="I925" t="inlineStr">
        <is>
          <t>1800</t>
        </is>
      </c>
      <c r="J925" t="inlineStr">
        <is>
          <t>18</t>
        </is>
      </c>
      <c r="K925" t="inlineStr">
        <is>
          <t>1% Monthly</t>
        </is>
      </c>
      <c r="L925" t="inlineStr">
        <is>
          <t>2024</t>
        </is>
      </c>
      <c r="M925" t="inlineStr">
        <is>
          <t>6.0-6.5</t>
        </is>
      </c>
      <c r="N925" t="inlineStr">
        <is>
          <t>10-12</t>
        </is>
      </c>
      <c r="O925" t="inlineStr">
        <is>
          <t>16.0-18.5</t>
        </is>
      </c>
      <c r="P925" t="inlineStr">
        <is>
          <t>The Elite English</t>
        </is>
      </c>
      <c r="Q925" t="inlineStr">
        <is>
          <t>Dubai Hospital</t>
        </is>
      </c>
      <c r="R925" t="inlineStr">
        <is>
          <t>City Centre Deira</t>
        </is>
      </c>
      <c r="S925" t="inlineStr">
        <is>
          <t>Infinity Bridge</t>
        </is>
      </c>
      <c r="T925" t="inlineStr">
        <is>
          <t>20</t>
        </is>
      </c>
      <c r="U925" t="inlineStr">
        <is>
          <t>35</t>
        </is>
      </c>
      <c r="V925" t="inlineStr">
        <is>
          <t>15</t>
        </is>
      </c>
      <c r="W925" t="inlineStr">
        <is>
          <t>45</t>
        </is>
      </c>
      <c r="X925" t="inlineStr">
        <is>
          <t>Guild.csv</t>
        </is>
      </c>
    </row>
    <row r="926">
      <c r="A926" t="n">
        <v>925</v>
      </c>
      <c r="B926" t="n">
        <v>389</v>
      </c>
      <c r="C926" t="inlineStr">
        <is>
          <t>Samana California 1</t>
        </is>
      </c>
      <c r="D926" t="inlineStr">
        <is>
          <t>Samana Developers</t>
        </is>
      </c>
      <c r="E926" t="inlineStr">
        <is>
          <t>Al Furjan</t>
        </is>
      </c>
      <c r="F926" t="inlineStr">
        <is>
          <t>Apartments</t>
        </is>
      </c>
      <c r="G926" t="inlineStr">
        <is>
          <t>California Style</t>
        </is>
      </c>
      <c r="H926" t="inlineStr">
        <is>
          <t>1.0M</t>
        </is>
      </c>
      <c r="I926" t="inlineStr">
        <is>
          <t>1300</t>
        </is>
      </c>
      <c r="J926" t="inlineStr">
        <is>
          <t>15</t>
        </is>
      </c>
      <c r="K926" t="inlineStr">
        <is>
          <t>1% Monthly</t>
        </is>
      </c>
      <c r="L926" t="inlineStr">
        <is>
          <t>2023</t>
        </is>
      </c>
      <c r="M926" t="inlineStr">
        <is>
          <t>7.0-7.5</t>
        </is>
      </c>
      <c r="N926" t="inlineStr">
        <is>
          <t>6-8</t>
        </is>
      </c>
      <c r="O926" t="inlineStr">
        <is>
          <t>13.0-15.5</t>
        </is>
      </c>
      <c r="P926" t="inlineStr">
        <is>
          <t>The Arbor School</t>
        </is>
      </c>
      <c r="Q926" t="inlineStr">
        <is>
          <t>NMC Royal DIP</t>
        </is>
      </c>
      <c r="R926" t="inlineStr">
        <is>
          <t>Ibn Battuta Mall</t>
        </is>
      </c>
      <c r="S926" t="inlineStr">
        <is>
          <t>Yalayis / E311</t>
        </is>
      </c>
      <c r="T926" t="inlineStr">
        <is>
          <t>25</t>
        </is>
      </c>
      <c r="U926" t="inlineStr">
        <is>
          <t>15</t>
        </is>
      </c>
      <c r="V926" t="inlineStr">
        <is>
          <t>30</t>
        </is>
      </c>
      <c r="W926" t="inlineStr">
        <is>
          <t>20</t>
        </is>
      </c>
      <c r="X926" t="inlineStr">
        <is>
          <t>Guild.csv</t>
        </is>
      </c>
    </row>
    <row r="927">
      <c r="A927" t="n">
        <v>926</v>
      </c>
      <c r="B927" t="n">
        <v>390</v>
      </c>
      <c r="C927" t="inlineStr">
        <is>
          <t>Samana California 2</t>
        </is>
      </c>
      <c r="D927" t="inlineStr">
        <is>
          <t>Samana Developers</t>
        </is>
      </c>
      <c r="E927" t="inlineStr">
        <is>
          <t>Al Furjan</t>
        </is>
      </c>
      <c r="F927" t="inlineStr">
        <is>
          <t>Apartments</t>
        </is>
      </c>
      <c r="G927" t="inlineStr">
        <is>
          <t>California Style</t>
        </is>
      </c>
      <c r="H927" t="inlineStr">
        <is>
          <t>1.1M</t>
        </is>
      </c>
      <c r="I927" t="inlineStr">
        <is>
          <t>1300</t>
        </is>
      </c>
      <c r="J927" t="inlineStr">
        <is>
          <t>15</t>
        </is>
      </c>
      <c r="K927" t="inlineStr">
        <is>
          <t>1% Monthly</t>
        </is>
      </c>
      <c r="L927" t="inlineStr">
        <is>
          <t>2023</t>
        </is>
      </c>
      <c r="M927" t="inlineStr">
        <is>
          <t>7.0-7.5</t>
        </is>
      </c>
      <c r="N927" t="inlineStr">
        <is>
          <t>6-8</t>
        </is>
      </c>
      <c r="O927" t="inlineStr">
        <is>
          <t>13.0-15.5</t>
        </is>
      </c>
      <c r="P927" t="inlineStr">
        <is>
          <t>The Arbor School</t>
        </is>
      </c>
      <c r="Q927" t="inlineStr">
        <is>
          <t>NMC Royal DIP</t>
        </is>
      </c>
      <c r="R927" t="inlineStr">
        <is>
          <t>Ibn Battuta Mall</t>
        </is>
      </c>
      <c r="S927" t="inlineStr">
        <is>
          <t>Yalayis / E311</t>
        </is>
      </c>
      <c r="T927" t="inlineStr">
        <is>
          <t>25</t>
        </is>
      </c>
      <c r="U927" t="inlineStr">
        <is>
          <t>15</t>
        </is>
      </c>
      <c r="V927" t="inlineStr">
        <is>
          <t>30</t>
        </is>
      </c>
      <c r="W927" t="inlineStr">
        <is>
          <t>20</t>
        </is>
      </c>
      <c r="X927" t="inlineStr">
        <is>
          <t>Guild.csv</t>
        </is>
      </c>
    </row>
    <row r="928">
      <c r="A928" t="n">
        <v>927</v>
      </c>
      <c r="B928" t="n">
        <v>391</v>
      </c>
      <c r="C928" t="inlineStr">
        <is>
          <t>Samana Miami 1</t>
        </is>
      </c>
      <c r="D928" t="inlineStr">
        <is>
          <t>Samana Developers</t>
        </is>
      </c>
      <c r="E928" t="inlineStr">
        <is>
          <t>JVC</t>
        </is>
      </c>
      <c r="F928" t="inlineStr">
        <is>
          <t>Apartments</t>
        </is>
      </c>
      <c r="G928" t="inlineStr">
        <is>
          <t>Miami Style</t>
        </is>
      </c>
      <c r="H928" t="inlineStr">
        <is>
          <t>900k</t>
        </is>
      </c>
      <c r="I928" t="inlineStr">
        <is>
          <t>1300</t>
        </is>
      </c>
      <c r="J928" t="inlineStr">
        <is>
          <t>15</t>
        </is>
      </c>
      <c r="K928" t="inlineStr">
        <is>
          <t>1% Monthly</t>
        </is>
      </c>
      <c r="L928" t="inlineStr">
        <is>
          <t>2022</t>
        </is>
      </c>
      <c r="M928" t="inlineStr">
        <is>
          <t>7.5-8.0</t>
        </is>
      </c>
      <c r="N928" t="inlineStr">
        <is>
          <t>6-8</t>
        </is>
      </c>
      <c r="O928" t="inlineStr">
        <is>
          <t>13.5-16.0</t>
        </is>
      </c>
      <c r="P928" t="inlineStr">
        <is>
          <t>JSS International</t>
        </is>
      </c>
      <c r="Q928" t="inlineStr">
        <is>
          <t>Saudi German Hospital</t>
        </is>
      </c>
      <c r="R928" t="inlineStr">
        <is>
          <t>Circle Mall</t>
        </is>
      </c>
      <c r="S928" t="inlineStr">
        <is>
          <t>Hessa St / E44</t>
        </is>
      </c>
      <c r="T928" t="inlineStr">
        <is>
          <t>20</t>
        </is>
      </c>
      <c r="U928" t="inlineStr">
        <is>
          <t>15</t>
        </is>
      </c>
      <c r="V928" t="inlineStr">
        <is>
          <t>25</t>
        </is>
      </c>
      <c r="W928" t="inlineStr">
        <is>
          <t>30</t>
        </is>
      </c>
      <c r="X928" t="inlineStr">
        <is>
          <t>Guild.csv</t>
        </is>
      </c>
    </row>
    <row r="929">
      <c r="A929" t="n">
        <v>928</v>
      </c>
      <c r="B929" t="n">
        <v>392</v>
      </c>
      <c r="C929" t="inlineStr">
        <is>
          <t>Samana Miami 2</t>
        </is>
      </c>
      <c r="D929" t="inlineStr">
        <is>
          <t>Samana Developers</t>
        </is>
      </c>
      <c r="E929" t="inlineStr">
        <is>
          <t>JVT</t>
        </is>
      </c>
      <c r="F929" t="inlineStr">
        <is>
          <t>Apartments</t>
        </is>
      </c>
      <c r="G929" t="inlineStr">
        <is>
          <t>Miami Style</t>
        </is>
      </c>
      <c r="H929" t="inlineStr">
        <is>
          <t>950k</t>
        </is>
      </c>
      <c r="I929" t="inlineStr">
        <is>
          <t>1300</t>
        </is>
      </c>
      <c r="J929" t="inlineStr">
        <is>
          <t>15</t>
        </is>
      </c>
      <c r="K929" t="inlineStr">
        <is>
          <t>1% Monthly</t>
        </is>
      </c>
      <c r="L929" t="inlineStr">
        <is>
          <t>2022</t>
        </is>
      </c>
      <c r="M929" t="inlineStr">
        <is>
          <t>7.0-7.5</t>
        </is>
      </c>
      <c r="N929" t="inlineStr">
        <is>
          <t>6-8</t>
        </is>
      </c>
      <c r="O929" t="inlineStr">
        <is>
          <t>13.0-15.5</t>
        </is>
      </c>
      <c r="P929" t="inlineStr">
        <is>
          <t>Sunmarke School</t>
        </is>
      </c>
      <c r="Q929" t="inlineStr">
        <is>
          <t>NMC Royal DIP</t>
        </is>
      </c>
      <c r="R929" t="inlineStr">
        <is>
          <t>Circle Mall</t>
        </is>
      </c>
      <c r="S929" t="inlineStr">
        <is>
          <t>E311 / Yalayis</t>
        </is>
      </c>
      <c r="T929" t="inlineStr">
        <is>
          <t>20</t>
        </is>
      </c>
      <c r="U929" t="inlineStr">
        <is>
          <t>15</t>
        </is>
      </c>
      <c r="V929" t="inlineStr">
        <is>
          <t>30</t>
        </is>
      </c>
      <c r="W929" t="inlineStr">
        <is>
          <t>20</t>
        </is>
      </c>
      <c r="X929" t="inlineStr">
        <is>
          <t>Guild.csv</t>
        </is>
      </c>
    </row>
    <row r="930">
      <c r="A930" t="n">
        <v>929</v>
      </c>
      <c r="B930" t="n">
        <v>393</v>
      </c>
      <c r="C930" t="inlineStr">
        <is>
          <t>Samana Miami 3</t>
        </is>
      </c>
      <c r="D930" t="inlineStr">
        <is>
          <t>Samana Developers</t>
        </is>
      </c>
      <c r="E930" t="inlineStr">
        <is>
          <t>JVT</t>
        </is>
      </c>
      <c r="F930" t="inlineStr">
        <is>
          <t>Apartments</t>
        </is>
      </c>
      <c r="G930" t="inlineStr">
        <is>
          <t>Miami Style</t>
        </is>
      </c>
      <c r="H930" t="inlineStr">
        <is>
          <t>1.0M</t>
        </is>
      </c>
      <c r="I930" t="inlineStr">
        <is>
          <t>1350</t>
        </is>
      </c>
      <c r="J930" t="inlineStr">
        <is>
          <t>15</t>
        </is>
      </c>
      <c r="K930" t="inlineStr">
        <is>
          <t>1% Monthly</t>
        </is>
      </c>
      <c r="L930" t="inlineStr">
        <is>
          <t>2023</t>
        </is>
      </c>
      <c r="M930" t="inlineStr">
        <is>
          <t>7.0-7.5</t>
        </is>
      </c>
      <c r="N930" t="inlineStr">
        <is>
          <t>6-8</t>
        </is>
      </c>
      <c r="O930" t="inlineStr">
        <is>
          <t>13.0-15.5</t>
        </is>
      </c>
      <c r="P930" t="inlineStr">
        <is>
          <t>Sunmarke School</t>
        </is>
      </c>
      <c r="Q930" t="inlineStr">
        <is>
          <t>NMC Royal DIP</t>
        </is>
      </c>
      <c r="R930" t="inlineStr">
        <is>
          <t>Circle Mall</t>
        </is>
      </c>
      <c r="S930" t="inlineStr">
        <is>
          <t>E311 / Yalayis</t>
        </is>
      </c>
      <c r="T930" t="inlineStr">
        <is>
          <t>20</t>
        </is>
      </c>
      <c r="U930" t="inlineStr">
        <is>
          <t>15</t>
        </is>
      </c>
      <c r="V930" t="inlineStr">
        <is>
          <t>30</t>
        </is>
      </c>
      <c r="W930" t="inlineStr">
        <is>
          <t>20</t>
        </is>
      </c>
      <c r="X930" t="inlineStr">
        <is>
          <t>Guild.csv</t>
        </is>
      </c>
    </row>
    <row r="931">
      <c r="A931" t="n">
        <v>930</v>
      </c>
      <c r="B931" t="n">
        <v>394</v>
      </c>
      <c r="C931" t="inlineStr">
        <is>
          <t>Samana Mykonos</t>
        </is>
      </c>
      <c r="D931" t="inlineStr">
        <is>
          <t>Samana Developers</t>
        </is>
      </c>
      <c r="E931" t="inlineStr">
        <is>
          <t>Dubai Studio City</t>
        </is>
      </c>
      <c r="F931" t="inlineStr">
        <is>
          <t>Apartments</t>
        </is>
      </c>
      <c r="G931" t="inlineStr">
        <is>
          <t>Greek Style</t>
        </is>
      </c>
      <c r="H931" t="inlineStr">
        <is>
          <t>850k</t>
        </is>
      </c>
      <c r="I931" t="inlineStr">
        <is>
          <t>1200</t>
        </is>
      </c>
      <c r="J931" t="inlineStr">
        <is>
          <t>15</t>
        </is>
      </c>
      <c r="K931" t="inlineStr">
        <is>
          <t>1% Monthly</t>
        </is>
      </c>
      <c r="L931" t="inlineStr">
        <is>
          <t>2023</t>
        </is>
      </c>
      <c r="M931" t="inlineStr">
        <is>
          <t>7.5-8.0</t>
        </is>
      </c>
      <c r="N931" t="inlineStr">
        <is>
          <t>6-8</t>
        </is>
      </c>
      <c r="O931" t="inlineStr">
        <is>
          <t>13.5-16.0</t>
        </is>
      </c>
      <c r="P931" t="inlineStr">
        <is>
          <t>GEMS Metropole</t>
        </is>
      </c>
      <c r="Q931" t="inlineStr">
        <is>
          <t>Mediclinic Parkview</t>
        </is>
      </c>
      <c r="R931" t="inlineStr">
        <is>
          <t>First Avenue Mall</t>
        </is>
      </c>
      <c r="S931" t="inlineStr">
        <is>
          <t>Hessa St / E311</t>
        </is>
      </c>
      <c r="T931" t="inlineStr">
        <is>
          <t>20</t>
        </is>
      </c>
      <c r="U931" t="inlineStr">
        <is>
          <t>15</t>
        </is>
      </c>
      <c r="V931" t="inlineStr">
        <is>
          <t>25</t>
        </is>
      </c>
      <c r="W931" t="inlineStr">
        <is>
          <t>25</t>
        </is>
      </c>
      <c r="X931" t="inlineStr">
        <is>
          <t>Guild.csv</t>
        </is>
      </c>
    </row>
    <row r="932">
      <c r="A932" t="n">
        <v>931</v>
      </c>
      <c r="B932" t="n">
        <v>395</v>
      </c>
      <c r="C932" t="inlineStr">
        <is>
          <t>Samana Mykonos Signature</t>
        </is>
      </c>
      <c r="D932" t="inlineStr">
        <is>
          <t>Samana Developers</t>
        </is>
      </c>
      <c r="E932" t="inlineStr">
        <is>
          <t>Arjan</t>
        </is>
      </c>
      <c r="F932" t="inlineStr">
        <is>
          <t>Apartments</t>
        </is>
      </c>
      <c r="G932" t="inlineStr">
        <is>
          <t>Greek Style</t>
        </is>
      </c>
      <c r="H932" t="inlineStr">
        <is>
          <t>900k</t>
        </is>
      </c>
      <c r="I932" t="inlineStr">
        <is>
          <t>1250</t>
        </is>
      </c>
      <c r="J932" t="inlineStr">
        <is>
          <t>15</t>
        </is>
      </c>
      <c r="K932" t="inlineStr">
        <is>
          <t>1% Monthly</t>
        </is>
      </c>
      <c r="L932" t="inlineStr">
        <is>
          <t>2023</t>
        </is>
      </c>
      <c r="M932" t="inlineStr">
        <is>
          <t>7.5-8.0</t>
        </is>
      </c>
      <c r="N932" t="inlineStr">
        <is>
          <t>6-8</t>
        </is>
      </c>
      <c r="O932" t="inlineStr">
        <is>
          <t>13.5-16.0</t>
        </is>
      </c>
      <c r="P932" t="inlineStr">
        <is>
          <t>Nord Anglia</t>
        </is>
      </c>
      <c r="Q932" t="inlineStr">
        <is>
          <t>Mediclinic Parkview</t>
        </is>
      </c>
      <c r="R932" t="inlineStr">
        <is>
          <t>Dubai Hills Mall</t>
        </is>
      </c>
      <c r="S932" t="inlineStr">
        <is>
          <t>Umm Suqeim / E311</t>
        </is>
      </c>
      <c r="T932" t="inlineStr">
        <is>
          <t>20</t>
        </is>
      </c>
      <c r="U932" t="inlineStr">
        <is>
          <t>20</t>
        </is>
      </c>
      <c r="V932" t="inlineStr">
        <is>
          <t>30</t>
        </is>
      </c>
      <c r="W932" t="inlineStr">
        <is>
          <t>25</t>
        </is>
      </c>
      <c r="X932" t="inlineStr">
        <is>
          <t>Guild.csv</t>
        </is>
      </c>
    </row>
    <row r="933">
      <c r="A933" t="n">
        <v>932</v>
      </c>
      <c r="B933" t="n">
        <v>396</v>
      </c>
      <c r="C933" t="inlineStr">
        <is>
          <t>Samana Santorini</t>
        </is>
      </c>
      <c r="D933" t="inlineStr">
        <is>
          <t>Samana Developers</t>
        </is>
      </c>
      <c r="E933" t="inlineStr">
        <is>
          <t>Dubai Studio City</t>
        </is>
      </c>
      <c r="F933" t="inlineStr">
        <is>
          <t>Apartments</t>
        </is>
      </c>
      <c r="G933" t="inlineStr">
        <is>
          <t>Greek Style</t>
        </is>
      </c>
      <c r="H933" t="inlineStr">
        <is>
          <t>850k</t>
        </is>
      </c>
      <c r="I933" t="inlineStr">
        <is>
          <t>1200</t>
        </is>
      </c>
      <c r="J933" t="inlineStr">
        <is>
          <t>15</t>
        </is>
      </c>
      <c r="K933" t="inlineStr">
        <is>
          <t>1% Monthly</t>
        </is>
      </c>
      <c r="L933" t="inlineStr">
        <is>
          <t>2022</t>
        </is>
      </c>
      <c r="M933" t="inlineStr">
        <is>
          <t>7.5-8.0</t>
        </is>
      </c>
      <c r="N933" t="inlineStr">
        <is>
          <t>6-8</t>
        </is>
      </c>
      <c r="O933" t="inlineStr">
        <is>
          <t>13.5-16.0</t>
        </is>
      </c>
      <c r="P933" t="inlineStr">
        <is>
          <t>GEMS Metropole</t>
        </is>
      </c>
      <c r="Q933" t="inlineStr">
        <is>
          <t>Mediclinic Parkview</t>
        </is>
      </c>
      <c r="R933" t="inlineStr">
        <is>
          <t>First Avenue Mall</t>
        </is>
      </c>
      <c r="S933" t="inlineStr">
        <is>
          <t>Hessa St / E311</t>
        </is>
      </c>
      <c r="T933" t="inlineStr">
        <is>
          <t>20</t>
        </is>
      </c>
      <c r="U933" t="inlineStr">
        <is>
          <t>15</t>
        </is>
      </c>
      <c r="V933" t="inlineStr">
        <is>
          <t>25</t>
        </is>
      </c>
      <c r="W933" t="inlineStr">
        <is>
          <t>25</t>
        </is>
      </c>
      <c r="X933" t="inlineStr">
        <is>
          <t>Guild.csv</t>
        </is>
      </c>
    </row>
    <row r="934">
      <c r="A934" t="n">
        <v>933</v>
      </c>
      <c r="B934" t="n">
        <v>397</v>
      </c>
      <c r="C934" t="inlineStr">
        <is>
          <t>Samana Portofino</t>
        </is>
      </c>
      <c r="D934" t="inlineStr">
        <is>
          <t>Samana Developers</t>
        </is>
      </c>
      <c r="E934" t="inlineStr">
        <is>
          <t>Dubai Production City</t>
        </is>
      </c>
      <c r="F934" t="inlineStr">
        <is>
          <t>Apartments</t>
        </is>
      </c>
      <c r="G934" t="inlineStr">
        <is>
          <t>Italian Style</t>
        </is>
      </c>
      <c r="H934" t="inlineStr">
        <is>
          <t>800k</t>
        </is>
      </c>
      <c r="I934" t="inlineStr">
        <is>
          <t>1100</t>
        </is>
      </c>
      <c r="J934" t="inlineStr">
        <is>
          <t>15</t>
        </is>
      </c>
      <c r="K934" t="inlineStr">
        <is>
          <t>1% Monthly</t>
        </is>
      </c>
      <c r="L934" t="inlineStr">
        <is>
          <t>2023</t>
        </is>
      </c>
      <c r="M934" t="inlineStr">
        <is>
          <t>7.5-8.5</t>
        </is>
      </c>
      <c r="N934" t="inlineStr">
        <is>
          <t>5-7</t>
        </is>
      </c>
      <c r="O934" t="inlineStr">
        <is>
          <t>12.5-15.5</t>
        </is>
      </c>
      <c r="P934" t="inlineStr">
        <is>
          <t>Sunmarke School</t>
        </is>
      </c>
      <c r="Q934" t="inlineStr">
        <is>
          <t>NMC Royal DIP</t>
        </is>
      </c>
      <c r="R934" t="inlineStr">
        <is>
          <t>City Centre Me'aisem</t>
        </is>
      </c>
      <c r="S934" t="inlineStr">
        <is>
          <t>E311 / Yalayis</t>
        </is>
      </c>
      <c r="T934" t="inlineStr">
        <is>
          <t>25</t>
        </is>
      </c>
      <c r="U934" t="inlineStr">
        <is>
          <t>20</t>
        </is>
      </c>
      <c r="V934" t="inlineStr">
        <is>
          <t>30</t>
        </is>
      </c>
      <c r="W934" t="inlineStr">
        <is>
          <t>25</t>
        </is>
      </c>
      <c r="X934" t="inlineStr">
        <is>
          <t>Guild.csv</t>
        </is>
      </c>
    </row>
    <row r="935">
      <c r="A935" t="n">
        <v>934</v>
      </c>
      <c r="B935" t="n">
        <v>398</v>
      </c>
      <c r="C935" t="inlineStr">
        <is>
          <t>Samana Manhattan</t>
        </is>
      </c>
      <c r="D935" t="inlineStr">
        <is>
          <t>Samana Developers</t>
        </is>
      </c>
      <c r="E935" t="inlineStr">
        <is>
          <t>JVC</t>
        </is>
      </c>
      <c r="F935" t="inlineStr">
        <is>
          <t>Apartments</t>
        </is>
      </c>
      <c r="G935" t="inlineStr">
        <is>
          <t>NY Style</t>
        </is>
      </c>
      <c r="H935" t="inlineStr">
        <is>
          <t>900k</t>
        </is>
      </c>
      <c r="I935" t="inlineStr">
        <is>
          <t>1300</t>
        </is>
      </c>
      <c r="J935" t="inlineStr">
        <is>
          <t>15</t>
        </is>
      </c>
      <c r="K935" t="inlineStr">
        <is>
          <t>1% Monthly</t>
        </is>
      </c>
      <c r="L935" t="inlineStr">
        <is>
          <t>2023</t>
        </is>
      </c>
      <c r="M935" t="inlineStr">
        <is>
          <t>7.5-8.0</t>
        </is>
      </c>
      <c r="N935" t="inlineStr">
        <is>
          <t>6-8</t>
        </is>
      </c>
      <c r="O935" t="inlineStr">
        <is>
          <t>13.5-16.0</t>
        </is>
      </c>
      <c r="P935" t="inlineStr">
        <is>
          <t>JSS International</t>
        </is>
      </c>
      <c r="Q935" t="inlineStr">
        <is>
          <t>Saudi German Hospital</t>
        </is>
      </c>
      <c r="R935" t="inlineStr">
        <is>
          <t>Circle Mall</t>
        </is>
      </c>
      <c r="S935" t="inlineStr">
        <is>
          <t>Hessa St / E44</t>
        </is>
      </c>
      <c r="T935" t="inlineStr">
        <is>
          <t>20</t>
        </is>
      </c>
      <c r="U935" t="inlineStr">
        <is>
          <t>15</t>
        </is>
      </c>
      <c r="V935" t="inlineStr">
        <is>
          <t>25</t>
        </is>
      </c>
      <c r="W935" t="inlineStr">
        <is>
          <t>30</t>
        </is>
      </c>
      <c r="X935" t="inlineStr">
        <is>
          <t>Guild.csv</t>
        </is>
      </c>
    </row>
    <row r="936">
      <c r="A936" t="n">
        <v>935</v>
      </c>
      <c r="B936" t="n">
        <v>399</v>
      </c>
      <c r="C936" t="inlineStr">
        <is>
          <t>Samana Skyros</t>
        </is>
      </c>
      <c r="D936" t="inlineStr">
        <is>
          <t>Samana Developers</t>
        </is>
      </c>
      <c r="E936" t="inlineStr">
        <is>
          <t>Arjan</t>
        </is>
      </c>
      <c r="F936" t="inlineStr">
        <is>
          <t>Apartments</t>
        </is>
      </c>
      <c r="G936" t="inlineStr">
        <is>
          <t>Greek Style</t>
        </is>
      </c>
      <c r="H936" t="inlineStr">
        <is>
          <t>900k</t>
        </is>
      </c>
      <c r="I936" t="inlineStr">
        <is>
          <t>1250</t>
        </is>
      </c>
      <c r="J936" t="inlineStr">
        <is>
          <t>15</t>
        </is>
      </c>
      <c r="K936" t="inlineStr">
        <is>
          <t>1% Monthly</t>
        </is>
      </c>
      <c r="L936" t="inlineStr">
        <is>
          <t>2023</t>
        </is>
      </c>
      <c r="M936" t="inlineStr">
        <is>
          <t>7.5-8.0</t>
        </is>
      </c>
      <c r="N936" t="inlineStr">
        <is>
          <t>6-8</t>
        </is>
      </c>
      <c r="O936" t="inlineStr">
        <is>
          <t>13.5-16.0</t>
        </is>
      </c>
      <c r="P936" t="inlineStr">
        <is>
          <t>Nord Anglia</t>
        </is>
      </c>
      <c r="Q936" t="inlineStr">
        <is>
          <t>Mediclinic Parkview</t>
        </is>
      </c>
      <c r="R936" t="inlineStr">
        <is>
          <t>Dubai Hills Mall</t>
        </is>
      </c>
      <c r="S936" t="inlineStr">
        <is>
          <t>Umm Suqeim / E311</t>
        </is>
      </c>
      <c r="T936" t="inlineStr">
        <is>
          <t>20</t>
        </is>
      </c>
      <c r="U936" t="inlineStr">
        <is>
          <t>20</t>
        </is>
      </c>
      <c r="V936" t="inlineStr">
        <is>
          <t>30</t>
        </is>
      </c>
      <c r="W936" t="inlineStr">
        <is>
          <t>25</t>
        </is>
      </c>
      <c r="X936" t="inlineStr">
        <is>
          <t>Guild.csv</t>
        </is>
      </c>
    </row>
    <row r="937">
      <c r="A937" t="n">
        <v>936</v>
      </c>
      <c r="B937" t="n">
        <v>400</v>
      </c>
      <c r="C937" t="inlineStr">
        <is>
          <t>Samana Lake Views</t>
        </is>
      </c>
      <c r="D937" t="inlineStr">
        <is>
          <t>Samana Developers</t>
        </is>
      </c>
      <c r="E937" t="inlineStr">
        <is>
          <t>Dubai Production City</t>
        </is>
      </c>
      <c r="F937" t="inlineStr">
        <is>
          <t>Apartments</t>
        </is>
      </c>
      <c r="G937" t="inlineStr">
        <is>
          <t>Lake / Budget</t>
        </is>
      </c>
      <c r="H937" t="inlineStr">
        <is>
          <t>800k</t>
        </is>
      </c>
      <c r="I937" t="inlineStr">
        <is>
          <t>1100</t>
        </is>
      </c>
      <c r="J937" t="inlineStr">
        <is>
          <t>15</t>
        </is>
      </c>
      <c r="K937" t="inlineStr">
        <is>
          <t>1% Monthly</t>
        </is>
      </c>
      <c r="L937" t="inlineStr">
        <is>
          <t>2024</t>
        </is>
      </c>
      <c r="M937" t="inlineStr">
        <is>
          <t>7.5-8.5</t>
        </is>
      </c>
      <c r="N937" t="inlineStr">
        <is>
          <t>5-7</t>
        </is>
      </c>
      <c r="O937" t="inlineStr">
        <is>
          <t>12.5-15.5</t>
        </is>
      </c>
      <c r="P937" t="inlineStr">
        <is>
          <t>Sunmarke School</t>
        </is>
      </c>
      <c r="Q937" t="inlineStr">
        <is>
          <t>NMC Royal DIP</t>
        </is>
      </c>
      <c r="R937" t="inlineStr">
        <is>
          <t>City Centre Me'aisem</t>
        </is>
      </c>
      <c r="S937" t="inlineStr">
        <is>
          <t>E311 / Yalayis</t>
        </is>
      </c>
      <c r="T937" t="inlineStr">
        <is>
          <t>25</t>
        </is>
      </c>
      <c r="U937" t="inlineStr">
        <is>
          <t>20</t>
        </is>
      </c>
      <c r="V937" t="inlineStr">
        <is>
          <t>30</t>
        </is>
      </c>
      <c r="W937" t="inlineStr">
        <is>
          <t>25</t>
        </is>
      </c>
      <c r="X937" t="inlineStr">
        <is>
          <t>Guild.csv</t>
        </is>
      </c>
    </row>
    <row r="938">
      <c r="A938" t="n">
        <v>937</v>
      </c>
      <c r="B938" t="n">
        <v>401</v>
      </c>
      <c r="C938" t="inlineStr">
        <is>
          <t>Samana Ibiza</t>
        </is>
      </c>
      <c r="D938" t="inlineStr">
        <is>
          <t>Samana Developers</t>
        </is>
      </c>
      <c r="E938" t="inlineStr">
        <is>
          <t>Dubailand</t>
        </is>
      </c>
      <c r="F938" t="inlineStr">
        <is>
          <t>Apartments</t>
        </is>
      </c>
      <c r="G938" t="inlineStr">
        <is>
          <t>Party / Pool</t>
        </is>
      </c>
      <c r="H938" t="inlineStr">
        <is>
          <t>1.0M</t>
        </is>
      </c>
      <c r="I938" t="inlineStr">
        <is>
          <t>1200</t>
        </is>
      </c>
      <c r="J938" t="inlineStr">
        <is>
          <t>15</t>
        </is>
      </c>
      <c r="K938" t="inlineStr">
        <is>
          <t>1% Monthly</t>
        </is>
      </c>
      <c r="L938" t="inlineStr">
        <is>
          <t>2024</t>
        </is>
      </c>
      <c r="M938" t="inlineStr">
        <is>
          <t>7.0-7.5</t>
        </is>
      </c>
      <c r="N938" t="inlineStr">
        <is>
          <t>6-8</t>
        </is>
      </c>
      <c r="O938" t="inlineStr">
        <is>
          <t>13.0-15.5</t>
        </is>
      </c>
      <c r="P938" t="inlineStr">
        <is>
          <t>GEMS Winchester</t>
        </is>
      </c>
      <c r="Q938" t="inlineStr">
        <is>
          <t>Fakeeh University Hosp</t>
        </is>
      </c>
      <c r="R938" t="inlineStr">
        <is>
          <t>Dubai Outlet Mall</t>
        </is>
      </c>
      <c r="S938" t="inlineStr">
        <is>
          <t>E611 / Al Ain Rd</t>
        </is>
      </c>
      <c r="T938" t="inlineStr">
        <is>
          <t>20</t>
        </is>
      </c>
      <c r="U938" t="inlineStr">
        <is>
          <t>25</t>
        </is>
      </c>
      <c r="V938" t="inlineStr">
        <is>
          <t>25</t>
        </is>
      </c>
      <c r="W938" t="inlineStr">
        <is>
          <t>30</t>
        </is>
      </c>
      <c r="X938" t="inlineStr">
        <is>
          <t>Guild.csv</t>
        </is>
      </c>
    </row>
    <row r="939">
      <c r="A939" t="n">
        <v>938</v>
      </c>
      <c r="B939" t="n">
        <v>402</v>
      </c>
      <c r="C939" t="inlineStr">
        <is>
          <t>Samana Rome</t>
        </is>
      </c>
      <c r="D939" t="inlineStr">
        <is>
          <t>Samana Developers</t>
        </is>
      </c>
      <c r="E939" t="inlineStr">
        <is>
          <t>Meydan</t>
        </is>
      </c>
      <c r="F939" t="inlineStr">
        <is>
          <t>Apartments</t>
        </is>
      </c>
      <c r="G939" t="inlineStr">
        <is>
          <t>Classic / Pool</t>
        </is>
      </c>
      <c r="H939" t="inlineStr">
        <is>
          <t>1.2M</t>
        </is>
      </c>
      <c r="I939" t="inlineStr">
        <is>
          <t>1400</t>
        </is>
      </c>
      <c r="J939" t="inlineStr">
        <is>
          <t>16</t>
        </is>
      </c>
      <c r="K939" t="inlineStr">
        <is>
          <t>1% Monthly</t>
        </is>
      </c>
      <c r="L939" t="inlineStr">
        <is>
          <t>2024</t>
        </is>
      </c>
      <c r="M939" t="inlineStr">
        <is>
          <t>6.5-7.0</t>
        </is>
      </c>
      <c r="N939" t="inlineStr">
        <is>
          <t>6-8</t>
        </is>
      </c>
      <c r="O939" t="inlineStr">
        <is>
          <t>12.5-15.0</t>
        </is>
      </c>
      <c r="P939" t="inlineStr">
        <is>
          <t>Hartland Intl</t>
        </is>
      </c>
      <c r="Q939" t="inlineStr">
        <is>
          <t>American Hospital</t>
        </is>
      </c>
      <c r="R939" t="inlineStr">
        <is>
          <t>Dubai Mall</t>
        </is>
      </c>
      <c r="S939" t="inlineStr">
        <is>
          <t>Ras Al Khor / E44</t>
        </is>
      </c>
      <c r="T939" t="inlineStr">
        <is>
          <t>12</t>
        </is>
      </c>
      <c r="U939" t="inlineStr">
        <is>
          <t>25</t>
        </is>
      </c>
      <c r="V939" t="inlineStr">
        <is>
          <t>15</t>
        </is>
      </c>
      <c r="W939" t="inlineStr">
        <is>
          <t>40</t>
        </is>
      </c>
      <c r="X939" t="inlineStr">
        <is>
          <t>Guild.csv</t>
        </is>
      </c>
    </row>
    <row r="940">
      <c r="A940" t="n">
        <v>939</v>
      </c>
      <c r="B940" t="n">
        <v>403</v>
      </c>
      <c r="C940" t="inlineStr">
        <is>
          <t>Samana Avenue</t>
        </is>
      </c>
      <c r="D940" t="inlineStr">
        <is>
          <t>Samana Developers</t>
        </is>
      </c>
      <c r="E940" t="inlineStr">
        <is>
          <t>Dubailand</t>
        </is>
      </c>
      <c r="F940" t="inlineStr">
        <is>
          <t>Apartments</t>
        </is>
      </c>
      <c r="G940" t="inlineStr">
        <is>
          <t>Family / Pool</t>
        </is>
      </c>
      <c r="H940" t="inlineStr">
        <is>
          <t>950k</t>
        </is>
      </c>
      <c r="I940" t="inlineStr">
        <is>
          <t>1100</t>
        </is>
      </c>
      <c r="J940" t="inlineStr">
        <is>
          <t>15</t>
        </is>
      </c>
      <c r="K940" t="inlineStr">
        <is>
          <t>1% Monthly</t>
        </is>
      </c>
      <c r="L940" t="inlineStr">
        <is>
          <t>2024</t>
        </is>
      </c>
      <c r="M940" t="inlineStr">
        <is>
          <t>7.0-7.5</t>
        </is>
      </c>
      <c r="N940" t="inlineStr">
        <is>
          <t>6-8</t>
        </is>
      </c>
      <c r="O940" t="inlineStr">
        <is>
          <t>13.0-15.5</t>
        </is>
      </c>
      <c r="P940" t="inlineStr">
        <is>
          <t>GEMS Winchester</t>
        </is>
      </c>
      <c r="Q940" t="inlineStr">
        <is>
          <t>Fakeeh University Hosp</t>
        </is>
      </c>
      <c r="R940" t="inlineStr">
        <is>
          <t>Dubai Outlet Mall</t>
        </is>
      </c>
      <c r="S940" t="inlineStr">
        <is>
          <t>E611 / Al Ain Rd</t>
        </is>
      </c>
      <c r="T940" t="inlineStr">
        <is>
          <t>20</t>
        </is>
      </c>
      <c r="U940" t="inlineStr">
        <is>
          <t>25</t>
        </is>
      </c>
      <c r="V940" t="inlineStr">
        <is>
          <t>25</t>
        </is>
      </c>
      <c r="W940" t="inlineStr">
        <is>
          <t>30</t>
        </is>
      </c>
      <c r="X940" t="inlineStr">
        <is>
          <t>Guild.csv</t>
        </is>
      </c>
    </row>
    <row r="941">
      <c r="A941" t="n">
        <v>940</v>
      </c>
      <c r="B941" t="n">
        <v>404</v>
      </c>
      <c r="C941" t="inlineStr">
        <is>
          <t>Keturah Reserve</t>
        </is>
      </c>
      <c r="D941" t="inlineStr">
        <is>
          <t>MAG Property Development</t>
        </is>
      </c>
      <c r="E941" t="inlineStr">
        <is>
          <t>MBR City (District 7)</t>
        </is>
      </c>
      <c r="F941" t="inlineStr">
        <is>
          <t>Villas &amp; Apts</t>
        </is>
      </c>
      <c r="G941" t="inlineStr">
        <is>
          <t>Bio-Living / Luxury</t>
        </is>
      </c>
      <c r="H941" t="inlineStr">
        <is>
          <t>3.5M (Apt) / 10M+ (Villa)</t>
        </is>
      </c>
      <c r="I941" t="inlineStr">
        <is>
          <t>2200</t>
        </is>
      </c>
      <c r="J941" t="inlineStr">
        <is>
          <t>20</t>
        </is>
      </c>
      <c r="K941" t="inlineStr">
        <is>
          <t>60/40</t>
        </is>
      </c>
      <c r="L941" t="inlineStr">
        <is>
          <t>2022</t>
        </is>
      </c>
      <c r="M941" t="inlineStr">
        <is>
          <t>5.5-6.0</t>
        </is>
      </c>
      <c r="N941" t="inlineStr">
        <is>
          <t>8-10</t>
        </is>
      </c>
      <c r="O941" t="inlineStr">
        <is>
          <t>13.5-16.0</t>
        </is>
      </c>
      <c r="P941" t="inlineStr">
        <is>
          <t>Hartland Intl</t>
        </is>
      </c>
      <c r="Q941" t="inlineStr">
        <is>
          <t>American Hospital</t>
        </is>
      </c>
      <c r="R941" t="inlineStr">
        <is>
          <t>Dubai Mall</t>
        </is>
      </c>
      <c r="S941" t="inlineStr">
        <is>
          <t>Ras Al Khor / E44</t>
        </is>
      </c>
      <c r="T941" t="inlineStr">
        <is>
          <t>12</t>
        </is>
      </c>
      <c r="U941" t="inlineStr">
        <is>
          <t>25</t>
        </is>
      </c>
      <c r="V941" t="inlineStr">
        <is>
          <t>15</t>
        </is>
      </c>
      <c r="W941" t="inlineStr">
        <is>
          <t>40</t>
        </is>
      </c>
      <c r="X941" t="inlineStr">
        <is>
          <t>Guild.csv</t>
        </is>
      </c>
    </row>
    <row r="942">
      <c r="A942" t="n">
        <v>941</v>
      </c>
      <c r="B942" t="n">
        <v>405</v>
      </c>
      <c r="C942" t="inlineStr">
        <is>
          <t>MAG City</t>
        </is>
      </c>
      <c r="D942" t="inlineStr">
        <is>
          <t>MAG Property Development</t>
        </is>
      </c>
      <c r="E942" t="inlineStr">
        <is>
          <t>MBR City (District 7)</t>
        </is>
      </c>
      <c r="F942" t="inlineStr">
        <is>
          <t>Townhouses &amp; Apts</t>
        </is>
      </c>
      <c r="G942" t="inlineStr">
        <is>
          <t>Gated / City</t>
        </is>
      </c>
      <c r="H942" t="inlineStr">
        <is>
          <t>1.2M</t>
        </is>
      </c>
      <c r="I942" t="inlineStr">
        <is>
          <t>1300</t>
        </is>
      </c>
      <c r="J942" t="inlineStr">
        <is>
          <t>15</t>
        </is>
      </c>
      <c r="K942" t="inlineStr">
        <is>
          <t>60/40</t>
        </is>
      </c>
      <c r="L942" t="inlineStr">
        <is>
          <t>2019</t>
        </is>
      </c>
      <c r="M942" t="inlineStr">
        <is>
          <t>6.5-7.0</t>
        </is>
      </c>
      <c r="N942" t="inlineStr">
        <is>
          <t>6-8</t>
        </is>
      </c>
      <c r="O942" t="inlineStr">
        <is>
          <t>12.5-15.0</t>
        </is>
      </c>
      <c r="P942" t="inlineStr">
        <is>
          <t>Hartland Intl</t>
        </is>
      </c>
      <c r="Q942" t="inlineStr">
        <is>
          <t>American Hospital</t>
        </is>
      </c>
      <c r="R942" t="inlineStr">
        <is>
          <t>Dubai Mall</t>
        </is>
      </c>
      <c r="S942" t="inlineStr">
        <is>
          <t>Ras Al Khor / E44</t>
        </is>
      </c>
      <c r="T942" t="inlineStr">
        <is>
          <t>12</t>
        </is>
      </c>
      <c r="U942" t="inlineStr">
        <is>
          <t>25</t>
        </is>
      </c>
      <c r="V942" t="inlineStr">
        <is>
          <t>15</t>
        </is>
      </c>
      <c r="W942" t="inlineStr">
        <is>
          <t>40</t>
        </is>
      </c>
      <c r="X942" t="inlineStr">
        <is>
          <t>Guild.csv</t>
        </is>
      </c>
    </row>
    <row r="943">
      <c r="A943" t="n">
        <v>942</v>
      </c>
      <c r="B943" t="n">
        <v>406</v>
      </c>
      <c r="C943" t="inlineStr">
        <is>
          <t>MAG Park</t>
        </is>
      </c>
      <c r="D943" t="inlineStr">
        <is>
          <t>MAG Property Development</t>
        </is>
      </c>
      <c r="E943" t="inlineStr">
        <is>
          <t>MBR City</t>
        </is>
      </c>
      <c r="F943" t="inlineStr">
        <is>
          <t>Townhouses</t>
        </is>
      </c>
      <c r="G943" t="inlineStr">
        <is>
          <t>Gated / Park</t>
        </is>
      </c>
      <c r="H943" t="inlineStr">
        <is>
          <t>3.5M</t>
        </is>
      </c>
      <c r="I943" t="inlineStr">
        <is>
          <t>1400</t>
        </is>
      </c>
      <c r="J943" t="inlineStr">
        <is>
          <t>15</t>
        </is>
      </c>
      <c r="K943" t="inlineStr">
        <is>
          <t>60/40</t>
        </is>
      </c>
      <c r="L943" t="inlineStr">
        <is>
          <t>2021</t>
        </is>
      </c>
      <c r="M943" t="inlineStr">
        <is>
          <t>6.0-6.5</t>
        </is>
      </c>
      <c r="N943" t="inlineStr">
        <is>
          <t>6-8</t>
        </is>
      </c>
      <c r="O943" t="inlineStr">
        <is>
          <t>12.0-14.5</t>
        </is>
      </c>
      <c r="P943" t="inlineStr">
        <is>
          <t>Hartland Intl</t>
        </is>
      </c>
      <c r="Q943" t="inlineStr">
        <is>
          <t>American Hospital</t>
        </is>
      </c>
      <c r="R943" t="inlineStr">
        <is>
          <t>Dubai Mall</t>
        </is>
      </c>
      <c r="S943" t="inlineStr">
        <is>
          <t>Ras Al Khor / E44</t>
        </is>
      </c>
      <c r="T943" t="inlineStr">
        <is>
          <t>12</t>
        </is>
      </c>
      <c r="U943" t="inlineStr">
        <is>
          <t>25</t>
        </is>
      </c>
      <c r="V943" t="inlineStr">
        <is>
          <t>15</t>
        </is>
      </c>
      <c r="W943" t="inlineStr">
        <is>
          <t>40</t>
        </is>
      </c>
      <c r="X943" t="inlineStr">
        <is>
          <t>Guild.csv</t>
        </is>
      </c>
    </row>
    <row r="944">
      <c r="A944" t="n">
        <v>943</v>
      </c>
      <c r="B944" t="n">
        <v>407</v>
      </c>
      <c r="C944" t="inlineStr">
        <is>
          <t>Keturah Resort</t>
        </is>
      </c>
      <c r="D944" t="inlineStr">
        <is>
          <t>MAG Property Development</t>
        </is>
      </c>
      <c r="E944" t="inlineStr">
        <is>
          <t>Creekside</t>
        </is>
      </c>
      <c r="F944" t="inlineStr">
        <is>
          <t>Villas (Mansion)</t>
        </is>
      </c>
      <c r="G944" t="inlineStr">
        <is>
          <t>Wellness / Creek</t>
        </is>
      </c>
      <c r="H944" t="inlineStr">
        <is>
          <t>20M+</t>
        </is>
      </c>
      <c r="I944" t="inlineStr">
        <is>
          <t>3000</t>
        </is>
      </c>
      <c r="J944" t="inlineStr">
        <is>
          <t>30</t>
        </is>
      </c>
      <c r="K944" t="inlineStr">
        <is>
          <t>50/50</t>
        </is>
      </c>
      <c r="L944" t="inlineStr">
        <is>
          <t>2022</t>
        </is>
      </c>
      <c r="M944" t="inlineStr">
        <is>
          <t>4.0-4.5</t>
        </is>
      </c>
      <c r="N944" t="inlineStr">
        <is>
          <t>8-12</t>
        </is>
      </c>
      <c r="O944" t="inlineStr">
        <is>
          <t>12.0-16.5</t>
        </is>
      </c>
      <c r="P944" t="inlineStr">
        <is>
          <t>Swiss Intl School</t>
        </is>
      </c>
      <c r="Q944" t="inlineStr">
        <is>
          <t>American Hospital</t>
        </is>
      </c>
      <c r="R944" t="inlineStr">
        <is>
          <t>Dubai Festival City</t>
        </is>
      </c>
      <c r="S944" t="inlineStr">
        <is>
          <t>Ras Al Khor / E44</t>
        </is>
      </c>
      <c r="T944" t="inlineStr">
        <is>
          <t>12</t>
        </is>
      </c>
      <c r="U944" t="inlineStr">
        <is>
          <t>25</t>
        </is>
      </c>
      <c r="V944" t="inlineStr">
        <is>
          <t>10</t>
        </is>
      </c>
      <c r="W944" t="inlineStr">
        <is>
          <t>40</t>
        </is>
      </c>
      <c r="X944" t="inlineStr">
        <is>
          <t>Guild.csv</t>
        </is>
      </c>
    </row>
    <row r="945">
      <c r="A945" t="n">
        <v>944</v>
      </c>
      <c r="B945" t="n">
        <v>408</v>
      </c>
      <c r="C945" t="inlineStr">
        <is>
          <t>Ritz-Carlton Residences Creekside</t>
        </is>
      </c>
      <c r="D945" t="inlineStr">
        <is>
          <t>MAG Property Development</t>
        </is>
      </c>
      <c r="E945" t="inlineStr">
        <is>
          <t>Creekside</t>
        </is>
      </c>
      <c r="F945" t="inlineStr">
        <is>
          <t>Branded Apts</t>
        </is>
      </c>
      <c r="G945" t="inlineStr">
        <is>
          <t>Ultra-Luxury / Wellness</t>
        </is>
      </c>
      <c r="H945" t="inlineStr">
        <is>
          <t>15M+</t>
        </is>
      </c>
      <c r="I945" t="inlineStr">
        <is>
          <t>4500</t>
        </is>
      </c>
      <c r="J945" t="inlineStr">
        <is>
          <t>45+</t>
        </is>
      </c>
      <c r="K945" t="inlineStr">
        <is>
          <t>50/50</t>
        </is>
      </c>
      <c r="L945" t="inlineStr">
        <is>
          <t>2022</t>
        </is>
      </c>
      <c r="M945" t="inlineStr">
        <is>
          <t>3.5-4.0</t>
        </is>
      </c>
      <c r="N945" t="inlineStr">
        <is>
          <t>8-12</t>
        </is>
      </c>
      <c r="O945" t="inlineStr">
        <is>
          <t>11.5-16.0</t>
        </is>
      </c>
      <c r="P945" t="inlineStr">
        <is>
          <t>Swiss Intl School</t>
        </is>
      </c>
      <c r="Q945" t="inlineStr">
        <is>
          <t>American Hospital</t>
        </is>
      </c>
      <c r="R945" t="inlineStr">
        <is>
          <t>Dubai Festival City</t>
        </is>
      </c>
      <c r="S945" t="inlineStr">
        <is>
          <t>Ras Al Khor / E44</t>
        </is>
      </c>
      <c r="T945" t="inlineStr">
        <is>
          <t>12</t>
        </is>
      </c>
      <c r="U945" t="inlineStr">
        <is>
          <t>25</t>
        </is>
      </c>
      <c r="V945" t="inlineStr">
        <is>
          <t>10</t>
        </is>
      </c>
      <c r="W945" t="inlineStr">
        <is>
          <t>40</t>
        </is>
      </c>
      <c r="X945" t="inlineStr">
        <is>
          <t>Guild.csv</t>
        </is>
      </c>
    </row>
    <row r="946">
      <c r="A946" t="n">
        <v>945</v>
      </c>
      <c r="B946" t="n">
        <v>409</v>
      </c>
      <c r="C946" t="inlineStr">
        <is>
          <t>MAG 777</t>
        </is>
      </c>
      <c r="D946" t="inlineStr">
        <is>
          <t>MAG Property Development</t>
        </is>
      </c>
      <c r="E946" t="inlineStr">
        <is>
          <t>Dubai Sports City</t>
        </is>
      </c>
      <c r="F946" t="inlineStr">
        <is>
          <t>Apartments</t>
        </is>
      </c>
      <c r="G946" t="inlineStr">
        <is>
          <t>Lake View</t>
        </is>
      </c>
      <c r="H946" t="inlineStr">
        <is>
          <t>900k</t>
        </is>
      </c>
      <c r="I946" t="inlineStr">
        <is>
          <t>1200</t>
        </is>
      </c>
      <c r="J946" t="inlineStr">
        <is>
          <t>15</t>
        </is>
      </c>
      <c r="K946" t="inlineStr">
        <is>
          <t>50/50</t>
        </is>
      </c>
      <c r="L946" t="inlineStr">
        <is>
          <t>2024</t>
        </is>
      </c>
      <c r="M946" t="inlineStr">
        <is>
          <t>7.5-8.0</t>
        </is>
      </c>
      <c r="N946" t="inlineStr">
        <is>
          <t>6-8</t>
        </is>
      </c>
      <c r="O946" t="inlineStr">
        <is>
          <t>13.5-16.0</t>
        </is>
      </c>
      <c r="P946" t="inlineStr">
        <is>
          <t>Victory Heights</t>
        </is>
      </c>
      <c r="Q946" t="inlineStr">
        <is>
          <t>NMC Royal DIP</t>
        </is>
      </c>
      <c r="R946" t="inlineStr">
        <is>
          <t>City Centre Me'aisem</t>
        </is>
      </c>
      <c r="S946" t="inlineStr">
        <is>
          <t>E311 / Hessa St</t>
        </is>
      </c>
      <c r="T946" t="inlineStr">
        <is>
          <t>20</t>
        </is>
      </c>
      <c r="U946" t="inlineStr">
        <is>
          <t>15</t>
        </is>
      </c>
      <c r="V946" t="inlineStr">
        <is>
          <t>25</t>
        </is>
      </c>
      <c r="W946" t="inlineStr">
        <is>
          <t>25</t>
        </is>
      </c>
      <c r="X946" t="inlineStr">
        <is>
          <t>Guild.csv</t>
        </is>
      </c>
    </row>
    <row r="947">
      <c r="A947" t="n">
        <v>946</v>
      </c>
      <c r="B947" t="n">
        <v>410</v>
      </c>
      <c r="C947" t="inlineStr">
        <is>
          <t>MAG 330</t>
        </is>
      </c>
      <c r="D947" t="inlineStr">
        <is>
          <t>MAG Property Development</t>
        </is>
      </c>
      <c r="E947" t="inlineStr">
        <is>
          <t>City of Arabia</t>
        </is>
      </c>
      <c r="F947" t="inlineStr">
        <is>
          <t>Apartments</t>
        </is>
      </c>
      <c r="G947" t="inlineStr">
        <is>
          <t>Budget / Family</t>
        </is>
      </c>
      <c r="H947" t="inlineStr">
        <is>
          <t>800k</t>
        </is>
      </c>
      <c r="I947" t="inlineStr">
        <is>
          <t>1100</t>
        </is>
      </c>
      <c r="J947" t="inlineStr">
        <is>
          <t>15</t>
        </is>
      </c>
      <c r="K947" t="inlineStr">
        <is>
          <t>50/50</t>
        </is>
      </c>
      <c r="L947" t="inlineStr">
        <is>
          <t>2023</t>
        </is>
      </c>
      <c r="M947" t="inlineStr">
        <is>
          <t>7.0-7.5</t>
        </is>
      </c>
      <c r="N947" t="inlineStr">
        <is>
          <t>5-7</t>
        </is>
      </c>
      <c r="O947" t="inlineStr">
        <is>
          <t>12.0-14.5</t>
        </is>
      </c>
      <c r="P947" t="inlineStr">
        <is>
          <t>GEMS Winchester</t>
        </is>
      </c>
      <c r="Q947" t="inlineStr">
        <is>
          <t>Fakeeh University Hosp</t>
        </is>
      </c>
      <c r="R947" t="inlineStr">
        <is>
          <t>IMG Worlds / Outlet</t>
        </is>
      </c>
      <c r="S947" t="inlineStr">
        <is>
          <t>E311 / E66</t>
        </is>
      </c>
      <c r="T947" t="inlineStr">
        <is>
          <t>20</t>
        </is>
      </c>
      <c r="U947" t="inlineStr">
        <is>
          <t>25</t>
        </is>
      </c>
      <c r="V947" t="inlineStr">
        <is>
          <t>20</t>
        </is>
      </c>
      <c r="W947" t="inlineStr">
        <is>
          <t>30</t>
        </is>
      </c>
      <c r="X947" t="inlineStr">
        <is>
          <t>Guild.csv</t>
        </is>
      </c>
    </row>
    <row r="948">
      <c r="A948" t="n">
        <v>947</v>
      </c>
      <c r="B948" t="n">
        <v>411</v>
      </c>
      <c r="C948" t="inlineStr">
        <is>
          <t>MBL Residence</t>
        </is>
      </c>
      <c r="D948" t="inlineStr">
        <is>
          <t>MAG Property Development</t>
        </is>
      </c>
      <c r="E948" t="inlineStr">
        <is>
          <t>JLT</t>
        </is>
      </c>
      <c r="F948" t="inlineStr">
        <is>
          <t>Apartments</t>
        </is>
      </c>
      <c r="G948" t="inlineStr">
        <is>
          <t>High-Rise / Lake</t>
        </is>
      </c>
      <c r="H948" t="inlineStr">
        <is>
          <t>Resale (1.5M+)</t>
        </is>
      </c>
      <c r="I948" t="inlineStr">
        <is>
          <t>1600</t>
        </is>
      </c>
      <c r="J948" t="inlineStr">
        <is>
          <t>18</t>
        </is>
      </c>
      <c r="K948" t="inlineStr">
        <is>
          <t>Completed</t>
        </is>
      </c>
      <c r="L948" t="inlineStr">
        <is>
          <t>2018</t>
        </is>
      </c>
      <c r="M948" t="inlineStr">
        <is>
          <t>6.5-7.0</t>
        </is>
      </c>
      <c r="N948" t="inlineStr">
        <is>
          <t>5-7</t>
        </is>
      </c>
      <c r="O948" t="inlineStr">
        <is>
          <t>11.5-14.0</t>
        </is>
      </c>
      <c r="P948" t="inlineStr">
        <is>
          <t>Emirates Intl School</t>
        </is>
      </c>
      <c r="Q948" t="inlineStr">
        <is>
          <t>Saudi German Hospital</t>
        </is>
      </c>
      <c r="R948" t="inlineStr">
        <is>
          <t>Dubai Marina Mall</t>
        </is>
      </c>
      <c r="S948" t="inlineStr">
        <is>
          <t>Sheikh Zayed E11</t>
        </is>
      </c>
      <c r="T948" t="inlineStr">
        <is>
          <t>20</t>
        </is>
      </c>
      <c r="U948" t="inlineStr">
        <is>
          <t>5</t>
        </is>
      </c>
      <c r="V948" t="inlineStr">
        <is>
          <t>25</t>
        </is>
      </c>
      <c r="W948" t="inlineStr">
        <is>
          <t>30</t>
        </is>
      </c>
      <c r="X948" t="inlineStr">
        <is>
          <t>Guild.csv</t>
        </is>
      </c>
    </row>
    <row r="949">
      <c r="A949" t="n">
        <v>948</v>
      </c>
      <c r="B949" t="n">
        <v>412</v>
      </c>
      <c r="C949" t="inlineStr">
        <is>
          <t>MBL Royal</t>
        </is>
      </c>
      <c r="D949" t="inlineStr">
        <is>
          <t>MAG Property Development</t>
        </is>
      </c>
      <c r="E949" t="inlineStr">
        <is>
          <t>JLT</t>
        </is>
      </c>
      <c r="F949" t="inlineStr">
        <is>
          <t>Apartments</t>
        </is>
      </c>
      <c r="G949" t="inlineStr">
        <is>
          <t>High-Rise / Lake</t>
        </is>
      </c>
      <c r="H949" t="inlineStr">
        <is>
          <t>2.0M</t>
        </is>
      </c>
      <c r="I949" t="inlineStr">
        <is>
          <t>1800</t>
        </is>
      </c>
      <c r="J949" t="inlineStr">
        <is>
          <t>20</t>
        </is>
      </c>
      <c r="K949" t="inlineStr">
        <is>
          <t>60/40</t>
        </is>
      </c>
      <c r="L949" t="inlineStr">
        <is>
          <t>2022</t>
        </is>
      </c>
      <c r="M949" t="inlineStr">
        <is>
          <t>6.5-7.0</t>
        </is>
      </c>
      <c r="N949" t="inlineStr">
        <is>
          <t>6-8</t>
        </is>
      </c>
      <c r="O949" t="inlineStr">
        <is>
          <t>12.5-15.0</t>
        </is>
      </c>
      <c r="P949" t="inlineStr">
        <is>
          <t>Emirates Intl School</t>
        </is>
      </c>
      <c r="Q949" t="inlineStr">
        <is>
          <t>Saudi German Hospital</t>
        </is>
      </c>
      <c r="R949" t="inlineStr">
        <is>
          <t>Dubai Marina Mall</t>
        </is>
      </c>
      <c r="S949" t="inlineStr">
        <is>
          <t>Sheikh Zayed E11</t>
        </is>
      </c>
      <c r="T949" t="inlineStr">
        <is>
          <t>20</t>
        </is>
      </c>
      <c r="U949" t="inlineStr">
        <is>
          <t>5</t>
        </is>
      </c>
      <c r="V949" t="inlineStr">
        <is>
          <t>25</t>
        </is>
      </c>
      <c r="W949" t="inlineStr">
        <is>
          <t>30</t>
        </is>
      </c>
      <c r="X949" t="inlineStr">
        <is>
          <t>Guild.csv</t>
        </is>
      </c>
    </row>
    <row r="950">
      <c r="A950" t="n">
        <v>949</v>
      </c>
      <c r="B950" t="n">
        <v>413</v>
      </c>
      <c r="C950" t="inlineStr">
        <is>
          <t>MBL Signature</t>
        </is>
      </c>
      <c r="D950" t="inlineStr">
        <is>
          <t>MAG Property Development</t>
        </is>
      </c>
      <c r="E950" t="inlineStr">
        <is>
          <t>JLT</t>
        </is>
      </c>
      <c r="F950" t="inlineStr">
        <is>
          <t>Apartments</t>
        </is>
      </c>
      <c r="G950" t="inlineStr">
        <is>
          <t>High-Rise / Lake</t>
        </is>
      </c>
      <c r="H950" t="inlineStr">
        <is>
          <t>2.2M</t>
        </is>
      </c>
      <c r="I950" t="inlineStr">
        <is>
          <t>2000</t>
        </is>
      </c>
      <c r="J950" t="inlineStr">
        <is>
          <t>20</t>
        </is>
      </c>
      <c r="K950" t="inlineStr">
        <is>
          <t>60/40</t>
        </is>
      </c>
      <c r="L950" t="inlineStr">
        <is>
          <t>2024</t>
        </is>
      </c>
      <c r="M950" t="inlineStr">
        <is>
          <t>6.5-7.0</t>
        </is>
      </c>
      <c r="N950" t="inlineStr">
        <is>
          <t>6-8</t>
        </is>
      </c>
      <c r="O950" t="inlineStr">
        <is>
          <t>12.5-15.0</t>
        </is>
      </c>
      <c r="P950" t="inlineStr">
        <is>
          <t>Emirates Intl School</t>
        </is>
      </c>
      <c r="Q950" t="inlineStr">
        <is>
          <t>Saudi German Hospital</t>
        </is>
      </c>
      <c r="R950" t="inlineStr">
        <is>
          <t>Dubai Marina Mall</t>
        </is>
      </c>
      <c r="S950" t="inlineStr">
        <is>
          <t>Sheikh Zayed E11</t>
        </is>
      </c>
      <c r="T950" t="inlineStr">
        <is>
          <t>20</t>
        </is>
      </c>
      <c r="U950" t="inlineStr">
        <is>
          <t>5</t>
        </is>
      </c>
      <c r="V950" t="inlineStr">
        <is>
          <t>25</t>
        </is>
      </c>
      <c r="W950" t="inlineStr">
        <is>
          <t>30</t>
        </is>
      </c>
      <c r="X950" t="inlineStr">
        <is>
          <t>Guild.csv</t>
        </is>
      </c>
    </row>
    <row r="951">
      <c r="A951" t="n">
        <v>950</v>
      </c>
      <c r="B951" t="n">
        <v>414</v>
      </c>
      <c r="C951" t="inlineStr">
        <is>
          <t>MAG 318</t>
        </is>
      </c>
      <c r="D951" t="inlineStr">
        <is>
          <t>MAG Property Development</t>
        </is>
      </c>
      <c r="E951" t="inlineStr">
        <is>
          <t>Business Bay</t>
        </is>
      </c>
      <c r="F951" t="inlineStr">
        <is>
          <t>Apartments</t>
        </is>
      </c>
      <c r="G951" t="inlineStr">
        <is>
          <t>Canal / City</t>
        </is>
      </c>
      <c r="H951" t="inlineStr">
        <is>
          <t>Resale (1.2M+)</t>
        </is>
      </c>
      <c r="I951" t="inlineStr">
        <is>
          <t>1600</t>
        </is>
      </c>
      <c r="J951" t="inlineStr">
        <is>
          <t>18</t>
        </is>
      </c>
      <c r="K951" t="inlineStr">
        <is>
          <t>Completed</t>
        </is>
      </c>
      <c r="L951" t="inlineStr">
        <is>
          <t>2019</t>
        </is>
      </c>
      <c r="M951" t="inlineStr">
        <is>
          <t>6.0-6.5</t>
        </is>
      </c>
      <c r="N951" t="inlineStr">
        <is>
          <t>5-7</t>
        </is>
      </c>
      <c r="O951" t="inlineStr">
        <is>
          <t>11.0-13.5</t>
        </is>
      </c>
      <c r="P951" t="inlineStr">
        <is>
          <t>Hartland Intl</t>
        </is>
      </c>
      <c r="Q951" t="inlineStr">
        <is>
          <t>Emirates Hospital BB</t>
        </is>
      </c>
      <c r="R951" t="inlineStr">
        <is>
          <t>Dubai Mall</t>
        </is>
      </c>
      <c r="S951" t="inlineStr">
        <is>
          <t>Al Khail E44</t>
        </is>
      </c>
      <c r="T951" t="inlineStr">
        <is>
          <t>5</t>
        </is>
      </c>
      <c r="U951" t="inlineStr">
        <is>
          <t>20</t>
        </is>
      </c>
      <c r="V951" t="inlineStr">
        <is>
          <t>15</t>
        </is>
      </c>
      <c r="W951" t="inlineStr">
        <is>
          <t>35</t>
        </is>
      </c>
      <c r="X951" t="inlineStr">
        <is>
          <t>Guild.csv</t>
        </is>
      </c>
    </row>
    <row r="952">
      <c r="A952" t="n">
        <v>951</v>
      </c>
      <c r="B952" t="n">
        <v>415</v>
      </c>
      <c r="C952" t="inlineStr">
        <is>
          <t>MAG 218</t>
        </is>
      </c>
      <c r="D952" t="inlineStr">
        <is>
          <t>MAG Property Development</t>
        </is>
      </c>
      <c r="E952" t="inlineStr">
        <is>
          <t>Dubai Marina</t>
        </is>
      </c>
      <c r="F952" t="inlineStr">
        <is>
          <t>Apartments</t>
        </is>
      </c>
      <c r="G952" t="inlineStr">
        <is>
          <t>High-Rise</t>
        </is>
      </c>
      <c r="H952" t="inlineStr">
        <is>
          <t>Resale</t>
        </is>
      </c>
      <c r="I952" t="inlineStr">
        <is>
          <t>1200</t>
        </is>
      </c>
      <c r="J952" t="inlineStr">
        <is>
          <t>16</t>
        </is>
      </c>
      <c r="K952" t="inlineStr">
        <is>
          <t>Completed</t>
        </is>
      </c>
      <c r="L952" t="inlineStr">
        <is>
          <t>2010</t>
        </is>
      </c>
      <c r="M952" t="inlineStr">
        <is>
          <t>7.0-7.5</t>
        </is>
      </c>
      <c r="N952" t="inlineStr">
        <is>
          <t>4-6</t>
        </is>
      </c>
      <c r="O952" t="inlineStr">
        <is>
          <t>11.0-13.5</t>
        </is>
      </c>
      <c r="P952" t="inlineStr">
        <is>
          <t>American Univ. Dubai</t>
        </is>
      </c>
      <c r="Q952" t="inlineStr">
        <is>
          <t>Saudi German Hospital</t>
        </is>
      </c>
      <c r="R952" t="inlineStr">
        <is>
          <t>Dubai Marina Mall</t>
        </is>
      </c>
      <c r="S952" t="inlineStr">
        <is>
          <t>Sheikh Zayed E11</t>
        </is>
      </c>
      <c r="T952" t="inlineStr">
        <is>
          <t>20</t>
        </is>
      </c>
      <c r="U952" t="inlineStr">
        <is>
          <t>2</t>
        </is>
      </c>
      <c r="V952" t="inlineStr">
        <is>
          <t>25</t>
        </is>
      </c>
      <c r="W952" t="inlineStr">
        <is>
          <t>30</t>
        </is>
      </c>
      <c r="X952" t="inlineStr">
        <is>
          <t>Guild.csv</t>
        </is>
      </c>
    </row>
    <row r="953">
      <c r="A953" t="n">
        <v>952</v>
      </c>
      <c r="B953" t="n">
        <v>416</v>
      </c>
      <c r="C953" t="inlineStr">
        <is>
          <t>Mar Casa</t>
        </is>
      </c>
      <c r="D953" t="inlineStr">
        <is>
          <t>Deyaar</t>
        </is>
      </c>
      <c r="E953" t="inlineStr">
        <is>
          <t>Dubai Maritime City</t>
        </is>
      </c>
      <c r="F953" t="inlineStr">
        <is>
          <t>Apartments</t>
        </is>
      </c>
      <c r="G953" t="inlineStr">
        <is>
          <t>Sea View / Luxury</t>
        </is>
      </c>
      <c r="H953" t="inlineStr">
        <is>
          <t>2.2M</t>
        </is>
      </c>
      <c r="I953" t="inlineStr">
        <is>
          <t>2000</t>
        </is>
      </c>
      <c r="J953" t="inlineStr">
        <is>
          <t>20</t>
        </is>
      </c>
      <c r="K953" t="inlineStr">
        <is>
          <t>50/50</t>
        </is>
      </c>
      <c r="L953" t="inlineStr">
        <is>
          <t>2023</t>
        </is>
      </c>
      <c r="M953" t="inlineStr">
        <is>
          <t>6.5-7.0</t>
        </is>
      </c>
      <c r="N953" t="inlineStr">
        <is>
          <t>8-10</t>
        </is>
      </c>
      <c r="O953" t="inlineStr">
        <is>
          <t>14.5-17.0</t>
        </is>
      </c>
      <c r="P953" t="inlineStr">
        <is>
          <t>New Academy School</t>
        </is>
      </c>
      <c r="Q953" t="inlineStr">
        <is>
          <t>Aster Hospital Mankhool</t>
        </is>
      </c>
      <c r="R953" t="inlineStr">
        <is>
          <t>Dubai Mall</t>
        </is>
      </c>
      <c r="S953" t="inlineStr">
        <is>
          <t>Al Khaleej / E11</t>
        </is>
      </c>
      <c r="T953" t="inlineStr">
        <is>
          <t>15</t>
        </is>
      </c>
      <c r="U953" t="inlineStr">
        <is>
          <t>25</t>
        </is>
      </c>
      <c r="V953" t="inlineStr">
        <is>
          <t>15</t>
        </is>
      </c>
      <c r="W953" t="inlineStr">
        <is>
          <t>45</t>
        </is>
      </c>
      <c r="X953" t="inlineStr">
        <is>
          <t>Guild.csv</t>
        </is>
      </c>
    </row>
    <row r="954">
      <c r="A954" t="n">
        <v>953</v>
      </c>
      <c r="B954" t="n">
        <v>417</v>
      </c>
      <c r="C954" t="inlineStr">
        <is>
          <t>Regalia</t>
        </is>
      </c>
      <c r="D954" t="inlineStr">
        <is>
          <t>Deyaar</t>
        </is>
      </c>
      <c r="E954" t="inlineStr">
        <is>
          <t>Business Bay</t>
        </is>
      </c>
      <c r="F954" t="inlineStr">
        <is>
          <t>Apartments</t>
        </is>
      </c>
      <c r="G954" t="inlineStr">
        <is>
          <t>Luxury / Smart</t>
        </is>
      </c>
      <c r="H954" t="inlineStr">
        <is>
          <t>1.8M</t>
        </is>
      </c>
      <c r="I954" t="inlineStr">
        <is>
          <t>2100</t>
        </is>
      </c>
      <c r="J954" t="inlineStr">
        <is>
          <t>20</t>
        </is>
      </c>
      <c r="K954" t="inlineStr">
        <is>
          <t>Completed</t>
        </is>
      </c>
      <c r="L954" t="inlineStr">
        <is>
          <t>2021</t>
        </is>
      </c>
      <c r="M954" t="inlineStr">
        <is>
          <t>6.0-6.5</t>
        </is>
      </c>
      <c r="N954" t="inlineStr">
        <is>
          <t>6-8</t>
        </is>
      </c>
      <c r="O954" t="inlineStr">
        <is>
          <t>12.0-14.5</t>
        </is>
      </c>
      <c r="P954" t="inlineStr">
        <is>
          <t>Hartland Intl</t>
        </is>
      </c>
      <c r="Q954" t="inlineStr">
        <is>
          <t>Emirates Hospital BB</t>
        </is>
      </c>
      <c r="R954" t="inlineStr">
        <is>
          <t>Dubai Mall</t>
        </is>
      </c>
      <c r="S954" t="inlineStr">
        <is>
          <t>Al Khail E44</t>
        </is>
      </c>
      <c r="T954" t="inlineStr">
        <is>
          <t>5</t>
        </is>
      </c>
      <c r="U954" t="inlineStr">
        <is>
          <t>20</t>
        </is>
      </c>
      <c r="V954" t="inlineStr">
        <is>
          <t>15</t>
        </is>
      </c>
      <c r="W954" t="inlineStr">
        <is>
          <t>35</t>
        </is>
      </c>
      <c r="X954" t="inlineStr">
        <is>
          <t>Guild.csv</t>
        </is>
      </c>
    </row>
    <row r="955">
      <c r="A955" t="n">
        <v>954</v>
      </c>
      <c r="B955" t="n">
        <v>418</v>
      </c>
      <c r="C955" t="inlineStr">
        <is>
          <t>Midtown Master Community</t>
        </is>
      </c>
      <c r="D955" t="inlineStr">
        <is>
          <t>Deyaar</t>
        </is>
      </c>
      <c r="E955" t="inlineStr">
        <is>
          <t>Dubai Production City</t>
        </is>
      </c>
      <c r="F955" t="inlineStr">
        <is>
          <t>Apartments</t>
        </is>
      </c>
      <c r="G955" t="inlineStr">
        <is>
          <t>Community / Family</t>
        </is>
      </c>
      <c r="H955" t="inlineStr">
        <is>
          <t>Resale (800k+)</t>
        </is>
      </c>
      <c r="I955" t="inlineStr">
        <is>
          <t>1100</t>
        </is>
      </c>
      <c r="J955" t="inlineStr">
        <is>
          <t>15</t>
        </is>
      </c>
      <c r="K955" t="inlineStr">
        <is>
          <t>Completed</t>
        </is>
      </c>
      <c r="L955" t="inlineStr">
        <is>
          <t>2015</t>
        </is>
      </c>
      <c r="M955" t="inlineStr">
        <is>
          <t>7.5-8.0</t>
        </is>
      </c>
      <c r="N955" t="inlineStr">
        <is>
          <t>5-7</t>
        </is>
      </c>
      <c r="O955" t="inlineStr">
        <is>
          <t>12.5-15.0</t>
        </is>
      </c>
      <c r="P955" t="inlineStr">
        <is>
          <t>Sunmarke School</t>
        </is>
      </c>
      <c r="Q955" t="inlineStr">
        <is>
          <t>NMC Royal DIP</t>
        </is>
      </c>
      <c r="R955" t="inlineStr">
        <is>
          <t>City Centre Me'aisem</t>
        </is>
      </c>
      <c r="S955" t="inlineStr">
        <is>
          <t>E311 / Yalayis</t>
        </is>
      </c>
      <c r="T955" t="inlineStr">
        <is>
          <t>25</t>
        </is>
      </c>
      <c r="U955" t="inlineStr">
        <is>
          <t>20</t>
        </is>
      </c>
      <c r="V955" t="inlineStr">
        <is>
          <t>30</t>
        </is>
      </c>
      <c r="W955" t="inlineStr">
        <is>
          <t>25</t>
        </is>
      </c>
      <c r="X955" t="inlineStr">
        <is>
          <t>Guild.csv</t>
        </is>
      </c>
    </row>
    <row r="956">
      <c r="A956" t="n">
        <v>955</v>
      </c>
      <c r="B956" t="n">
        <v>419</v>
      </c>
      <c r="C956" t="inlineStr">
        <is>
          <t>Jannat</t>
        </is>
      </c>
      <c r="D956" t="inlineStr">
        <is>
          <t>Deyaar</t>
        </is>
      </c>
      <c r="E956" t="inlineStr">
        <is>
          <t>Midtown</t>
        </is>
      </c>
      <c r="F956" t="inlineStr">
        <is>
          <t>Apartments</t>
        </is>
      </c>
      <c r="G956" t="inlineStr">
        <is>
          <t>Park View</t>
        </is>
      </c>
      <c r="H956" t="inlineStr">
        <is>
          <t>900k</t>
        </is>
      </c>
      <c r="I956" t="inlineStr">
        <is>
          <t>1200</t>
        </is>
      </c>
      <c r="J956" t="inlineStr">
        <is>
          <t>15</t>
        </is>
      </c>
      <c r="K956" t="inlineStr">
        <is>
          <t>50/50</t>
        </is>
      </c>
      <c r="L956" t="inlineStr">
        <is>
          <t>2023</t>
        </is>
      </c>
      <c r="M956" t="inlineStr">
        <is>
          <t>7.5-8.0</t>
        </is>
      </c>
      <c r="N956" t="inlineStr">
        <is>
          <t>6-8</t>
        </is>
      </c>
      <c r="O956" t="inlineStr">
        <is>
          <t>13.5-16.0</t>
        </is>
      </c>
      <c r="P956" t="inlineStr">
        <is>
          <t>Sunmarke School</t>
        </is>
      </c>
      <c r="Q956" t="inlineStr">
        <is>
          <t>NMC Royal DIP</t>
        </is>
      </c>
      <c r="R956" t="inlineStr">
        <is>
          <t>City Centre Me'aisem</t>
        </is>
      </c>
      <c r="S956" t="inlineStr">
        <is>
          <t>E311 / Yalayis</t>
        </is>
      </c>
      <c r="T956" t="inlineStr">
        <is>
          <t>25</t>
        </is>
      </c>
      <c r="U956" t="inlineStr">
        <is>
          <t>20</t>
        </is>
      </c>
      <c r="V956" t="inlineStr">
        <is>
          <t>30</t>
        </is>
      </c>
      <c r="W956" t="inlineStr">
        <is>
          <t>25</t>
        </is>
      </c>
      <c r="X956" t="inlineStr">
        <is>
          <t>Guild.csv</t>
        </is>
      </c>
    </row>
    <row r="957">
      <c r="A957" t="n">
        <v>956</v>
      </c>
      <c r="B957" t="n">
        <v>420</v>
      </c>
      <c r="C957" t="inlineStr">
        <is>
          <t>Rosalia Residences</t>
        </is>
      </c>
      <c r="D957" t="inlineStr">
        <is>
          <t>Deyaar</t>
        </is>
      </c>
      <c r="E957" t="inlineStr">
        <is>
          <t>Al Furjan</t>
        </is>
      </c>
      <c r="F957" t="inlineStr">
        <is>
          <t>Apartments</t>
        </is>
      </c>
      <c r="G957" t="inlineStr">
        <is>
          <t>Family / Metro</t>
        </is>
      </c>
      <c r="H957" t="inlineStr">
        <is>
          <t>1.0M</t>
        </is>
      </c>
      <c r="I957" t="inlineStr">
        <is>
          <t>1200</t>
        </is>
      </c>
      <c r="J957" t="inlineStr">
        <is>
          <t>14</t>
        </is>
      </c>
      <c r="K957" t="inlineStr">
        <is>
          <t>50/50</t>
        </is>
      </c>
      <c r="L957" t="inlineStr">
        <is>
          <t>2024</t>
        </is>
      </c>
      <c r="M957" t="inlineStr">
        <is>
          <t>7.0-7.5</t>
        </is>
      </c>
      <c r="N957" t="inlineStr">
        <is>
          <t>6-8</t>
        </is>
      </c>
      <c r="O957" t="inlineStr">
        <is>
          <t>13.0-15.5</t>
        </is>
      </c>
      <c r="P957" t="inlineStr">
        <is>
          <t>The Arbor School</t>
        </is>
      </c>
      <c r="Q957" t="inlineStr">
        <is>
          <t>NMC Royal DIP</t>
        </is>
      </c>
      <c r="R957" t="inlineStr">
        <is>
          <t>Ibn Battuta Mall</t>
        </is>
      </c>
      <c r="S957" t="inlineStr">
        <is>
          <t>Yalayis / E311</t>
        </is>
      </c>
      <c r="T957" t="inlineStr">
        <is>
          <t>25</t>
        </is>
      </c>
      <c r="U957" t="inlineStr">
        <is>
          <t>15</t>
        </is>
      </c>
      <c r="V957" t="inlineStr">
        <is>
          <t>30</t>
        </is>
      </c>
      <c r="W957" t="inlineStr">
        <is>
          <t>20</t>
        </is>
      </c>
      <c r="X957" t="inlineStr">
        <is>
          <t>Guild.csv</t>
        </is>
      </c>
    </row>
    <row r="958">
      <c r="A958" t="n">
        <v>957</v>
      </c>
      <c r="B958" t="n">
        <v>421</v>
      </c>
      <c r="C958" t="inlineStr">
        <is>
          <t>Amalia Residences</t>
        </is>
      </c>
      <c r="D958" t="inlineStr">
        <is>
          <t>Deyaar</t>
        </is>
      </c>
      <c r="E958" t="inlineStr">
        <is>
          <t>Al Furjan</t>
        </is>
      </c>
      <c r="F958" t="inlineStr">
        <is>
          <t>Apartments</t>
        </is>
      </c>
      <c r="G958" t="inlineStr">
        <is>
          <t>Family / Metro</t>
        </is>
      </c>
      <c r="H958" t="inlineStr">
        <is>
          <t>900k</t>
        </is>
      </c>
      <c r="I958" t="inlineStr">
        <is>
          <t>1150</t>
        </is>
      </c>
      <c r="J958" t="inlineStr">
        <is>
          <t>14</t>
        </is>
      </c>
      <c r="K958" t="inlineStr">
        <is>
          <t>50/50</t>
        </is>
      </c>
      <c r="L958" t="inlineStr">
        <is>
          <t>2023</t>
        </is>
      </c>
      <c r="M958" t="inlineStr">
        <is>
          <t>7.0-7.5</t>
        </is>
      </c>
      <c r="N958" t="inlineStr">
        <is>
          <t>6-8</t>
        </is>
      </c>
      <c r="O958" t="inlineStr">
        <is>
          <t>13.0-15.5</t>
        </is>
      </c>
      <c r="P958" t="inlineStr">
        <is>
          <t>The Arbor School</t>
        </is>
      </c>
      <c r="Q958" t="inlineStr">
        <is>
          <t>NMC Royal DIP</t>
        </is>
      </c>
      <c r="R958" t="inlineStr">
        <is>
          <t>Ibn Battuta Mall</t>
        </is>
      </c>
      <c r="S958" t="inlineStr">
        <is>
          <t>Yalayis / E311</t>
        </is>
      </c>
      <c r="T958" t="inlineStr">
        <is>
          <t>25</t>
        </is>
      </c>
      <c r="U958" t="inlineStr">
        <is>
          <t>15</t>
        </is>
      </c>
      <c r="V958" t="inlineStr">
        <is>
          <t>30</t>
        </is>
      </c>
      <c r="W958" t="inlineStr">
        <is>
          <t>20</t>
        </is>
      </c>
      <c r="X958" t="inlineStr">
        <is>
          <t>Guild.csv</t>
        </is>
      </c>
    </row>
    <row r="959">
      <c r="A959" t="n">
        <v>958</v>
      </c>
      <c r="B959" t="n">
        <v>422</v>
      </c>
      <c r="C959" t="inlineStr">
        <is>
          <t>Millennium Talia</t>
        </is>
      </c>
      <c r="D959" t="inlineStr">
        <is>
          <t>Deyaar</t>
        </is>
      </c>
      <c r="E959" t="inlineStr">
        <is>
          <t>Al Furjan</t>
        </is>
      </c>
      <c r="F959" t="inlineStr">
        <is>
          <t>Hotel Apts</t>
        </is>
      </c>
      <c r="G959" t="inlineStr">
        <is>
          <t>Investment</t>
        </is>
      </c>
      <c r="H959" t="inlineStr">
        <is>
          <t>1.1M</t>
        </is>
      </c>
      <c r="I959" t="inlineStr">
        <is>
          <t>1300</t>
        </is>
      </c>
      <c r="J959" t="inlineStr">
        <is>
          <t>18</t>
        </is>
      </c>
      <c r="K959" t="inlineStr">
        <is>
          <t>50/50</t>
        </is>
      </c>
      <c r="L959" t="inlineStr">
        <is>
          <t>2023</t>
        </is>
      </c>
      <c r="M959" t="inlineStr">
        <is>
          <t>8.0-9.0</t>
        </is>
      </c>
      <c r="N959" t="inlineStr">
        <is>
          <t>5-7</t>
        </is>
      </c>
      <c r="O959" t="inlineStr">
        <is>
          <t>13.0-16.0</t>
        </is>
      </c>
      <c r="P959" t="inlineStr">
        <is>
          <t>The Arbor School</t>
        </is>
      </c>
      <c r="Q959" t="inlineStr">
        <is>
          <t>NMC Royal DIP</t>
        </is>
      </c>
      <c r="R959" t="inlineStr">
        <is>
          <t>Ibn Battuta Mall</t>
        </is>
      </c>
      <c r="S959" t="inlineStr">
        <is>
          <t>Yalayis / E311</t>
        </is>
      </c>
      <c r="T959" t="inlineStr">
        <is>
          <t>25</t>
        </is>
      </c>
      <c r="U959" t="inlineStr">
        <is>
          <t>15</t>
        </is>
      </c>
      <c r="V959" t="inlineStr">
        <is>
          <t>30</t>
        </is>
      </c>
      <c r="W959" t="inlineStr">
        <is>
          <t>20</t>
        </is>
      </c>
      <c r="X959" t="inlineStr">
        <is>
          <t>Guild.csv</t>
        </is>
      </c>
    </row>
    <row r="960">
      <c r="A960" t="n">
        <v>959</v>
      </c>
      <c r="B960" t="n">
        <v>423</v>
      </c>
      <c r="C960" t="inlineStr">
        <is>
          <t>Town Square (Master Community)</t>
        </is>
      </c>
      <c r="D960" t="inlineStr">
        <is>
          <t>Nshama</t>
        </is>
      </c>
      <c r="E960" t="inlineStr">
        <is>
          <t>Dubailand (Al Qudra)</t>
        </is>
      </c>
      <c r="F960" t="inlineStr">
        <is>
          <t>Mixed</t>
        </is>
      </c>
      <c r="G960" t="inlineStr">
        <is>
          <t>Family / Affordable</t>
        </is>
      </c>
      <c r="J960" t="inlineStr">
        <is>
          <t>12</t>
        </is>
      </c>
      <c r="K960" t="inlineStr">
        <is>
          <t>Varies</t>
        </is>
      </c>
      <c r="L960" t="inlineStr">
        <is>
          <t>Ongoing</t>
        </is>
      </c>
      <c r="M960" t="inlineStr">
        <is>
          <t>7.0-7.5</t>
        </is>
      </c>
      <c r="N960" t="inlineStr">
        <is>
          <t>5-7</t>
        </is>
      </c>
      <c r="O960" t="inlineStr">
        <is>
          <t>12.0-14.5</t>
        </is>
      </c>
      <c r="P960" t="inlineStr">
        <is>
          <t>Fairgreen Intl</t>
        </is>
      </c>
      <c r="Q960" t="inlineStr">
        <is>
          <t>Saudi German Hospital</t>
        </is>
      </c>
      <c r="R960" t="inlineStr">
        <is>
          <t>Town Square Comm. Ctr</t>
        </is>
      </c>
      <c r="S960" t="inlineStr">
        <is>
          <t>Al Qudra Rd</t>
        </is>
      </c>
      <c r="T960" t="inlineStr">
        <is>
          <t>25</t>
        </is>
      </c>
      <c r="U960" t="inlineStr">
        <is>
          <t>30</t>
        </is>
      </c>
      <c r="V960" t="inlineStr">
        <is>
          <t>30</t>
        </is>
      </c>
      <c r="W960" t="inlineStr">
        <is>
          <t>30</t>
        </is>
      </c>
      <c r="X960" t="inlineStr">
        <is>
          <t>Guild.csv</t>
        </is>
      </c>
    </row>
    <row r="961">
      <c r="A961" t="n">
        <v>960</v>
      </c>
      <c r="B961" t="n">
        <v>424</v>
      </c>
      <c r="C961" t="inlineStr">
        <is>
          <t>Fia</t>
        </is>
      </c>
      <c r="D961" t="inlineStr">
        <is>
          <t>Nshama</t>
        </is>
      </c>
      <c r="E961" t="inlineStr">
        <is>
          <t>Town Square</t>
        </is>
      </c>
      <c r="F961" t="inlineStr">
        <is>
          <t>Apartments</t>
        </is>
      </c>
      <c r="G961" t="inlineStr">
        <is>
          <t>Park View</t>
        </is>
      </c>
      <c r="H961" t="inlineStr">
        <is>
          <t>800k</t>
        </is>
      </c>
      <c r="I961" t="inlineStr">
        <is>
          <t>1100</t>
        </is>
      </c>
      <c r="J961" t="inlineStr">
        <is>
          <t>14</t>
        </is>
      </c>
      <c r="K961" t="inlineStr">
        <is>
          <t>50/50</t>
        </is>
      </c>
      <c r="L961" t="inlineStr">
        <is>
          <t>2024</t>
        </is>
      </c>
      <c r="M961" t="inlineStr">
        <is>
          <t>7.0-7.5</t>
        </is>
      </c>
      <c r="N961" t="inlineStr">
        <is>
          <t>6-8</t>
        </is>
      </c>
      <c r="O961" t="inlineStr">
        <is>
          <t>13.0-15.5</t>
        </is>
      </c>
      <c r="P961" t="inlineStr">
        <is>
          <t>Fairgreen Intl</t>
        </is>
      </c>
      <c r="Q961" t="inlineStr">
        <is>
          <t>Saudi German Hospital</t>
        </is>
      </c>
      <c r="R961" t="inlineStr">
        <is>
          <t>Town Square Comm. Ctr</t>
        </is>
      </c>
      <c r="S961" t="inlineStr">
        <is>
          <t>Al Qudra Rd</t>
        </is>
      </c>
      <c r="T961" t="inlineStr">
        <is>
          <t>25</t>
        </is>
      </c>
      <c r="U961" t="inlineStr">
        <is>
          <t>30</t>
        </is>
      </c>
      <c r="V961" t="inlineStr">
        <is>
          <t>30</t>
        </is>
      </c>
      <c r="W961" t="inlineStr">
        <is>
          <t>30</t>
        </is>
      </c>
      <c r="X961" t="inlineStr">
        <is>
          <t>Guild.csv</t>
        </is>
      </c>
    </row>
    <row r="962">
      <c r="A962" t="n">
        <v>961</v>
      </c>
      <c r="B962" t="n">
        <v>425</v>
      </c>
      <c r="C962" t="inlineStr">
        <is>
          <t>Elaya</t>
        </is>
      </c>
      <c r="D962" t="inlineStr">
        <is>
          <t>Nshama</t>
        </is>
      </c>
      <c r="E962" t="inlineStr">
        <is>
          <t>Town Square</t>
        </is>
      </c>
      <c r="F962" t="inlineStr">
        <is>
          <t>Apartments</t>
        </is>
      </c>
      <c r="G962" t="inlineStr">
        <is>
          <t>Park View</t>
        </is>
      </c>
      <c r="H962" t="inlineStr">
        <is>
          <t>850k</t>
        </is>
      </c>
      <c r="I962" t="inlineStr">
        <is>
          <t>1150</t>
        </is>
      </c>
      <c r="J962" t="inlineStr">
        <is>
          <t>14</t>
        </is>
      </c>
      <c r="K962" t="inlineStr">
        <is>
          <t>50/50</t>
        </is>
      </c>
      <c r="L962" t="inlineStr">
        <is>
          <t>2024</t>
        </is>
      </c>
      <c r="M962" t="inlineStr">
        <is>
          <t>7.0-7.5</t>
        </is>
      </c>
      <c r="N962" t="inlineStr">
        <is>
          <t>6-8</t>
        </is>
      </c>
      <c r="O962" t="inlineStr">
        <is>
          <t>13.0-15.5</t>
        </is>
      </c>
      <c r="P962" t="inlineStr">
        <is>
          <t>Fairgreen Intl</t>
        </is>
      </c>
      <c r="Q962" t="inlineStr">
        <is>
          <t>Saudi German Hospital</t>
        </is>
      </c>
      <c r="R962" t="inlineStr">
        <is>
          <t>Town Square Comm. Ctr</t>
        </is>
      </c>
      <c r="S962" t="inlineStr">
        <is>
          <t>Al Qudra Rd</t>
        </is>
      </c>
      <c r="T962" t="inlineStr">
        <is>
          <t>25</t>
        </is>
      </c>
      <c r="U962" t="inlineStr">
        <is>
          <t>30</t>
        </is>
      </c>
      <c r="V962" t="inlineStr">
        <is>
          <t>30</t>
        </is>
      </c>
      <c r="W962" t="inlineStr">
        <is>
          <t>30</t>
        </is>
      </c>
      <c r="X962" t="inlineStr">
        <is>
          <t>Guild.csv</t>
        </is>
      </c>
    </row>
    <row r="963">
      <c r="A963" t="n">
        <v>962</v>
      </c>
      <c r="B963" t="n">
        <v>426</v>
      </c>
      <c r="C963" t="inlineStr">
        <is>
          <t>Ayala</t>
        </is>
      </c>
      <c r="D963" t="inlineStr">
        <is>
          <t>Nshama</t>
        </is>
      </c>
      <c r="E963" t="inlineStr">
        <is>
          <t>Town Square</t>
        </is>
      </c>
      <c r="F963" t="inlineStr">
        <is>
          <t>Apartments</t>
        </is>
      </c>
      <c r="G963" t="inlineStr">
        <is>
          <t>Park View</t>
        </is>
      </c>
      <c r="H963" t="inlineStr">
        <is>
          <t>850k</t>
        </is>
      </c>
      <c r="I963" t="inlineStr">
        <is>
          <t>1150</t>
        </is>
      </c>
      <c r="J963" t="inlineStr">
        <is>
          <t>14</t>
        </is>
      </c>
      <c r="K963" t="inlineStr">
        <is>
          <t>50/50</t>
        </is>
      </c>
      <c r="L963" t="inlineStr">
        <is>
          <t>2024</t>
        </is>
      </c>
      <c r="M963" t="inlineStr">
        <is>
          <t>7.0-7.5</t>
        </is>
      </c>
      <c r="N963" t="inlineStr">
        <is>
          <t>6-8</t>
        </is>
      </c>
      <c r="O963" t="inlineStr">
        <is>
          <t>13.0-15.5</t>
        </is>
      </c>
      <c r="P963" t="inlineStr">
        <is>
          <t>Fairgreen Intl</t>
        </is>
      </c>
      <c r="Q963" t="inlineStr">
        <is>
          <t>Saudi German Hospital</t>
        </is>
      </c>
      <c r="R963" t="inlineStr">
        <is>
          <t>Town Square Comm. Ctr</t>
        </is>
      </c>
      <c r="S963" t="inlineStr">
        <is>
          <t>Al Qudra Rd</t>
        </is>
      </c>
      <c r="T963" t="inlineStr">
        <is>
          <t>25</t>
        </is>
      </c>
      <c r="U963" t="inlineStr">
        <is>
          <t>30</t>
        </is>
      </c>
      <c r="V963" t="inlineStr">
        <is>
          <t>30</t>
        </is>
      </c>
      <c r="W963" t="inlineStr">
        <is>
          <t>30</t>
        </is>
      </c>
      <c r="X963" t="inlineStr">
        <is>
          <t>Guild.csv</t>
        </is>
      </c>
    </row>
    <row r="964">
      <c r="A964" t="n">
        <v>963</v>
      </c>
      <c r="B964" t="n">
        <v>427</v>
      </c>
      <c r="C964" t="inlineStr">
        <is>
          <t>Symphony</t>
        </is>
      </c>
      <c r="D964" t="inlineStr">
        <is>
          <t>Nshama</t>
        </is>
      </c>
      <c r="E964" t="inlineStr">
        <is>
          <t>Town Square</t>
        </is>
      </c>
      <c r="F964" t="inlineStr">
        <is>
          <t>Apartments</t>
        </is>
      </c>
      <c r="G964" t="inlineStr">
        <is>
          <t>Park View</t>
        </is>
      </c>
      <c r="H964" t="inlineStr">
        <is>
          <t>900k</t>
        </is>
      </c>
      <c r="I964" t="inlineStr">
        <is>
          <t>1200</t>
        </is>
      </c>
      <c r="J964" t="inlineStr">
        <is>
          <t>14</t>
        </is>
      </c>
      <c r="K964" t="inlineStr">
        <is>
          <t>50/50</t>
        </is>
      </c>
      <c r="L964" t="inlineStr">
        <is>
          <t>2023</t>
        </is>
      </c>
      <c r="M964" t="inlineStr">
        <is>
          <t>7.0-7.5</t>
        </is>
      </c>
      <c r="N964" t="inlineStr">
        <is>
          <t>6-8</t>
        </is>
      </c>
      <c r="O964" t="inlineStr">
        <is>
          <t>13.0-15.5</t>
        </is>
      </c>
      <c r="P964" t="inlineStr">
        <is>
          <t>Fairgreen Intl</t>
        </is>
      </c>
      <c r="Q964" t="inlineStr">
        <is>
          <t>Saudi German Hospital</t>
        </is>
      </c>
      <c r="R964" t="inlineStr">
        <is>
          <t>Town Square Comm. Ctr</t>
        </is>
      </c>
      <c r="S964" t="inlineStr">
        <is>
          <t>Al Qudra Rd</t>
        </is>
      </c>
      <c r="T964" t="inlineStr">
        <is>
          <t>25</t>
        </is>
      </c>
      <c r="U964" t="inlineStr">
        <is>
          <t>30</t>
        </is>
      </c>
      <c r="V964" t="inlineStr">
        <is>
          <t>30</t>
        </is>
      </c>
      <c r="W964" t="inlineStr">
        <is>
          <t>30</t>
        </is>
      </c>
      <c r="X964" t="inlineStr">
        <is>
          <t>Guild.csv</t>
        </is>
      </c>
    </row>
    <row r="965">
      <c r="A965" t="n">
        <v>964</v>
      </c>
      <c r="B965" t="n">
        <v>428</v>
      </c>
      <c r="C965" t="inlineStr">
        <is>
          <t>Aroha</t>
        </is>
      </c>
      <c r="D965" t="inlineStr">
        <is>
          <t>Nshama</t>
        </is>
      </c>
      <c r="E965" t="inlineStr">
        <is>
          <t>Town Square</t>
        </is>
      </c>
      <c r="F965" t="inlineStr">
        <is>
          <t>Apartments</t>
        </is>
      </c>
      <c r="G965" t="inlineStr">
        <is>
          <t>Park View</t>
        </is>
      </c>
      <c r="H965" t="inlineStr">
        <is>
          <t>800k</t>
        </is>
      </c>
      <c r="I965" t="inlineStr">
        <is>
          <t>1100</t>
        </is>
      </c>
      <c r="J965" t="inlineStr">
        <is>
          <t>14</t>
        </is>
      </c>
      <c r="K965" t="inlineStr">
        <is>
          <t>50/50</t>
        </is>
      </c>
      <c r="L965" t="inlineStr">
        <is>
          <t>2023</t>
        </is>
      </c>
      <c r="M965" t="inlineStr">
        <is>
          <t>7.0-7.5</t>
        </is>
      </c>
      <c r="N965" t="inlineStr">
        <is>
          <t>6-8</t>
        </is>
      </c>
      <c r="O965" t="inlineStr">
        <is>
          <t>13.0-15.5</t>
        </is>
      </c>
      <c r="P965" t="inlineStr">
        <is>
          <t>Fairgreen Intl</t>
        </is>
      </c>
      <c r="Q965" t="inlineStr">
        <is>
          <t>Saudi German Hospital</t>
        </is>
      </c>
      <c r="R965" t="inlineStr">
        <is>
          <t>Town Square Comm. Ctr</t>
        </is>
      </c>
      <c r="S965" t="inlineStr">
        <is>
          <t>Al Qudra Rd</t>
        </is>
      </c>
      <c r="T965" t="inlineStr">
        <is>
          <t>25</t>
        </is>
      </c>
      <c r="U965" t="inlineStr">
        <is>
          <t>30</t>
        </is>
      </c>
      <c r="V965" t="inlineStr">
        <is>
          <t>30</t>
        </is>
      </c>
      <c r="W965" t="inlineStr">
        <is>
          <t>30</t>
        </is>
      </c>
      <c r="X965" t="inlineStr">
        <is>
          <t>Guild.csv</t>
        </is>
      </c>
    </row>
    <row r="966">
      <c r="A966" t="n">
        <v>965</v>
      </c>
      <c r="B966" t="n">
        <v>429</v>
      </c>
      <c r="C966" t="inlineStr">
        <is>
          <t>The Hamilton</t>
        </is>
      </c>
      <c r="D966" t="inlineStr">
        <is>
          <t>Nshama</t>
        </is>
      </c>
      <c r="E966" t="inlineStr">
        <is>
          <t>Town Square</t>
        </is>
      </c>
      <c r="F966" t="inlineStr">
        <is>
          <t>Apartments</t>
        </is>
      </c>
      <c r="G966" t="inlineStr">
        <is>
          <t>Park View</t>
        </is>
      </c>
      <c r="H966" t="inlineStr">
        <is>
          <t>800k</t>
        </is>
      </c>
      <c r="I966" t="inlineStr">
        <is>
          <t>1100</t>
        </is>
      </c>
      <c r="J966" t="inlineStr">
        <is>
          <t>14</t>
        </is>
      </c>
      <c r="K966" t="inlineStr">
        <is>
          <t>50/50</t>
        </is>
      </c>
      <c r="L966" t="inlineStr">
        <is>
          <t>2023</t>
        </is>
      </c>
      <c r="M966" t="inlineStr">
        <is>
          <t>7.0-7.5</t>
        </is>
      </c>
      <c r="N966" t="inlineStr">
        <is>
          <t>6-8</t>
        </is>
      </c>
      <c r="O966" t="inlineStr">
        <is>
          <t>13.0-15.5</t>
        </is>
      </c>
      <c r="P966" t="inlineStr">
        <is>
          <t>Fairgreen Intl</t>
        </is>
      </c>
      <c r="Q966" t="inlineStr">
        <is>
          <t>Saudi German Hospital</t>
        </is>
      </c>
      <c r="R966" t="inlineStr">
        <is>
          <t>Town Square Comm. Ctr</t>
        </is>
      </c>
      <c r="S966" t="inlineStr">
        <is>
          <t>Al Qudra Rd</t>
        </is>
      </c>
      <c r="T966" t="inlineStr">
        <is>
          <t>25</t>
        </is>
      </c>
      <c r="U966" t="inlineStr">
        <is>
          <t>30</t>
        </is>
      </c>
      <c r="V966" t="inlineStr">
        <is>
          <t>30</t>
        </is>
      </c>
      <c r="W966" t="inlineStr">
        <is>
          <t>30</t>
        </is>
      </c>
      <c r="X966" t="inlineStr">
        <is>
          <t>Guild.csv</t>
        </is>
      </c>
    </row>
    <row r="967">
      <c r="A967" t="n">
        <v>966</v>
      </c>
      <c r="B967" t="n">
        <v>430</v>
      </c>
      <c r="C967" t="inlineStr">
        <is>
          <t>Holland Gardens</t>
        </is>
      </c>
      <c r="D967" t="inlineStr">
        <is>
          <t>Nshama</t>
        </is>
      </c>
      <c r="E967" t="inlineStr">
        <is>
          <t>Town Square</t>
        </is>
      </c>
      <c r="F967" t="inlineStr">
        <is>
          <t>Apartments</t>
        </is>
      </c>
      <c r="G967" t="inlineStr">
        <is>
          <t>Park View</t>
        </is>
      </c>
      <c r="H967" t="inlineStr">
        <is>
          <t>800k</t>
        </is>
      </c>
      <c r="I967" t="inlineStr">
        <is>
          <t>1100</t>
        </is>
      </c>
      <c r="J967" t="inlineStr">
        <is>
          <t>14</t>
        </is>
      </c>
      <c r="K967" t="inlineStr">
        <is>
          <t>50/50</t>
        </is>
      </c>
      <c r="L967" t="inlineStr">
        <is>
          <t>2023</t>
        </is>
      </c>
      <c r="M967" t="inlineStr">
        <is>
          <t>7.0-7.5</t>
        </is>
      </c>
      <c r="N967" t="inlineStr">
        <is>
          <t>6-8</t>
        </is>
      </c>
      <c r="O967" t="inlineStr">
        <is>
          <t>13.0-15.5</t>
        </is>
      </c>
      <c r="P967" t="inlineStr">
        <is>
          <t>Fairgreen Intl</t>
        </is>
      </c>
      <c r="Q967" t="inlineStr">
        <is>
          <t>Saudi German Hospital</t>
        </is>
      </c>
      <c r="R967" t="inlineStr">
        <is>
          <t>Town Square Comm. Ctr</t>
        </is>
      </c>
      <c r="S967" t="inlineStr">
        <is>
          <t>Al Qudra Rd</t>
        </is>
      </c>
      <c r="T967" t="inlineStr">
        <is>
          <t>25</t>
        </is>
      </c>
      <c r="U967" t="inlineStr">
        <is>
          <t>30</t>
        </is>
      </c>
      <c r="V967" t="inlineStr">
        <is>
          <t>30</t>
        </is>
      </c>
      <c r="W967" t="inlineStr">
        <is>
          <t>30</t>
        </is>
      </c>
      <c r="X967" t="inlineStr">
        <is>
          <t>Guild.csv</t>
        </is>
      </c>
    </row>
    <row r="968">
      <c r="A968" t="n">
        <v>967</v>
      </c>
      <c r="B968" t="n">
        <v>431</v>
      </c>
      <c r="C968" t="inlineStr">
        <is>
          <t>The Diplomat</t>
        </is>
      </c>
      <c r="D968" t="inlineStr">
        <is>
          <t>Nshama</t>
        </is>
      </c>
      <c r="E968" t="inlineStr">
        <is>
          <t>Town Square</t>
        </is>
      </c>
      <c r="F968" t="inlineStr">
        <is>
          <t>Apartments</t>
        </is>
      </c>
      <c r="G968" t="inlineStr">
        <is>
          <t>Park View</t>
        </is>
      </c>
      <c r="H968" t="inlineStr">
        <is>
          <t>850k</t>
        </is>
      </c>
      <c r="I968" t="inlineStr">
        <is>
          <t>1150</t>
        </is>
      </c>
      <c r="J968" t="inlineStr">
        <is>
          <t>14</t>
        </is>
      </c>
      <c r="K968" t="inlineStr">
        <is>
          <t>50/50</t>
        </is>
      </c>
      <c r="L968" t="inlineStr">
        <is>
          <t>2022</t>
        </is>
      </c>
      <c r="M968" t="inlineStr">
        <is>
          <t>7.0-7.5</t>
        </is>
      </c>
      <c r="N968" t="inlineStr">
        <is>
          <t>6-8</t>
        </is>
      </c>
      <c r="O968" t="inlineStr">
        <is>
          <t>13.0-15.5</t>
        </is>
      </c>
      <c r="P968" t="inlineStr">
        <is>
          <t>Fairgreen Intl</t>
        </is>
      </c>
      <c r="Q968" t="inlineStr">
        <is>
          <t>Saudi German Hospital</t>
        </is>
      </c>
      <c r="R968" t="inlineStr">
        <is>
          <t>Town Square Comm. Ctr</t>
        </is>
      </c>
      <c r="S968" t="inlineStr">
        <is>
          <t>Al Qudra Rd</t>
        </is>
      </c>
      <c r="T968" t="inlineStr">
        <is>
          <t>25</t>
        </is>
      </c>
      <c r="U968" t="inlineStr">
        <is>
          <t>30</t>
        </is>
      </c>
      <c r="V968" t="inlineStr">
        <is>
          <t>30</t>
        </is>
      </c>
      <c r="W968" t="inlineStr">
        <is>
          <t>30</t>
        </is>
      </c>
      <c r="X968" t="inlineStr">
        <is>
          <t>Guild.csv</t>
        </is>
      </c>
    </row>
    <row r="969">
      <c r="A969" t="n">
        <v>968</v>
      </c>
      <c r="B969" t="n">
        <v>432</v>
      </c>
      <c r="C969" t="inlineStr">
        <is>
          <t>Liva</t>
        </is>
      </c>
      <c r="D969" t="inlineStr">
        <is>
          <t>Nshama</t>
        </is>
      </c>
      <c r="E969" t="inlineStr">
        <is>
          <t>Town Square</t>
        </is>
      </c>
      <c r="F969" t="inlineStr">
        <is>
          <t>Apartments</t>
        </is>
      </c>
      <c r="G969" t="inlineStr">
        <is>
          <t>Studio/1Bed</t>
        </is>
      </c>
      <c r="H969" t="inlineStr">
        <is>
          <t>500k</t>
        </is>
      </c>
      <c r="I969" t="inlineStr">
        <is>
          <t>1000</t>
        </is>
      </c>
      <c r="J969" t="inlineStr">
        <is>
          <t>14</t>
        </is>
      </c>
      <c r="K969" t="inlineStr">
        <is>
          <t>Completed</t>
        </is>
      </c>
      <c r="L969" t="inlineStr">
        <is>
          <t>2022</t>
        </is>
      </c>
      <c r="M969" t="inlineStr">
        <is>
          <t>7.5-8.0</t>
        </is>
      </c>
      <c r="N969" t="inlineStr">
        <is>
          <t>5-7</t>
        </is>
      </c>
      <c r="O969" t="inlineStr">
        <is>
          <t>12.5-15.0</t>
        </is>
      </c>
      <c r="P969" t="inlineStr">
        <is>
          <t>Fairgreen Intl</t>
        </is>
      </c>
      <c r="Q969" t="inlineStr">
        <is>
          <t>Saudi German Hospital</t>
        </is>
      </c>
      <c r="R969" t="inlineStr">
        <is>
          <t>Town Square Comm. Ctr</t>
        </is>
      </c>
      <c r="S969" t="inlineStr">
        <is>
          <t>Al Qudra Rd</t>
        </is>
      </c>
      <c r="T969" t="inlineStr">
        <is>
          <t>25</t>
        </is>
      </c>
      <c r="U969" t="inlineStr">
        <is>
          <t>30</t>
        </is>
      </c>
      <c r="V969" t="inlineStr">
        <is>
          <t>30</t>
        </is>
      </c>
      <c r="W969" t="inlineStr">
        <is>
          <t>30</t>
        </is>
      </c>
      <c r="X969" t="inlineStr">
        <is>
          <t>Guild.csv</t>
        </is>
      </c>
    </row>
    <row r="970">
      <c r="A970" t="n">
        <v>969</v>
      </c>
      <c r="B970" t="n">
        <v>433</v>
      </c>
      <c r="C970" t="inlineStr">
        <is>
          <t>Una</t>
        </is>
      </c>
      <c r="D970" t="inlineStr">
        <is>
          <t>Nshama</t>
        </is>
      </c>
      <c r="E970" t="inlineStr">
        <is>
          <t>Town Square</t>
        </is>
      </c>
      <c r="F970" t="inlineStr">
        <is>
          <t>Apartments</t>
        </is>
      </c>
      <c r="G970" t="inlineStr">
        <is>
          <t>Co-Living / Youth</t>
        </is>
      </c>
      <c r="H970" t="inlineStr">
        <is>
          <t>Resale (500k+)</t>
        </is>
      </c>
      <c r="I970" t="inlineStr">
        <is>
          <t>1000</t>
        </is>
      </c>
      <c r="J970" t="inlineStr">
        <is>
          <t>15</t>
        </is>
      </c>
      <c r="K970" t="inlineStr">
        <is>
          <t>Completed</t>
        </is>
      </c>
      <c r="L970" t="inlineStr">
        <is>
          <t>2019</t>
        </is>
      </c>
      <c r="M970" t="inlineStr">
        <is>
          <t>7.5-8.0</t>
        </is>
      </c>
      <c r="N970" t="inlineStr">
        <is>
          <t>5-7</t>
        </is>
      </c>
      <c r="O970" t="inlineStr">
        <is>
          <t>12.5-15.0</t>
        </is>
      </c>
      <c r="P970" t="inlineStr">
        <is>
          <t>Fairgreen Intl</t>
        </is>
      </c>
      <c r="Q970" t="inlineStr">
        <is>
          <t>Saudi German Hospital</t>
        </is>
      </c>
      <c r="R970" t="inlineStr">
        <is>
          <t>Town Square Comm. Ctr</t>
        </is>
      </c>
      <c r="S970" t="inlineStr">
        <is>
          <t>Al Qudra Rd</t>
        </is>
      </c>
      <c r="T970" t="inlineStr">
        <is>
          <t>25</t>
        </is>
      </c>
      <c r="U970" t="inlineStr">
        <is>
          <t>30</t>
        </is>
      </c>
      <c r="V970" t="inlineStr">
        <is>
          <t>30</t>
        </is>
      </c>
      <c r="W970" t="inlineStr">
        <is>
          <t>30</t>
        </is>
      </c>
      <c r="X970" t="inlineStr">
        <is>
          <t>Guild.csv</t>
        </is>
      </c>
    </row>
    <row r="971">
      <c r="A971" t="n">
        <v>970</v>
      </c>
      <c r="B971" t="n">
        <v>434</v>
      </c>
      <c r="C971" t="inlineStr">
        <is>
          <t>Rawda / Zahra / Hayat</t>
        </is>
      </c>
      <c r="D971" t="inlineStr">
        <is>
          <t>Nshama</t>
        </is>
      </c>
      <c r="E971" t="inlineStr">
        <is>
          <t>Town Square</t>
        </is>
      </c>
      <c r="F971" t="inlineStr">
        <is>
          <t>Apartments</t>
        </is>
      </c>
      <c r="G971" t="inlineStr">
        <is>
          <t>Park View</t>
        </is>
      </c>
      <c r="H971" t="inlineStr">
        <is>
          <t>Resale (600k+)</t>
        </is>
      </c>
      <c r="I971" t="inlineStr">
        <is>
          <t>900</t>
        </is>
      </c>
      <c r="J971" t="inlineStr">
        <is>
          <t>14</t>
        </is>
      </c>
      <c r="K971" t="inlineStr">
        <is>
          <t>Completed</t>
        </is>
      </c>
      <c r="L971" t="inlineStr">
        <is>
          <t>2015-2019</t>
        </is>
      </c>
      <c r="M971" t="inlineStr">
        <is>
          <t>7.0-7.5</t>
        </is>
      </c>
      <c r="N971" t="inlineStr">
        <is>
          <t>5-7</t>
        </is>
      </c>
      <c r="O971" t="inlineStr">
        <is>
          <t>12.0-14.5</t>
        </is>
      </c>
      <c r="P971" t="inlineStr">
        <is>
          <t>Fairgreen Intl</t>
        </is>
      </c>
      <c r="Q971" t="inlineStr">
        <is>
          <t>Saudi German Hospital</t>
        </is>
      </c>
      <c r="R971" t="inlineStr">
        <is>
          <t>Town Square Comm. Ctr</t>
        </is>
      </c>
      <c r="S971" t="inlineStr">
        <is>
          <t>Al Qudra Rd</t>
        </is>
      </c>
      <c r="T971" t="inlineStr">
        <is>
          <t>25</t>
        </is>
      </c>
      <c r="U971" t="inlineStr">
        <is>
          <t>30</t>
        </is>
      </c>
      <c r="V971" t="inlineStr">
        <is>
          <t>30</t>
        </is>
      </c>
      <c r="W971" t="inlineStr">
        <is>
          <t>30</t>
        </is>
      </c>
      <c r="X971" t="inlineStr">
        <is>
          <t>Guild.csv</t>
        </is>
      </c>
    </row>
    <row r="972">
      <c r="A972" t="n">
        <v>971</v>
      </c>
      <c r="B972" t="n">
        <v>435</v>
      </c>
      <c r="C972" t="inlineStr">
        <is>
          <t>Verdana Phase 1</t>
        </is>
      </c>
      <c r="D972" t="inlineStr">
        <is>
          <t>Reportage Properties</t>
        </is>
      </c>
      <c r="E972" t="inlineStr">
        <is>
          <t>DIP</t>
        </is>
      </c>
      <c r="F972" t="inlineStr">
        <is>
          <t>Townhouses</t>
        </is>
      </c>
      <c r="G972" t="inlineStr">
        <is>
          <t>Family / Budget</t>
        </is>
      </c>
      <c r="H972" t="inlineStr">
        <is>
          <t>1.5M</t>
        </is>
      </c>
      <c r="I972" t="inlineStr">
        <is>
          <t>900</t>
        </is>
      </c>
      <c r="J972" t="inlineStr">
        <is>
          <t>12</t>
        </is>
      </c>
      <c r="K972" t="inlineStr">
        <is>
          <t>Varies</t>
        </is>
      </c>
      <c r="L972" t="inlineStr">
        <is>
          <t>2022</t>
        </is>
      </c>
      <c r="M972" t="inlineStr">
        <is>
          <t>7.0-7.5</t>
        </is>
      </c>
      <c r="N972" t="inlineStr">
        <is>
          <t>6-8</t>
        </is>
      </c>
      <c r="O972" t="inlineStr">
        <is>
          <t>13.0-15.5</t>
        </is>
      </c>
      <c r="P972" t="inlineStr">
        <is>
          <t>Greenfield Intl</t>
        </is>
      </c>
      <c r="Q972" t="inlineStr">
        <is>
          <t>NMC Royal DIP</t>
        </is>
      </c>
      <c r="R972" t="inlineStr">
        <is>
          <t>Souq Extra DIP</t>
        </is>
      </c>
      <c r="S972" t="inlineStr">
        <is>
          <t>Yalayis / E611</t>
        </is>
      </c>
      <c r="T972" t="inlineStr">
        <is>
          <t>30</t>
        </is>
      </c>
      <c r="U972" t="inlineStr">
        <is>
          <t>20</t>
        </is>
      </c>
      <c r="V972" t="inlineStr">
        <is>
          <t>35</t>
        </is>
      </c>
      <c r="W972" t="inlineStr">
        <is>
          <t>15</t>
        </is>
      </c>
      <c r="X972" t="inlineStr">
        <is>
          <t>Guild.csv</t>
        </is>
      </c>
    </row>
    <row r="973">
      <c r="A973" t="n">
        <v>972</v>
      </c>
      <c r="B973" t="n">
        <v>436</v>
      </c>
      <c r="C973" t="inlineStr">
        <is>
          <t>Verdana Phase 2</t>
        </is>
      </c>
      <c r="D973" t="inlineStr">
        <is>
          <t>Reportage Properties</t>
        </is>
      </c>
      <c r="E973" t="inlineStr">
        <is>
          <t>DIP</t>
        </is>
      </c>
      <c r="F973" t="inlineStr">
        <is>
          <t>Townhouses</t>
        </is>
      </c>
      <c r="G973" t="inlineStr">
        <is>
          <t>Family / Budget</t>
        </is>
      </c>
      <c r="H973" t="inlineStr">
        <is>
          <t>1.6M</t>
        </is>
      </c>
      <c r="I973" t="inlineStr">
        <is>
          <t>950</t>
        </is>
      </c>
      <c r="J973" t="inlineStr">
        <is>
          <t>12</t>
        </is>
      </c>
      <c r="K973" t="inlineStr">
        <is>
          <t>Varies</t>
        </is>
      </c>
      <c r="L973" t="inlineStr">
        <is>
          <t>2022</t>
        </is>
      </c>
      <c r="M973" t="inlineStr">
        <is>
          <t>7.0-7.5</t>
        </is>
      </c>
      <c r="N973" t="inlineStr">
        <is>
          <t>6-8</t>
        </is>
      </c>
      <c r="O973" t="inlineStr">
        <is>
          <t>13.0-15.5</t>
        </is>
      </c>
      <c r="P973" t="inlineStr">
        <is>
          <t>Greenfield Intl</t>
        </is>
      </c>
      <c r="Q973" t="inlineStr">
        <is>
          <t>NMC Royal DIP</t>
        </is>
      </c>
      <c r="R973" t="inlineStr">
        <is>
          <t>Souq Extra DIP</t>
        </is>
      </c>
      <c r="S973" t="inlineStr">
        <is>
          <t>Yalayis / E611</t>
        </is>
      </c>
      <c r="T973" t="inlineStr">
        <is>
          <t>30</t>
        </is>
      </c>
      <c r="U973" t="inlineStr">
        <is>
          <t>20</t>
        </is>
      </c>
      <c r="V973" t="inlineStr">
        <is>
          <t>35</t>
        </is>
      </c>
      <c r="W973" t="inlineStr">
        <is>
          <t>15</t>
        </is>
      </c>
      <c r="X973" t="inlineStr">
        <is>
          <t>Guild.csv</t>
        </is>
      </c>
    </row>
    <row r="974">
      <c r="A974" t="n">
        <v>973</v>
      </c>
      <c r="B974" t="n">
        <v>437</v>
      </c>
      <c r="C974" t="inlineStr">
        <is>
          <t>Verdana Phase 3</t>
        </is>
      </c>
      <c r="D974" t="inlineStr">
        <is>
          <t>Reportage Properties</t>
        </is>
      </c>
      <c r="E974" t="inlineStr">
        <is>
          <t>DIP</t>
        </is>
      </c>
      <c r="F974" t="inlineStr">
        <is>
          <t>Townhouses</t>
        </is>
      </c>
      <c r="G974" t="inlineStr">
        <is>
          <t>Family / Budget</t>
        </is>
      </c>
      <c r="H974" t="inlineStr">
        <is>
          <t>1.7M</t>
        </is>
      </c>
      <c r="I974" t="inlineStr">
        <is>
          <t>950</t>
        </is>
      </c>
      <c r="J974" t="inlineStr">
        <is>
          <t>12</t>
        </is>
      </c>
      <c r="K974" t="inlineStr">
        <is>
          <t>Varies</t>
        </is>
      </c>
      <c r="L974" t="inlineStr">
        <is>
          <t>2023</t>
        </is>
      </c>
      <c r="M974" t="inlineStr">
        <is>
          <t>7.0-7.5</t>
        </is>
      </c>
      <c r="N974" t="inlineStr">
        <is>
          <t>6-8</t>
        </is>
      </c>
      <c r="O974" t="inlineStr">
        <is>
          <t>13.0-15.5</t>
        </is>
      </c>
      <c r="P974" t="inlineStr">
        <is>
          <t>Greenfield Intl</t>
        </is>
      </c>
      <c r="Q974" t="inlineStr">
        <is>
          <t>NMC Royal DIP</t>
        </is>
      </c>
      <c r="R974" t="inlineStr">
        <is>
          <t>Souq Extra DIP</t>
        </is>
      </c>
      <c r="S974" t="inlineStr">
        <is>
          <t>Yalayis / E611</t>
        </is>
      </c>
      <c r="T974" t="inlineStr">
        <is>
          <t>30</t>
        </is>
      </c>
      <c r="U974" t="inlineStr">
        <is>
          <t>20</t>
        </is>
      </c>
      <c r="V974" t="inlineStr">
        <is>
          <t>35</t>
        </is>
      </c>
      <c r="W974" t="inlineStr">
        <is>
          <t>15</t>
        </is>
      </c>
      <c r="X974" t="inlineStr">
        <is>
          <t>Guild.csv</t>
        </is>
      </c>
    </row>
    <row r="975">
      <c r="A975" t="n">
        <v>974</v>
      </c>
      <c r="B975" t="n">
        <v>438</v>
      </c>
      <c r="C975" t="inlineStr">
        <is>
          <t>Verdana Phase 4</t>
        </is>
      </c>
      <c r="D975" t="inlineStr">
        <is>
          <t>Reportage Properties</t>
        </is>
      </c>
      <c r="E975" t="inlineStr">
        <is>
          <t>DIP</t>
        </is>
      </c>
      <c r="F975" t="inlineStr">
        <is>
          <t>Townhouses</t>
        </is>
      </c>
      <c r="G975" t="inlineStr">
        <is>
          <t>Family / Budget</t>
        </is>
      </c>
      <c r="H975" t="inlineStr">
        <is>
          <t>1.75M</t>
        </is>
      </c>
      <c r="I975" t="inlineStr">
        <is>
          <t>1000</t>
        </is>
      </c>
      <c r="J975" t="inlineStr">
        <is>
          <t>12</t>
        </is>
      </c>
      <c r="K975" t="inlineStr">
        <is>
          <t>Varies</t>
        </is>
      </c>
      <c r="L975" t="inlineStr">
        <is>
          <t>2023</t>
        </is>
      </c>
      <c r="M975" t="inlineStr">
        <is>
          <t>7.0-7.5</t>
        </is>
      </c>
      <c r="N975" t="inlineStr">
        <is>
          <t>6-8</t>
        </is>
      </c>
      <c r="O975" t="inlineStr">
        <is>
          <t>13.0-15.5</t>
        </is>
      </c>
      <c r="P975" t="inlineStr">
        <is>
          <t>Greenfield Intl</t>
        </is>
      </c>
      <c r="Q975" t="inlineStr">
        <is>
          <t>NMC Royal DIP</t>
        </is>
      </c>
      <c r="R975" t="inlineStr">
        <is>
          <t>Souq Extra DIP</t>
        </is>
      </c>
      <c r="S975" t="inlineStr">
        <is>
          <t>Yalayis / E611</t>
        </is>
      </c>
      <c r="T975" t="inlineStr">
        <is>
          <t>30</t>
        </is>
      </c>
      <c r="U975" t="inlineStr">
        <is>
          <t>20</t>
        </is>
      </c>
      <c r="V975" t="inlineStr">
        <is>
          <t>35</t>
        </is>
      </c>
      <c r="W975" t="inlineStr">
        <is>
          <t>15</t>
        </is>
      </c>
      <c r="X975" t="inlineStr">
        <is>
          <t>Guild.csv</t>
        </is>
      </c>
    </row>
    <row r="976">
      <c r="A976" t="n">
        <v>975</v>
      </c>
      <c r="B976" t="n">
        <v>439</v>
      </c>
      <c r="C976" t="inlineStr">
        <is>
          <t>Verdana Phase 5</t>
        </is>
      </c>
      <c r="D976" t="inlineStr">
        <is>
          <t>Reportage Properties</t>
        </is>
      </c>
      <c r="E976" t="inlineStr">
        <is>
          <t>DIP</t>
        </is>
      </c>
      <c r="F976" t="inlineStr">
        <is>
          <t>Townhouses</t>
        </is>
      </c>
      <c r="G976" t="inlineStr">
        <is>
          <t>Family / Budget</t>
        </is>
      </c>
      <c r="H976" t="inlineStr">
        <is>
          <t>1.8M</t>
        </is>
      </c>
      <c r="I976" t="inlineStr">
        <is>
          <t>1000</t>
        </is>
      </c>
      <c r="J976" t="inlineStr">
        <is>
          <t>12</t>
        </is>
      </c>
      <c r="K976" t="inlineStr">
        <is>
          <t>Varies</t>
        </is>
      </c>
      <c r="L976" t="inlineStr">
        <is>
          <t>2024</t>
        </is>
      </c>
      <c r="M976" t="inlineStr">
        <is>
          <t>7.0-7.5</t>
        </is>
      </c>
      <c r="N976" t="inlineStr">
        <is>
          <t>6-8</t>
        </is>
      </c>
      <c r="O976" t="inlineStr">
        <is>
          <t>13.0-15.5</t>
        </is>
      </c>
      <c r="P976" t="inlineStr">
        <is>
          <t>Greenfield Intl</t>
        </is>
      </c>
      <c r="Q976" t="inlineStr">
        <is>
          <t>NMC Royal DIP</t>
        </is>
      </c>
      <c r="R976" t="inlineStr">
        <is>
          <t>Souq Extra DIP</t>
        </is>
      </c>
      <c r="S976" t="inlineStr">
        <is>
          <t>Yalayis / E611</t>
        </is>
      </c>
      <c r="T976" t="inlineStr">
        <is>
          <t>30</t>
        </is>
      </c>
      <c r="U976" t="inlineStr">
        <is>
          <t>20</t>
        </is>
      </c>
      <c r="V976" t="inlineStr">
        <is>
          <t>35</t>
        </is>
      </c>
      <c r="W976" t="inlineStr">
        <is>
          <t>15</t>
        </is>
      </c>
      <c r="X976" t="inlineStr">
        <is>
          <t>Guild.csv</t>
        </is>
      </c>
    </row>
    <row r="977">
      <c r="A977" t="n">
        <v>976</v>
      </c>
      <c r="B977" t="n">
        <v>440</v>
      </c>
      <c r="C977" t="inlineStr">
        <is>
          <t>Rukan Lofts</t>
        </is>
      </c>
      <c r="D977" t="inlineStr">
        <is>
          <t>Reportage Properties</t>
        </is>
      </c>
      <c r="E977" t="inlineStr">
        <is>
          <t>Dubailand (Wadi Al Safa)</t>
        </is>
      </c>
      <c r="F977" t="inlineStr">
        <is>
          <t>Townhouses</t>
        </is>
      </c>
      <c r="G977" t="inlineStr">
        <is>
          <t>Budget / Loft</t>
        </is>
      </c>
      <c r="H977" t="inlineStr">
        <is>
          <t>Resale (900k+)</t>
        </is>
      </c>
      <c r="I977" t="inlineStr">
        <is>
          <t>800</t>
        </is>
      </c>
      <c r="J977" t="inlineStr">
        <is>
          <t>10</t>
        </is>
      </c>
      <c r="K977" t="inlineStr">
        <is>
          <t>Completed</t>
        </is>
      </c>
      <c r="L977" t="inlineStr">
        <is>
          <t>2019</t>
        </is>
      </c>
      <c r="M977" t="inlineStr">
        <is>
          <t>7.0-7.5</t>
        </is>
      </c>
      <c r="N977" t="inlineStr">
        <is>
          <t>5-7</t>
        </is>
      </c>
      <c r="O977" t="inlineStr">
        <is>
          <t>12.0-14.5</t>
        </is>
      </c>
      <c r="P977" t="inlineStr">
        <is>
          <t>GEMS Metropole</t>
        </is>
      </c>
      <c r="Q977" t="inlineStr">
        <is>
          <t>Mediclinic Parkview</t>
        </is>
      </c>
      <c r="R977" t="inlineStr">
        <is>
          <t>Cityland Mall</t>
        </is>
      </c>
      <c r="S977" t="inlineStr">
        <is>
          <t>E611 / Al Ain Rd</t>
        </is>
      </c>
      <c r="T977" t="inlineStr">
        <is>
          <t>20</t>
        </is>
      </c>
      <c r="U977" t="inlineStr">
        <is>
          <t>25</t>
        </is>
      </c>
      <c r="V977" t="inlineStr">
        <is>
          <t>25</t>
        </is>
      </c>
      <c r="W977" t="inlineStr">
        <is>
          <t>30</t>
        </is>
      </c>
      <c r="X977" t="inlineStr">
        <is>
          <t>Guild.csv</t>
        </is>
      </c>
    </row>
    <row r="978">
      <c r="A978" t="n">
        <v>977</v>
      </c>
      <c r="B978" t="n">
        <v>441</v>
      </c>
      <c r="C978" t="inlineStr">
        <is>
          <t>Rukan Tower</t>
        </is>
      </c>
      <c r="D978" t="inlineStr">
        <is>
          <t>Reportage Properties</t>
        </is>
      </c>
      <c r="E978" t="inlineStr">
        <is>
          <t>Dubailand</t>
        </is>
      </c>
      <c r="F978" t="inlineStr">
        <is>
          <t>Apartments</t>
        </is>
      </c>
      <c r="G978" t="inlineStr">
        <is>
          <t>Budget</t>
        </is>
      </c>
      <c r="H978" t="inlineStr">
        <is>
          <t>500k</t>
        </is>
      </c>
      <c r="I978" t="inlineStr">
        <is>
          <t>800</t>
        </is>
      </c>
      <c r="J978" t="inlineStr">
        <is>
          <t>10</t>
        </is>
      </c>
      <c r="K978" t="inlineStr">
        <is>
          <t>Completed</t>
        </is>
      </c>
      <c r="L978" t="inlineStr">
        <is>
          <t>2020</t>
        </is>
      </c>
      <c r="M978" t="inlineStr">
        <is>
          <t>7.5-8.0</t>
        </is>
      </c>
      <c r="N978" t="inlineStr">
        <is>
          <t>5-7</t>
        </is>
      </c>
      <c r="O978" t="inlineStr">
        <is>
          <t>12.5-15.0</t>
        </is>
      </c>
      <c r="P978" t="inlineStr">
        <is>
          <t>GEMS Metropole</t>
        </is>
      </c>
      <c r="Q978" t="inlineStr">
        <is>
          <t>Mediclinic Parkview</t>
        </is>
      </c>
      <c r="R978" t="inlineStr">
        <is>
          <t>Cityland Mall</t>
        </is>
      </c>
      <c r="S978" t="inlineStr">
        <is>
          <t>E611 / Al Ain Rd</t>
        </is>
      </c>
      <c r="T978" t="inlineStr">
        <is>
          <t>20</t>
        </is>
      </c>
      <c r="U978" t="inlineStr">
        <is>
          <t>25</t>
        </is>
      </c>
      <c r="V978" t="inlineStr">
        <is>
          <t>25</t>
        </is>
      </c>
      <c r="W978" t="inlineStr">
        <is>
          <t>30</t>
        </is>
      </c>
      <c r="X978" t="inlineStr">
        <is>
          <t>Guild.csv</t>
        </is>
      </c>
    </row>
    <row r="979">
      <c r="A979" t="n">
        <v>978</v>
      </c>
      <c r="B979" t="n">
        <v>442</v>
      </c>
      <c r="C979" t="inlineStr">
        <is>
          <t>Bianchi</t>
        </is>
      </c>
      <c r="D979" t="inlineStr">
        <is>
          <t>Reportage Properties</t>
        </is>
      </c>
      <c r="E979" t="inlineStr">
        <is>
          <t>Rukan (Dubailand)</t>
        </is>
      </c>
      <c r="F979" t="inlineStr">
        <is>
          <t>Townhouses</t>
        </is>
      </c>
      <c r="G979" t="inlineStr">
        <is>
          <t>Budget / Modern</t>
        </is>
      </c>
      <c r="H979" t="inlineStr">
        <is>
          <t>1.2M</t>
        </is>
      </c>
      <c r="I979" t="inlineStr">
        <is>
          <t>900</t>
        </is>
      </c>
      <c r="J979" t="inlineStr">
        <is>
          <t>10</t>
        </is>
      </c>
      <c r="K979" t="inlineStr">
        <is>
          <t>Varies</t>
        </is>
      </c>
      <c r="L979" t="inlineStr">
        <is>
          <t>2023</t>
        </is>
      </c>
      <c r="M979" t="inlineStr">
        <is>
          <t>7.0-7.5</t>
        </is>
      </c>
      <c r="N979" t="inlineStr">
        <is>
          <t>6-8</t>
        </is>
      </c>
      <c r="O979" t="inlineStr">
        <is>
          <t>13.0-15.5</t>
        </is>
      </c>
      <c r="P979" t="inlineStr">
        <is>
          <t>GEMS Metropole</t>
        </is>
      </c>
      <c r="Q979" t="inlineStr">
        <is>
          <t>Mediclinic Parkview</t>
        </is>
      </c>
      <c r="R979" t="inlineStr">
        <is>
          <t>Cityland Mall</t>
        </is>
      </c>
      <c r="S979" t="inlineStr">
        <is>
          <t>E611 / Al Ain Rd</t>
        </is>
      </c>
      <c r="T979" t="inlineStr">
        <is>
          <t>20</t>
        </is>
      </c>
      <c r="U979" t="inlineStr">
        <is>
          <t>25</t>
        </is>
      </c>
      <c r="V979" t="inlineStr">
        <is>
          <t>25</t>
        </is>
      </c>
      <c r="W979" t="inlineStr">
        <is>
          <t>30</t>
        </is>
      </c>
      <c r="X979" t="inlineStr">
        <is>
          <t>Guild.csv</t>
        </is>
      </c>
    </row>
    <row r="980">
      <c r="A980" t="n">
        <v>979</v>
      </c>
      <c r="B980" t="n">
        <v>443</v>
      </c>
      <c r="C980" t="inlineStr">
        <is>
          <t>Taormina Village</t>
        </is>
      </c>
      <c r="D980" t="inlineStr">
        <is>
          <t>Reportage Properties</t>
        </is>
      </c>
      <c r="E980" t="inlineStr">
        <is>
          <t>Dubailand</t>
        </is>
      </c>
      <c r="F980" t="inlineStr">
        <is>
          <t>Townhouses</t>
        </is>
      </c>
      <c r="G980" t="inlineStr">
        <is>
          <t>Italian Style</t>
        </is>
      </c>
      <c r="H980" t="inlineStr">
        <is>
          <t>1.5M</t>
        </is>
      </c>
      <c r="I980" t="inlineStr">
        <is>
          <t>1000</t>
        </is>
      </c>
      <c r="J980" t="inlineStr">
        <is>
          <t>10</t>
        </is>
      </c>
      <c r="K980" t="inlineStr">
        <is>
          <t>Varies</t>
        </is>
      </c>
      <c r="L980" t="inlineStr">
        <is>
          <t>2024</t>
        </is>
      </c>
      <c r="M980" t="inlineStr">
        <is>
          <t>7.0-7.5</t>
        </is>
      </c>
      <c r="N980" t="inlineStr">
        <is>
          <t>6-8</t>
        </is>
      </c>
      <c r="O980" t="inlineStr">
        <is>
          <t>13.0-15.5</t>
        </is>
      </c>
      <c r="P980" t="inlineStr">
        <is>
          <t>GEMS Metropole</t>
        </is>
      </c>
      <c r="Q980" t="inlineStr">
        <is>
          <t>Mediclinic Parkview</t>
        </is>
      </c>
      <c r="R980" t="inlineStr">
        <is>
          <t>Cityland Mall</t>
        </is>
      </c>
      <c r="S980" t="inlineStr">
        <is>
          <t>E611 / Al Ain Rd</t>
        </is>
      </c>
      <c r="T980" t="inlineStr">
        <is>
          <t>20</t>
        </is>
      </c>
      <c r="U980" t="inlineStr">
        <is>
          <t>25</t>
        </is>
      </c>
      <c r="V980" t="inlineStr">
        <is>
          <t>25</t>
        </is>
      </c>
      <c r="W980" t="inlineStr">
        <is>
          <t>30</t>
        </is>
      </c>
      <c r="X980" t="inlineStr">
        <is>
          <t>Guild.csv</t>
        </is>
      </c>
    </row>
    <row r="981">
      <c r="A981" t="n">
        <v>980</v>
      </c>
      <c r="B981" t="n">
        <v>444</v>
      </c>
      <c r="C981" t="inlineStr">
        <is>
          <t>Alexis Tower</t>
        </is>
      </c>
      <c r="D981" t="inlineStr">
        <is>
          <t>Reportage Properties</t>
        </is>
      </c>
      <c r="E981" t="inlineStr">
        <is>
          <t>Jebel Ali</t>
        </is>
      </c>
      <c r="F981" t="inlineStr">
        <is>
          <t>Apartments</t>
        </is>
      </c>
      <c r="G981" t="inlineStr">
        <is>
          <t>Budget</t>
        </is>
      </c>
      <c r="H981" t="inlineStr">
        <is>
          <t>600k</t>
        </is>
      </c>
      <c r="I981" t="inlineStr">
        <is>
          <t>900</t>
        </is>
      </c>
      <c r="J981" t="inlineStr">
        <is>
          <t>12</t>
        </is>
      </c>
      <c r="K981" t="inlineStr">
        <is>
          <t>Completed</t>
        </is>
      </c>
      <c r="L981" t="inlineStr">
        <is>
          <t>2020</t>
        </is>
      </c>
      <c r="M981" t="inlineStr">
        <is>
          <t>7.5-8.0</t>
        </is>
      </c>
      <c r="N981" t="inlineStr">
        <is>
          <t>5-7</t>
        </is>
      </c>
      <c r="O981" t="inlineStr">
        <is>
          <t>12.5-15.0</t>
        </is>
      </c>
      <c r="P981" t="inlineStr">
        <is>
          <t>The Winchester</t>
        </is>
      </c>
      <c r="Q981" t="inlineStr">
        <is>
          <t>Aster Cedars Jebel Ali</t>
        </is>
      </c>
      <c r="R981" t="inlineStr">
        <is>
          <t>Ibn Battuta Mall</t>
        </is>
      </c>
      <c r="S981" t="inlineStr">
        <is>
          <t>Sheikh Zayed E11</t>
        </is>
      </c>
      <c r="T981" t="inlineStr">
        <is>
          <t>25</t>
        </is>
      </c>
      <c r="U981" t="inlineStr">
        <is>
          <t>10</t>
        </is>
      </c>
      <c r="V981" t="inlineStr">
        <is>
          <t>35</t>
        </is>
      </c>
      <c r="W981" t="inlineStr">
        <is>
          <t>20</t>
        </is>
      </c>
      <c r="X981" t="inlineStr">
        <is>
          <t>Guild.csv</t>
        </is>
      </c>
    </row>
    <row r="982">
      <c r="A982" t="n">
        <v>981</v>
      </c>
      <c r="B982" t="n">
        <v>445</v>
      </c>
      <c r="C982" t="inlineStr">
        <is>
          <t>The Gate</t>
        </is>
      </c>
      <c r="D982" t="inlineStr">
        <is>
          <t>Reportage Properties</t>
        </is>
      </c>
      <c r="E982" t="inlineStr">
        <is>
          <t>Masdar City (AD)</t>
        </is>
      </c>
      <c r="F982" t="inlineStr">
        <is>
          <t>Apartments</t>
        </is>
      </c>
      <c r="G982" t="inlineStr">
        <is>
          <t>Modern / Eco</t>
        </is>
      </c>
      <c r="H982" t="inlineStr">
        <is>
          <t>800k</t>
        </is>
      </c>
      <c r="I982" t="inlineStr">
        <is>
          <t>1100</t>
        </is>
      </c>
      <c r="J982" t="inlineStr">
        <is>
          <t>14</t>
        </is>
      </c>
      <c r="K982" t="inlineStr">
        <is>
          <t>Varies</t>
        </is>
      </c>
      <c r="L982" t="inlineStr">
        <is>
          <t>2020</t>
        </is>
      </c>
      <c r="M982" t="inlineStr">
        <is>
          <t>7.0-7.5</t>
        </is>
      </c>
      <c r="N982" t="inlineStr">
        <is>
          <t>5-7</t>
        </is>
      </c>
      <c r="O982" t="inlineStr">
        <is>
          <t>12.0-14.5</t>
        </is>
      </c>
      <c r="P982" t="inlineStr">
        <is>
          <t>GEMS United (AD)</t>
        </is>
      </c>
      <c r="Q982" t="inlineStr">
        <is>
          <t>Cleveland Clinic AD</t>
        </is>
      </c>
      <c r="R982" t="inlineStr">
        <is>
          <t>Yas Mall</t>
        </is>
      </c>
      <c r="S982" t="inlineStr">
        <is>
          <t>E10 (Abu Dhabi)</t>
        </is>
      </c>
      <c r="T982" t="inlineStr">
        <is>
          <t>75</t>
        </is>
      </c>
      <c r="U982" t="inlineStr">
        <is>
          <t>60</t>
        </is>
      </c>
      <c r="V982" t="inlineStr">
        <is>
          <t>80</t>
        </is>
      </c>
      <c r="W982" t="inlineStr">
        <is>
          <t>65</t>
        </is>
      </c>
      <c r="X982" t="inlineStr">
        <is>
          <t>Guild.csv</t>
        </is>
      </c>
    </row>
    <row r="983">
      <c r="A983" t="n">
        <v>982</v>
      </c>
      <c r="B983" t="n">
        <v>446</v>
      </c>
      <c r="C983" t="inlineStr">
        <is>
          <t>LIV LUX</t>
        </is>
      </c>
      <c r="D983" t="inlineStr">
        <is>
          <t>LIV Developers</t>
        </is>
      </c>
      <c r="E983" t="inlineStr">
        <is>
          <t>Dubai Marina</t>
        </is>
      </c>
      <c r="F983" t="inlineStr">
        <is>
          <t>Luxury Apts</t>
        </is>
      </c>
      <c r="G983" t="inlineStr">
        <is>
          <t>High-Rise / View</t>
        </is>
      </c>
      <c r="H983" t="inlineStr">
        <is>
          <t>3.5M</t>
        </is>
      </c>
      <c r="I983" t="inlineStr">
        <is>
          <t>3000</t>
        </is>
      </c>
      <c r="J983" t="inlineStr">
        <is>
          <t>25</t>
        </is>
      </c>
      <c r="K983" t="inlineStr">
        <is>
          <t>60/40</t>
        </is>
      </c>
      <c r="L983" t="inlineStr">
        <is>
          <t>2022</t>
        </is>
      </c>
      <c r="M983" t="inlineStr">
        <is>
          <t>5.5-6.0</t>
        </is>
      </c>
      <c r="N983" t="inlineStr">
        <is>
          <t>7-9</t>
        </is>
      </c>
      <c r="O983" t="inlineStr">
        <is>
          <t>12.5-15.0</t>
        </is>
      </c>
      <c r="P983" t="inlineStr">
        <is>
          <t>American Univ. Dubai</t>
        </is>
      </c>
      <c r="Q983" t="inlineStr">
        <is>
          <t>Saudi German Hospital</t>
        </is>
      </c>
      <c r="R983" t="inlineStr">
        <is>
          <t>Dubai Marina Mall</t>
        </is>
      </c>
      <c r="S983" t="inlineStr">
        <is>
          <t>Sheikh Zayed E11</t>
        </is>
      </c>
      <c r="T983" t="inlineStr">
        <is>
          <t>20</t>
        </is>
      </c>
      <c r="U983" t="inlineStr">
        <is>
          <t>5</t>
        </is>
      </c>
      <c r="V983" t="inlineStr">
        <is>
          <t>25</t>
        </is>
      </c>
      <c r="W983" t="inlineStr">
        <is>
          <t>30</t>
        </is>
      </c>
      <c r="X983" t="inlineStr">
        <is>
          <t>Guild.csv</t>
        </is>
      </c>
    </row>
    <row r="984">
      <c r="A984" t="n">
        <v>983</v>
      </c>
      <c r="B984" t="n">
        <v>447</v>
      </c>
      <c r="C984" t="inlineStr">
        <is>
          <t>LIV Marina</t>
        </is>
      </c>
      <c r="D984" t="inlineStr">
        <is>
          <t>LIV Developers</t>
        </is>
      </c>
      <c r="E984" t="inlineStr">
        <is>
          <t>Dubai Marina</t>
        </is>
      </c>
      <c r="F984" t="inlineStr">
        <is>
          <t>Luxury Apts</t>
        </is>
      </c>
      <c r="G984" t="inlineStr">
        <is>
          <t>High-Rise / View</t>
        </is>
      </c>
      <c r="H984" t="inlineStr">
        <is>
          <t>Resale (2.5M+)</t>
        </is>
      </c>
      <c r="I984" t="inlineStr">
        <is>
          <t>2800</t>
        </is>
      </c>
      <c r="J984" t="inlineStr">
        <is>
          <t>25</t>
        </is>
      </c>
      <c r="K984" t="inlineStr">
        <is>
          <t>Completed</t>
        </is>
      </c>
      <c r="L984" t="inlineStr">
        <is>
          <t>2021</t>
        </is>
      </c>
      <c r="M984" t="inlineStr">
        <is>
          <t>6.0-6.5</t>
        </is>
      </c>
      <c r="N984" t="inlineStr">
        <is>
          <t>5-7</t>
        </is>
      </c>
      <c r="O984" t="inlineStr">
        <is>
          <t>11.0-13.5</t>
        </is>
      </c>
      <c r="P984" t="inlineStr">
        <is>
          <t>American Univ. Dubai</t>
        </is>
      </c>
      <c r="Q984" t="inlineStr">
        <is>
          <t>Saudi German Hospital</t>
        </is>
      </c>
      <c r="R984" t="inlineStr">
        <is>
          <t>Dubai Marina Mall</t>
        </is>
      </c>
      <c r="S984" t="inlineStr">
        <is>
          <t>Sheikh Zayed E11</t>
        </is>
      </c>
      <c r="T984" t="inlineStr">
        <is>
          <t>20</t>
        </is>
      </c>
      <c r="U984" t="inlineStr">
        <is>
          <t>5</t>
        </is>
      </c>
      <c r="V984" t="inlineStr">
        <is>
          <t>25</t>
        </is>
      </c>
      <c r="W984" t="inlineStr">
        <is>
          <t>30</t>
        </is>
      </c>
      <c r="X984" t="inlineStr">
        <is>
          <t>Guild.csv</t>
        </is>
      </c>
    </row>
    <row r="985">
      <c r="A985" t="n">
        <v>984</v>
      </c>
      <c r="B985" t="n">
        <v>448</v>
      </c>
      <c r="C985" t="inlineStr">
        <is>
          <t>LIV Residence</t>
        </is>
      </c>
      <c r="D985" t="inlineStr">
        <is>
          <t>LIV Developers</t>
        </is>
      </c>
      <c r="E985" t="inlineStr">
        <is>
          <t>Dubai Marina</t>
        </is>
      </c>
      <c r="F985" t="inlineStr">
        <is>
          <t>Luxury Apts</t>
        </is>
      </c>
      <c r="G985" t="inlineStr">
        <is>
          <t>High-Rise / View</t>
        </is>
      </c>
      <c r="H985" t="inlineStr">
        <is>
          <t>Resale (2.2M+)</t>
        </is>
      </c>
      <c r="I985" t="inlineStr">
        <is>
          <t>2500</t>
        </is>
      </c>
      <c r="J985" t="inlineStr">
        <is>
          <t>25</t>
        </is>
      </c>
      <c r="K985" t="inlineStr">
        <is>
          <t>Completed</t>
        </is>
      </c>
      <c r="L985" t="inlineStr">
        <is>
          <t>2018</t>
        </is>
      </c>
      <c r="M985" t="inlineStr">
        <is>
          <t>6.0-6.5</t>
        </is>
      </c>
      <c r="N985" t="inlineStr">
        <is>
          <t>5-7</t>
        </is>
      </c>
      <c r="O985" t="inlineStr">
        <is>
          <t>11.0-13.5</t>
        </is>
      </c>
      <c r="P985" t="inlineStr">
        <is>
          <t>American Univ. Dubai</t>
        </is>
      </c>
      <c r="Q985" t="inlineStr">
        <is>
          <t>Saudi German Hospital</t>
        </is>
      </c>
      <c r="R985" t="inlineStr">
        <is>
          <t>Dubai Marina Mall</t>
        </is>
      </c>
      <c r="S985" t="inlineStr">
        <is>
          <t>Sheikh Zayed E11</t>
        </is>
      </c>
      <c r="T985" t="inlineStr">
        <is>
          <t>20</t>
        </is>
      </c>
      <c r="U985" t="inlineStr">
        <is>
          <t>5</t>
        </is>
      </c>
      <c r="V985" t="inlineStr">
        <is>
          <t>25</t>
        </is>
      </c>
      <c r="W985" t="inlineStr">
        <is>
          <t>30</t>
        </is>
      </c>
      <c r="X985" t="inlineStr">
        <is>
          <t>Guild.csv</t>
        </is>
      </c>
    </row>
    <row r="986">
      <c r="A986" t="n">
        <v>985</v>
      </c>
      <c r="B986" t="n">
        <v>449</v>
      </c>
      <c r="C986" t="inlineStr">
        <is>
          <t>LIV Waterside</t>
        </is>
      </c>
      <c r="D986" t="inlineStr">
        <is>
          <t>LIV Developers</t>
        </is>
      </c>
      <c r="E986" t="inlineStr">
        <is>
          <t>Dubai Marina</t>
        </is>
      </c>
      <c r="F986" t="inlineStr">
        <is>
          <t>Luxury Apts/Villas</t>
        </is>
      </c>
      <c r="G986" t="inlineStr">
        <is>
          <t>Waterfront</t>
        </is>
      </c>
      <c r="H986" t="inlineStr">
        <is>
          <t>4.0M</t>
        </is>
      </c>
      <c r="I986" t="inlineStr">
        <is>
          <t>3200</t>
        </is>
      </c>
      <c r="J986" t="inlineStr">
        <is>
          <t>25</t>
        </is>
      </c>
      <c r="K986" t="inlineStr">
        <is>
          <t>60/40</t>
        </is>
      </c>
      <c r="L986" t="inlineStr">
        <is>
          <t>2023</t>
        </is>
      </c>
      <c r="M986" t="inlineStr">
        <is>
          <t>5.0-5.5</t>
        </is>
      </c>
      <c r="N986" t="inlineStr">
        <is>
          <t>8-12</t>
        </is>
      </c>
      <c r="O986" t="inlineStr">
        <is>
          <t>13.0-17.5</t>
        </is>
      </c>
      <c r="P986" t="inlineStr">
        <is>
          <t>American Univ. Dubai</t>
        </is>
      </c>
      <c r="Q986" t="inlineStr">
        <is>
          <t>Saudi German Hospital</t>
        </is>
      </c>
      <c r="R986" t="inlineStr">
        <is>
          <t>Dubai Marina Mall</t>
        </is>
      </c>
      <c r="S986" t="inlineStr">
        <is>
          <t>Sheikh Zayed E11</t>
        </is>
      </c>
      <c r="T986" t="inlineStr">
        <is>
          <t>20</t>
        </is>
      </c>
      <c r="U986" t="inlineStr">
        <is>
          <t>5</t>
        </is>
      </c>
      <c r="V986" t="inlineStr">
        <is>
          <t>25</t>
        </is>
      </c>
      <c r="W986" t="inlineStr">
        <is>
          <t>30</t>
        </is>
      </c>
      <c r="X986" t="inlineStr">
        <is>
          <t>Guild.csv</t>
        </is>
      </c>
    </row>
    <row r="987">
      <c r="A987" t="n">
        <v>986</v>
      </c>
      <c r="B987" t="n">
        <v>450</v>
      </c>
      <c r="C987" t="inlineStr">
        <is>
          <t>LIV Maritime</t>
        </is>
      </c>
      <c r="D987" t="inlineStr">
        <is>
          <t>LIV Developers</t>
        </is>
      </c>
      <c r="E987" t="inlineStr">
        <is>
          <t>Dubai Maritime City</t>
        </is>
      </c>
      <c r="F987" t="inlineStr">
        <is>
          <t>Apartments</t>
        </is>
      </c>
      <c r="G987" t="inlineStr">
        <is>
          <t>Sea View</t>
        </is>
      </c>
      <c r="H987" t="inlineStr">
        <is>
          <t>1.8M</t>
        </is>
      </c>
      <c r="I987" t="inlineStr">
        <is>
          <t>2200</t>
        </is>
      </c>
      <c r="J987" t="inlineStr">
        <is>
          <t>20</t>
        </is>
      </c>
      <c r="K987" t="inlineStr">
        <is>
          <t>60/40</t>
        </is>
      </c>
      <c r="L987" t="inlineStr">
        <is>
          <t>2024</t>
        </is>
      </c>
      <c r="M987" t="inlineStr">
        <is>
          <t>6.5-7.0</t>
        </is>
      </c>
      <c r="N987" t="inlineStr">
        <is>
          <t>8-10</t>
        </is>
      </c>
      <c r="O987" t="inlineStr">
        <is>
          <t>14.5-17.0</t>
        </is>
      </c>
      <c r="P987" t="inlineStr">
        <is>
          <t>New Academy School</t>
        </is>
      </c>
      <c r="Q987" t="inlineStr">
        <is>
          <t>Aster Hospital Mankhool</t>
        </is>
      </c>
      <c r="R987" t="inlineStr">
        <is>
          <t>Dubai Mall</t>
        </is>
      </c>
      <c r="S987" t="inlineStr">
        <is>
          <t>Al Khaleej / E11</t>
        </is>
      </c>
      <c r="T987" t="inlineStr">
        <is>
          <t>15</t>
        </is>
      </c>
      <c r="U987" t="inlineStr">
        <is>
          <t>25</t>
        </is>
      </c>
      <c r="V987" t="inlineStr">
        <is>
          <t>15</t>
        </is>
      </c>
      <c r="W987" t="inlineStr">
        <is>
          <t>45</t>
        </is>
      </c>
      <c r="X987" t="inlineStr">
        <is>
          <t>Guild.csv</t>
        </is>
      </c>
    </row>
    <row r="988">
      <c r="A988" t="n">
        <v>987</v>
      </c>
      <c r="B988" t="n">
        <v>451</v>
      </c>
      <c r="C988" t="inlineStr">
        <is>
          <t>LIV Oceanside</t>
        </is>
      </c>
      <c r="D988" t="inlineStr">
        <is>
          <t>LIV Developers</t>
        </is>
      </c>
      <c r="E988" t="inlineStr">
        <is>
          <t>Dubai Maritime City</t>
        </is>
      </c>
      <c r="F988" t="inlineStr">
        <is>
          <t>Apartments</t>
        </is>
      </c>
      <c r="G988" t="inlineStr">
        <is>
          <t>Sea View</t>
        </is>
      </c>
      <c r="H988" t="inlineStr">
        <is>
          <t>1.9M</t>
        </is>
      </c>
      <c r="I988" t="inlineStr">
        <is>
          <t>2300</t>
        </is>
      </c>
      <c r="J988" t="inlineStr">
        <is>
          <t>20</t>
        </is>
      </c>
      <c r="K988" t="inlineStr">
        <is>
          <t>60/40</t>
        </is>
      </c>
      <c r="L988" t="inlineStr">
        <is>
          <t>2024</t>
        </is>
      </c>
      <c r="M988" t="inlineStr">
        <is>
          <t>6.5-7.0</t>
        </is>
      </c>
      <c r="N988" t="inlineStr">
        <is>
          <t>8-10</t>
        </is>
      </c>
      <c r="O988" t="inlineStr">
        <is>
          <t>14.5-17.0</t>
        </is>
      </c>
      <c r="P988" t="inlineStr">
        <is>
          <t>New Academy School</t>
        </is>
      </c>
      <c r="Q988" t="inlineStr">
        <is>
          <t>Aster Hospital Mankhool</t>
        </is>
      </c>
      <c r="R988" t="inlineStr">
        <is>
          <t>Dubai Mall</t>
        </is>
      </c>
      <c r="S988" t="inlineStr">
        <is>
          <t>Al Khaleej / E11</t>
        </is>
      </c>
      <c r="T988" t="inlineStr">
        <is>
          <t>15</t>
        </is>
      </c>
      <c r="U988" t="inlineStr">
        <is>
          <t>25</t>
        </is>
      </c>
      <c r="V988" t="inlineStr">
        <is>
          <t>15</t>
        </is>
      </c>
      <c r="W988" t="inlineStr">
        <is>
          <t>45</t>
        </is>
      </c>
      <c r="X988" t="inlineStr">
        <is>
          <t>Guild.csv</t>
        </is>
      </c>
    </row>
    <row r="989">
      <c r="A989" t="n">
        <v>988</v>
      </c>
      <c r="B989" t="n">
        <v>452</v>
      </c>
      <c r="C989" t="inlineStr">
        <is>
          <t>Nordic</t>
        </is>
      </c>
      <c r="D989" t="inlineStr">
        <is>
          <t>LIV Developers</t>
        </is>
      </c>
      <c r="E989" t="inlineStr">
        <is>
          <t>JVC (Planned)</t>
        </is>
      </c>
      <c r="F989" t="inlineStr">
        <is>
          <t>Apartments</t>
        </is>
      </c>
      <c r="G989" t="inlineStr">
        <is>
          <t>Scandinavian</t>
        </is>
      </c>
      <c r="H989" t="inlineStr">
        <is>
          <t>TBA</t>
        </is>
      </c>
      <c r="I989" t="inlineStr">
        <is>
          <t>TBA</t>
        </is>
      </c>
      <c r="J989" t="inlineStr">
        <is>
          <t>15</t>
        </is>
      </c>
      <c r="K989" t="inlineStr">
        <is>
          <t>TBA</t>
        </is>
      </c>
      <c r="L989" t="inlineStr">
        <is>
          <t>Planned</t>
        </is>
      </c>
      <c r="M989" t="inlineStr">
        <is>
          <t>7.5-8.0</t>
        </is>
      </c>
      <c r="N989" t="inlineStr">
        <is>
          <t>6-8</t>
        </is>
      </c>
      <c r="O989" t="inlineStr">
        <is>
          <t>13.5-16.0</t>
        </is>
      </c>
      <c r="P989" t="inlineStr">
        <is>
          <t>JSS International</t>
        </is>
      </c>
      <c r="Q989" t="inlineStr">
        <is>
          <t>Saudi German Hospital</t>
        </is>
      </c>
      <c r="R989" t="inlineStr">
        <is>
          <t>Circle Mall</t>
        </is>
      </c>
      <c r="S989" t="inlineStr">
        <is>
          <t>Hessa St / E44</t>
        </is>
      </c>
      <c r="T989" t="inlineStr">
        <is>
          <t>20</t>
        </is>
      </c>
      <c r="U989" t="inlineStr">
        <is>
          <t>15</t>
        </is>
      </c>
      <c r="V989" t="inlineStr">
        <is>
          <t>25</t>
        </is>
      </c>
      <c r="W989" t="inlineStr">
        <is>
          <t>30</t>
        </is>
      </c>
      <c r="X989" t="inlineStr">
        <is>
          <t>Guild.csv</t>
        </is>
      </c>
    </row>
    <row r="990">
      <c r="A990" t="n">
        <v>989</v>
      </c>
      <c r="B990" t="n">
        <v>453</v>
      </c>
      <c r="C990" t="inlineStr">
        <is>
          <t>Hollywood</t>
        </is>
      </c>
      <c r="D990" t="inlineStr">
        <is>
          <t>LIV Developers</t>
        </is>
      </c>
      <c r="E990" t="inlineStr">
        <is>
          <t>JVC (Planned)</t>
        </is>
      </c>
      <c r="F990" t="inlineStr">
        <is>
          <t>Apartments</t>
        </is>
      </c>
      <c r="G990" t="inlineStr">
        <is>
          <t>Themed</t>
        </is>
      </c>
      <c r="H990" t="inlineStr">
        <is>
          <t>TBA</t>
        </is>
      </c>
      <c r="I990" t="inlineStr">
        <is>
          <t>TBA</t>
        </is>
      </c>
      <c r="J990" t="inlineStr">
        <is>
          <t>15</t>
        </is>
      </c>
      <c r="K990" t="inlineStr">
        <is>
          <t>TBA</t>
        </is>
      </c>
      <c r="L990" t="inlineStr">
        <is>
          <t>Planned</t>
        </is>
      </c>
      <c r="M990" t="inlineStr">
        <is>
          <t>7.5-8.0</t>
        </is>
      </c>
      <c r="N990" t="inlineStr">
        <is>
          <t>6-8</t>
        </is>
      </c>
      <c r="O990" t="inlineStr">
        <is>
          <t>13.5-16.0</t>
        </is>
      </c>
      <c r="P990" t="inlineStr">
        <is>
          <t>JSS International</t>
        </is>
      </c>
      <c r="Q990" t="inlineStr">
        <is>
          <t>Saudi German Hospital</t>
        </is>
      </c>
      <c r="R990" t="inlineStr">
        <is>
          <t>Circle Mall</t>
        </is>
      </c>
      <c r="S990" t="inlineStr">
        <is>
          <t>Hessa St / E44</t>
        </is>
      </c>
      <c r="T990" t="inlineStr">
        <is>
          <t>20</t>
        </is>
      </c>
      <c r="U990" t="inlineStr">
        <is>
          <t>15</t>
        </is>
      </c>
      <c r="V990" t="inlineStr">
        <is>
          <t>25</t>
        </is>
      </c>
      <c r="W990" t="inlineStr">
        <is>
          <t>30</t>
        </is>
      </c>
      <c r="X990" t="inlineStr">
        <is>
          <t>Guild.csv</t>
        </is>
      </c>
    </row>
    <row r="991">
      <c r="A991" t="n">
        <v>990</v>
      </c>
      <c r="B991" t="n">
        <v>454</v>
      </c>
      <c r="C991" t="inlineStr">
        <is>
          <t>New York</t>
        </is>
      </c>
      <c r="D991" t="inlineStr">
        <is>
          <t>LIV Developers</t>
        </is>
      </c>
      <c r="E991" t="inlineStr">
        <is>
          <t>JVC (Planned)</t>
        </is>
      </c>
      <c r="F991" t="inlineStr">
        <is>
          <t>Apartments</t>
        </is>
      </c>
      <c r="G991" t="inlineStr">
        <is>
          <t>Themed</t>
        </is>
      </c>
      <c r="H991" t="inlineStr">
        <is>
          <t>TBA</t>
        </is>
      </c>
      <c r="I991" t="inlineStr">
        <is>
          <t>TBA</t>
        </is>
      </c>
      <c r="J991" t="inlineStr">
        <is>
          <t>15</t>
        </is>
      </c>
      <c r="K991" t="inlineStr">
        <is>
          <t>TBA</t>
        </is>
      </c>
      <c r="L991" t="inlineStr">
        <is>
          <t>Planned</t>
        </is>
      </c>
      <c r="M991" t="inlineStr">
        <is>
          <t>7.5-8.0</t>
        </is>
      </c>
      <c r="N991" t="inlineStr">
        <is>
          <t>6-8</t>
        </is>
      </c>
      <c r="O991" t="inlineStr">
        <is>
          <t>13.5-16.0</t>
        </is>
      </c>
      <c r="P991" t="inlineStr">
        <is>
          <t>JSS International</t>
        </is>
      </c>
      <c r="Q991" t="inlineStr">
        <is>
          <t>Saudi German Hospital</t>
        </is>
      </c>
      <c r="R991" t="inlineStr">
        <is>
          <t>Circle Mall</t>
        </is>
      </c>
      <c r="S991" t="inlineStr">
        <is>
          <t>Hessa St / E44</t>
        </is>
      </c>
      <c r="T991" t="inlineStr">
        <is>
          <t>20</t>
        </is>
      </c>
      <c r="U991" t="inlineStr">
        <is>
          <t>15</t>
        </is>
      </c>
      <c r="V991" t="inlineStr">
        <is>
          <t>25</t>
        </is>
      </c>
      <c r="W991" t="inlineStr">
        <is>
          <t>30</t>
        </is>
      </c>
      <c r="X991" t="inlineStr">
        <is>
          <t>Guild.csv</t>
        </is>
      </c>
    </row>
    <row r="992">
      <c r="A992" t="n">
        <v>991</v>
      </c>
      <c r="B992" t="n">
        <v>455</v>
      </c>
      <c r="C992" t="inlineStr">
        <is>
          <t>Luce</t>
        </is>
      </c>
      <c r="D992" t="inlineStr">
        <is>
          <t>Taraf Properties</t>
        </is>
      </c>
      <c r="E992" t="inlineStr">
        <is>
          <t>Palm Jumeirah</t>
        </is>
      </c>
      <c r="F992" t="inlineStr">
        <is>
          <t>Apartments</t>
        </is>
      </c>
      <c r="G992" t="inlineStr">
        <is>
          <t>Luxury / Beach</t>
        </is>
      </c>
      <c r="H992" t="inlineStr">
        <is>
          <t>8.0M+</t>
        </is>
      </c>
      <c r="I992" t="inlineStr">
        <is>
          <t>4000</t>
        </is>
      </c>
      <c r="J992" t="inlineStr">
        <is>
          <t>30</t>
        </is>
      </c>
      <c r="K992" t="inlineStr">
        <is>
          <t>60/40</t>
        </is>
      </c>
      <c r="L992" t="inlineStr">
        <is>
          <t>2023</t>
        </is>
      </c>
      <c r="M992" t="inlineStr">
        <is>
          <t>4.0-4.5</t>
        </is>
      </c>
      <c r="N992" t="inlineStr">
        <is>
          <t>8-10</t>
        </is>
      </c>
      <c r="O992" t="inlineStr">
        <is>
          <t>12.0-14.5</t>
        </is>
      </c>
      <c r="P992" t="inlineStr">
        <is>
          <t>Chevalier College</t>
        </is>
      </c>
      <c r="Q992" t="inlineStr">
        <is>
          <t>Emirates Hospital</t>
        </is>
      </c>
      <c r="R992" t="inlineStr">
        <is>
          <t>Nakheel Mall</t>
        </is>
      </c>
      <c r="S992" t="inlineStr">
        <is>
          <t>Sheikh Zayed E11</t>
        </is>
      </c>
      <c r="T992" t="inlineStr">
        <is>
          <t>20</t>
        </is>
      </c>
      <c r="U992" t="inlineStr">
        <is>
          <t>10</t>
        </is>
      </c>
      <c r="V992" t="inlineStr">
        <is>
          <t>25</t>
        </is>
      </c>
      <c r="W992" t="inlineStr">
        <is>
          <t>35</t>
        </is>
      </c>
      <c r="X992" t="inlineStr">
        <is>
          <t>Guild.csv</t>
        </is>
      </c>
    </row>
    <row r="993">
      <c r="A993" t="n">
        <v>992</v>
      </c>
      <c r="B993" t="n">
        <v>456</v>
      </c>
      <c r="C993" t="inlineStr">
        <is>
          <t>Terra Golf Collection</t>
        </is>
      </c>
      <c r="D993" t="inlineStr">
        <is>
          <t>Taraf Properties</t>
        </is>
      </c>
      <c r="E993" t="inlineStr">
        <is>
          <t>Jumeirah Golf Estates</t>
        </is>
      </c>
      <c r="F993" t="inlineStr">
        <is>
          <t>Villas</t>
        </is>
      </c>
      <c r="G993" t="inlineStr">
        <is>
          <t>Golf / Luxury</t>
        </is>
      </c>
      <c r="H993" t="inlineStr">
        <is>
          <t>8.0M+</t>
        </is>
      </c>
      <c r="I993" t="inlineStr">
        <is>
          <t>2200</t>
        </is>
      </c>
      <c r="J993" t="inlineStr">
        <is>
          <t>20</t>
        </is>
      </c>
      <c r="K993" t="inlineStr">
        <is>
          <t>60/40</t>
        </is>
      </c>
      <c r="L993" t="inlineStr">
        <is>
          <t>2023</t>
        </is>
      </c>
      <c r="M993" t="inlineStr">
        <is>
          <t>5.0-5.5</t>
        </is>
      </c>
      <c r="N993" t="inlineStr">
        <is>
          <t>8-10</t>
        </is>
      </c>
      <c r="O993" t="inlineStr">
        <is>
          <t>13.0-15.5</t>
        </is>
      </c>
      <c r="P993" t="inlineStr">
        <is>
          <t>Victory Heights</t>
        </is>
      </c>
      <c r="Q993" t="inlineStr">
        <is>
          <t>NMC Royal DIP</t>
        </is>
      </c>
      <c r="R993" t="inlineStr">
        <is>
          <t>City Centre Me'aisem</t>
        </is>
      </c>
      <c r="S993" t="inlineStr">
        <is>
          <t>E311 / Yalayis</t>
        </is>
      </c>
      <c r="T993" t="inlineStr">
        <is>
          <t>25</t>
        </is>
      </c>
      <c r="U993" t="inlineStr">
        <is>
          <t>20</t>
        </is>
      </c>
      <c r="V993" t="inlineStr">
        <is>
          <t>30</t>
        </is>
      </c>
      <c r="W993" t="inlineStr">
        <is>
          <t>20</t>
        </is>
      </c>
      <c r="X993" t="inlineStr">
        <is>
          <t>Guild.csv</t>
        </is>
      </c>
    </row>
    <row r="994">
      <c r="A994" t="n">
        <v>993</v>
      </c>
      <c r="B994" t="n">
        <v>457</v>
      </c>
      <c r="C994" t="inlineStr">
        <is>
          <t>Terrazzo</t>
        </is>
      </c>
      <c r="D994" t="inlineStr">
        <is>
          <t>Taraf Properties</t>
        </is>
      </c>
      <c r="E994" t="inlineStr">
        <is>
          <t>JVC</t>
        </is>
      </c>
      <c r="F994" t="inlineStr">
        <is>
          <t>Apartments</t>
        </is>
      </c>
      <c r="G994" t="inlineStr">
        <is>
          <t>Modern / Design</t>
        </is>
      </c>
      <c r="H994" t="inlineStr">
        <is>
          <t>1.1M</t>
        </is>
      </c>
      <c r="I994" t="inlineStr">
        <is>
          <t>1400</t>
        </is>
      </c>
      <c r="J994" t="inlineStr">
        <is>
          <t>15</t>
        </is>
      </c>
      <c r="K994" t="inlineStr">
        <is>
          <t>60/40</t>
        </is>
      </c>
      <c r="L994" t="inlineStr">
        <is>
          <t>2023</t>
        </is>
      </c>
      <c r="M994" t="inlineStr">
        <is>
          <t>7.5-8.0</t>
        </is>
      </c>
      <c r="N994" t="inlineStr">
        <is>
          <t>6-8</t>
        </is>
      </c>
      <c r="O994" t="inlineStr">
        <is>
          <t>13.5-16.0</t>
        </is>
      </c>
      <c r="P994" t="inlineStr">
        <is>
          <t>JSS International</t>
        </is>
      </c>
      <c r="Q994" t="inlineStr">
        <is>
          <t>Saudi German Hospital</t>
        </is>
      </c>
      <c r="R994" t="inlineStr">
        <is>
          <t>Circle Mall</t>
        </is>
      </c>
      <c r="S994" t="inlineStr">
        <is>
          <t>Hessa St / E44</t>
        </is>
      </c>
      <c r="T994" t="inlineStr">
        <is>
          <t>20</t>
        </is>
      </c>
      <c r="U994" t="inlineStr">
        <is>
          <t>15</t>
        </is>
      </c>
      <c r="V994" t="inlineStr">
        <is>
          <t>25</t>
        </is>
      </c>
      <c r="W994" t="inlineStr">
        <is>
          <t>30</t>
        </is>
      </c>
      <c r="X994" t="inlineStr">
        <is>
          <t>Guild.csv</t>
        </is>
      </c>
    </row>
    <row r="995">
      <c r="A995" t="n">
        <v>994</v>
      </c>
      <c r="B995" t="n">
        <v>458</v>
      </c>
      <c r="C995" t="inlineStr">
        <is>
          <t>Cello</t>
        </is>
      </c>
      <c r="D995" t="inlineStr">
        <is>
          <t>Taraf Properties</t>
        </is>
      </c>
      <c r="E995" t="inlineStr">
        <is>
          <t>JVC</t>
        </is>
      </c>
      <c r="F995" t="inlineStr">
        <is>
          <t>Apartments</t>
        </is>
      </c>
      <c r="G995" t="inlineStr">
        <is>
          <t>Music / Design</t>
        </is>
      </c>
      <c r="H995" t="inlineStr">
        <is>
          <t>1.0M</t>
        </is>
      </c>
      <c r="I995" t="inlineStr">
        <is>
          <t>1350</t>
        </is>
      </c>
      <c r="J995" t="inlineStr">
        <is>
          <t>15</t>
        </is>
      </c>
      <c r="K995" t="inlineStr">
        <is>
          <t>60/40</t>
        </is>
      </c>
      <c r="L995" t="inlineStr">
        <is>
          <t>2023</t>
        </is>
      </c>
      <c r="M995" t="inlineStr">
        <is>
          <t>7.5-8.0</t>
        </is>
      </c>
      <c r="N995" t="inlineStr">
        <is>
          <t>6-8</t>
        </is>
      </c>
      <c r="O995" t="inlineStr">
        <is>
          <t>13.5-16.0</t>
        </is>
      </c>
      <c r="P995" t="inlineStr">
        <is>
          <t>JSS International</t>
        </is>
      </c>
      <c r="Q995" t="inlineStr">
        <is>
          <t>Saudi German Hospital</t>
        </is>
      </c>
      <c r="R995" t="inlineStr">
        <is>
          <t>Circle Mall</t>
        </is>
      </c>
      <c r="S995" t="inlineStr">
        <is>
          <t>Hessa St / E44</t>
        </is>
      </c>
      <c r="T995" t="inlineStr">
        <is>
          <t>20</t>
        </is>
      </c>
      <c r="U995" t="inlineStr">
        <is>
          <t>15</t>
        </is>
      </c>
      <c r="V995" t="inlineStr">
        <is>
          <t>25</t>
        </is>
      </c>
      <c r="W995" t="inlineStr">
        <is>
          <t>30</t>
        </is>
      </c>
      <c r="X995" t="inlineStr">
        <is>
          <t>Guild.csv</t>
        </is>
      </c>
    </row>
    <row r="996">
      <c r="A996" t="n">
        <v>995</v>
      </c>
      <c r="B996" t="n">
        <v>459</v>
      </c>
      <c r="C996" t="inlineStr">
        <is>
          <t>Karl Lagerfeld Villas</t>
        </is>
      </c>
      <c r="D996" t="inlineStr">
        <is>
          <t>Taraf Properties</t>
        </is>
      </c>
      <c r="E996" t="inlineStr">
        <is>
          <t>MBR City (Meydan)</t>
        </is>
      </c>
      <c r="F996" t="inlineStr">
        <is>
          <t>Villas</t>
        </is>
      </c>
      <c r="G996" t="inlineStr">
        <is>
          <t>Branded / Fashion</t>
        </is>
      </c>
      <c r="H996" t="inlineStr">
        <is>
          <t>15M+</t>
        </is>
      </c>
      <c r="I996" t="inlineStr">
        <is>
          <t>3000</t>
        </is>
      </c>
      <c r="J996" t="inlineStr">
        <is>
          <t>25</t>
        </is>
      </c>
      <c r="K996" t="inlineStr">
        <is>
          <t>60/40</t>
        </is>
      </c>
      <c r="L996" t="inlineStr">
        <is>
          <t>2024</t>
        </is>
      </c>
      <c r="M996" t="inlineStr">
        <is>
          <t>4.5-5.0</t>
        </is>
      </c>
      <c r="N996" t="inlineStr">
        <is>
          <t>8-12</t>
        </is>
      </c>
      <c r="O996" t="inlineStr">
        <is>
          <t>12.5-17.0</t>
        </is>
      </c>
      <c r="P996" t="inlineStr">
        <is>
          <t>Hartland Intl</t>
        </is>
      </c>
      <c r="Q996" t="inlineStr">
        <is>
          <t>American Hospital</t>
        </is>
      </c>
      <c r="R996" t="inlineStr">
        <is>
          <t>Dubai Mall</t>
        </is>
      </c>
      <c r="S996" t="inlineStr">
        <is>
          <t>Ras Al Khor / E44</t>
        </is>
      </c>
      <c r="T996" t="inlineStr">
        <is>
          <t>12</t>
        </is>
      </c>
      <c r="U996" t="inlineStr">
        <is>
          <t>25</t>
        </is>
      </c>
      <c r="V996" t="inlineStr">
        <is>
          <t>15</t>
        </is>
      </c>
      <c r="W996" t="inlineStr">
        <is>
          <t>40</t>
        </is>
      </c>
      <c r="X996" t="inlineStr">
        <is>
          <t>Guild.csv</t>
        </is>
      </c>
    </row>
    <row r="997">
      <c r="A997" t="n">
        <v>996</v>
      </c>
      <c r="B997" t="n">
        <v>460</v>
      </c>
      <c r="C997" t="inlineStr">
        <is>
          <t>Muraba Residences</t>
        </is>
      </c>
      <c r="D997" t="inlineStr">
        <is>
          <t>Muraba</t>
        </is>
      </c>
      <c r="E997" t="inlineStr">
        <is>
          <t>Palm Jumeirah</t>
        </is>
      </c>
      <c r="F997" t="inlineStr">
        <is>
          <t>Apartments</t>
        </is>
      </c>
      <c r="G997" t="inlineStr">
        <is>
          <t>Pritzker Design</t>
        </is>
      </c>
      <c r="H997" t="inlineStr">
        <is>
          <t>Resale (5M+)</t>
        </is>
      </c>
      <c r="I997" t="inlineStr">
        <is>
          <t>3500</t>
        </is>
      </c>
      <c r="J997" t="inlineStr">
        <is>
          <t>30</t>
        </is>
      </c>
      <c r="K997" t="inlineStr">
        <is>
          <t>Completed</t>
        </is>
      </c>
      <c r="L997" t="inlineStr">
        <is>
          <t>2016</t>
        </is>
      </c>
      <c r="M997" t="inlineStr">
        <is>
          <t>4.5-5.0</t>
        </is>
      </c>
      <c r="N997" t="inlineStr">
        <is>
          <t>5-7</t>
        </is>
      </c>
      <c r="O997" t="inlineStr">
        <is>
          <t>9.5-12.0</t>
        </is>
      </c>
      <c r="P997" t="inlineStr">
        <is>
          <t>Chevalier College</t>
        </is>
      </c>
      <c r="Q997" t="inlineStr">
        <is>
          <t>Emirates Hospital</t>
        </is>
      </c>
      <c r="R997" t="inlineStr">
        <is>
          <t>Nakheel Mall</t>
        </is>
      </c>
      <c r="S997" t="inlineStr">
        <is>
          <t>Sheikh Zayed E11</t>
        </is>
      </c>
      <c r="T997" t="inlineStr">
        <is>
          <t>20</t>
        </is>
      </c>
      <c r="U997" t="inlineStr">
        <is>
          <t>10</t>
        </is>
      </c>
      <c r="V997" t="inlineStr">
        <is>
          <t>25</t>
        </is>
      </c>
      <c r="W997" t="inlineStr">
        <is>
          <t>35</t>
        </is>
      </c>
      <c r="X997" t="inlineStr">
        <is>
          <t>Guild.csv</t>
        </is>
      </c>
    </row>
    <row r="998">
      <c r="A998" t="n">
        <v>997</v>
      </c>
      <c r="B998" t="n">
        <v>461</v>
      </c>
      <c r="C998" t="inlineStr">
        <is>
          <t>Muraba Veil</t>
        </is>
      </c>
      <c r="D998" t="inlineStr">
        <is>
          <t>Muraba</t>
        </is>
      </c>
      <c r="E998" t="inlineStr">
        <is>
          <t>Sheikh Zayed Road</t>
        </is>
      </c>
      <c r="F998" t="inlineStr">
        <is>
          <t>Apartments</t>
        </is>
      </c>
      <c r="G998" t="inlineStr">
        <is>
          <t>Thin Tower</t>
        </is>
      </c>
      <c r="H998" t="inlineStr">
        <is>
          <t>TBA</t>
        </is>
      </c>
      <c r="I998" t="inlineStr">
        <is>
          <t>TBA</t>
        </is>
      </c>
      <c r="J998" t="inlineStr">
        <is>
          <t>30+</t>
        </is>
      </c>
      <c r="K998" t="inlineStr">
        <is>
          <t>TBA</t>
        </is>
      </c>
      <c r="L998" t="inlineStr">
        <is>
          <t>2024</t>
        </is>
      </c>
      <c r="M998" t="inlineStr">
        <is>
          <t>5.0-5.5</t>
        </is>
      </c>
      <c r="N998" t="inlineStr">
        <is>
          <t>8-12</t>
        </is>
      </c>
      <c r="O998" t="inlineStr">
        <is>
          <t>13.0-17.5</t>
        </is>
      </c>
      <c r="P998" t="inlineStr">
        <is>
          <t>JESS Jumeirah</t>
        </is>
      </c>
      <c r="Q998" t="inlineStr">
        <is>
          <t>Medcare Hospital</t>
        </is>
      </c>
      <c r="R998" t="inlineStr">
        <is>
          <t>Dubai Mall</t>
        </is>
      </c>
      <c r="S998" t="inlineStr">
        <is>
          <t>Sheikh Zayed E11</t>
        </is>
      </c>
      <c r="T998" t="inlineStr">
        <is>
          <t>5</t>
        </is>
      </c>
      <c r="U998" t="inlineStr">
        <is>
          <t>15</t>
        </is>
      </c>
      <c r="V998" t="inlineStr">
        <is>
          <t>15</t>
        </is>
      </c>
      <c r="W998" t="inlineStr">
        <is>
          <t>35</t>
        </is>
      </c>
      <c r="X998" t="inlineStr">
        <is>
          <t>Guild.csv</t>
        </is>
      </c>
    </row>
    <row r="999">
      <c r="A999" t="n">
        <v>998</v>
      </c>
      <c r="B999" t="n">
        <v>462</v>
      </c>
      <c r="C999" t="inlineStr">
        <is>
          <t>Muraba Dia (Planned)</t>
        </is>
      </c>
      <c r="D999" t="inlineStr">
        <is>
          <t>Muraba</t>
        </is>
      </c>
      <c r="E999" t="inlineStr">
        <is>
          <t>TBA</t>
        </is>
      </c>
      <c r="F999" t="inlineStr">
        <is>
          <t>Apartments</t>
        </is>
      </c>
      <c r="G999" t="inlineStr">
        <is>
          <t>Design</t>
        </is>
      </c>
      <c r="H999" t="inlineStr">
        <is>
          <t>TBA</t>
        </is>
      </c>
      <c r="I999" t="inlineStr">
        <is>
          <t>TBA</t>
        </is>
      </c>
      <c r="J999" t="inlineStr">
        <is>
          <t>TBA</t>
        </is>
      </c>
      <c r="K999" t="inlineStr">
        <is>
          <t>TBA</t>
        </is>
      </c>
      <c r="L999" t="inlineStr">
        <is>
          <t>Planned</t>
        </is>
      </c>
      <c r="M999" t="inlineStr">
        <is>
          <t>TBA</t>
        </is>
      </c>
      <c r="N999" t="inlineStr">
        <is>
          <t>TBA</t>
        </is>
      </c>
      <c r="O999" t="inlineStr">
        <is>
          <t>TBA</t>
        </is>
      </c>
      <c r="P999" t="inlineStr">
        <is>
          <t>TBA</t>
        </is>
      </c>
      <c r="Q999" t="inlineStr">
        <is>
          <t>TBA</t>
        </is>
      </c>
      <c r="R999" t="inlineStr">
        <is>
          <t>TBA</t>
        </is>
      </c>
      <c r="S999" t="inlineStr">
        <is>
          <t>TBA</t>
        </is>
      </c>
      <c r="T999" t="inlineStr">
        <is>
          <t>TBA</t>
        </is>
      </c>
      <c r="U999" t="inlineStr">
        <is>
          <t>TBA</t>
        </is>
      </c>
      <c r="V999" t="inlineStr">
        <is>
          <t>TBA</t>
        </is>
      </c>
      <c r="W999" t="inlineStr">
        <is>
          <t>TBA</t>
        </is>
      </c>
      <c r="X999" t="inlineStr">
        <is>
          <t>Guild.csv</t>
        </is>
      </c>
    </row>
    <row r="1000">
      <c r="A1000" t="n">
        <v>999</v>
      </c>
      <c r="B1000" t="n">
        <v>463</v>
      </c>
      <c r="C1000" t="inlineStr">
        <is>
          <t>Eywa</t>
        </is>
      </c>
      <c r="D1000" t="inlineStr">
        <is>
          <t>R.Evolution</t>
        </is>
      </c>
      <c r="E1000" t="inlineStr">
        <is>
          <t>Business Bay</t>
        </is>
      </c>
      <c r="F1000" t="inlineStr">
        <is>
          <t>Apartments</t>
        </is>
      </c>
      <c r="G1000" t="inlineStr">
        <is>
          <t>Wellness / Tree of Life</t>
        </is>
      </c>
      <c r="H1000" t="inlineStr">
        <is>
          <t>8.0M</t>
        </is>
      </c>
      <c r="I1000" t="inlineStr">
        <is>
          <t>4000</t>
        </is>
      </c>
      <c r="J1000" t="inlineStr">
        <is>
          <t>35</t>
        </is>
      </c>
      <c r="K1000" t="inlineStr">
        <is>
          <t>60/40</t>
        </is>
      </c>
      <c r="L1000" t="inlineStr">
        <is>
          <t>2023</t>
        </is>
      </c>
      <c r="M1000" t="inlineStr">
        <is>
          <t>5.0-5.5</t>
        </is>
      </c>
      <c r="N1000" t="inlineStr">
        <is>
          <t>8-12</t>
        </is>
      </c>
      <c r="O1000" t="inlineStr">
        <is>
          <t>13.0-17.5</t>
        </is>
      </c>
      <c r="P1000" t="inlineStr">
        <is>
          <t>Hartland Intl</t>
        </is>
      </c>
      <c r="Q1000" t="inlineStr">
        <is>
          <t>Emirates Hospital BB</t>
        </is>
      </c>
      <c r="R1000" t="inlineStr">
        <is>
          <t>Dubai Mall</t>
        </is>
      </c>
      <c r="S1000" t="inlineStr">
        <is>
          <t>Al Khail E44</t>
        </is>
      </c>
      <c r="T1000" t="inlineStr">
        <is>
          <t>5</t>
        </is>
      </c>
      <c r="U1000" t="inlineStr">
        <is>
          <t>20</t>
        </is>
      </c>
      <c r="V1000" t="inlineStr">
        <is>
          <t>15</t>
        </is>
      </c>
      <c r="W1000" t="inlineStr">
        <is>
          <t>35</t>
        </is>
      </c>
      <c r="X1000" t="inlineStr">
        <is>
          <t>Guild.csv</t>
        </is>
      </c>
    </row>
    <row r="1001">
      <c r="A1001" t="n">
        <v>1000</v>
      </c>
      <c r="B1001" t="n">
        <v>464</v>
      </c>
      <c r="C1001" t="inlineStr">
        <is>
          <t>Eywa 2 (Planned)</t>
        </is>
      </c>
      <c r="D1001" t="inlineStr">
        <is>
          <t>R.Evolution</t>
        </is>
      </c>
      <c r="E1001" t="inlineStr">
        <is>
          <t>TBA</t>
        </is>
      </c>
      <c r="F1001" t="inlineStr">
        <is>
          <t>Apartments</t>
        </is>
      </c>
      <c r="G1001" t="inlineStr">
        <is>
          <t>Wellness</t>
        </is>
      </c>
      <c r="H1001" t="inlineStr">
        <is>
          <t>TBA</t>
        </is>
      </c>
      <c r="I1001" t="inlineStr">
        <is>
          <t>TBA</t>
        </is>
      </c>
      <c r="J1001" t="inlineStr">
        <is>
          <t>TBA</t>
        </is>
      </c>
      <c r="K1001" t="inlineStr">
        <is>
          <t>TBA</t>
        </is>
      </c>
      <c r="L1001" t="inlineStr">
        <is>
          <t>Planned</t>
        </is>
      </c>
      <c r="M1001" t="inlineStr">
        <is>
          <t>TBA</t>
        </is>
      </c>
      <c r="N1001" t="inlineStr">
        <is>
          <t>TBA</t>
        </is>
      </c>
      <c r="O1001" t="inlineStr">
        <is>
          <t>TBA</t>
        </is>
      </c>
      <c r="P1001" t="inlineStr">
        <is>
          <t>Hartland Intl</t>
        </is>
      </c>
      <c r="Q1001" t="inlineStr">
        <is>
          <t>Emirates Hospital BB</t>
        </is>
      </c>
      <c r="R1001" t="inlineStr">
        <is>
          <t>Dubai Mall</t>
        </is>
      </c>
      <c r="S1001" t="inlineStr">
        <is>
          <t>Al Khail E44</t>
        </is>
      </c>
      <c r="T1001" t="inlineStr">
        <is>
          <t>5</t>
        </is>
      </c>
      <c r="U1001" t="inlineStr">
        <is>
          <t>20</t>
        </is>
      </c>
      <c r="V1001" t="inlineStr">
        <is>
          <t>15</t>
        </is>
      </c>
      <c r="W1001" t="inlineStr">
        <is>
          <t>35</t>
        </is>
      </c>
      <c r="X1001" t="inlineStr">
        <is>
          <t>Guild.csv</t>
        </is>
      </c>
    </row>
    <row r="1002">
      <c r="A1002" t="n">
        <v>1001</v>
      </c>
      <c r="B1002" t="n">
        <v>465</v>
      </c>
      <c r="C1002" t="inlineStr">
        <is>
          <t>The Fields</t>
        </is>
      </c>
      <c r="D1002" t="inlineStr">
        <is>
          <t>G&amp;Co</t>
        </is>
      </c>
      <c r="E1002" t="inlineStr">
        <is>
          <t>MBR City (District 11)</t>
        </is>
      </c>
      <c r="F1002" t="inlineStr">
        <is>
          <t>Townhouses</t>
        </is>
      </c>
      <c r="G1002" t="inlineStr">
        <is>
          <t>Gated / Family</t>
        </is>
      </c>
      <c r="H1002" t="inlineStr">
        <is>
          <t>Resale (3.5M+)</t>
        </is>
      </c>
      <c r="I1002" t="inlineStr">
        <is>
          <t>1200</t>
        </is>
      </c>
      <c r="J1002" t="inlineStr">
        <is>
          <t>12</t>
        </is>
      </c>
      <c r="K1002" t="inlineStr">
        <is>
          <t>Completed</t>
        </is>
      </c>
      <c r="L1002" t="inlineStr">
        <is>
          <t>2019-2023</t>
        </is>
      </c>
      <c r="M1002" t="inlineStr">
        <is>
          <t>6.0-6.5</t>
        </is>
      </c>
      <c r="N1002" t="inlineStr">
        <is>
          <t>5-7</t>
        </is>
      </c>
      <c r="O1002" t="inlineStr">
        <is>
          <t>11.0-13.5</t>
        </is>
      </c>
      <c r="P1002" t="inlineStr">
        <is>
          <t>Kent College</t>
        </is>
      </c>
      <c r="Q1002" t="inlineStr">
        <is>
          <t>Fakeeh University Hosp</t>
        </is>
      </c>
      <c r="R1002" t="inlineStr">
        <is>
          <t>Dubai Outlet Mall</t>
        </is>
      </c>
      <c r="S1002" t="inlineStr">
        <is>
          <t>Al Ain Rd E66</t>
        </is>
      </c>
      <c r="T1002" t="inlineStr">
        <is>
          <t>15</t>
        </is>
      </c>
      <c r="U1002" t="inlineStr">
        <is>
          <t>20</t>
        </is>
      </c>
      <c r="V1002" t="inlineStr">
        <is>
          <t>20</t>
        </is>
      </c>
      <c r="W1002" t="inlineStr">
        <is>
          <t>30</t>
        </is>
      </c>
      <c r="X1002" t="inlineStr">
        <is>
          <t>Guild.csv</t>
        </is>
      </c>
    </row>
    <row r="1003">
      <c r="A1003" t="n">
        <v>1002</v>
      </c>
      <c r="B1003" t="n">
        <v>466</v>
      </c>
      <c r="C1003" t="inlineStr">
        <is>
          <t>Elie Saab Townhouses</t>
        </is>
      </c>
      <c r="D1003" t="inlineStr">
        <is>
          <t>G&amp;Co</t>
        </is>
      </c>
      <c r="E1003" t="inlineStr">
        <is>
          <t>The Fields (MBR City)</t>
        </is>
      </c>
      <c r="F1003" t="inlineStr">
        <is>
          <t>Branded TH</t>
        </is>
      </c>
      <c r="G1003" t="inlineStr">
        <is>
          <t>Fashion / Design</t>
        </is>
      </c>
      <c r="H1003" t="inlineStr">
        <is>
          <t>4.5M</t>
        </is>
      </c>
      <c r="I1003" t="inlineStr">
        <is>
          <t>1400</t>
        </is>
      </c>
      <c r="J1003" t="inlineStr">
        <is>
          <t>15</t>
        </is>
      </c>
      <c r="K1003" t="inlineStr">
        <is>
          <t>Completed</t>
        </is>
      </c>
      <c r="L1003" t="inlineStr">
        <is>
          <t>2022</t>
        </is>
      </c>
      <c r="M1003" t="inlineStr">
        <is>
          <t>6.0-6.5</t>
        </is>
      </c>
      <c r="N1003" t="inlineStr">
        <is>
          <t>5-7</t>
        </is>
      </c>
      <c r="O1003" t="inlineStr">
        <is>
          <t>11.0-13.5</t>
        </is>
      </c>
      <c r="P1003" t="inlineStr">
        <is>
          <t>Kent College</t>
        </is>
      </c>
      <c r="Q1003" t="inlineStr">
        <is>
          <t>Fakeeh University Hosp</t>
        </is>
      </c>
      <c r="R1003" t="inlineStr">
        <is>
          <t>Dubai Outlet Mall</t>
        </is>
      </c>
      <c r="S1003" t="inlineStr">
        <is>
          <t>Al Ain Rd E66</t>
        </is>
      </c>
      <c r="T1003" t="inlineStr">
        <is>
          <t>15</t>
        </is>
      </c>
      <c r="U1003" t="inlineStr">
        <is>
          <t>20</t>
        </is>
      </c>
      <c r="V1003" t="inlineStr">
        <is>
          <t>20</t>
        </is>
      </c>
      <c r="W1003" t="inlineStr">
        <is>
          <t>30</t>
        </is>
      </c>
      <c r="X1003" t="inlineStr">
        <is>
          <t>Guild.csv</t>
        </is>
      </c>
    </row>
    <row r="1004">
      <c r="A1004" t="n">
        <v>1003</v>
      </c>
      <c r="B1004" t="n">
        <v>467</v>
      </c>
      <c r="C1004" t="inlineStr">
        <is>
          <t>Grand Views</t>
        </is>
      </c>
      <c r="D1004" t="inlineStr">
        <is>
          <t>G&amp;Co</t>
        </is>
      </c>
      <c r="E1004" t="inlineStr">
        <is>
          <t>MBR City (Millennium)</t>
        </is>
      </c>
      <c r="F1004" t="inlineStr">
        <is>
          <t>Villas &amp; TH</t>
        </is>
      </c>
      <c r="G1004" t="inlineStr">
        <is>
          <t>Gated / Luxury</t>
        </is>
      </c>
      <c r="H1004" t="inlineStr">
        <is>
          <t>Resale (6M+)</t>
        </is>
      </c>
      <c r="I1004" t="inlineStr">
        <is>
          <t>1300</t>
        </is>
      </c>
      <c r="J1004" t="inlineStr">
        <is>
          <t>12</t>
        </is>
      </c>
      <c r="K1004" t="inlineStr">
        <is>
          <t>Completed</t>
        </is>
      </c>
      <c r="L1004" t="inlineStr">
        <is>
          <t>2018</t>
        </is>
      </c>
      <c r="M1004" t="inlineStr">
        <is>
          <t>5.5-6.0</t>
        </is>
      </c>
      <c r="N1004" t="inlineStr">
        <is>
          <t>5-7</t>
        </is>
      </c>
      <c r="O1004" t="inlineStr">
        <is>
          <t>10.5-13.0</t>
        </is>
      </c>
      <c r="P1004" t="inlineStr">
        <is>
          <t>Repton School</t>
        </is>
      </c>
      <c r="Q1004" t="inlineStr">
        <is>
          <t>Nad Al Sheba Health</t>
        </is>
      </c>
      <c r="R1004" t="inlineStr">
        <is>
          <t>Meydan One (Planned)</t>
        </is>
      </c>
      <c r="S1004" t="inlineStr">
        <is>
          <t>Al Ain Rd E66</t>
        </is>
      </c>
      <c r="T1004" t="inlineStr">
        <is>
          <t>15</t>
        </is>
      </c>
      <c r="U1004" t="inlineStr">
        <is>
          <t>20</t>
        </is>
      </c>
      <c r="V1004" t="inlineStr">
        <is>
          <t>20</t>
        </is>
      </c>
      <c r="W1004" t="inlineStr">
        <is>
          <t>30</t>
        </is>
      </c>
      <c r="X1004" t="inlineStr">
        <is>
          <t>Guild.csv</t>
        </is>
      </c>
    </row>
    <row r="1005">
      <c r="A1005" t="n">
        <v>1004</v>
      </c>
      <c r="B1005" t="n">
        <v>468</v>
      </c>
      <c r="C1005" t="inlineStr">
        <is>
          <t>Millennium Estates</t>
        </is>
      </c>
      <c r="D1005" t="inlineStr">
        <is>
          <t>G&amp;Co</t>
        </is>
      </c>
      <c r="E1005" t="inlineStr">
        <is>
          <t>MBR City</t>
        </is>
      </c>
      <c r="F1005" t="inlineStr">
        <is>
          <t>Villas</t>
        </is>
      </c>
      <c r="G1005" t="inlineStr">
        <is>
          <t>Gated / Luxury</t>
        </is>
      </c>
      <c r="H1005" t="inlineStr">
        <is>
          <t>Resale (8M+)</t>
        </is>
      </c>
      <c r="I1005" t="inlineStr">
        <is>
          <t>1200</t>
        </is>
      </c>
      <c r="J1005" t="inlineStr">
        <is>
          <t>12</t>
        </is>
      </c>
      <c r="K1005" t="inlineStr">
        <is>
          <t>Completed</t>
        </is>
      </c>
      <c r="L1005" t="inlineStr">
        <is>
          <t>2015</t>
        </is>
      </c>
      <c r="M1005" t="inlineStr">
        <is>
          <t>5.5-6.0</t>
        </is>
      </c>
      <c r="N1005" t="inlineStr">
        <is>
          <t>5-7</t>
        </is>
      </c>
      <c r="O1005" t="inlineStr">
        <is>
          <t>10.5-13.0</t>
        </is>
      </c>
      <c r="P1005" t="inlineStr">
        <is>
          <t>Repton School</t>
        </is>
      </c>
      <c r="Q1005" t="inlineStr">
        <is>
          <t>Nad Al Sheba Health</t>
        </is>
      </c>
      <c r="R1005" t="inlineStr">
        <is>
          <t>Meydan One (Planned)</t>
        </is>
      </c>
      <c r="S1005" t="inlineStr">
        <is>
          <t>Al Ain Rd E66</t>
        </is>
      </c>
      <c r="T1005" t="inlineStr">
        <is>
          <t>15</t>
        </is>
      </c>
      <c r="U1005" t="inlineStr">
        <is>
          <t>20</t>
        </is>
      </c>
      <c r="V1005" t="inlineStr">
        <is>
          <t>20</t>
        </is>
      </c>
      <c r="W1005" t="inlineStr">
        <is>
          <t>30</t>
        </is>
      </c>
      <c r="X1005" t="inlineStr">
        <is>
          <t>Guild.csv</t>
        </is>
      </c>
    </row>
    <row r="1006">
      <c r="A1006" t="n">
        <v>1005</v>
      </c>
      <c r="B1006" t="n">
        <v>469</v>
      </c>
      <c r="C1006" t="inlineStr">
        <is>
          <t>ZāZEN One</t>
        </is>
      </c>
      <c r="D1006" t="inlineStr">
        <is>
          <t>ZāZEN Properties</t>
        </is>
      </c>
      <c r="E1006" t="inlineStr">
        <is>
          <t>JVT</t>
        </is>
      </c>
      <c r="F1006" t="inlineStr">
        <is>
          <t>Apartments</t>
        </is>
      </c>
      <c r="G1006" t="inlineStr">
        <is>
          <t>Sustainable</t>
        </is>
      </c>
      <c r="H1006" t="inlineStr">
        <is>
          <t>Resale (1M+)</t>
        </is>
      </c>
      <c r="I1006" t="inlineStr">
        <is>
          <t>1100</t>
        </is>
      </c>
      <c r="J1006" t="inlineStr">
        <is>
          <t>14</t>
        </is>
      </c>
      <c r="K1006" t="inlineStr">
        <is>
          <t>Completed</t>
        </is>
      </c>
      <c r="L1006" t="inlineStr">
        <is>
          <t>2021</t>
        </is>
      </c>
      <c r="M1006" t="inlineStr">
        <is>
          <t>7.0-7.5</t>
        </is>
      </c>
      <c r="N1006" t="inlineStr">
        <is>
          <t>5-7</t>
        </is>
      </c>
      <c r="O1006" t="inlineStr">
        <is>
          <t>12.0-14.5</t>
        </is>
      </c>
      <c r="P1006" t="inlineStr">
        <is>
          <t>Sunmarke School</t>
        </is>
      </c>
      <c r="Q1006" t="inlineStr">
        <is>
          <t>NMC Royal DIP</t>
        </is>
      </c>
      <c r="R1006" t="inlineStr">
        <is>
          <t>Circle Mall</t>
        </is>
      </c>
      <c r="S1006" t="inlineStr">
        <is>
          <t>E311 / Yalayis</t>
        </is>
      </c>
      <c r="T1006" t="inlineStr">
        <is>
          <t>20</t>
        </is>
      </c>
      <c r="U1006" t="inlineStr">
        <is>
          <t>15</t>
        </is>
      </c>
      <c r="V1006" t="inlineStr">
        <is>
          <t>30</t>
        </is>
      </c>
      <c r="W1006" t="inlineStr">
        <is>
          <t>20</t>
        </is>
      </c>
      <c r="X1006" t="inlineStr">
        <is>
          <t>Guild.csv</t>
        </is>
      </c>
    </row>
    <row r="1007">
      <c r="A1007" t="n">
        <v>1006</v>
      </c>
      <c r="B1007" t="n">
        <v>470</v>
      </c>
      <c r="C1007" t="inlineStr">
        <is>
          <t>ZāZEN Gardens</t>
        </is>
      </c>
      <c r="D1007" t="inlineStr">
        <is>
          <t>ZāZEN Properties</t>
        </is>
      </c>
      <c r="E1007" t="inlineStr">
        <is>
          <t>Al Furjan</t>
        </is>
      </c>
      <c r="F1007" t="inlineStr">
        <is>
          <t>Apartments</t>
        </is>
      </c>
      <c r="G1007" t="inlineStr">
        <is>
          <t>LEED Gold</t>
        </is>
      </c>
      <c r="H1007" t="inlineStr">
        <is>
          <t>1.2M</t>
        </is>
      </c>
      <c r="I1007" t="inlineStr">
        <is>
          <t>1200</t>
        </is>
      </c>
      <c r="J1007" t="inlineStr">
        <is>
          <t>14</t>
        </is>
      </c>
      <c r="K1007" t="inlineStr">
        <is>
          <t>Completed</t>
        </is>
      </c>
      <c r="L1007" t="inlineStr">
        <is>
          <t>2023</t>
        </is>
      </c>
      <c r="M1007" t="inlineStr">
        <is>
          <t>7.0-7.5</t>
        </is>
      </c>
      <c r="N1007" t="inlineStr">
        <is>
          <t>6-8</t>
        </is>
      </c>
      <c r="O1007" t="inlineStr">
        <is>
          <t>13.0-15.5</t>
        </is>
      </c>
      <c r="P1007" t="inlineStr">
        <is>
          <t>The Arbor School</t>
        </is>
      </c>
      <c r="Q1007" t="inlineStr">
        <is>
          <t>NMC Royal DIP</t>
        </is>
      </c>
      <c r="R1007" t="inlineStr">
        <is>
          <t>Ibn Battuta Mall</t>
        </is>
      </c>
      <c r="S1007" t="inlineStr">
        <is>
          <t>Yalayis / E311</t>
        </is>
      </c>
      <c r="T1007" t="inlineStr">
        <is>
          <t>25</t>
        </is>
      </c>
      <c r="U1007" t="inlineStr">
        <is>
          <t>15</t>
        </is>
      </c>
      <c r="V1007" t="inlineStr">
        <is>
          <t>30</t>
        </is>
      </c>
      <c r="W1007" t="inlineStr">
        <is>
          <t>20</t>
        </is>
      </c>
      <c r="X1007" t="inlineStr">
        <is>
          <t>Guild.csv</t>
        </is>
      </c>
    </row>
    <row r="1008">
      <c r="A1008" t="n">
        <v>1007</v>
      </c>
      <c r="B1008" t="n">
        <v>471</v>
      </c>
      <c r="C1008" t="inlineStr">
        <is>
          <t>ZāZEN Ivy</t>
        </is>
      </c>
      <c r="D1008" t="inlineStr">
        <is>
          <t>ZāZEN Properties</t>
        </is>
      </c>
      <c r="E1008" t="inlineStr">
        <is>
          <t>Al Furjan</t>
        </is>
      </c>
      <c r="F1008" t="inlineStr">
        <is>
          <t>Apartments</t>
        </is>
      </c>
      <c r="G1008" t="inlineStr">
        <is>
          <t>Sustainable</t>
        </is>
      </c>
      <c r="H1008" t="inlineStr">
        <is>
          <t>1.3M</t>
        </is>
      </c>
      <c r="I1008" t="inlineStr">
        <is>
          <t>1250</t>
        </is>
      </c>
      <c r="J1008" t="inlineStr">
        <is>
          <t>14</t>
        </is>
      </c>
      <c r="K1008" t="inlineStr">
        <is>
          <t>50/50</t>
        </is>
      </c>
      <c r="L1008" t="inlineStr">
        <is>
          <t>2024</t>
        </is>
      </c>
      <c r="M1008" t="inlineStr">
        <is>
          <t>7.0-7.5</t>
        </is>
      </c>
      <c r="N1008" t="inlineStr">
        <is>
          <t>6-8</t>
        </is>
      </c>
      <c r="O1008" t="inlineStr">
        <is>
          <t>13.0-15.5</t>
        </is>
      </c>
      <c r="P1008" t="inlineStr">
        <is>
          <t>The Arbor School</t>
        </is>
      </c>
      <c r="Q1008" t="inlineStr">
        <is>
          <t>NMC Royal DIP</t>
        </is>
      </c>
      <c r="R1008" t="inlineStr">
        <is>
          <t>Ibn Battuta Mall</t>
        </is>
      </c>
      <c r="S1008" t="inlineStr">
        <is>
          <t>Yalayis / E311</t>
        </is>
      </c>
      <c r="T1008" t="inlineStr">
        <is>
          <t>25</t>
        </is>
      </c>
      <c r="U1008" t="inlineStr">
        <is>
          <t>15</t>
        </is>
      </c>
      <c r="V1008" t="inlineStr">
        <is>
          <t>30</t>
        </is>
      </c>
      <c r="W1008" t="inlineStr">
        <is>
          <t>20</t>
        </is>
      </c>
      <c r="X1008" t="inlineStr">
        <is>
          <t>Guild.csv</t>
        </is>
      </c>
    </row>
    <row r="1009">
      <c r="A1009" t="n">
        <v>1008</v>
      </c>
      <c r="B1009" t="n">
        <v>472</v>
      </c>
      <c r="C1009" t="inlineStr">
        <is>
          <t>XXII Carat</t>
        </is>
      </c>
      <c r="D1009" t="inlineStr">
        <is>
          <t>Forum Group</t>
        </is>
      </c>
      <c r="E1009" t="inlineStr">
        <is>
          <t>Palm Jumeirah</t>
        </is>
      </c>
      <c r="F1009" t="inlineStr">
        <is>
          <t>Villas</t>
        </is>
      </c>
      <c r="G1009" t="inlineStr">
        <is>
          <t>Ultra-Luxury / Classic</t>
        </is>
      </c>
      <c r="H1009" t="inlineStr">
        <is>
          <t>40M+</t>
        </is>
      </c>
      <c r="I1009" t="inlineStr">
        <is>
          <t>5000+</t>
        </is>
      </c>
      <c r="J1009" t="inlineStr">
        <is>
          <t>50+</t>
        </is>
      </c>
      <c r="K1009" t="inlineStr">
        <is>
          <t>Completed</t>
        </is>
      </c>
      <c r="L1009" t="inlineStr">
        <is>
          <t>2017</t>
        </is>
      </c>
      <c r="M1009" t="inlineStr">
        <is>
          <t>3.0-3.5</t>
        </is>
      </c>
      <c r="N1009" t="inlineStr">
        <is>
          <t>5-8</t>
        </is>
      </c>
      <c r="O1009" t="inlineStr">
        <is>
          <t>8.0-11.5</t>
        </is>
      </c>
      <c r="P1009" t="inlineStr">
        <is>
          <t>Chevalier College</t>
        </is>
      </c>
      <c r="Q1009" t="inlineStr">
        <is>
          <t>Emirates Hospital</t>
        </is>
      </c>
      <c r="R1009" t="inlineStr">
        <is>
          <t>Nakheel Mall</t>
        </is>
      </c>
      <c r="S1009" t="inlineStr">
        <is>
          <t>Sheikh Zayed E11</t>
        </is>
      </c>
      <c r="T1009" t="inlineStr">
        <is>
          <t>20</t>
        </is>
      </c>
      <c r="U1009" t="inlineStr">
        <is>
          <t>10</t>
        </is>
      </c>
      <c r="V1009" t="inlineStr">
        <is>
          <t>25</t>
        </is>
      </c>
      <c r="W1009" t="inlineStr">
        <is>
          <t>35</t>
        </is>
      </c>
      <c r="X1009" t="inlineStr">
        <is>
          <t>Guild.csv</t>
        </is>
      </c>
    </row>
    <row r="1010">
      <c r="A1010" t="n">
        <v>1009</v>
      </c>
      <c r="B1010" t="n">
        <v>473</v>
      </c>
      <c r="C1010" t="inlineStr">
        <is>
          <t>FH Residency</t>
        </is>
      </c>
      <c r="D1010" t="inlineStr">
        <is>
          <t>Forum Group</t>
        </is>
      </c>
      <c r="E1010" t="inlineStr">
        <is>
          <t>JVT</t>
        </is>
      </c>
      <c r="F1010" t="inlineStr">
        <is>
          <t>Apartments</t>
        </is>
      </c>
      <c r="G1010" t="inlineStr">
        <is>
          <t>Family</t>
        </is>
      </c>
      <c r="H1010" t="inlineStr">
        <is>
          <t>800k</t>
        </is>
      </c>
      <c r="I1010" t="inlineStr">
        <is>
          <t>1100</t>
        </is>
      </c>
      <c r="J1010" t="inlineStr">
        <is>
          <t>15</t>
        </is>
      </c>
      <c r="K1010" t="inlineStr">
        <is>
          <t>TBA</t>
        </is>
      </c>
      <c r="L1010" t="inlineStr">
        <is>
          <t>2023</t>
        </is>
      </c>
      <c r="M1010" t="inlineStr">
        <is>
          <t>7.0-7.5</t>
        </is>
      </c>
      <c r="N1010" t="inlineStr">
        <is>
          <t>6-8</t>
        </is>
      </c>
      <c r="O1010" t="inlineStr">
        <is>
          <t>13.0-15.5</t>
        </is>
      </c>
      <c r="P1010" t="inlineStr">
        <is>
          <t>Sunmarke School</t>
        </is>
      </c>
      <c r="Q1010" t="inlineStr">
        <is>
          <t>NMC Royal DIP</t>
        </is>
      </c>
      <c r="R1010" t="inlineStr">
        <is>
          <t>Circle Mall</t>
        </is>
      </c>
      <c r="S1010" t="inlineStr">
        <is>
          <t>E311 / Yalayis</t>
        </is>
      </c>
      <c r="T1010" t="inlineStr">
        <is>
          <t>20</t>
        </is>
      </c>
      <c r="U1010" t="inlineStr">
        <is>
          <t>15</t>
        </is>
      </c>
      <c r="V1010" t="inlineStr">
        <is>
          <t>30</t>
        </is>
      </c>
      <c r="W1010" t="inlineStr">
        <is>
          <t>20</t>
        </is>
      </c>
      <c r="X1010" t="inlineStr">
        <is>
          <t>Guild.csv</t>
        </is>
      </c>
    </row>
    <row r="1011">
      <c r="A1011" t="n">
        <v>1010</v>
      </c>
      <c r="B1011" t="n">
        <v>474</v>
      </c>
      <c r="C1011" t="inlineStr">
        <is>
          <t>Beach Walk</t>
        </is>
      </c>
      <c r="D1011" t="inlineStr">
        <is>
          <t>Imtiaz Developments</t>
        </is>
      </c>
      <c r="E1011" t="inlineStr">
        <is>
          <t>Dubai Islands</t>
        </is>
      </c>
      <c r="F1011" t="inlineStr">
        <is>
          <t>Apartments</t>
        </is>
      </c>
      <c r="G1011" t="inlineStr">
        <is>
          <t>Beachfront</t>
        </is>
      </c>
      <c r="H1011" t="inlineStr">
        <is>
          <t>1.8M</t>
        </is>
      </c>
      <c r="I1011" t="inlineStr">
        <is>
          <t>1800</t>
        </is>
      </c>
      <c r="J1011" t="inlineStr">
        <is>
          <t>18</t>
        </is>
      </c>
      <c r="K1011" t="inlineStr">
        <is>
          <t>60/40</t>
        </is>
      </c>
      <c r="L1011" t="inlineStr">
        <is>
          <t>2024</t>
        </is>
      </c>
      <c r="M1011" t="inlineStr">
        <is>
          <t>6.5-7.0</t>
        </is>
      </c>
      <c r="N1011" t="inlineStr">
        <is>
          <t>10-12</t>
        </is>
      </c>
      <c r="O1011" t="inlineStr">
        <is>
          <t>16.5-19.0</t>
        </is>
      </c>
      <c r="P1011" t="inlineStr">
        <is>
          <t>The Elite English</t>
        </is>
      </c>
      <c r="Q1011" t="inlineStr">
        <is>
          <t>Dubai Hospital</t>
        </is>
      </c>
      <c r="R1011" t="inlineStr">
        <is>
          <t>City Centre Deira</t>
        </is>
      </c>
      <c r="S1011" t="inlineStr">
        <is>
          <t>Infinity Bridge</t>
        </is>
      </c>
      <c r="T1011" t="inlineStr">
        <is>
          <t>20</t>
        </is>
      </c>
      <c r="U1011" t="inlineStr">
        <is>
          <t>35</t>
        </is>
      </c>
      <c r="V1011" t="inlineStr">
        <is>
          <t>15</t>
        </is>
      </c>
      <c r="W1011" t="inlineStr">
        <is>
          <t>45</t>
        </is>
      </c>
      <c r="X1011" t="inlineStr">
        <is>
          <t>Guild.csv</t>
        </is>
      </c>
    </row>
    <row r="1012">
      <c r="A1012" t="n">
        <v>1011</v>
      </c>
      <c r="B1012" t="n">
        <v>475</v>
      </c>
      <c r="C1012" t="inlineStr">
        <is>
          <t>Luxor</t>
        </is>
      </c>
      <c r="D1012" t="inlineStr">
        <is>
          <t>Imtiaz Developments</t>
        </is>
      </c>
      <c r="E1012" t="inlineStr">
        <is>
          <t>JVC</t>
        </is>
      </c>
      <c r="F1012" t="inlineStr">
        <is>
          <t>Apartments</t>
        </is>
      </c>
      <c r="G1012" t="inlineStr">
        <is>
          <t>Modern</t>
        </is>
      </c>
      <c r="H1012" t="inlineStr">
        <is>
          <t>900k</t>
        </is>
      </c>
      <c r="I1012" t="inlineStr">
        <is>
          <t>1300</t>
        </is>
      </c>
      <c r="J1012" t="inlineStr">
        <is>
          <t>15</t>
        </is>
      </c>
      <c r="K1012" t="inlineStr">
        <is>
          <t>60/40</t>
        </is>
      </c>
      <c r="L1012" t="inlineStr">
        <is>
          <t>2023</t>
        </is>
      </c>
      <c r="M1012" t="inlineStr">
        <is>
          <t>7.5-8.0</t>
        </is>
      </c>
      <c r="N1012" t="inlineStr">
        <is>
          <t>6-8</t>
        </is>
      </c>
      <c r="O1012" t="inlineStr">
        <is>
          <t>13.5-16.0</t>
        </is>
      </c>
      <c r="P1012" t="inlineStr">
        <is>
          <t>JSS International</t>
        </is>
      </c>
      <c r="Q1012" t="inlineStr">
        <is>
          <t>Saudi German Hospital</t>
        </is>
      </c>
      <c r="R1012" t="inlineStr">
        <is>
          <t>Circle Mall</t>
        </is>
      </c>
      <c r="S1012" t="inlineStr">
        <is>
          <t>Hessa St / E44</t>
        </is>
      </c>
      <c r="T1012" t="inlineStr">
        <is>
          <t>20</t>
        </is>
      </c>
      <c r="U1012" t="inlineStr">
        <is>
          <t>15</t>
        </is>
      </c>
      <c r="V1012" t="inlineStr">
        <is>
          <t>25</t>
        </is>
      </c>
      <c r="W1012" t="inlineStr">
        <is>
          <t>30</t>
        </is>
      </c>
      <c r="X1012" t="inlineStr">
        <is>
          <t>Guild.csv</t>
        </is>
      </c>
    </row>
    <row r="1013">
      <c r="A1013" t="n">
        <v>1012</v>
      </c>
      <c r="B1013" t="n">
        <v>476</v>
      </c>
      <c r="C1013" t="inlineStr">
        <is>
          <t>Pearl House</t>
        </is>
      </c>
      <c r="D1013" t="inlineStr">
        <is>
          <t>Imtiaz Developments</t>
        </is>
      </c>
      <c r="E1013" t="inlineStr">
        <is>
          <t>JVC</t>
        </is>
      </c>
      <c r="F1013" t="inlineStr">
        <is>
          <t>Apartments</t>
        </is>
      </c>
      <c r="G1013" t="inlineStr">
        <is>
          <t>Modern</t>
        </is>
      </c>
      <c r="H1013" t="inlineStr">
        <is>
          <t>900k</t>
        </is>
      </c>
      <c r="I1013" t="inlineStr">
        <is>
          <t>1300</t>
        </is>
      </c>
      <c r="J1013" t="inlineStr">
        <is>
          <t>15</t>
        </is>
      </c>
      <c r="K1013" t="inlineStr">
        <is>
          <t>60/40</t>
        </is>
      </c>
      <c r="L1013" t="inlineStr">
        <is>
          <t>2023</t>
        </is>
      </c>
      <c r="M1013" t="inlineStr">
        <is>
          <t>7.5-8.0</t>
        </is>
      </c>
      <c r="N1013" t="inlineStr">
        <is>
          <t>6-8</t>
        </is>
      </c>
      <c r="O1013" t="inlineStr">
        <is>
          <t>13.5-16.0</t>
        </is>
      </c>
      <c r="P1013" t="inlineStr">
        <is>
          <t>JSS International</t>
        </is>
      </c>
      <c r="Q1013" t="inlineStr">
        <is>
          <t>Saudi German Hospital</t>
        </is>
      </c>
      <c r="R1013" t="inlineStr">
        <is>
          <t>Circle Mall</t>
        </is>
      </c>
      <c r="S1013" t="inlineStr">
        <is>
          <t>Hessa St / E44</t>
        </is>
      </c>
      <c r="T1013" t="inlineStr">
        <is>
          <t>20</t>
        </is>
      </c>
      <c r="U1013" t="inlineStr">
        <is>
          <t>15</t>
        </is>
      </c>
      <c r="V1013" t="inlineStr">
        <is>
          <t>25</t>
        </is>
      </c>
      <c r="W1013" t="inlineStr">
        <is>
          <t>30</t>
        </is>
      </c>
      <c r="X1013" t="inlineStr">
        <is>
          <t>Guild.csv</t>
        </is>
      </c>
    </row>
    <row r="1014">
      <c r="A1014" t="n">
        <v>1013</v>
      </c>
      <c r="B1014" t="n">
        <v>477</v>
      </c>
      <c r="C1014" t="inlineStr">
        <is>
          <t>Cove</t>
        </is>
      </c>
      <c r="D1014" t="inlineStr">
        <is>
          <t>Imtiaz Developments</t>
        </is>
      </c>
      <c r="E1014" t="inlineStr">
        <is>
          <t>Dubailand</t>
        </is>
      </c>
      <c r="F1014" t="inlineStr">
        <is>
          <t>Apartments</t>
        </is>
      </c>
      <c r="G1014" t="inlineStr">
        <is>
          <t>Hillside</t>
        </is>
      </c>
      <c r="H1014" t="inlineStr">
        <is>
          <t>1.2M</t>
        </is>
      </c>
      <c r="I1014" t="inlineStr">
        <is>
          <t>1100</t>
        </is>
      </c>
      <c r="J1014" t="inlineStr">
        <is>
          <t>15</t>
        </is>
      </c>
      <c r="K1014" t="inlineStr">
        <is>
          <t>60/40</t>
        </is>
      </c>
      <c r="L1014" t="inlineStr">
        <is>
          <t>2024</t>
        </is>
      </c>
      <c r="M1014" t="inlineStr">
        <is>
          <t>7.0-7.5</t>
        </is>
      </c>
      <c r="N1014" t="inlineStr">
        <is>
          <t>8-10</t>
        </is>
      </c>
      <c r="O1014" t="inlineStr">
        <is>
          <t>15.0-17.5</t>
        </is>
      </c>
      <c r="P1014" t="inlineStr">
        <is>
          <t>GEMS Winchester</t>
        </is>
      </c>
      <c r="Q1014" t="inlineStr">
        <is>
          <t>Fakeeh University Hosp</t>
        </is>
      </c>
      <c r="R1014" t="inlineStr">
        <is>
          <t>Dubai Outlet Mall</t>
        </is>
      </c>
      <c r="S1014" t="inlineStr">
        <is>
          <t>E611 / Al Ain Rd</t>
        </is>
      </c>
      <c r="T1014" t="inlineStr">
        <is>
          <t>20</t>
        </is>
      </c>
      <c r="U1014" t="inlineStr">
        <is>
          <t>25</t>
        </is>
      </c>
      <c r="V1014" t="inlineStr">
        <is>
          <t>25</t>
        </is>
      </c>
      <c r="W1014" t="inlineStr">
        <is>
          <t>30</t>
        </is>
      </c>
      <c r="X1014" t="inlineStr">
        <is>
          <t>Guild.csv</t>
        </is>
      </c>
    </row>
    <row r="1015">
      <c r="A1015" t="n">
        <v>1014</v>
      </c>
      <c r="B1015" t="n">
        <v>478</v>
      </c>
      <c r="C1015" t="inlineStr">
        <is>
          <t>Cove Edition 2</t>
        </is>
      </c>
      <c r="D1015" t="inlineStr">
        <is>
          <t>Imtiaz Developments</t>
        </is>
      </c>
      <c r="E1015" t="inlineStr">
        <is>
          <t>Dubailand</t>
        </is>
      </c>
      <c r="F1015" t="inlineStr">
        <is>
          <t>Apartments</t>
        </is>
      </c>
      <c r="G1015" t="inlineStr">
        <is>
          <t>Hillside</t>
        </is>
      </c>
      <c r="H1015" t="inlineStr">
        <is>
          <t>1.25M</t>
        </is>
      </c>
      <c r="I1015" t="inlineStr">
        <is>
          <t>1100</t>
        </is>
      </c>
      <c r="J1015" t="inlineStr">
        <is>
          <t>15</t>
        </is>
      </c>
      <c r="K1015" t="inlineStr">
        <is>
          <t>60/40</t>
        </is>
      </c>
      <c r="L1015" t="inlineStr">
        <is>
          <t>2024</t>
        </is>
      </c>
      <c r="M1015" t="inlineStr">
        <is>
          <t>7.0-7.5</t>
        </is>
      </c>
      <c r="N1015" t="inlineStr">
        <is>
          <t>8-10</t>
        </is>
      </c>
      <c r="O1015" t="inlineStr">
        <is>
          <t>15.0-17.5</t>
        </is>
      </c>
      <c r="P1015" t="inlineStr">
        <is>
          <t>GEMS Winchester</t>
        </is>
      </c>
      <c r="Q1015" t="inlineStr">
        <is>
          <t>Fakeeh University Hosp</t>
        </is>
      </c>
      <c r="R1015" t="inlineStr">
        <is>
          <t>Dubai Outlet Mall</t>
        </is>
      </c>
      <c r="S1015" t="inlineStr">
        <is>
          <t>E611 / Al Ain Rd</t>
        </is>
      </c>
      <c r="T1015" t="inlineStr">
        <is>
          <t>20</t>
        </is>
      </c>
      <c r="U1015" t="inlineStr">
        <is>
          <t>25</t>
        </is>
      </c>
      <c r="V1015" t="inlineStr">
        <is>
          <t>25</t>
        </is>
      </c>
      <c r="W1015" t="inlineStr">
        <is>
          <t>30</t>
        </is>
      </c>
      <c r="X1015" t="inlineStr">
        <is>
          <t>Guild.csv</t>
        </is>
      </c>
    </row>
    <row r="1016">
      <c r="A1016" t="n">
        <v>1015</v>
      </c>
      <c r="B1016" t="n">
        <v>479</v>
      </c>
      <c r="C1016" t="inlineStr">
        <is>
          <t>Westwood</t>
        </is>
      </c>
      <c r="D1016" t="inlineStr">
        <is>
          <t>Imtiaz Developments</t>
        </is>
      </c>
      <c r="E1016" t="inlineStr">
        <is>
          <t>Al Furjan</t>
        </is>
      </c>
      <c r="F1016" t="inlineStr">
        <is>
          <t>Apartments</t>
        </is>
      </c>
      <c r="G1016" t="inlineStr">
        <is>
          <t>Metro / Family</t>
        </is>
      </c>
      <c r="H1016" t="inlineStr">
        <is>
          <t>800k</t>
        </is>
      </c>
      <c r="I1016" t="inlineStr">
        <is>
          <t>1100</t>
        </is>
      </c>
      <c r="J1016" t="inlineStr">
        <is>
          <t>14</t>
        </is>
      </c>
      <c r="K1016" t="inlineStr">
        <is>
          <t>Completed</t>
        </is>
      </c>
      <c r="L1016" t="inlineStr">
        <is>
          <t>2022</t>
        </is>
      </c>
      <c r="M1016" t="inlineStr">
        <is>
          <t>7.0-7.5</t>
        </is>
      </c>
      <c r="N1016" t="inlineStr">
        <is>
          <t>5-7</t>
        </is>
      </c>
      <c r="O1016" t="inlineStr">
        <is>
          <t>12.0-14.5</t>
        </is>
      </c>
      <c r="P1016" t="inlineStr">
        <is>
          <t>The Arbor School</t>
        </is>
      </c>
      <c r="Q1016" t="inlineStr">
        <is>
          <t>NMC Royal DIP</t>
        </is>
      </c>
      <c r="R1016" t="inlineStr">
        <is>
          <t>Ibn Battuta Mall</t>
        </is>
      </c>
      <c r="S1016" t="inlineStr">
        <is>
          <t>Yalayis / E311</t>
        </is>
      </c>
      <c r="T1016" t="inlineStr">
        <is>
          <t>25</t>
        </is>
      </c>
      <c r="U1016" t="inlineStr">
        <is>
          <t>15</t>
        </is>
      </c>
      <c r="V1016" t="inlineStr">
        <is>
          <t>30</t>
        </is>
      </c>
      <c r="W1016" t="inlineStr">
        <is>
          <t>20</t>
        </is>
      </c>
      <c r="X1016" t="inlineStr">
        <is>
          <t>Guild.csv</t>
        </is>
      </c>
    </row>
    <row r="1017">
      <c r="A1017" t="n">
        <v>1016</v>
      </c>
      <c r="B1017" t="n">
        <v>480</v>
      </c>
      <c r="C1017" t="inlineStr">
        <is>
          <t>Westwood Grande</t>
        </is>
      </c>
      <c r="D1017" t="inlineStr">
        <is>
          <t>Imtiaz Developments</t>
        </is>
      </c>
      <c r="E1017" t="inlineStr">
        <is>
          <t>Al Furjan</t>
        </is>
      </c>
      <c r="F1017" t="inlineStr">
        <is>
          <t>Apartments</t>
        </is>
      </c>
      <c r="G1017" t="inlineStr">
        <is>
          <t>Metro / Family</t>
        </is>
      </c>
      <c r="H1017" t="inlineStr">
        <is>
          <t>850k</t>
        </is>
      </c>
      <c r="I1017" t="inlineStr">
        <is>
          <t>1100</t>
        </is>
      </c>
      <c r="J1017" t="inlineStr">
        <is>
          <t>14</t>
        </is>
      </c>
      <c r="K1017" t="inlineStr">
        <is>
          <t>60/40</t>
        </is>
      </c>
      <c r="L1017" t="inlineStr">
        <is>
          <t>2023</t>
        </is>
      </c>
      <c r="M1017" t="inlineStr">
        <is>
          <t>7.0-7.5</t>
        </is>
      </c>
      <c r="N1017" t="inlineStr">
        <is>
          <t>6-8</t>
        </is>
      </c>
      <c r="O1017" t="inlineStr">
        <is>
          <t>13.0-15.5</t>
        </is>
      </c>
      <c r="P1017" t="inlineStr">
        <is>
          <t>The Arbor School</t>
        </is>
      </c>
      <c r="Q1017" t="inlineStr">
        <is>
          <t>NMC Royal DIP</t>
        </is>
      </c>
      <c r="R1017" t="inlineStr">
        <is>
          <t>Ibn Battuta Mall</t>
        </is>
      </c>
      <c r="S1017" t="inlineStr">
        <is>
          <t>Yalayis / E311</t>
        </is>
      </c>
      <c r="T1017" t="inlineStr">
        <is>
          <t>25</t>
        </is>
      </c>
      <c r="U1017" t="inlineStr">
        <is>
          <t>15</t>
        </is>
      </c>
      <c r="V1017" t="inlineStr">
        <is>
          <t>30</t>
        </is>
      </c>
      <c r="W1017" t="inlineStr">
        <is>
          <t>20</t>
        </is>
      </c>
      <c r="X1017" t="inlineStr">
        <is>
          <t>Guild.csv</t>
        </is>
      </c>
    </row>
    <row r="1018">
      <c r="A1018" t="n">
        <v>1017</v>
      </c>
      <c r="B1018" t="n">
        <v>481</v>
      </c>
      <c r="C1018" t="inlineStr">
        <is>
          <t>Yorkville</t>
        </is>
      </c>
      <c r="D1018" t="inlineStr">
        <is>
          <t>Imtiaz Developments</t>
        </is>
      </c>
      <c r="E1018" t="inlineStr">
        <is>
          <t>Al Furjan</t>
        </is>
      </c>
      <c r="F1018" t="inlineStr">
        <is>
          <t>Apartments</t>
        </is>
      </c>
      <c r="G1018" t="inlineStr">
        <is>
          <t>Modern</t>
        </is>
      </c>
      <c r="H1018" t="inlineStr">
        <is>
          <t>900k</t>
        </is>
      </c>
      <c r="I1018" t="inlineStr">
        <is>
          <t>1150</t>
        </is>
      </c>
      <c r="J1018" t="inlineStr">
        <is>
          <t>14</t>
        </is>
      </c>
      <c r="K1018" t="inlineStr">
        <is>
          <t>60/40</t>
        </is>
      </c>
      <c r="L1018" t="inlineStr">
        <is>
          <t>2024</t>
        </is>
      </c>
      <c r="M1018" t="inlineStr">
        <is>
          <t>7.0-7.5</t>
        </is>
      </c>
      <c r="N1018" t="inlineStr">
        <is>
          <t>6-8</t>
        </is>
      </c>
      <c r="O1018" t="inlineStr">
        <is>
          <t>13.0-15.5</t>
        </is>
      </c>
      <c r="P1018" t="inlineStr">
        <is>
          <t>The Arbor School</t>
        </is>
      </c>
      <c r="Q1018" t="inlineStr">
        <is>
          <t>NMC Royal DIP</t>
        </is>
      </c>
      <c r="R1018" t="inlineStr">
        <is>
          <t>Ibn Battuta Mall</t>
        </is>
      </c>
      <c r="S1018" t="inlineStr">
        <is>
          <t>Yalayis / E311</t>
        </is>
      </c>
      <c r="T1018" t="inlineStr">
        <is>
          <t>25</t>
        </is>
      </c>
      <c r="U1018" t="inlineStr">
        <is>
          <t>15</t>
        </is>
      </c>
      <c r="V1018" t="inlineStr">
        <is>
          <t>30</t>
        </is>
      </c>
      <c r="W1018" t="inlineStr">
        <is>
          <t>20</t>
        </is>
      </c>
      <c r="X1018" t="inlineStr">
        <is>
          <t>Guild.csv</t>
        </is>
      </c>
    </row>
    <row r="1019">
      <c r="A1019" t="n">
        <v>1018</v>
      </c>
      <c r="B1019" t="n">
        <v>482</v>
      </c>
      <c r="C1019" t="inlineStr">
        <is>
          <t>Le Blanc</t>
        </is>
      </c>
      <c r="D1019" t="inlineStr">
        <is>
          <t>Imtiaz Developments</t>
        </is>
      </c>
      <c r="E1019" t="inlineStr">
        <is>
          <t>JVC</t>
        </is>
      </c>
      <c r="F1019" t="inlineStr">
        <is>
          <t>Apartments</t>
        </is>
      </c>
      <c r="G1019" t="inlineStr">
        <is>
          <t>Boutique</t>
        </is>
      </c>
      <c r="H1019" t="inlineStr">
        <is>
          <t>Resale</t>
        </is>
      </c>
      <c r="I1019" t="inlineStr">
        <is>
          <t>1200</t>
        </is>
      </c>
      <c r="J1019" t="inlineStr">
        <is>
          <t>15</t>
        </is>
      </c>
      <c r="K1019" t="inlineStr">
        <is>
          <t>Completed</t>
        </is>
      </c>
      <c r="L1019" t="inlineStr">
        <is>
          <t>2021</t>
        </is>
      </c>
      <c r="M1019" t="inlineStr">
        <is>
          <t>7.5-8.0</t>
        </is>
      </c>
      <c r="N1019" t="inlineStr">
        <is>
          <t>5-7</t>
        </is>
      </c>
      <c r="O1019" t="inlineStr">
        <is>
          <t>12.5-15.0</t>
        </is>
      </c>
      <c r="P1019" t="inlineStr">
        <is>
          <t>JSS International</t>
        </is>
      </c>
      <c r="Q1019" t="inlineStr">
        <is>
          <t>Saudi German Hospital</t>
        </is>
      </c>
      <c r="R1019" t="inlineStr">
        <is>
          <t>Circle Mall</t>
        </is>
      </c>
      <c r="S1019" t="inlineStr">
        <is>
          <t>Hessa St / E44</t>
        </is>
      </c>
      <c r="T1019" t="inlineStr">
        <is>
          <t>20</t>
        </is>
      </c>
      <c r="U1019" t="inlineStr">
        <is>
          <t>15</t>
        </is>
      </c>
      <c r="V1019" t="inlineStr">
        <is>
          <t>25</t>
        </is>
      </c>
      <c r="W1019" t="inlineStr">
        <is>
          <t>30</t>
        </is>
      </c>
      <c r="X1019" t="inlineStr">
        <is>
          <t>Guild.csv</t>
        </is>
      </c>
    </row>
    <row r="1020">
      <c r="A1020" t="n">
        <v>1019</v>
      </c>
      <c r="B1020" t="n">
        <v>483</v>
      </c>
      <c r="C1020" t="inlineStr">
        <is>
          <t>Peace Lagoons Phase 1</t>
        </is>
      </c>
      <c r="D1020" t="inlineStr">
        <is>
          <t>Peace Homes</t>
        </is>
      </c>
      <c r="E1020" t="inlineStr">
        <is>
          <t>Dubailand</t>
        </is>
      </c>
      <c r="F1020" t="inlineStr">
        <is>
          <t>Apartments</t>
        </is>
      </c>
      <c r="G1020" t="inlineStr">
        <is>
          <t>Lagoon View</t>
        </is>
      </c>
      <c r="H1020" t="inlineStr">
        <is>
          <t>800k</t>
        </is>
      </c>
      <c r="I1020" t="inlineStr">
        <is>
          <t>1000</t>
        </is>
      </c>
      <c r="J1020" t="inlineStr">
        <is>
          <t>15</t>
        </is>
      </c>
      <c r="K1020" t="inlineStr">
        <is>
          <t>60/40</t>
        </is>
      </c>
      <c r="L1020" t="inlineStr">
        <is>
          <t>2024</t>
        </is>
      </c>
      <c r="M1020" t="inlineStr">
        <is>
          <t>7.0-7.5</t>
        </is>
      </c>
      <c r="N1020" t="inlineStr">
        <is>
          <t>8-10</t>
        </is>
      </c>
      <c r="O1020" t="inlineStr">
        <is>
          <t>15.0-17.5</t>
        </is>
      </c>
      <c r="P1020" t="inlineStr">
        <is>
          <t>GEMS Winchester</t>
        </is>
      </c>
      <c r="Q1020" t="inlineStr">
        <is>
          <t>Fakeeh University Hosp</t>
        </is>
      </c>
      <c r="R1020" t="inlineStr">
        <is>
          <t>Dubai Outlet Mall</t>
        </is>
      </c>
      <c r="S1020" t="inlineStr">
        <is>
          <t>E611 / Al Ain Rd</t>
        </is>
      </c>
      <c r="T1020" t="inlineStr">
        <is>
          <t>20</t>
        </is>
      </c>
      <c r="U1020" t="inlineStr">
        <is>
          <t>25</t>
        </is>
      </c>
      <c r="V1020" t="inlineStr">
        <is>
          <t>25</t>
        </is>
      </c>
      <c r="W1020" t="inlineStr">
        <is>
          <t>30</t>
        </is>
      </c>
      <c r="X1020" t="inlineStr">
        <is>
          <t>Guild.csv</t>
        </is>
      </c>
    </row>
    <row r="1021">
      <c r="A1021" t="n">
        <v>1020</v>
      </c>
      <c r="B1021" t="n">
        <v>484</v>
      </c>
      <c r="C1021" t="inlineStr">
        <is>
          <t>Peace Lagoons Phase 2</t>
        </is>
      </c>
      <c r="D1021" t="inlineStr">
        <is>
          <t>Peace Homes</t>
        </is>
      </c>
      <c r="E1021" t="inlineStr">
        <is>
          <t>Dubailand</t>
        </is>
      </c>
      <c r="F1021" t="inlineStr">
        <is>
          <t>Apartments</t>
        </is>
      </c>
      <c r="G1021" t="inlineStr">
        <is>
          <t>Lagoon View</t>
        </is>
      </c>
      <c r="H1021" t="inlineStr">
        <is>
          <t>850k</t>
        </is>
      </c>
      <c r="I1021" t="inlineStr">
        <is>
          <t>1050</t>
        </is>
      </c>
      <c r="J1021" t="inlineStr">
        <is>
          <t>15</t>
        </is>
      </c>
      <c r="K1021" t="inlineStr">
        <is>
          <t>60/40</t>
        </is>
      </c>
      <c r="L1021" t="inlineStr">
        <is>
          <t>2024</t>
        </is>
      </c>
      <c r="M1021" t="inlineStr">
        <is>
          <t>7.0-7.5</t>
        </is>
      </c>
      <c r="N1021" t="inlineStr">
        <is>
          <t>8-10</t>
        </is>
      </c>
      <c r="O1021" t="inlineStr">
        <is>
          <t>15.0-17.5</t>
        </is>
      </c>
      <c r="P1021" t="inlineStr">
        <is>
          <t>GEMS Winchester</t>
        </is>
      </c>
      <c r="Q1021" t="inlineStr">
        <is>
          <t>Fakeeh University Hosp</t>
        </is>
      </c>
      <c r="R1021" t="inlineStr">
        <is>
          <t>Dubai Outlet Mall</t>
        </is>
      </c>
      <c r="S1021" t="inlineStr">
        <is>
          <t>E611 / Al Ain Rd</t>
        </is>
      </c>
      <c r="T1021" t="inlineStr">
        <is>
          <t>20</t>
        </is>
      </c>
      <c r="U1021" t="inlineStr">
        <is>
          <t>25</t>
        </is>
      </c>
      <c r="V1021" t="inlineStr">
        <is>
          <t>25</t>
        </is>
      </c>
      <c r="W1021" t="inlineStr">
        <is>
          <t>30</t>
        </is>
      </c>
      <c r="X1021" t="inlineStr">
        <is>
          <t>Guild.csv</t>
        </is>
      </c>
    </row>
    <row r="1022">
      <c r="A1022" t="n">
        <v>1021</v>
      </c>
      <c r="B1022" t="n">
        <v>485</v>
      </c>
      <c r="C1022" t="inlineStr">
        <is>
          <t>Sky Living</t>
        </is>
      </c>
      <c r="D1022" t="inlineStr">
        <is>
          <t>Peace Homes</t>
        </is>
      </c>
      <c r="E1022" t="inlineStr">
        <is>
          <t>JVC</t>
        </is>
      </c>
      <c r="F1022" t="inlineStr">
        <is>
          <t>Apartments</t>
        </is>
      </c>
      <c r="G1022" t="inlineStr">
        <is>
          <t>High-Rise</t>
        </is>
      </c>
      <c r="H1022" t="inlineStr">
        <is>
          <t>900k</t>
        </is>
      </c>
      <c r="I1022" t="inlineStr">
        <is>
          <t>1200</t>
        </is>
      </c>
      <c r="J1022" t="inlineStr">
        <is>
          <t>15</t>
        </is>
      </c>
      <c r="K1022" t="inlineStr">
        <is>
          <t>60/40</t>
        </is>
      </c>
      <c r="L1022" t="inlineStr">
        <is>
          <t>2023</t>
        </is>
      </c>
      <c r="M1022" t="inlineStr">
        <is>
          <t>7.5-8.0</t>
        </is>
      </c>
      <c r="N1022" t="inlineStr">
        <is>
          <t>6-8</t>
        </is>
      </c>
      <c r="O1022" t="inlineStr">
        <is>
          <t>13.5-16.0</t>
        </is>
      </c>
      <c r="P1022" t="inlineStr">
        <is>
          <t>JSS International</t>
        </is>
      </c>
      <c r="Q1022" t="inlineStr">
        <is>
          <t>Saudi German Hospital</t>
        </is>
      </c>
      <c r="R1022" t="inlineStr">
        <is>
          <t>Circle Mall</t>
        </is>
      </c>
      <c r="S1022" t="inlineStr">
        <is>
          <t>Hessa St / E44</t>
        </is>
      </c>
      <c r="T1022" t="inlineStr">
        <is>
          <t>20</t>
        </is>
      </c>
      <c r="U1022" t="inlineStr">
        <is>
          <t>15</t>
        </is>
      </c>
      <c r="V1022" t="inlineStr">
        <is>
          <t>25</t>
        </is>
      </c>
      <c r="W1022" t="inlineStr">
        <is>
          <t>30</t>
        </is>
      </c>
      <c r="X1022" t="inlineStr">
        <is>
          <t>Guild.csv</t>
        </is>
      </c>
    </row>
    <row r="1023">
      <c r="A1023" t="n">
        <v>1022</v>
      </c>
      <c r="B1023" t="n">
        <v>486</v>
      </c>
      <c r="C1023" t="inlineStr">
        <is>
          <t>Sky Suites</t>
        </is>
      </c>
      <c r="D1023" t="inlineStr">
        <is>
          <t>Peace Homes</t>
        </is>
      </c>
      <c r="E1023" t="inlineStr">
        <is>
          <t>JVC</t>
        </is>
      </c>
      <c r="F1023" t="inlineStr">
        <is>
          <t>Apartments</t>
        </is>
      </c>
      <c r="G1023" t="inlineStr">
        <is>
          <t>High-Rise</t>
        </is>
      </c>
      <c r="H1023" t="inlineStr">
        <is>
          <t>900k</t>
        </is>
      </c>
      <c r="I1023" t="inlineStr">
        <is>
          <t>1200</t>
        </is>
      </c>
      <c r="J1023" t="inlineStr">
        <is>
          <t>15</t>
        </is>
      </c>
      <c r="K1023" t="inlineStr">
        <is>
          <t>60/40</t>
        </is>
      </c>
      <c r="L1023" t="inlineStr">
        <is>
          <t>2023</t>
        </is>
      </c>
      <c r="M1023" t="inlineStr">
        <is>
          <t>7.5-8.0</t>
        </is>
      </c>
      <c r="N1023" t="inlineStr">
        <is>
          <t>6-8</t>
        </is>
      </c>
      <c r="O1023" t="inlineStr">
        <is>
          <t>13.5-16.0</t>
        </is>
      </c>
      <c r="P1023" t="inlineStr">
        <is>
          <t>JSS International</t>
        </is>
      </c>
      <c r="Q1023" t="inlineStr">
        <is>
          <t>Saudi German Hospital</t>
        </is>
      </c>
      <c r="R1023" t="inlineStr">
        <is>
          <t>Circle Mall</t>
        </is>
      </c>
      <c r="S1023" t="inlineStr">
        <is>
          <t>Hessa St / E44</t>
        </is>
      </c>
      <c r="T1023" t="inlineStr">
        <is>
          <t>20</t>
        </is>
      </c>
      <c r="U1023" t="inlineStr">
        <is>
          <t>15</t>
        </is>
      </c>
      <c r="V1023" t="inlineStr">
        <is>
          <t>25</t>
        </is>
      </c>
      <c r="W1023" t="inlineStr">
        <is>
          <t>30</t>
        </is>
      </c>
      <c r="X1023" t="inlineStr">
        <is>
          <t>Guild.csv</t>
        </is>
      </c>
    </row>
    <row r="1024">
      <c r="A1024" t="n">
        <v>1023</v>
      </c>
      <c r="B1024" t="n">
        <v>487</v>
      </c>
      <c r="C1024" t="inlineStr">
        <is>
          <t>Sky Vista</t>
        </is>
      </c>
      <c r="D1024" t="inlineStr">
        <is>
          <t>Peace Homes</t>
        </is>
      </c>
      <c r="E1024" t="inlineStr">
        <is>
          <t>JVC</t>
        </is>
      </c>
      <c r="F1024" t="inlineStr">
        <is>
          <t>Apartments</t>
        </is>
      </c>
      <c r="G1024" t="inlineStr">
        <is>
          <t>High-Rise</t>
        </is>
      </c>
      <c r="H1024" t="inlineStr">
        <is>
          <t>900k</t>
        </is>
      </c>
      <c r="I1024" t="inlineStr">
        <is>
          <t>1200</t>
        </is>
      </c>
      <c r="J1024" t="inlineStr">
        <is>
          <t>15</t>
        </is>
      </c>
      <c r="K1024" t="inlineStr">
        <is>
          <t>60/40</t>
        </is>
      </c>
      <c r="L1024" t="inlineStr">
        <is>
          <t>2023</t>
        </is>
      </c>
      <c r="M1024" t="inlineStr">
        <is>
          <t>7.5-8.0</t>
        </is>
      </c>
      <c r="N1024" t="inlineStr">
        <is>
          <t>6-8</t>
        </is>
      </c>
      <c r="O1024" t="inlineStr">
        <is>
          <t>13.5-16.0</t>
        </is>
      </c>
      <c r="P1024" t="inlineStr">
        <is>
          <t>JSS International</t>
        </is>
      </c>
      <c r="Q1024" t="inlineStr">
        <is>
          <t>Saudi German Hospital</t>
        </is>
      </c>
      <c r="R1024" t="inlineStr">
        <is>
          <t>Circle Mall</t>
        </is>
      </c>
      <c r="S1024" t="inlineStr">
        <is>
          <t>Hessa St / E44</t>
        </is>
      </c>
      <c r="T1024" t="inlineStr">
        <is>
          <t>20</t>
        </is>
      </c>
      <c r="U1024" t="inlineStr">
        <is>
          <t>15</t>
        </is>
      </c>
      <c r="V1024" t="inlineStr">
        <is>
          <t>25</t>
        </is>
      </c>
      <c r="W1024" t="inlineStr">
        <is>
          <t>30</t>
        </is>
      </c>
      <c r="X1024" t="inlineStr">
        <is>
          <t>Guild.csv</t>
        </is>
      </c>
    </row>
    <row r="1025">
      <c r="A1025" t="n">
        <v>1024</v>
      </c>
      <c r="B1025" t="n">
        <v>488</v>
      </c>
      <c r="C1025" t="inlineStr">
        <is>
          <t>Empire Suites</t>
        </is>
      </c>
      <c r="D1025" t="inlineStr">
        <is>
          <t>Peace Homes</t>
        </is>
      </c>
      <c r="E1025" t="inlineStr">
        <is>
          <t>JVC</t>
        </is>
      </c>
      <c r="F1025" t="inlineStr">
        <is>
          <t>Hotel Apts</t>
        </is>
      </c>
      <c r="G1025" t="inlineStr">
        <is>
          <t>Luxury / Service</t>
        </is>
      </c>
      <c r="H1025" t="inlineStr">
        <is>
          <t>1.1M</t>
        </is>
      </c>
      <c r="I1025" t="inlineStr">
        <is>
          <t>1300</t>
        </is>
      </c>
      <c r="J1025" t="inlineStr">
        <is>
          <t>18</t>
        </is>
      </c>
      <c r="K1025" t="inlineStr">
        <is>
          <t>60/40</t>
        </is>
      </c>
      <c r="L1025" t="inlineStr">
        <is>
          <t>2023</t>
        </is>
      </c>
      <c r="M1025" t="inlineStr">
        <is>
          <t>8.0-9.0</t>
        </is>
      </c>
      <c r="N1025" t="inlineStr">
        <is>
          <t>6-8</t>
        </is>
      </c>
      <c r="O1025" t="inlineStr">
        <is>
          <t>14.0-17.0</t>
        </is>
      </c>
      <c r="P1025" t="inlineStr">
        <is>
          <t>JSS International</t>
        </is>
      </c>
      <c r="Q1025" t="inlineStr">
        <is>
          <t>Saudi German Hospital</t>
        </is>
      </c>
      <c r="R1025" t="inlineStr">
        <is>
          <t>Circle Mall</t>
        </is>
      </c>
      <c r="S1025" t="inlineStr">
        <is>
          <t>Hessa St / E44</t>
        </is>
      </c>
      <c r="T1025" t="inlineStr">
        <is>
          <t>20</t>
        </is>
      </c>
      <c r="U1025" t="inlineStr">
        <is>
          <t>15</t>
        </is>
      </c>
      <c r="V1025" t="inlineStr">
        <is>
          <t>25</t>
        </is>
      </c>
      <c r="W1025" t="inlineStr">
        <is>
          <t>30</t>
        </is>
      </c>
      <c r="X1025" t="inlineStr">
        <is>
          <t>Guild.csv</t>
        </is>
      </c>
    </row>
    <row r="1026">
      <c r="A1026" t="n">
        <v>1025</v>
      </c>
      <c r="B1026" t="n">
        <v>489</v>
      </c>
      <c r="C1026" t="inlineStr">
        <is>
          <t>Empire Livings</t>
        </is>
      </c>
      <c r="D1026" t="inlineStr">
        <is>
          <t>Peace Homes</t>
        </is>
      </c>
      <c r="E1026" t="inlineStr">
        <is>
          <t>Dubai Science Park</t>
        </is>
      </c>
      <c r="F1026" t="inlineStr">
        <is>
          <t>Apartments</t>
        </is>
      </c>
      <c r="G1026" t="inlineStr">
        <is>
          <t>Tech / Modern</t>
        </is>
      </c>
      <c r="H1026" t="inlineStr">
        <is>
          <t>800k</t>
        </is>
      </c>
      <c r="I1026" t="inlineStr">
        <is>
          <t>1100</t>
        </is>
      </c>
      <c r="J1026" t="inlineStr">
        <is>
          <t>15</t>
        </is>
      </c>
      <c r="K1026" t="inlineStr">
        <is>
          <t>60/40</t>
        </is>
      </c>
      <c r="L1026" t="inlineStr">
        <is>
          <t>2024</t>
        </is>
      </c>
      <c r="M1026" t="inlineStr">
        <is>
          <t>7.0-7.5</t>
        </is>
      </c>
      <c r="N1026" t="inlineStr">
        <is>
          <t>7-9</t>
        </is>
      </c>
      <c r="O1026" t="inlineStr">
        <is>
          <t>14.0-16.5</t>
        </is>
      </c>
      <c r="P1026" t="inlineStr">
        <is>
          <t>GEMS Founders</t>
        </is>
      </c>
      <c r="Q1026" t="inlineStr">
        <is>
          <t>Mediclinic Parkview</t>
        </is>
      </c>
      <c r="R1026" t="inlineStr">
        <is>
          <t>Dubai Hills Mall</t>
        </is>
      </c>
      <c r="S1026" t="inlineStr">
        <is>
          <t>Umm Suqeim / E44</t>
        </is>
      </c>
      <c r="T1026" t="inlineStr">
        <is>
          <t>20</t>
        </is>
      </c>
      <c r="U1026" t="inlineStr">
        <is>
          <t>20</t>
        </is>
      </c>
      <c r="V1026" t="inlineStr">
        <is>
          <t>25</t>
        </is>
      </c>
      <c r="W1026" t="inlineStr">
        <is>
          <t>30</t>
        </is>
      </c>
      <c r="X1026" t="inlineStr">
        <is>
          <t>Guild.csv</t>
        </is>
      </c>
    </row>
    <row r="1027">
      <c r="A1027" t="n">
        <v>1026</v>
      </c>
      <c r="B1027" t="n">
        <v>490</v>
      </c>
      <c r="C1027" t="inlineStr">
        <is>
          <t>Empire Estates</t>
        </is>
      </c>
      <c r="D1027" t="inlineStr">
        <is>
          <t>Peace Homes</t>
        </is>
      </c>
      <c r="E1027" t="inlineStr">
        <is>
          <t>Arjan</t>
        </is>
      </c>
      <c r="F1027" t="inlineStr">
        <is>
          <t>Apartments</t>
        </is>
      </c>
      <c r="G1027" t="inlineStr">
        <is>
          <t>Family</t>
        </is>
      </c>
      <c r="H1027" t="inlineStr">
        <is>
          <t>850k</t>
        </is>
      </c>
      <c r="I1027" t="inlineStr">
        <is>
          <t>1100</t>
        </is>
      </c>
      <c r="J1027" t="inlineStr">
        <is>
          <t>15</t>
        </is>
      </c>
      <c r="K1027" t="inlineStr">
        <is>
          <t>60/40</t>
        </is>
      </c>
      <c r="L1027" t="inlineStr">
        <is>
          <t>2023</t>
        </is>
      </c>
      <c r="M1027" t="inlineStr">
        <is>
          <t>7.5-8.0</t>
        </is>
      </c>
      <c r="N1027" t="inlineStr">
        <is>
          <t>6-8</t>
        </is>
      </c>
      <c r="O1027" t="inlineStr">
        <is>
          <t>13.5-16.0</t>
        </is>
      </c>
      <c r="P1027" t="inlineStr">
        <is>
          <t>Nord Anglia</t>
        </is>
      </c>
      <c r="Q1027" t="inlineStr">
        <is>
          <t>Mediclinic Parkview</t>
        </is>
      </c>
      <c r="R1027" t="inlineStr">
        <is>
          <t>Dubai Hills Mall</t>
        </is>
      </c>
      <c r="S1027" t="inlineStr">
        <is>
          <t>Umm Suqeim / E311</t>
        </is>
      </c>
      <c r="T1027" t="inlineStr">
        <is>
          <t>20</t>
        </is>
      </c>
      <c r="U1027" t="inlineStr">
        <is>
          <t>20</t>
        </is>
      </c>
      <c r="V1027" t="inlineStr">
        <is>
          <t>30</t>
        </is>
      </c>
      <c r="W1027" t="inlineStr">
        <is>
          <t>25</t>
        </is>
      </c>
      <c r="X1027" t="inlineStr">
        <is>
          <t>Guild.csv</t>
        </is>
      </c>
    </row>
    <row r="1028">
      <c r="A1028" t="n">
        <v>1027</v>
      </c>
      <c r="B1028" t="n">
        <v>491</v>
      </c>
      <c r="C1028" t="inlineStr">
        <is>
          <t>RA1N</t>
        </is>
      </c>
      <c r="D1028" t="inlineStr">
        <is>
          <t>Object 1</t>
        </is>
      </c>
      <c r="E1028" t="inlineStr">
        <is>
          <t>JVC</t>
        </is>
      </c>
      <c r="F1028" t="inlineStr">
        <is>
          <t>Apartments</t>
        </is>
      </c>
      <c r="G1028" t="inlineStr">
        <is>
          <t>Modern / Design</t>
        </is>
      </c>
      <c r="H1028" t="inlineStr">
        <is>
          <t>900k</t>
        </is>
      </c>
      <c r="I1028" t="inlineStr">
        <is>
          <t>1300</t>
        </is>
      </c>
      <c r="J1028" t="inlineStr">
        <is>
          <t>15</t>
        </is>
      </c>
      <c r="K1028" t="inlineStr">
        <is>
          <t>60/40</t>
        </is>
      </c>
      <c r="L1028" t="inlineStr">
        <is>
          <t>2023</t>
        </is>
      </c>
      <c r="M1028" t="inlineStr">
        <is>
          <t>7.5-8.0</t>
        </is>
      </c>
      <c r="N1028" t="inlineStr">
        <is>
          <t>6-8</t>
        </is>
      </c>
      <c r="O1028" t="inlineStr">
        <is>
          <t>13.5-16.0</t>
        </is>
      </c>
      <c r="P1028" t="inlineStr">
        <is>
          <t>JSS International</t>
        </is>
      </c>
      <c r="Q1028" t="inlineStr">
        <is>
          <t>Saudi German Hospital</t>
        </is>
      </c>
      <c r="R1028" t="inlineStr">
        <is>
          <t>Circle Mall</t>
        </is>
      </c>
      <c r="S1028" t="inlineStr">
        <is>
          <t>Hessa St / E44</t>
        </is>
      </c>
      <c r="T1028" t="inlineStr">
        <is>
          <t>20</t>
        </is>
      </c>
      <c r="U1028" t="inlineStr">
        <is>
          <t>15</t>
        </is>
      </c>
      <c r="V1028" t="inlineStr">
        <is>
          <t>25</t>
        </is>
      </c>
      <c r="W1028" t="inlineStr">
        <is>
          <t>30</t>
        </is>
      </c>
      <c r="X1028" t="inlineStr">
        <is>
          <t>Guild.csv</t>
        </is>
      </c>
    </row>
    <row r="1029">
      <c r="A1029" t="n">
        <v>1028</v>
      </c>
      <c r="B1029" t="n">
        <v>492</v>
      </c>
      <c r="C1029" t="inlineStr">
        <is>
          <t>F1FTY ONE</t>
        </is>
      </c>
      <c r="D1029" t="inlineStr">
        <is>
          <t>Object 1</t>
        </is>
      </c>
      <c r="E1029" t="inlineStr">
        <is>
          <t>Business Bay</t>
        </is>
      </c>
      <c r="F1029" t="inlineStr">
        <is>
          <t>Apartments</t>
        </is>
      </c>
      <c r="G1029" t="inlineStr">
        <is>
          <t>City / Canal</t>
        </is>
      </c>
      <c r="H1029" t="inlineStr">
        <is>
          <t>1.8M</t>
        </is>
      </c>
      <c r="I1029" t="inlineStr">
        <is>
          <t>2000</t>
        </is>
      </c>
      <c r="J1029" t="inlineStr">
        <is>
          <t>18</t>
        </is>
      </c>
      <c r="K1029" t="inlineStr">
        <is>
          <t>60/40</t>
        </is>
      </c>
      <c r="L1029" t="inlineStr">
        <is>
          <t>2024</t>
        </is>
      </c>
      <c r="M1029" t="inlineStr">
        <is>
          <t>6.5-7.0</t>
        </is>
      </c>
      <c r="N1029" t="inlineStr">
        <is>
          <t>8-10</t>
        </is>
      </c>
      <c r="O1029" t="inlineStr">
        <is>
          <t>14.5-17.0</t>
        </is>
      </c>
      <c r="P1029" t="inlineStr">
        <is>
          <t>Hartland Intl</t>
        </is>
      </c>
      <c r="Q1029" t="inlineStr">
        <is>
          <t>Emirates Hospital BB</t>
        </is>
      </c>
      <c r="R1029" t="inlineStr">
        <is>
          <t>Dubai Mall</t>
        </is>
      </c>
      <c r="S1029" t="inlineStr">
        <is>
          <t>Al Khail E44</t>
        </is>
      </c>
      <c r="T1029" t="inlineStr">
        <is>
          <t>5</t>
        </is>
      </c>
      <c r="U1029" t="inlineStr">
        <is>
          <t>20</t>
        </is>
      </c>
      <c r="V1029" t="inlineStr">
        <is>
          <t>15</t>
        </is>
      </c>
      <c r="W1029" t="inlineStr">
        <is>
          <t>35</t>
        </is>
      </c>
      <c r="X1029" t="inlineStr">
        <is>
          <t>Guild.csv</t>
        </is>
      </c>
    </row>
    <row r="1030">
      <c r="A1030" t="n">
        <v>1029</v>
      </c>
      <c r="B1030" t="n">
        <v>493</v>
      </c>
      <c r="C1030" t="inlineStr">
        <is>
          <t>W1NNER</t>
        </is>
      </c>
      <c r="D1030" t="inlineStr">
        <is>
          <t>Object 1</t>
        </is>
      </c>
      <c r="E1030" t="inlineStr">
        <is>
          <t>JVT</t>
        </is>
      </c>
      <c r="F1030" t="inlineStr">
        <is>
          <t>Apartments</t>
        </is>
      </c>
      <c r="G1030" t="inlineStr">
        <is>
          <t>Sports / Family</t>
        </is>
      </c>
      <c r="H1030" t="inlineStr">
        <is>
          <t>800k</t>
        </is>
      </c>
      <c r="I1030" t="inlineStr">
        <is>
          <t>1100</t>
        </is>
      </c>
      <c r="J1030" t="inlineStr">
        <is>
          <t>15</t>
        </is>
      </c>
      <c r="K1030" t="inlineStr">
        <is>
          <t>60/40</t>
        </is>
      </c>
      <c r="L1030" t="inlineStr">
        <is>
          <t>2023</t>
        </is>
      </c>
      <c r="M1030" t="inlineStr">
        <is>
          <t>7.0-7.5</t>
        </is>
      </c>
      <c r="N1030" t="inlineStr">
        <is>
          <t>6-8</t>
        </is>
      </c>
      <c r="O1030" t="inlineStr">
        <is>
          <t>13.0-15.5</t>
        </is>
      </c>
      <c r="P1030" t="inlineStr">
        <is>
          <t>Sunmarke School</t>
        </is>
      </c>
      <c r="Q1030" t="inlineStr">
        <is>
          <t>NMC Royal DIP</t>
        </is>
      </c>
      <c r="R1030" t="inlineStr">
        <is>
          <t>Circle Mall</t>
        </is>
      </c>
      <c r="S1030" t="inlineStr">
        <is>
          <t>E311 / Yalayis</t>
        </is>
      </c>
      <c r="T1030" t="inlineStr">
        <is>
          <t>20</t>
        </is>
      </c>
      <c r="U1030" t="inlineStr">
        <is>
          <t>15</t>
        </is>
      </c>
      <c r="V1030" t="inlineStr">
        <is>
          <t>30</t>
        </is>
      </c>
      <c r="W1030" t="inlineStr">
        <is>
          <t>20</t>
        </is>
      </c>
      <c r="X1030" t="inlineStr">
        <is>
          <t>Guild.csv</t>
        </is>
      </c>
    </row>
    <row r="1031">
      <c r="A1031" t="n">
        <v>1030</v>
      </c>
      <c r="B1031" t="n">
        <v>494</v>
      </c>
      <c r="C1031" t="inlineStr">
        <is>
          <t>LUM1NAR</t>
        </is>
      </c>
      <c r="D1031" t="inlineStr">
        <is>
          <t>Object 1</t>
        </is>
      </c>
      <c r="E1031" t="inlineStr">
        <is>
          <t>JVT</t>
        </is>
      </c>
      <c r="F1031" t="inlineStr">
        <is>
          <t>Apartments</t>
        </is>
      </c>
      <c r="G1031" t="inlineStr">
        <is>
          <t>Modern</t>
        </is>
      </c>
      <c r="H1031" t="inlineStr">
        <is>
          <t>850k</t>
        </is>
      </c>
      <c r="I1031" t="inlineStr">
        <is>
          <t>1150</t>
        </is>
      </c>
      <c r="J1031" t="inlineStr">
        <is>
          <t>15</t>
        </is>
      </c>
      <c r="K1031" t="inlineStr">
        <is>
          <t>60/40</t>
        </is>
      </c>
      <c r="L1031" t="inlineStr">
        <is>
          <t>2024</t>
        </is>
      </c>
      <c r="M1031" t="inlineStr">
        <is>
          <t>7.0-7.5</t>
        </is>
      </c>
      <c r="N1031" t="inlineStr">
        <is>
          <t>6-8</t>
        </is>
      </c>
      <c r="O1031" t="inlineStr">
        <is>
          <t>13.0-15.5</t>
        </is>
      </c>
      <c r="P1031" t="inlineStr">
        <is>
          <t>Sunmarke School</t>
        </is>
      </c>
      <c r="Q1031" t="inlineStr">
        <is>
          <t>NMC Royal DIP</t>
        </is>
      </c>
      <c r="R1031" t="inlineStr">
        <is>
          <t>Circle Mall</t>
        </is>
      </c>
      <c r="S1031" t="inlineStr">
        <is>
          <t>E311 / Yalayis</t>
        </is>
      </c>
      <c r="T1031" t="inlineStr">
        <is>
          <t>20</t>
        </is>
      </c>
      <c r="U1031" t="inlineStr">
        <is>
          <t>15</t>
        </is>
      </c>
      <c r="V1031" t="inlineStr">
        <is>
          <t>30</t>
        </is>
      </c>
      <c r="W1031" t="inlineStr">
        <is>
          <t>20</t>
        </is>
      </c>
      <c r="X1031" t="inlineStr">
        <is>
          <t>Guild.csv</t>
        </is>
      </c>
    </row>
    <row r="1032">
      <c r="A1032" t="n">
        <v>1031</v>
      </c>
      <c r="B1032" t="n">
        <v>495</v>
      </c>
      <c r="C1032" t="inlineStr">
        <is>
          <t>1WOOD</t>
        </is>
      </c>
      <c r="D1032" t="inlineStr">
        <is>
          <t>Object 1</t>
        </is>
      </c>
      <c r="E1032" t="inlineStr">
        <is>
          <t>JVC</t>
        </is>
      </c>
      <c r="F1032" t="inlineStr">
        <is>
          <t>Apartments</t>
        </is>
      </c>
      <c r="G1032" t="inlineStr">
        <is>
          <t>Wood Design</t>
        </is>
      </c>
      <c r="H1032" t="inlineStr">
        <is>
          <t>950k</t>
        </is>
      </c>
      <c r="I1032" t="inlineStr">
        <is>
          <t>1350</t>
        </is>
      </c>
      <c r="J1032" t="inlineStr">
        <is>
          <t>15</t>
        </is>
      </c>
      <c r="K1032" t="inlineStr">
        <is>
          <t>60/40</t>
        </is>
      </c>
      <c r="L1032" t="inlineStr">
        <is>
          <t>2023</t>
        </is>
      </c>
      <c r="M1032" t="inlineStr">
        <is>
          <t>7.5-8.0</t>
        </is>
      </c>
      <c r="N1032" t="inlineStr">
        <is>
          <t>6-8</t>
        </is>
      </c>
      <c r="O1032" t="inlineStr">
        <is>
          <t>13.5-16.0</t>
        </is>
      </c>
      <c r="P1032" t="inlineStr">
        <is>
          <t>JSS International</t>
        </is>
      </c>
      <c r="Q1032" t="inlineStr">
        <is>
          <t>Saudi German Hospital</t>
        </is>
      </c>
      <c r="R1032" t="inlineStr">
        <is>
          <t>Circle Mall</t>
        </is>
      </c>
      <c r="S1032" t="inlineStr">
        <is>
          <t>Hessa St / E44</t>
        </is>
      </c>
      <c r="T1032" t="inlineStr">
        <is>
          <t>20</t>
        </is>
      </c>
      <c r="U1032" t="inlineStr">
        <is>
          <t>15</t>
        </is>
      </c>
      <c r="V1032" t="inlineStr">
        <is>
          <t>25</t>
        </is>
      </c>
      <c r="W1032" t="inlineStr">
        <is>
          <t>30</t>
        </is>
      </c>
      <c r="X1032" t="inlineStr">
        <is>
          <t>Guild.csv</t>
        </is>
      </c>
    </row>
    <row r="1033">
      <c r="A1033" t="n">
        <v>1032</v>
      </c>
      <c r="B1033" t="n">
        <v>496</v>
      </c>
      <c r="C1033" t="inlineStr">
        <is>
          <t>V1TER</t>
        </is>
      </c>
      <c r="D1033" t="inlineStr">
        <is>
          <t>Object 1</t>
        </is>
      </c>
      <c r="E1033" t="inlineStr">
        <is>
          <t>JVC</t>
        </is>
      </c>
      <c r="F1033" t="inlineStr">
        <is>
          <t>Apartments</t>
        </is>
      </c>
      <c r="G1033" t="inlineStr">
        <is>
          <t>Glass Design</t>
        </is>
      </c>
      <c r="H1033" t="inlineStr">
        <is>
          <t>900k</t>
        </is>
      </c>
      <c r="I1033" t="inlineStr">
        <is>
          <t>1300</t>
        </is>
      </c>
      <c r="J1033" t="inlineStr">
        <is>
          <t>15</t>
        </is>
      </c>
      <c r="K1033" t="inlineStr">
        <is>
          <t>60/40</t>
        </is>
      </c>
      <c r="L1033" t="inlineStr">
        <is>
          <t>2024</t>
        </is>
      </c>
      <c r="M1033" t="inlineStr">
        <is>
          <t>7.5-8.0</t>
        </is>
      </c>
      <c r="N1033" t="inlineStr">
        <is>
          <t>6-8</t>
        </is>
      </c>
      <c r="O1033" t="inlineStr">
        <is>
          <t>13.5-16.0</t>
        </is>
      </c>
      <c r="P1033" t="inlineStr">
        <is>
          <t>JSS International</t>
        </is>
      </c>
      <c r="Q1033" t="inlineStr">
        <is>
          <t>Saudi German Hospital</t>
        </is>
      </c>
      <c r="R1033" t="inlineStr">
        <is>
          <t>Circle Mall</t>
        </is>
      </c>
      <c r="S1033" t="inlineStr">
        <is>
          <t>Hessa St / E44</t>
        </is>
      </c>
      <c r="T1033" t="inlineStr">
        <is>
          <t>20</t>
        </is>
      </c>
      <c r="U1033" t="inlineStr">
        <is>
          <t>15</t>
        </is>
      </c>
      <c r="V1033" t="inlineStr">
        <is>
          <t>25</t>
        </is>
      </c>
      <c r="W1033" t="inlineStr">
        <is>
          <t>30</t>
        </is>
      </c>
      <c r="X1033" t="inlineStr">
        <is>
          <t>Guild.csv</t>
        </is>
      </c>
    </row>
    <row r="1034">
      <c r="A1034" t="n">
        <v>1033</v>
      </c>
      <c r="B1034" t="n">
        <v>497</v>
      </c>
      <c r="C1034" t="inlineStr">
        <is>
          <t>TETR1S</t>
        </is>
      </c>
      <c r="D1034" t="inlineStr">
        <is>
          <t>Object 1</t>
        </is>
      </c>
      <c r="E1034" t="inlineStr">
        <is>
          <t>JVC</t>
        </is>
      </c>
      <c r="F1034" t="inlineStr">
        <is>
          <t>Apartments</t>
        </is>
      </c>
      <c r="G1034" t="inlineStr">
        <is>
          <t>Geometric</t>
        </is>
      </c>
      <c r="H1034" t="inlineStr">
        <is>
          <t>900k</t>
        </is>
      </c>
      <c r="I1034" t="inlineStr">
        <is>
          <t>1300</t>
        </is>
      </c>
      <c r="J1034" t="inlineStr">
        <is>
          <t>15</t>
        </is>
      </c>
      <c r="K1034" t="inlineStr">
        <is>
          <t>60/40</t>
        </is>
      </c>
      <c r="L1034" t="inlineStr">
        <is>
          <t>2024</t>
        </is>
      </c>
      <c r="M1034" t="inlineStr">
        <is>
          <t>7.5-8.0</t>
        </is>
      </c>
      <c r="N1034" t="inlineStr">
        <is>
          <t>6-8</t>
        </is>
      </c>
      <c r="O1034" t="inlineStr">
        <is>
          <t>13.5-16.0</t>
        </is>
      </c>
      <c r="P1034" t="inlineStr">
        <is>
          <t>JSS International</t>
        </is>
      </c>
      <c r="Q1034" t="inlineStr">
        <is>
          <t>Saudi German Hospital</t>
        </is>
      </c>
      <c r="R1034" t="inlineStr">
        <is>
          <t>Circle Mall</t>
        </is>
      </c>
      <c r="S1034" t="inlineStr">
        <is>
          <t>Hessa St / E44</t>
        </is>
      </c>
      <c r="T1034" t="inlineStr">
        <is>
          <t>20</t>
        </is>
      </c>
      <c r="U1034" t="inlineStr">
        <is>
          <t>15</t>
        </is>
      </c>
      <c r="V1034" t="inlineStr">
        <is>
          <t>25</t>
        </is>
      </c>
      <c r="W1034" t="inlineStr">
        <is>
          <t>30</t>
        </is>
      </c>
      <c r="X1034" t="inlineStr">
        <is>
          <t>Guild.csv</t>
        </is>
      </c>
    </row>
    <row r="1035">
      <c r="A1035" t="n">
        <v>1034</v>
      </c>
      <c r="B1035" t="n">
        <v>498</v>
      </c>
      <c r="C1035" t="inlineStr">
        <is>
          <t>VERDAN1A</t>
        </is>
      </c>
      <c r="D1035" t="inlineStr">
        <is>
          <t>Object 1</t>
        </is>
      </c>
      <c r="E1035" t="inlineStr">
        <is>
          <t>Dubailand</t>
        </is>
      </c>
      <c r="F1035" t="inlineStr">
        <is>
          <t>Apartments</t>
        </is>
      </c>
      <c r="G1035" t="inlineStr">
        <is>
          <t>Green</t>
        </is>
      </c>
      <c r="H1035" t="inlineStr">
        <is>
          <t>800k</t>
        </is>
      </c>
      <c r="I1035" t="inlineStr">
        <is>
          <t>1000</t>
        </is>
      </c>
      <c r="J1035" t="inlineStr">
        <is>
          <t>15</t>
        </is>
      </c>
      <c r="K1035" t="inlineStr">
        <is>
          <t>60/40</t>
        </is>
      </c>
      <c r="L1035" t="inlineStr">
        <is>
          <t>2024</t>
        </is>
      </c>
      <c r="M1035" t="inlineStr">
        <is>
          <t>7.0-7.5</t>
        </is>
      </c>
      <c r="N1035" t="inlineStr">
        <is>
          <t>8-10</t>
        </is>
      </c>
      <c r="O1035" t="inlineStr">
        <is>
          <t>15.0-17.5</t>
        </is>
      </c>
      <c r="P1035" t="inlineStr">
        <is>
          <t>GEMS Winchester</t>
        </is>
      </c>
      <c r="Q1035" t="inlineStr">
        <is>
          <t>Fakeeh University Hosp</t>
        </is>
      </c>
      <c r="R1035" t="inlineStr">
        <is>
          <t>Dubai Outlet Mall</t>
        </is>
      </c>
      <c r="S1035" t="inlineStr">
        <is>
          <t>E611 / Al Ain Rd</t>
        </is>
      </c>
      <c r="T1035" t="inlineStr">
        <is>
          <t>20</t>
        </is>
      </c>
      <c r="U1035" t="inlineStr">
        <is>
          <t>25</t>
        </is>
      </c>
      <c r="V1035" t="inlineStr">
        <is>
          <t>25</t>
        </is>
      </c>
      <c r="W1035" t="inlineStr">
        <is>
          <t>30</t>
        </is>
      </c>
      <c r="X1035" t="inlineStr">
        <is>
          <t>Guild.csv</t>
        </is>
      </c>
    </row>
    <row r="1036">
      <c r="A1036" t="n">
        <v>1035</v>
      </c>
      <c r="B1036" t="n">
        <v>499</v>
      </c>
      <c r="C1036" t="inlineStr">
        <is>
          <t>Torino</t>
        </is>
      </c>
      <c r="D1036" t="inlineStr">
        <is>
          <t>ORO24</t>
        </is>
      </c>
      <c r="E1036" t="inlineStr">
        <is>
          <t>Arjan</t>
        </is>
      </c>
      <c r="F1036" t="inlineStr">
        <is>
          <t>Apartments</t>
        </is>
      </c>
      <c r="G1036" t="inlineStr">
        <is>
          <t>Gated / Garden</t>
        </is>
      </c>
      <c r="H1036" t="inlineStr">
        <is>
          <t>700k</t>
        </is>
      </c>
      <c r="I1036" t="inlineStr">
        <is>
          <t>1000</t>
        </is>
      </c>
      <c r="J1036" t="inlineStr">
        <is>
          <t>14</t>
        </is>
      </c>
      <c r="K1036" t="inlineStr">
        <is>
          <t>1% Monthly</t>
        </is>
      </c>
      <c r="L1036" t="inlineStr">
        <is>
          <t>2022</t>
        </is>
      </c>
      <c r="M1036" t="inlineStr">
        <is>
          <t>7.5-8.0</t>
        </is>
      </c>
      <c r="N1036" t="inlineStr">
        <is>
          <t>6-8</t>
        </is>
      </c>
      <c r="O1036" t="inlineStr">
        <is>
          <t>13.5-16.0</t>
        </is>
      </c>
      <c r="P1036" t="inlineStr">
        <is>
          <t>Nord Anglia</t>
        </is>
      </c>
      <c r="Q1036" t="inlineStr">
        <is>
          <t>Mediclinic Parkview</t>
        </is>
      </c>
      <c r="R1036" t="inlineStr">
        <is>
          <t>Dubai Hills Mall</t>
        </is>
      </c>
      <c r="S1036" t="inlineStr">
        <is>
          <t>Umm Suqeim / E311</t>
        </is>
      </c>
      <c r="T1036" t="inlineStr">
        <is>
          <t>20</t>
        </is>
      </c>
      <c r="U1036" t="inlineStr">
        <is>
          <t>20</t>
        </is>
      </c>
      <c r="V1036" t="inlineStr">
        <is>
          <t>30</t>
        </is>
      </c>
      <c r="W1036" t="inlineStr">
        <is>
          <t>25</t>
        </is>
      </c>
      <c r="X1036" t="inlineStr">
        <is>
          <t>Guild.csv</t>
        </is>
      </c>
    </row>
    <row r="1037">
      <c r="A1037" t="n">
        <v>1036</v>
      </c>
      <c r="B1037" t="n">
        <v>500</v>
      </c>
      <c r="C1037" t="inlineStr">
        <is>
          <t>Levanto</t>
        </is>
      </c>
      <c r="D1037" t="inlineStr">
        <is>
          <t>ORO24</t>
        </is>
      </c>
      <c r="E1037" t="inlineStr">
        <is>
          <t>JVC</t>
        </is>
      </c>
      <c r="F1037" t="inlineStr">
        <is>
          <t>Apartments</t>
        </is>
      </c>
      <c r="G1037" t="inlineStr">
        <is>
          <t>High-Rise</t>
        </is>
      </c>
      <c r="H1037" t="inlineStr">
        <is>
          <t>800k</t>
        </is>
      </c>
      <c r="I1037" t="inlineStr">
        <is>
          <t>1200</t>
        </is>
      </c>
      <c r="J1037" t="inlineStr">
        <is>
          <t>15</t>
        </is>
      </c>
      <c r="K1037" t="inlineStr">
        <is>
          <t>1% Monthly</t>
        </is>
      </c>
      <c r="L1037" t="inlineStr">
        <is>
          <t>2022</t>
        </is>
      </c>
      <c r="M1037" t="inlineStr">
        <is>
          <t>7.5-8.0</t>
        </is>
      </c>
      <c r="N1037" t="inlineStr">
        <is>
          <t>6-8</t>
        </is>
      </c>
      <c r="O1037" t="inlineStr">
        <is>
          <t>13.5-16.0</t>
        </is>
      </c>
      <c r="P1037" t="inlineStr">
        <is>
          <t>JSS International</t>
        </is>
      </c>
      <c r="Q1037" t="inlineStr">
        <is>
          <t>Saudi German Hospital</t>
        </is>
      </c>
      <c r="R1037" t="inlineStr">
        <is>
          <t>Circle Mall</t>
        </is>
      </c>
      <c r="S1037" t="inlineStr">
        <is>
          <t>Hessa St / E44</t>
        </is>
      </c>
      <c r="T1037" t="inlineStr">
        <is>
          <t>20</t>
        </is>
      </c>
      <c r="U1037" t="inlineStr">
        <is>
          <t>15</t>
        </is>
      </c>
      <c r="V1037" t="inlineStr">
        <is>
          <t>25</t>
        </is>
      </c>
      <c r="W1037" t="inlineStr">
        <is>
          <t>30</t>
        </is>
      </c>
      <c r="X1037" t="inlineStr">
        <is>
          <t>Guild.csv</t>
        </is>
      </c>
    </row>
    <row r="1038">
      <c r="A1038" t="n">
        <v>1037</v>
      </c>
      <c r="B1038" t="n">
        <v>501</v>
      </c>
      <c r="C1038" t="inlineStr">
        <is>
          <t>Elano</t>
        </is>
      </c>
      <c r="D1038" t="inlineStr">
        <is>
          <t>ORO24</t>
        </is>
      </c>
      <c r="E1038" t="inlineStr">
        <is>
          <t>Arjan</t>
        </is>
      </c>
      <c r="F1038" t="inlineStr">
        <is>
          <t>Apartments</t>
        </is>
      </c>
      <c r="G1038" t="inlineStr">
        <is>
          <t>Modern</t>
        </is>
      </c>
      <c r="H1038" t="inlineStr">
        <is>
          <t>800k</t>
        </is>
      </c>
      <c r="I1038" t="inlineStr">
        <is>
          <t>1100</t>
        </is>
      </c>
      <c r="J1038" t="inlineStr">
        <is>
          <t>14</t>
        </is>
      </c>
      <c r="K1038" t="inlineStr">
        <is>
          <t>1% Monthly</t>
        </is>
      </c>
      <c r="L1038" t="inlineStr">
        <is>
          <t>2023</t>
        </is>
      </c>
      <c r="M1038" t="inlineStr">
        <is>
          <t>7.5-8.0</t>
        </is>
      </c>
      <c r="N1038" t="inlineStr">
        <is>
          <t>6-8</t>
        </is>
      </c>
      <c r="O1038" t="inlineStr">
        <is>
          <t>13.5-16.0</t>
        </is>
      </c>
      <c r="P1038" t="inlineStr">
        <is>
          <t>Nord Anglia</t>
        </is>
      </c>
      <c r="Q1038" t="inlineStr">
        <is>
          <t>Mediclinic Parkview</t>
        </is>
      </c>
      <c r="R1038" t="inlineStr">
        <is>
          <t>Dubai Hills Mall</t>
        </is>
      </c>
      <c r="S1038" t="inlineStr">
        <is>
          <t>Umm Suqeim / E311</t>
        </is>
      </c>
      <c r="T1038" t="inlineStr">
        <is>
          <t>20</t>
        </is>
      </c>
      <c r="U1038" t="inlineStr">
        <is>
          <t>20</t>
        </is>
      </c>
      <c r="V1038" t="inlineStr">
        <is>
          <t>30</t>
        </is>
      </c>
      <c r="W1038" t="inlineStr">
        <is>
          <t>25</t>
        </is>
      </c>
      <c r="X1038" t="inlineStr">
        <is>
          <t>Guild.csv</t>
        </is>
      </c>
    </row>
    <row r="1039">
      <c r="A1039" t="n">
        <v>1038</v>
      </c>
      <c r="B1039" t="n">
        <v>502</v>
      </c>
      <c r="C1039" t="inlineStr">
        <is>
          <t>Kyoto</t>
        </is>
      </c>
      <c r="D1039" t="inlineStr">
        <is>
          <t>ORO24</t>
        </is>
      </c>
      <c r="E1039" t="inlineStr">
        <is>
          <t>Arjan</t>
        </is>
      </c>
      <c r="F1039" t="inlineStr">
        <is>
          <t>Apartments</t>
        </is>
      </c>
      <c r="G1039" t="inlineStr">
        <is>
          <t>Zen / Japanese</t>
        </is>
      </c>
      <c r="H1039" t="inlineStr">
        <is>
          <t>850k</t>
        </is>
      </c>
      <c r="I1039" t="inlineStr">
        <is>
          <t>1150</t>
        </is>
      </c>
      <c r="J1039" t="inlineStr">
        <is>
          <t>14</t>
        </is>
      </c>
      <c r="K1039" t="inlineStr">
        <is>
          <t>1% Monthly</t>
        </is>
      </c>
      <c r="L1039" t="inlineStr">
        <is>
          <t>2023</t>
        </is>
      </c>
      <c r="M1039" t="inlineStr">
        <is>
          <t>7.5-8.0</t>
        </is>
      </c>
      <c r="N1039" t="inlineStr">
        <is>
          <t>6-8</t>
        </is>
      </c>
      <c r="O1039" t="inlineStr">
        <is>
          <t>13.5-16.0</t>
        </is>
      </c>
      <c r="P1039" t="inlineStr">
        <is>
          <t>Nord Anglia</t>
        </is>
      </c>
      <c r="Q1039" t="inlineStr">
        <is>
          <t>Mediclinic Parkview</t>
        </is>
      </c>
      <c r="R1039" t="inlineStr">
        <is>
          <t>Dubai Hills Mall</t>
        </is>
      </c>
      <c r="S1039" t="inlineStr">
        <is>
          <t>Umm Suqeim / E311</t>
        </is>
      </c>
      <c r="T1039" t="inlineStr">
        <is>
          <t>20</t>
        </is>
      </c>
      <c r="U1039" t="inlineStr">
        <is>
          <t>20</t>
        </is>
      </c>
      <c r="V1039" t="inlineStr">
        <is>
          <t>30</t>
        </is>
      </c>
      <c r="W1039" t="inlineStr">
        <is>
          <t>25</t>
        </is>
      </c>
      <c r="X1039" t="inlineStr">
        <is>
          <t>Guild.csv</t>
        </is>
      </c>
    </row>
    <row r="1040">
      <c r="A1040" t="n">
        <v>1039</v>
      </c>
      <c r="B1040" t="n">
        <v>503</v>
      </c>
      <c r="C1040" t="inlineStr">
        <is>
          <t>Albert</t>
        </is>
      </c>
      <c r="D1040" t="inlineStr">
        <is>
          <t>ORO24</t>
        </is>
      </c>
      <c r="E1040" t="inlineStr">
        <is>
          <t>JVC (Planned)</t>
        </is>
      </c>
      <c r="F1040" t="inlineStr">
        <is>
          <t>Apartments</t>
        </is>
      </c>
      <c r="G1040" t="inlineStr">
        <is>
          <t>Modern</t>
        </is>
      </c>
      <c r="H1040" t="inlineStr">
        <is>
          <t>TBA</t>
        </is>
      </c>
      <c r="I1040" t="inlineStr">
        <is>
          <t>TBA</t>
        </is>
      </c>
      <c r="J1040" t="inlineStr">
        <is>
          <t>15</t>
        </is>
      </c>
      <c r="K1040" t="inlineStr">
        <is>
          <t>1% Monthly</t>
        </is>
      </c>
      <c r="L1040" t="inlineStr">
        <is>
          <t>Planned</t>
        </is>
      </c>
      <c r="M1040" t="inlineStr">
        <is>
          <t>7.5-8.0</t>
        </is>
      </c>
      <c r="N1040" t="inlineStr">
        <is>
          <t>6-8</t>
        </is>
      </c>
      <c r="O1040" t="inlineStr">
        <is>
          <t>13.5-16.0</t>
        </is>
      </c>
      <c r="P1040" t="inlineStr">
        <is>
          <t>JSS International</t>
        </is>
      </c>
      <c r="Q1040" t="inlineStr">
        <is>
          <t>Saudi German Hospital</t>
        </is>
      </c>
      <c r="R1040" t="inlineStr">
        <is>
          <t>Circle Mall</t>
        </is>
      </c>
      <c r="S1040" t="inlineStr">
        <is>
          <t>Hessa St / E44</t>
        </is>
      </c>
      <c r="T1040" t="inlineStr">
        <is>
          <t>20</t>
        </is>
      </c>
      <c r="U1040" t="inlineStr">
        <is>
          <t>15</t>
        </is>
      </c>
      <c r="V1040" t="inlineStr">
        <is>
          <t>25</t>
        </is>
      </c>
      <c r="W1040" t="inlineStr">
        <is>
          <t>30</t>
        </is>
      </c>
      <c r="X1040" t="inlineStr">
        <is>
          <t>Guild.csv</t>
        </is>
      </c>
    </row>
    <row r="1041">
      <c r="A1041" t="n">
        <v>1040</v>
      </c>
      <c r="B1041" t="n">
        <v>504</v>
      </c>
      <c r="C1041" t="inlineStr">
        <is>
          <t>Wadi</t>
        </is>
      </c>
      <c r="D1041" t="inlineStr">
        <is>
          <t>ORO24</t>
        </is>
      </c>
      <c r="E1041" t="inlineStr">
        <is>
          <t>Meydan</t>
        </is>
      </c>
      <c r="F1041" t="inlineStr">
        <is>
          <t>Apartments</t>
        </is>
      </c>
      <c r="G1041" t="inlineStr">
        <is>
          <t>Valley View</t>
        </is>
      </c>
      <c r="H1041" t="inlineStr">
        <is>
          <t>1.0M</t>
        </is>
      </c>
      <c r="I1041" t="inlineStr">
        <is>
          <t>1300</t>
        </is>
      </c>
      <c r="J1041" t="inlineStr">
        <is>
          <t>16</t>
        </is>
      </c>
      <c r="K1041" t="inlineStr">
        <is>
          <t>1% Monthly</t>
        </is>
      </c>
      <c r="L1041" t="inlineStr">
        <is>
          <t>2024</t>
        </is>
      </c>
      <c r="M1041" t="inlineStr">
        <is>
          <t>7.0-7.5</t>
        </is>
      </c>
      <c r="N1041" t="inlineStr">
        <is>
          <t>8-10</t>
        </is>
      </c>
      <c r="O1041" t="inlineStr">
        <is>
          <t>15.0-17.5</t>
        </is>
      </c>
      <c r="P1041" t="inlineStr">
        <is>
          <t>Hartland Intl</t>
        </is>
      </c>
      <c r="Q1041" t="inlineStr">
        <is>
          <t>American Hospital</t>
        </is>
      </c>
      <c r="R1041" t="inlineStr">
        <is>
          <t>Dubai Mall</t>
        </is>
      </c>
      <c r="S1041" t="inlineStr">
        <is>
          <t>Ras Al Khor / E44</t>
        </is>
      </c>
      <c r="T1041" t="inlineStr">
        <is>
          <t>12</t>
        </is>
      </c>
      <c r="U1041" t="inlineStr">
        <is>
          <t>25</t>
        </is>
      </c>
      <c r="V1041" t="inlineStr">
        <is>
          <t>15</t>
        </is>
      </c>
      <c r="W1041" t="inlineStr">
        <is>
          <t>40</t>
        </is>
      </c>
      <c r="X1041" t="inlineStr">
        <is>
          <t>Guild.csv</t>
        </is>
      </c>
    </row>
    <row r="1042">
      <c r="A1042" t="n">
        <v>1041</v>
      </c>
      <c r="B1042" t="n">
        <v>505</v>
      </c>
      <c r="C1042" t="inlineStr">
        <is>
          <t>Mimeo</t>
        </is>
      </c>
      <c r="D1042" t="inlineStr">
        <is>
          <t>ORO24</t>
        </is>
      </c>
      <c r="E1042" t="inlineStr">
        <is>
          <t>JVC</t>
        </is>
      </c>
      <c r="F1042" t="inlineStr">
        <is>
          <t>Apartments</t>
        </is>
      </c>
      <c r="G1042" t="inlineStr">
        <is>
          <t>Modern</t>
        </is>
      </c>
      <c r="H1042" t="inlineStr">
        <is>
          <t>850k</t>
        </is>
      </c>
      <c r="I1042" t="inlineStr">
        <is>
          <t>1200</t>
        </is>
      </c>
      <c r="J1042" t="inlineStr">
        <is>
          <t>15</t>
        </is>
      </c>
      <c r="K1042" t="inlineStr">
        <is>
          <t>1% Monthly</t>
        </is>
      </c>
      <c r="L1042" t="inlineStr">
        <is>
          <t>2023</t>
        </is>
      </c>
      <c r="M1042" t="inlineStr">
        <is>
          <t>7.5-8.0</t>
        </is>
      </c>
      <c r="N1042" t="inlineStr">
        <is>
          <t>6-8</t>
        </is>
      </c>
      <c r="O1042" t="inlineStr">
        <is>
          <t>13.5-16.0</t>
        </is>
      </c>
      <c r="P1042" t="inlineStr">
        <is>
          <t>JSS International</t>
        </is>
      </c>
      <c r="Q1042" t="inlineStr">
        <is>
          <t>Saudi German Hospital</t>
        </is>
      </c>
      <c r="R1042" t="inlineStr">
        <is>
          <t>Circle Mall</t>
        </is>
      </c>
      <c r="S1042" t="inlineStr">
        <is>
          <t>Hessa St / E44</t>
        </is>
      </c>
      <c r="T1042" t="inlineStr">
        <is>
          <t>20</t>
        </is>
      </c>
      <c r="U1042" t="inlineStr">
        <is>
          <t>15</t>
        </is>
      </c>
      <c r="V1042" t="inlineStr">
        <is>
          <t>25</t>
        </is>
      </c>
      <c r="W1042" t="inlineStr">
        <is>
          <t>30</t>
        </is>
      </c>
      <c r="X1042" t="inlineStr">
        <is>
          <t>Guild.csv</t>
        </is>
      </c>
    </row>
    <row r="1043">
      <c r="A1043" t="n">
        <v>1042</v>
      </c>
      <c r="B1043" t="n">
        <v>506</v>
      </c>
      <c r="C1043" t="inlineStr">
        <is>
          <t>Nagoya</t>
        </is>
      </c>
      <c r="D1043" t="inlineStr">
        <is>
          <t>ORO24</t>
        </is>
      </c>
      <c r="E1043" t="inlineStr">
        <is>
          <t>Al Furjan</t>
        </is>
      </c>
      <c r="F1043" t="inlineStr">
        <is>
          <t>Apartments</t>
        </is>
      </c>
      <c r="G1043" t="inlineStr">
        <is>
          <t>Japanese Style</t>
        </is>
      </c>
      <c r="H1043" t="inlineStr">
        <is>
          <t>900k</t>
        </is>
      </c>
      <c r="I1043" t="inlineStr">
        <is>
          <t>1100</t>
        </is>
      </c>
      <c r="J1043" t="inlineStr">
        <is>
          <t>14</t>
        </is>
      </c>
      <c r="K1043" t="inlineStr">
        <is>
          <t>1% Monthly</t>
        </is>
      </c>
      <c r="L1043" t="inlineStr">
        <is>
          <t>2024</t>
        </is>
      </c>
      <c r="M1043" t="inlineStr">
        <is>
          <t>7.0-7.5</t>
        </is>
      </c>
      <c r="N1043" t="inlineStr">
        <is>
          <t>6-8</t>
        </is>
      </c>
      <c r="O1043" t="inlineStr">
        <is>
          <t>13.0-15.5</t>
        </is>
      </c>
      <c r="P1043" t="inlineStr">
        <is>
          <t>The Arbor School</t>
        </is>
      </c>
      <c r="Q1043" t="inlineStr">
        <is>
          <t>NMC Royal DIP</t>
        </is>
      </c>
      <c r="R1043" t="inlineStr">
        <is>
          <t>Ibn Battuta Mall</t>
        </is>
      </c>
      <c r="S1043" t="inlineStr">
        <is>
          <t>Yalayis / E311</t>
        </is>
      </c>
      <c r="T1043" t="inlineStr">
        <is>
          <t>25</t>
        </is>
      </c>
      <c r="U1043" t="inlineStr">
        <is>
          <t>15</t>
        </is>
      </c>
      <c r="V1043" t="inlineStr">
        <is>
          <t>30</t>
        </is>
      </c>
      <c r="W1043" t="inlineStr">
        <is>
          <t>20</t>
        </is>
      </c>
      <c r="X1043" t="inlineStr">
        <is>
          <t>Guild.csv</t>
        </is>
      </c>
    </row>
    <row r="1044">
      <c r="A1044" t="n">
        <v>1043</v>
      </c>
      <c r="B1044" t="n">
        <v>507</v>
      </c>
      <c r="C1044" t="inlineStr">
        <is>
          <t>Fortunato</t>
        </is>
      </c>
      <c r="D1044" t="inlineStr">
        <is>
          <t>ORO24</t>
        </is>
      </c>
      <c r="E1044" t="inlineStr">
        <is>
          <t>JVC</t>
        </is>
      </c>
      <c r="F1044" t="inlineStr">
        <is>
          <t>Townhouses</t>
        </is>
      </c>
      <c r="G1044" t="inlineStr">
        <is>
          <t>Family</t>
        </is>
      </c>
      <c r="H1044" t="inlineStr">
        <is>
          <t>Resale (2M+)</t>
        </is>
      </c>
      <c r="I1044" t="inlineStr">
        <is>
          <t>900</t>
        </is>
      </c>
      <c r="J1044" t="inlineStr">
        <is>
          <t>10</t>
        </is>
      </c>
      <c r="K1044" t="inlineStr">
        <is>
          <t>Completed</t>
        </is>
      </c>
      <c r="L1044" t="inlineStr">
        <is>
          <t>2016</t>
        </is>
      </c>
      <c r="M1044" t="inlineStr">
        <is>
          <t>6.5-7.0</t>
        </is>
      </c>
      <c r="N1044" t="inlineStr">
        <is>
          <t>5-7</t>
        </is>
      </c>
      <c r="O1044" t="inlineStr">
        <is>
          <t>11.5-14.0</t>
        </is>
      </c>
      <c r="P1044" t="inlineStr">
        <is>
          <t>JSS International</t>
        </is>
      </c>
      <c r="Q1044" t="inlineStr">
        <is>
          <t>Saudi German Hospital</t>
        </is>
      </c>
      <c r="R1044" t="inlineStr">
        <is>
          <t>Circle Mall</t>
        </is>
      </c>
      <c r="S1044" t="inlineStr">
        <is>
          <t>Hessa St / E44</t>
        </is>
      </c>
      <c r="T1044" t="inlineStr">
        <is>
          <t>20</t>
        </is>
      </c>
      <c r="U1044" t="inlineStr">
        <is>
          <t>15</t>
        </is>
      </c>
      <c r="V1044" t="inlineStr">
        <is>
          <t>25</t>
        </is>
      </c>
      <c r="W1044" t="inlineStr">
        <is>
          <t>30</t>
        </is>
      </c>
      <c r="X1044" t="inlineStr">
        <is>
          <t>Guild.csv</t>
        </is>
      </c>
    </row>
    <row r="1045">
      <c r="A1045" t="n">
        <v>1044</v>
      </c>
      <c r="B1045" t="n">
        <v>508</v>
      </c>
      <c r="C1045" t="inlineStr">
        <is>
          <t>Franck Muller Aeternitas</t>
        </is>
      </c>
      <c r="D1045" t="inlineStr">
        <is>
          <t>London Gate</t>
        </is>
      </c>
      <c r="E1045" t="inlineStr">
        <is>
          <t>Dubai Marina</t>
        </is>
      </c>
      <c r="F1045" t="inlineStr">
        <is>
          <t>Branded Apts</t>
        </is>
      </c>
      <c r="G1045" t="inlineStr">
        <is>
          <t>World's Tallest Clocktower</t>
        </is>
      </c>
      <c r="H1045" t="inlineStr">
        <is>
          <t>2.5M</t>
        </is>
      </c>
      <c r="I1045" t="inlineStr">
        <is>
          <t>3500</t>
        </is>
      </c>
      <c r="J1045" t="inlineStr">
        <is>
          <t>30+</t>
        </is>
      </c>
      <c r="K1045" t="inlineStr">
        <is>
          <t>60/40</t>
        </is>
      </c>
      <c r="L1045" t="inlineStr">
        <is>
          <t>2024</t>
        </is>
      </c>
      <c r="M1045" t="inlineStr">
        <is>
          <t>5.0-5.5</t>
        </is>
      </c>
      <c r="N1045" t="inlineStr">
        <is>
          <t>10-12</t>
        </is>
      </c>
      <c r="O1045" t="inlineStr">
        <is>
          <t>15.0-17.5</t>
        </is>
      </c>
      <c r="P1045" t="inlineStr">
        <is>
          <t>American Univ. Dubai</t>
        </is>
      </c>
      <c r="Q1045" t="inlineStr">
        <is>
          <t>Saudi German Hospital</t>
        </is>
      </c>
      <c r="R1045" t="inlineStr">
        <is>
          <t>Dubai Marina Mall</t>
        </is>
      </c>
      <c r="S1045" t="inlineStr">
        <is>
          <t>Sheikh Zayed E11</t>
        </is>
      </c>
      <c r="T1045" t="inlineStr">
        <is>
          <t>20</t>
        </is>
      </c>
      <c r="U1045" t="inlineStr">
        <is>
          <t>5</t>
        </is>
      </c>
      <c r="V1045" t="inlineStr">
        <is>
          <t>25</t>
        </is>
      </c>
      <c r="W1045" t="inlineStr">
        <is>
          <t>30</t>
        </is>
      </c>
      <c r="X1045" t="inlineStr">
        <is>
          <t>Guild.csv</t>
        </is>
      </c>
    </row>
    <row r="1046">
      <c r="A1046" t="n">
        <v>1045</v>
      </c>
      <c r="B1046" t="n">
        <v>509</v>
      </c>
      <c r="C1046" t="inlineStr">
        <is>
          <t>Franck Muller Vanguard</t>
        </is>
      </c>
      <c r="D1046" t="inlineStr">
        <is>
          <t>London Gate</t>
        </is>
      </c>
      <c r="E1046" t="inlineStr">
        <is>
          <t>Dubai Marina</t>
        </is>
      </c>
      <c r="F1046" t="inlineStr">
        <is>
          <t>Branded Apts</t>
        </is>
      </c>
      <c r="G1046" t="inlineStr">
        <is>
          <t>Luxury</t>
        </is>
      </c>
      <c r="H1046" t="inlineStr">
        <is>
          <t>2.8M</t>
        </is>
      </c>
      <c r="I1046" t="inlineStr">
        <is>
          <t>3600</t>
        </is>
      </c>
      <c r="J1046" t="inlineStr">
        <is>
          <t>30+</t>
        </is>
      </c>
      <c r="K1046" t="inlineStr">
        <is>
          <t>60/40</t>
        </is>
      </c>
      <c r="L1046" t="inlineStr">
        <is>
          <t>2024</t>
        </is>
      </c>
      <c r="M1046" t="inlineStr">
        <is>
          <t>5.0-5.5</t>
        </is>
      </c>
      <c r="N1046" t="inlineStr">
        <is>
          <t>10-12</t>
        </is>
      </c>
      <c r="O1046" t="inlineStr">
        <is>
          <t>15.0-17.5</t>
        </is>
      </c>
      <c r="P1046" t="inlineStr">
        <is>
          <t>American Univ. Dubai</t>
        </is>
      </c>
      <c r="Q1046" t="inlineStr">
        <is>
          <t>Saudi German Hospital</t>
        </is>
      </c>
      <c r="R1046" t="inlineStr">
        <is>
          <t>Dubai Marina Mall</t>
        </is>
      </c>
      <c r="S1046" t="inlineStr">
        <is>
          <t>Sheikh Zayed E11</t>
        </is>
      </c>
      <c r="T1046" t="inlineStr">
        <is>
          <t>20</t>
        </is>
      </c>
      <c r="U1046" t="inlineStr">
        <is>
          <t>5</t>
        </is>
      </c>
      <c r="V1046" t="inlineStr">
        <is>
          <t>25</t>
        </is>
      </c>
      <c r="W1046" t="inlineStr">
        <is>
          <t>30</t>
        </is>
      </c>
      <c r="X1046" t="inlineStr">
        <is>
          <t>Guild.csv</t>
        </is>
      </c>
    </row>
    <row r="1047">
      <c r="A1047" t="n">
        <v>1046</v>
      </c>
      <c r="B1047" t="n">
        <v>510</v>
      </c>
      <c r="C1047" t="inlineStr">
        <is>
          <t>Maya V</t>
        </is>
      </c>
      <c r="D1047" t="inlineStr">
        <is>
          <t>London Gate</t>
        </is>
      </c>
      <c r="E1047" t="inlineStr">
        <is>
          <t>JVT</t>
        </is>
      </c>
      <c r="F1047" t="inlineStr">
        <is>
          <t>Apartments</t>
        </is>
      </c>
      <c r="G1047" t="inlineStr">
        <is>
          <t>Family</t>
        </is>
      </c>
      <c r="H1047" t="inlineStr">
        <is>
          <t>900k</t>
        </is>
      </c>
      <c r="I1047" t="inlineStr">
        <is>
          <t>1100</t>
        </is>
      </c>
      <c r="J1047" t="inlineStr">
        <is>
          <t>15</t>
        </is>
      </c>
      <c r="K1047" t="inlineStr">
        <is>
          <t>60/40</t>
        </is>
      </c>
      <c r="L1047" t="inlineStr">
        <is>
          <t>2023</t>
        </is>
      </c>
      <c r="M1047" t="inlineStr">
        <is>
          <t>7.0-7.5</t>
        </is>
      </c>
      <c r="N1047" t="inlineStr">
        <is>
          <t>6-8</t>
        </is>
      </c>
      <c r="O1047" t="inlineStr">
        <is>
          <t>13.0-15.5</t>
        </is>
      </c>
      <c r="P1047" t="inlineStr">
        <is>
          <t>Sunmarke School</t>
        </is>
      </c>
      <c r="Q1047" t="inlineStr">
        <is>
          <t>NMC Royal DIP</t>
        </is>
      </c>
      <c r="R1047" t="inlineStr">
        <is>
          <t>Circle Mall</t>
        </is>
      </c>
      <c r="S1047" t="inlineStr">
        <is>
          <t>E311 / Yalayis</t>
        </is>
      </c>
      <c r="T1047" t="inlineStr">
        <is>
          <t>20</t>
        </is>
      </c>
      <c r="U1047" t="inlineStr">
        <is>
          <t>15</t>
        </is>
      </c>
      <c r="V1047" t="inlineStr">
        <is>
          <t>30</t>
        </is>
      </c>
      <c r="W1047" t="inlineStr">
        <is>
          <t>20</t>
        </is>
      </c>
      <c r="X1047" t="inlineStr">
        <is>
          <t>Guild.csv</t>
        </is>
      </c>
    </row>
    <row r="1048">
      <c r="A1048" t="n">
        <v>1047</v>
      </c>
      <c r="B1048" t="n">
        <v>511</v>
      </c>
      <c r="C1048" t="inlineStr">
        <is>
          <t>Nadine 1</t>
        </is>
      </c>
      <c r="D1048" t="inlineStr">
        <is>
          <t>London Gate</t>
        </is>
      </c>
      <c r="E1048" t="inlineStr">
        <is>
          <t>Al Furjan</t>
        </is>
      </c>
      <c r="F1048" t="inlineStr">
        <is>
          <t>Apartments</t>
        </is>
      </c>
      <c r="G1048" t="inlineStr">
        <is>
          <t>Architecture</t>
        </is>
      </c>
      <c r="H1048" t="inlineStr">
        <is>
          <t>1.0M</t>
        </is>
      </c>
      <c r="I1048" t="inlineStr">
        <is>
          <t>1200</t>
        </is>
      </c>
      <c r="J1048" t="inlineStr">
        <is>
          <t>14</t>
        </is>
      </c>
      <c r="K1048" t="inlineStr">
        <is>
          <t>60/40</t>
        </is>
      </c>
      <c r="L1048" t="inlineStr">
        <is>
          <t>2023</t>
        </is>
      </c>
      <c r="M1048" t="inlineStr">
        <is>
          <t>7.0-7.5</t>
        </is>
      </c>
      <c r="N1048" t="inlineStr">
        <is>
          <t>6-8</t>
        </is>
      </c>
      <c r="O1048" t="inlineStr">
        <is>
          <t>13.0-15.5</t>
        </is>
      </c>
      <c r="P1048" t="inlineStr">
        <is>
          <t>The Arbor School</t>
        </is>
      </c>
      <c r="Q1048" t="inlineStr">
        <is>
          <t>NMC Royal DIP</t>
        </is>
      </c>
      <c r="R1048" t="inlineStr">
        <is>
          <t>Ibn Battuta Mall</t>
        </is>
      </c>
      <c r="S1048" t="inlineStr">
        <is>
          <t>Yalayis / E311</t>
        </is>
      </c>
      <c r="T1048" t="inlineStr">
        <is>
          <t>25</t>
        </is>
      </c>
      <c r="U1048" t="inlineStr">
        <is>
          <t>15</t>
        </is>
      </c>
      <c r="V1048" t="inlineStr">
        <is>
          <t>30</t>
        </is>
      </c>
      <c r="W1048" t="inlineStr">
        <is>
          <t>20</t>
        </is>
      </c>
      <c r="X1048" t="inlineStr">
        <is>
          <t>Guild.csv</t>
        </is>
      </c>
    </row>
    <row r="1049">
      <c r="A1049" t="n">
        <v>1048</v>
      </c>
      <c r="B1049" t="n">
        <v>512</v>
      </c>
      <c r="C1049" t="inlineStr">
        <is>
          <t>Nadine 2</t>
        </is>
      </c>
      <c r="D1049" t="inlineStr">
        <is>
          <t>London Gate</t>
        </is>
      </c>
      <c r="E1049" t="inlineStr">
        <is>
          <t>Al Furjan</t>
        </is>
      </c>
      <c r="F1049" t="inlineStr">
        <is>
          <t>Apartments</t>
        </is>
      </c>
      <c r="G1049" t="inlineStr">
        <is>
          <t>Architecture</t>
        </is>
      </c>
      <c r="H1049" t="inlineStr">
        <is>
          <t>1.0M</t>
        </is>
      </c>
      <c r="I1049" t="inlineStr">
        <is>
          <t>1200</t>
        </is>
      </c>
      <c r="J1049" t="inlineStr">
        <is>
          <t>14</t>
        </is>
      </c>
      <c r="K1049" t="inlineStr">
        <is>
          <t>60/40</t>
        </is>
      </c>
      <c r="L1049" t="inlineStr">
        <is>
          <t>2023</t>
        </is>
      </c>
      <c r="M1049" t="inlineStr">
        <is>
          <t>7.0-7.5</t>
        </is>
      </c>
      <c r="N1049" t="inlineStr">
        <is>
          <t>6-8</t>
        </is>
      </c>
      <c r="O1049" t="inlineStr">
        <is>
          <t>13.0-15.5</t>
        </is>
      </c>
      <c r="P1049" t="inlineStr">
        <is>
          <t>The Arbor School</t>
        </is>
      </c>
      <c r="Q1049" t="inlineStr">
        <is>
          <t>NMC Royal DIP</t>
        </is>
      </c>
      <c r="R1049" t="inlineStr">
        <is>
          <t>Ibn Battuta Mall</t>
        </is>
      </c>
      <c r="S1049" t="inlineStr">
        <is>
          <t>Yalayis / E311</t>
        </is>
      </c>
      <c r="T1049" t="inlineStr">
        <is>
          <t>25</t>
        </is>
      </c>
      <c r="U1049" t="inlineStr">
        <is>
          <t>15</t>
        </is>
      </c>
      <c r="V1049" t="inlineStr">
        <is>
          <t>30</t>
        </is>
      </c>
      <c r="W1049" t="inlineStr">
        <is>
          <t>20</t>
        </is>
      </c>
      <c r="X1049" t="inlineStr">
        <is>
          <t>Guild.csv</t>
        </is>
      </c>
    </row>
    <row r="1050">
      <c r="A1050" t="n">
        <v>1049</v>
      </c>
      <c r="B1050" t="n">
        <v>513</v>
      </c>
      <c r="C1050" t="inlineStr">
        <is>
          <t>Lilian</t>
        </is>
      </c>
      <c r="D1050" t="inlineStr">
        <is>
          <t>London Gate</t>
        </is>
      </c>
      <c r="E1050" t="inlineStr">
        <is>
          <t>Al Furjan</t>
        </is>
      </c>
      <c r="F1050" t="inlineStr">
        <is>
          <t>Apartments</t>
        </is>
      </c>
      <c r="G1050" t="inlineStr">
        <is>
          <t>Modern</t>
        </is>
      </c>
      <c r="H1050" t="inlineStr">
        <is>
          <t>1.0M</t>
        </is>
      </c>
      <c r="I1050" t="inlineStr">
        <is>
          <t>1200</t>
        </is>
      </c>
      <c r="J1050" t="inlineStr">
        <is>
          <t>14</t>
        </is>
      </c>
      <c r="K1050" t="inlineStr">
        <is>
          <t>60/40</t>
        </is>
      </c>
      <c r="L1050" t="inlineStr">
        <is>
          <t>2024</t>
        </is>
      </c>
      <c r="M1050" t="inlineStr">
        <is>
          <t>7.0-7.5</t>
        </is>
      </c>
      <c r="N1050" t="inlineStr">
        <is>
          <t>6-8</t>
        </is>
      </c>
      <c r="O1050" t="inlineStr">
        <is>
          <t>13.0-15.5</t>
        </is>
      </c>
      <c r="P1050" t="inlineStr">
        <is>
          <t>The Arbor School</t>
        </is>
      </c>
      <c r="Q1050" t="inlineStr">
        <is>
          <t>NMC Royal DIP</t>
        </is>
      </c>
      <c r="R1050" t="inlineStr">
        <is>
          <t>Ibn Battuta Mall</t>
        </is>
      </c>
      <c r="S1050" t="inlineStr">
        <is>
          <t>Yalayis / E311</t>
        </is>
      </c>
      <c r="T1050" t="inlineStr">
        <is>
          <t>25</t>
        </is>
      </c>
      <c r="U1050" t="inlineStr">
        <is>
          <t>15</t>
        </is>
      </c>
      <c r="V1050" t="inlineStr">
        <is>
          <t>30</t>
        </is>
      </c>
      <c r="W1050" t="inlineStr">
        <is>
          <t>20</t>
        </is>
      </c>
      <c r="X1050" t="inlineStr">
        <is>
          <t>Guild.csv</t>
        </is>
      </c>
    </row>
    <row r="1051">
      <c r="A1051" t="n">
        <v>1050</v>
      </c>
      <c r="B1051" t="n">
        <v>514</v>
      </c>
      <c r="C1051" t="inlineStr">
        <is>
          <t>The Muse</t>
        </is>
      </c>
      <c r="D1051" t="inlineStr">
        <is>
          <t>London Gate</t>
        </is>
      </c>
      <c r="E1051" t="inlineStr">
        <is>
          <t>JVC</t>
        </is>
      </c>
      <c r="F1051" t="inlineStr">
        <is>
          <t>Apartments</t>
        </is>
      </c>
      <c r="G1051" t="inlineStr">
        <is>
          <t>Boutique</t>
        </is>
      </c>
      <c r="H1051" t="inlineStr">
        <is>
          <t>900k</t>
        </is>
      </c>
      <c r="I1051" t="inlineStr">
        <is>
          <t>1300</t>
        </is>
      </c>
      <c r="J1051" t="inlineStr">
        <is>
          <t>15</t>
        </is>
      </c>
      <c r="K1051" t="inlineStr">
        <is>
          <t>60/40</t>
        </is>
      </c>
      <c r="L1051" t="inlineStr">
        <is>
          <t>2024</t>
        </is>
      </c>
      <c r="M1051" t="inlineStr">
        <is>
          <t>7.5-8.0</t>
        </is>
      </c>
      <c r="N1051" t="inlineStr">
        <is>
          <t>6-8</t>
        </is>
      </c>
      <c r="O1051" t="inlineStr">
        <is>
          <t>13.5-16.0</t>
        </is>
      </c>
      <c r="P1051" t="inlineStr">
        <is>
          <t>JSS International</t>
        </is>
      </c>
      <c r="Q1051" t="inlineStr">
        <is>
          <t>Saudi German Hospital</t>
        </is>
      </c>
      <c r="R1051" t="inlineStr">
        <is>
          <t>Circle Mall</t>
        </is>
      </c>
      <c r="S1051" t="inlineStr">
        <is>
          <t>Hessa St / E44</t>
        </is>
      </c>
      <c r="T1051" t="inlineStr">
        <is>
          <t>20</t>
        </is>
      </c>
      <c r="U1051" t="inlineStr">
        <is>
          <t>15</t>
        </is>
      </c>
      <c r="V1051" t="inlineStr">
        <is>
          <t>25</t>
        </is>
      </c>
      <c r="W1051" t="inlineStr">
        <is>
          <t>30</t>
        </is>
      </c>
      <c r="X1051" t="inlineStr">
        <is>
          <t>Guild.csv</t>
        </is>
      </c>
    </row>
    <row r="1052">
      <c r="A1052" t="n">
        <v>1051</v>
      </c>
      <c r="B1052" t="n">
        <v>515</v>
      </c>
      <c r="C1052" t="inlineStr">
        <is>
          <t>One Sankari</t>
        </is>
      </c>
      <c r="D1052" t="inlineStr">
        <is>
          <t>Sankari Properties</t>
        </is>
      </c>
      <c r="E1052" t="inlineStr">
        <is>
          <t>Business Bay (Marasi)</t>
        </is>
      </c>
      <c r="F1052" t="inlineStr">
        <is>
          <t>Ultra-Luxury Apts</t>
        </is>
      </c>
      <c r="G1052" t="inlineStr">
        <is>
          <t>Iconic / Canal</t>
        </is>
      </c>
      <c r="H1052" t="inlineStr">
        <is>
          <t>40M+</t>
        </is>
      </c>
      <c r="I1052" t="inlineStr">
        <is>
          <t>6000+</t>
        </is>
      </c>
      <c r="J1052" t="inlineStr">
        <is>
          <t>50+</t>
        </is>
      </c>
      <c r="K1052" t="inlineStr">
        <is>
          <t>50/50</t>
        </is>
      </c>
      <c r="L1052" t="inlineStr">
        <is>
          <t>2024</t>
        </is>
      </c>
      <c r="M1052" t="inlineStr">
        <is>
          <t>3.5-4.0</t>
        </is>
      </c>
      <c r="N1052" t="inlineStr">
        <is>
          <t>10-15</t>
        </is>
      </c>
      <c r="O1052" t="inlineStr">
        <is>
          <t>13.5-19.0</t>
        </is>
      </c>
      <c r="P1052" t="inlineStr">
        <is>
          <t>Hartland Intl</t>
        </is>
      </c>
      <c r="Q1052" t="inlineStr">
        <is>
          <t>Emirates Hospital BB</t>
        </is>
      </c>
      <c r="R1052" t="inlineStr">
        <is>
          <t>Dubai Mall</t>
        </is>
      </c>
      <c r="S1052" t="inlineStr">
        <is>
          <t>Al Khail E44</t>
        </is>
      </c>
      <c r="T1052" t="inlineStr">
        <is>
          <t>5</t>
        </is>
      </c>
      <c r="U1052" t="inlineStr">
        <is>
          <t>20</t>
        </is>
      </c>
      <c r="V1052" t="inlineStr">
        <is>
          <t>15</t>
        </is>
      </c>
      <c r="W1052" t="inlineStr">
        <is>
          <t>35</t>
        </is>
      </c>
      <c r="X1052" t="inlineStr">
        <is>
          <t>Guild.csv</t>
        </is>
      </c>
    </row>
    <row r="1053">
      <c r="A1053" t="n">
        <v>1052</v>
      </c>
      <c r="B1053" t="n">
        <v>516</v>
      </c>
      <c r="C1053" t="inlineStr">
        <is>
          <t>Regent Residences Dubai</t>
        </is>
      </c>
      <c r="D1053" t="inlineStr">
        <is>
          <t>Sankari Properties</t>
        </is>
      </c>
      <c r="E1053" t="inlineStr">
        <is>
          <t>Business Bay (Marasi)</t>
        </is>
      </c>
      <c r="F1053" t="inlineStr">
        <is>
          <t>Branded Apts</t>
        </is>
      </c>
      <c r="G1053" t="inlineStr">
        <is>
          <t>Hotel / Luxury</t>
        </is>
      </c>
      <c r="H1053" t="inlineStr">
        <is>
          <t>35M+</t>
        </is>
      </c>
      <c r="I1053" t="inlineStr">
        <is>
          <t>5500+</t>
        </is>
      </c>
      <c r="J1053" t="inlineStr">
        <is>
          <t>50+</t>
        </is>
      </c>
      <c r="K1053" t="inlineStr">
        <is>
          <t>50/50</t>
        </is>
      </c>
      <c r="L1053" t="inlineStr">
        <is>
          <t>2024</t>
        </is>
      </c>
      <c r="M1053" t="inlineStr">
        <is>
          <t>3.5-4.0</t>
        </is>
      </c>
      <c r="N1053" t="inlineStr">
        <is>
          <t>10-15</t>
        </is>
      </c>
      <c r="O1053" t="inlineStr">
        <is>
          <t>13.5-19.0</t>
        </is>
      </c>
      <c r="P1053" t="inlineStr">
        <is>
          <t>Hartland Intl</t>
        </is>
      </c>
      <c r="Q1053" t="inlineStr">
        <is>
          <t>Emirates Hospital BB</t>
        </is>
      </c>
      <c r="R1053" t="inlineStr">
        <is>
          <t>Dubai Mall</t>
        </is>
      </c>
      <c r="S1053" t="inlineStr">
        <is>
          <t>Al Khail E44</t>
        </is>
      </c>
      <c r="T1053" t="inlineStr">
        <is>
          <t>5</t>
        </is>
      </c>
      <c r="U1053" t="inlineStr">
        <is>
          <t>20</t>
        </is>
      </c>
      <c r="V1053" t="inlineStr">
        <is>
          <t>15</t>
        </is>
      </c>
      <c r="W1053" t="inlineStr">
        <is>
          <t>35</t>
        </is>
      </c>
      <c r="X1053" t="inlineStr">
        <is>
          <t>Guild.csv</t>
        </is>
      </c>
    </row>
    <row r="1054">
      <c r="A1054" t="n">
        <v>1053</v>
      </c>
      <c r="B1054" t="n">
        <v>517</v>
      </c>
      <c r="C1054" t="inlineStr">
        <is>
          <t>Palm Signature Villas</t>
        </is>
      </c>
      <c r="D1054" t="inlineStr">
        <is>
          <t>Sankari Properties</t>
        </is>
      </c>
      <c r="E1054" t="inlineStr">
        <is>
          <t>Palm Jumeirah</t>
        </is>
      </c>
      <c r="F1054" t="inlineStr">
        <is>
          <t>Villas</t>
        </is>
      </c>
      <c r="G1054" t="inlineStr">
        <is>
          <t>Custom / Ultra</t>
        </is>
      </c>
      <c r="H1054" t="inlineStr">
        <is>
          <t>100M+</t>
        </is>
      </c>
      <c r="I1054" t="inlineStr">
        <is>
          <t>8000+</t>
        </is>
      </c>
      <c r="J1054" t="inlineStr">
        <is>
          <t>50+</t>
        </is>
      </c>
      <c r="K1054" t="inlineStr">
        <is>
          <t>Completed</t>
        </is>
      </c>
      <c r="L1054" t="inlineStr">
        <is>
          <t>Varies</t>
        </is>
      </c>
      <c r="M1054" t="inlineStr">
        <is>
          <t>3.0-3.5</t>
        </is>
      </c>
      <c r="N1054" t="inlineStr">
        <is>
          <t>5-8</t>
        </is>
      </c>
      <c r="O1054" t="inlineStr">
        <is>
          <t>8.0-11.5</t>
        </is>
      </c>
      <c r="P1054" t="inlineStr">
        <is>
          <t>Chevalier College</t>
        </is>
      </c>
      <c r="Q1054" t="inlineStr">
        <is>
          <t>Emirates Hospital</t>
        </is>
      </c>
      <c r="R1054" t="inlineStr">
        <is>
          <t>Nakheel Mall</t>
        </is>
      </c>
      <c r="S1054" t="inlineStr">
        <is>
          <t>Sheikh Zayed E11</t>
        </is>
      </c>
      <c r="T1054" t="inlineStr">
        <is>
          <t>20</t>
        </is>
      </c>
      <c r="U1054" t="inlineStr">
        <is>
          <t>10</t>
        </is>
      </c>
      <c r="V1054" t="inlineStr">
        <is>
          <t>25</t>
        </is>
      </c>
      <c r="W1054" t="inlineStr">
        <is>
          <t>35</t>
        </is>
      </c>
      <c r="X1054" t="inlineStr">
        <is>
          <t>Guild.csv</t>
        </is>
      </c>
    </row>
    <row r="1055">
      <c r="A1055" t="n">
        <v>1054</v>
      </c>
      <c r="B1055" t="n">
        <v>518</v>
      </c>
      <c r="C1055" t="inlineStr">
        <is>
          <t>Seven Palm</t>
        </is>
      </c>
      <c r="D1055" t="inlineStr">
        <is>
          <t>Seven Tides</t>
        </is>
      </c>
      <c r="E1055" t="inlineStr">
        <is>
          <t>Palm Jumeirah</t>
        </is>
      </c>
      <c r="F1055" t="inlineStr">
        <is>
          <t>Hotel/Residences</t>
        </is>
      </c>
      <c r="G1055" t="inlineStr">
        <is>
          <t>Beach / Pool</t>
        </is>
      </c>
      <c r="H1055" t="inlineStr">
        <is>
          <t>Resale (1.5M+)</t>
        </is>
      </c>
      <c r="I1055" t="inlineStr">
        <is>
          <t>2500</t>
        </is>
      </c>
      <c r="J1055" t="inlineStr">
        <is>
          <t>30</t>
        </is>
      </c>
      <c r="K1055" t="inlineStr">
        <is>
          <t>Completed</t>
        </is>
      </c>
      <c r="L1055" t="inlineStr">
        <is>
          <t>2021</t>
        </is>
      </c>
      <c r="M1055" t="inlineStr">
        <is>
          <t>5.5-6.5</t>
        </is>
      </c>
      <c r="N1055" t="inlineStr">
        <is>
          <t>5-7</t>
        </is>
      </c>
      <c r="O1055" t="inlineStr">
        <is>
          <t>10.5-13.5</t>
        </is>
      </c>
      <c r="P1055" t="inlineStr">
        <is>
          <t>Chevalier College</t>
        </is>
      </c>
      <c r="Q1055" t="inlineStr">
        <is>
          <t>Emirates Hospital</t>
        </is>
      </c>
      <c r="R1055" t="inlineStr">
        <is>
          <t>Nakheel Mall</t>
        </is>
      </c>
      <c r="S1055" t="inlineStr">
        <is>
          <t>Sheikh Zayed E11</t>
        </is>
      </c>
      <c r="T1055" t="inlineStr">
        <is>
          <t>20</t>
        </is>
      </c>
      <c r="U1055" t="inlineStr">
        <is>
          <t>10</t>
        </is>
      </c>
      <c r="V1055" t="inlineStr">
        <is>
          <t>25</t>
        </is>
      </c>
      <c r="W1055" t="inlineStr">
        <is>
          <t>35</t>
        </is>
      </c>
      <c r="X1055" t="inlineStr">
        <is>
          <t>Guild.csv</t>
        </is>
      </c>
    </row>
    <row r="1056">
      <c r="A1056" t="n">
        <v>1055</v>
      </c>
      <c r="B1056" t="n">
        <v>519</v>
      </c>
      <c r="C1056" t="inlineStr">
        <is>
          <t>Anantara The Palm Residences</t>
        </is>
      </c>
      <c r="D1056" t="inlineStr">
        <is>
          <t>Seven Tides</t>
        </is>
      </c>
      <c r="E1056" t="inlineStr">
        <is>
          <t>Palm Jumeirah</t>
        </is>
      </c>
      <c r="F1056" t="inlineStr">
        <is>
          <t>Hotel/Residences</t>
        </is>
      </c>
      <c r="G1056" t="inlineStr">
        <is>
          <t>Thai Resort / Beach</t>
        </is>
      </c>
      <c r="H1056" t="inlineStr">
        <is>
          <t>Resale (2.5M+)</t>
        </is>
      </c>
      <c r="I1056" t="inlineStr">
        <is>
          <t>2800</t>
        </is>
      </c>
      <c r="J1056" t="inlineStr">
        <is>
          <t>35</t>
        </is>
      </c>
      <c r="K1056" t="inlineStr">
        <is>
          <t>Completed</t>
        </is>
      </c>
      <c r="L1056" t="inlineStr">
        <is>
          <t>2014</t>
        </is>
      </c>
      <c r="M1056" t="inlineStr">
        <is>
          <t>5.0-5.5</t>
        </is>
      </c>
      <c r="N1056" t="inlineStr">
        <is>
          <t>5-7</t>
        </is>
      </c>
      <c r="O1056" t="inlineStr">
        <is>
          <t>10.0-12.5</t>
        </is>
      </c>
      <c r="P1056" t="inlineStr">
        <is>
          <t>Chevalier College</t>
        </is>
      </c>
      <c r="Q1056" t="inlineStr">
        <is>
          <t>Emirates Hospital</t>
        </is>
      </c>
      <c r="R1056" t="inlineStr">
        <is>
          <t>Nakheel Mall</t>
        </is>
      </c>
      <c r="S1056" t="inlineStr">
        <is>
          <t>Sheikh Zayed E11</t>
        </is>
      </c>
      <c r="T1056" t="inlineStr">
        <is>
          <t>20</t>
        </is>
      </c>
      <c r="U1056" t="inlineStr">
        <is>
          <t>10</t>
        </is>
      </c>
      <c r="V1056" t="inlineStr">
        <is>
          <t>25</t>
        </is>
      </c>
      <c r="W1056" t="inlineStr">
        <is>
          <t>35</t>
        </is>
      </c>
      <c r="X1056" t="inlineStr">
        <is>
          <t>Guild.csv</t>
        </is>
      </c>
    </row>
    <row r="1057">
      <c r="A1057" t="n">
        <v>1056</v>
      </c>
      <c r="B1057" t="n">
        <v>520</v>
      </c>
      <c r="C1057" t="inlineStr">
        <is>
          <t>Dukes The Palm</t>
        </is>
      </c>
      <c r="D1057" t="inlineStr">
        <is>
          <t>Seven Tides</t>
        </is>
      </c>
      <c r="E1057" t="inlineStr">
        <is>
          <t>Palm Jumeirah</t>
        </is>
      </c>
      <c r="F1057" t="inlineStr">
        <is>
          <t>Hotel/Residences</t>
        </is>
      </c>
      <c r="G1057" t="inlineStr">
        <is>
          <t>British / Beach</t>
        </is>
      </c>
      <c r="H1057" t="inlineStr">
        <is>
          <t>Resale (1.2M+)</t>
        </is>
      </c>
      <c r="I1057" t="inlineStr">
        <is>
          <t>2500</t>
        </is>
      </c>
      <c r="J1057" t="inlineStr">
        <is>
          <t>30</t>
        </is>
      </c>
      <c r="K1057" t="inlineStr">
        <is>
          <t>Completed</t>
        </is>
      </c>
      <c r="L1057" t="inlineStr">
        <is>
          <t>2017</t>
        </is>
      </c>
      <c r="M1057" t="inlineStr">
        <is>
          <t>5.5-6.5</t>
        </is>
      </c>
      <c r="N1057" t="inlineStr">
        <is>
          <t>5-7</t>
        </is>
      </c>
      <c r="O1057" t="inlineStr">
        <is>
          <t>10.5-13.5</t>
        </is>
      </c>
      <c r="P1057" t="inlineStr">
        <is>
          <t>Chevalier College</t>
        </is>
      </c>
      <c r="Q1057" t="inlineStr">
        <is>
          <t>Emirates Hospital</t>
        </is>
      </c>
      <c r="R1057" t="inlineStr">
        <is>
          <t>Nakheel Mall</t>
        </is>
      </c>
      <c r="S1057" t="inlineStr">
        <is>
          <t>Sheikh Zayed E11</t>
        </is>
      </c>
      <c r="T1057" t="inlineStr">
        <is>
          <t>20</t>
        </is>
      </c>
      <c r="U1057" t="inlineStr">
        <is>
          <t>10</t>
        </is>
      </c>
      <c r="V1057" t="inlineStr">
        <is>
          <t>25</t>
        </is>
      </c>
      <c r="W1057" t="inlineStr">
        <is>
          <t>35</t>
        </is>
      </c>
      <c r="X1057" t="inlineStr">
        <is>
          <t>Guild.csv</t>
        </is>
      </c>
    </row>
    <row r="1058">
      <c r="A1058" t="n">
        <v>1057</v>
      </c>
      <c r="B1058" t="n">
        <v>521</v>
      </c>
      <c r="C1058" t="inlineStr">
        <is>
          <t>Oceana</t>
        </is>
      </c>
      <c r="D1058" t="inlineStr">
        <is>
          <t>Seven Tides</t>
        </is>
      </c>
      <c r="E1058" t="inlineStr">
        <is>
          <t>Palm Jumeirah</t>
        </is>
      </c>
      <c r="F1058" t="inlineStr">
        <is>
          <t>Apartments</t>
        </is>
      </c>
      <c r="G1058" t="inlineStr">
        <is>
          <t>Beach / Club</t>
        </is>
      </c>
      <c r="H1058" t="inlineStr">
        <is>
          <t>Resale (3M+)</t>
        </is>
      </c>
      <c r="I1058" t="inlineStr">
        <is>
          <t>2200</t>
        </is>
      </c>
      <c r="J1058" t="inlineStr">
        <is>
          <t>28</t>
        </is>
      </c>
      <c r="K1058" t="inlineStr">
        <is>
          <t>Completed</t>
        </is>
      </c>
      <c r="L1058" t="inlineStr">
        <is>
          <t>2009</t>
        </is>
      </c>
      <c r="M1058" t="inlineStr">
        <is>
          <t>5.0-5.5</t>
        </is>
      </c>
      <c r="N1058" t="inlineStr">
        <is>
          <t>5-7</t>
        </is>
      </c>
      <c r="O1058" t="inlineStr">
        <is>
          <t>10.0-12.5</t>
        </is>
      </c>
      <c r="P1058" t="inlineStr">
        <is>
          <t>Chevalier College</t>
        </is>
      </c>
      <c r="Q1058" t="inlineStr">
        <is>
          <t>Emirates Hospital</t>
        </is>
      </c>
      <c r="R1058" t="inlineStr">
        <is>
          <t>Nakheel Mall</t>
        </is>
      </c>
      <c r="S1058" t="inlineStr">
        <is>
          <t>Sheikh Zayed E11</t>
        </is>
      </c>
      <c r="T1058" t="inlineStr">
        <is>
          <t>20</t>
        </is>
      </c>
      <c r="U1058" t="inlineStr">
        <is>
          <t>10</t>
        </is>
      </c>
      <c r="V1058" t="inlineStr">
        <is>
          <t>25</t>
        </is>
      </c>
      <c r="W1058" t="inlineStr">
        <is>
          <t>35</t>
        </is>
      </c>
      <c r="X1058" t="inlineStr">
        <is>
          <t>Guild.csv</t>
        </is>
      </c>
    </row>
    <row r="1059">
      <c r="A1059" t="n">
        <v>1058</v>
      </c>
      <c r="B1059" t="n">
        <v>522</v>
      </c>
      <c r="C1059" t="inlineStr">
        <is>
          <t>Seven City (Golf Views)</t>
        </is>
      </c>
      <c r="D1059" t="inlineStr">
        <is>
          <t>Seven Tides</t>
        </is>
      </c>
      <c r="E1059" t="inlineStr">
        <is>
          <t>JLT</t>
        </is>
      </c>
      <c r="F1059" t="inlineStr">
        <is>
          <t>Apartments</t>
        </is>
      </c>
      <c r="G1059" t="inlineStr">
        <is>
          <t>Golf / High-Rise</t>
        </is>
      </c>
      <c r="H1059" t="inlineStr">
        <is>
          <t>600k</t>
        </is>
      </c>
      <c r="I1059" t="inlineStr">
        <is>
          <t>1400</t>
        </is>
      </c>
      <c r="J1059" t="inlineStr">
        <is>
          <t>18</t>
        </is>
      </c>
      <c r="K1059" t="inlineStr">
        <is>
          <t>50/50</t>
        </is>
      </c>
      <c r="L1059" t="inlineStr">
        <is>
          <t>2018</t>
        </is>
      </c>
      <c r="M1059" t="inlineStr">
        <is>
          <t>6.5-7.0</t>
        </is>
      </c>
      <c r="N1059" t="inlineStr">
        <is>
          <t>5-7</t>
        </is>
      </c>
      <c r="O1059" t="inlineStr">
        <is>
          <t>11.5-14.0</t>
        </is>
      </c>
      <c r="P1059" t="inlineStr">
        <is>
          <t>Emirates Intl School</t>
        </is>
      </c>
      <c r="Q1059" t="inlineStr">
        <is>
          <t>Saudi German Hospital</t>
        </is>
      </c>
      <c r="R1059" t="inlineStr">
        <is>
          <t>Dubai Marina Mall</t>
        </is>
      </c>
      <c r="S1059" t="inlineStr">
        <is>
          <t>Sheikh Zayed E11</t>
        </is>
      </c>
      <c r="T1059" t="inlineStr">
        <is>
          <t>20</t>
        </is>
      </c>
      <c r="U1059" t="inlineStr">
        <is>
          <t>5</t>
        </is>
      </c>
      <c r="V1059" t="inlineStr">
        <is>
          <t>25</t>
        </is>
      </c>
      <c r="W1059" t="inlineStr">
        <is>
          <t>30</t>
        </is>
      </c>
      <c r="X1059" t="inlineStr">
        <is>
          <t>Guild.csv</t>
        </is>
      </c>
    </row>
    <row r="1060">
      <c r="A1060" t="n">
        <v>1059</v>
      </c>
      <c r="B1060" t="n">
        <v>523</v>
      </c>
      <c r="C1060" t="inlineStr">
        <is>
          <t>Banyan Tree Residences</t>
        </is>
      </c>
      <c r="D1060" t="inlineStr">
        <is>
          <t>Sweid &amp; Sweid</t>
        </is>
      </c>
      <c r="E1060" t="inlineStr">
        <is>
          <t>JLT (Hillside)</t>
        </is>
      </c>
      <c r="F1060" t="inlineStr">
        <is>
          <t>Branded Apts</t>
        </is>
      </c>
      <c r="G1060" t="inlineStr">
        <is>
          <t>Resort / Hill</t>
        </is>
      </c>
      <c r="H1060" t="inlineStr">
        <is>
          <t>Resale (2.5M+)</t>
        </is>
      </c>
      <c r="I1060" t="inlineStr">
        <is>
          <t>1800</t>
        </is>
      </c>
      <c r="J1060" t="inlineStr">
        <is>
          <t>22</t>
        </is>
      </c>
      <c r="K1060" t="inlineStr">
        <is>
          <t>Completed</t>
        </is>
      </c>
      <c r="L1060" t="inlineStr">
        <is>
          <t>2019</t>
        </is>
      </c>
      <c r="M1060" t="inlineStr">
        <is>
          <t>6.0-6.5</t>
        </is>
      </c>
      <c r="N1060" t="inlineStr">
        <is>
          <t>5-7</t>
        </is>
      </c>
      <c r="O1060" t="inlineStr">
        <is>
          <t>11.0-13.5</t>
        </is>
      </c>
      <c r="P1060" t="inlineStr">
        <is>
          <t>Emirates Intl School</t>
        </is>
      </c>
      <c r="Q1060" t="inlineStr">
        <is>
          <t>Saudi German Hospital</t>
        </is>
      </c>
      <c r="R1060" t="inlineStr">
        <is>
          <t>Dubai Marina Mall</t>
        </is>
      </c>
      <c r="S1060" t="inlineStr">
        <is>
          <t>Sheikh Zayed E11</t>
        </is>
      </c>
      <c r="T1060" t="inlineStr">
        <is>
          <t>20</t>
        </is>
      </c>
      <c r="U1060" t="inlineStr">
        <is>
          <t>5</t>
        </is>
      </c>
      <c r="V1060" t="inlineStr">
        <is>
          <t>25</t>
        </is>
      </c>
      <c r="W1060" t="inlineStr">
        <is>
          <t>30</t>
        </is>
      </c>
      <c r="X1060" t="inlineStr">
        <is>
          <t>Guild.csv</t>
        </is>
      </c>
    </row>
    <row r="1061">
      <c r="A1061" t="n">
        <v>1060</v>
      </c>
      <c r="B1061" t="n">
        <v>524</v>
      </c>
      <c r="C1061" t="inlineStr">
        <is>
          <t>The Edge</t>
        </is>
      </c>
      <c r="D1061" t="inlineStr">
        <is>
          <t>Sweid &amp; Sweid</t>
        </is>
      </c>
      <c r="E1061" t="inlineStr">
        <is>
          <t>Dubai Internet City</t>
        </is>
      </c>
      <c r="F1061" t="inlineStr">
        <is>
          <t>Office/Commercial</t>
        </is>
      </c>
      <c r="G1061" t="inlineStr">
        <is>
          <t>Class A Office</t>
        </is>
      </c>
      <c r="H1061" t="inlineStr">
        <is>
          <t>Lease Only</t>
        </is>
      </c>
      <c r="J1061" t="inlineStr">
        <is>
          <t>25</t>
        </is>
      </c>
      <c r="K1061" t="inlineStr">
        <is>
          <t>Completed</t>
        </is>
      </c>
      <c r="L1061" t="inlineStr">
        <is>
          <t>2016</t>
        </is>
      </c>
      <c r="M1061" t="inlineStr">
        <is>
          <t>8.0-9.0</t>
        </is>
      </c>
      <c r="P1061" t="inlineStr">
        <is>
          <t>American Univ. Dubai</t>
        </is>
      </c>
      <c r="Q1061" t="inlineStr">
        <is>
          <t>Saudi German Hospital</t>
        </is>
      </c>
      <c r="R1061" t="inlineStr">
        <is>
          <t>Dubai Marina Mall</t>
        </is>
      </c>
      <c r="S1061" t="inlineStr">
        <is>
          <t>Sheikh Zayed E11</t>
        </is>
      </c>
      <c r="T1061" t="inlineStr">
        <is>
          <t>20</t>
        </is>
      </c>
      <c r="U1061" t="inlineStr">
        <is>
          <t>2</t>
        </is>
      </c>
      <c r="V1061" t="inlineStr">
        <is>
          <t>25</t>
        </is>
      </c>
      <c r="W1061" t="inlineStr">
        <is>
          <t>30</t>
        </is>
      </c>
      <c r="X1061" t="inlineStr">
        <is>
          <t>Guild.csv</t>
        </is>
      </c>
    </row>
    <row r="1062">
      <c r="A1062" t="n">
        <v>1061</v>
      </c>
      <c r="B1062" t="n">
        <v>525</v>
      </c>
      <c r="C1062" t="inlineStr">
        <is>
          <t>The 47th</t>
        </is>
      </c>
      <c r="D1062" t="inlineStr">
        <is>
          <t>Sweid &amp; Sweid</t>
        </is>
      </c>
      <c r="E1062" t="inlineStr">
        <is>
          <t>Sheikh Zayed Road</t>
        </is>
      </c>
      <c r="F1062" t="inlineStr">
        <is>
          <t>Office/Commercial</t>
        </is>
      </c>
      <c r="G1062" t="inlineStr">
        <is>
          <t>Class A Office</t>
        </is>
      </c>
      <c r="H1062" t="inlineStr">
        <is>
          <t>Lease Only</t>
        </is>
      </c>
      <c r="J1062" t="inlineStr">
        <is>
          <t>25</t>
        </is>
      </c>
      <c r="K1062" t="inlineStr">
        <is>
          <t>Under Const</t>
        </is>
      </c>
      <c r="L1062" t="inlineStr">
        <is>
          <t>2023</t>
        </is>
      </c>
      <c r="M1062" t="inlineStr">
        <is>
          <t>8.0-9.0</t>
        </is>
      </c>
      <c r="P1062" t="inlineStr">
        <is>
          <t>Hartland Intl</t>
        </is>
      </c>
      <c r="Q1062" t="inlineStr">
        <is>
          <t>Mediclinic Dubai Mall</t>
        </is>
      </c>
      <c r="R1062" t="inlineStr">
        <is>
          <t>Dubai Mall</t>
        </is>
      </c>
      <c r="S1062" t="inlineStr">
        <is>
          <t>Sheikh Zayed E11</t>
        </is>
      </c>
      <c r="T1062" t="inlineStr">
        <is>
          <t>5</t>
        </is>
      </c>
      <c r="U1062" t="inlineStr">
        <is>
          <t>15</t>
        </is>
      </c>
      <c r="V1062" t="inlineStr">
        <is>
          <t>15</t>
        </is>
      </c>
      <c r="W1062" t="inlineStr">
        <is>
          <t>35</t>
        </is>
      </c>
      <c r="X1062" t="inlineStr">
        <is>
          <t>Guild.csv</t>
        </is>
      </c>
    </row>
    <row r="1063">
      <c r="A1063" t="n">
        <v>1062</v>
      </c>
      <c r="B1063" t="n">
        <v>526</v>
      </c>
      <c r="C1063" t="inlineStr">
        <is>
          <t>6 Falak</t>
        </is>
      </c>
      <c r="D1063" t="inlineStr">
        <is>
          <t>Sweid &amp; Sweid</t>
        </is>
      </c>
      <c r="E1063" t="inlineStr">
        <is>
          <t>Dubai Internet City</t>
        </is>
      </c>
      <c r="F1063" t="inlineStr">
        <is>
          <t>Office/Commercial</t>
        </is>
      </c>
      <c r="G1063" t="inlineStr">
        <is>
          <t>Class A Office</t>
        </is>
      </c>
      <c r="H1063" t="inlineStr">
        <is>
          <t>Lease Only</t>
        </is>
      </c>
      <c r="J1063" t="inlineStr">
        <is>
          <t>25</t>
        </is>
      </c>
      <c r="K1063" t="inlineStr">
        <is>
          <t>Completed</t>
        </is>
      </c>
      <c r="L1063" t="inlineStr">
        <is>
          <t>2023</t>
        </is>
      </c>
      <c r="M1063" t="inlineStr">
        <is>
          <t>8.0-9.0</t>
        </is>
      </c>
      <c r="P1063" t="inlineStr">
        <is>
          <t>American Univ. Dubai</t>
        </is>
      </c>
      <c r="Q1063" t="inlineStr">
        <is>
          <t>Saudi German Hospital</t>
        </is>
      </c>
      <c r="R1063" t="inlineStr">
        <is>
          <t>Dubai Marina Mall</t>
        </is>
      </c>
      <c r="S1063" t="inlineStr">
        <is>
          <t>Sheikh Zayed E11</t>
        </is>
      </c>
      <c r="T1063" t="inlineStr">
        <is>
          <t>20</t>
        </is>
      </c>
      <c r="U1063" t="inlineStr">
        <is>
          <t>2</t>
        </is>
      </c>
      <c r="V1063" t="inlineStr">
        <is>
          <t>25</t>
        </is>
      </c>
      <c r="W1063" t="inlineStr">
        <is>
          <t>30</t>
        </is>
      </c>
      <c r="X1063" t="inlineStr">
        <is>
          <t>Guild.csv</t>
        </is>
      </c>
    </row>
    <row r="1064">
      <c r="A1064" t="n">
        <v>1063</v>
      </c>
      <c r="B1064" t="n">
        <v>527</v>
      </c>
      <c r="C1064" t="inlineStr">
        <is>
          <t>The Ritz-Carlton Residences</t>
        </is>
      </c>
      <c r="D1064" t="inlineStr">
        <is>
          <t>Khamas Group</t>
        </is>
      </c>
      <c r="E1064" t="inlineStr">
        <is>
          <t>Business Bay</t>
        </is>
      </c>
      <c r="F1064" t="inlineStr">
        <is>
          <t>Branded Apts</t>
        </is>
      </c>
      <c r="G1064" t="inlineStr">
        <is>
          <t>Service / Luxury</t>
        </is>
      </c>
      <c r="H1064" t="inlineStr">
        <is>
          <t>5.5M</t>
        </is>
      </c>
      <c r="I1064" t="inlineStr">
        <is>
          <t>3500</t>
        </is>
      </c>
      <c r="J1064" t="inlineStr">
        <is>
          <t>40+</t>
        </is>
      </c>
      <c r="K1064" t="inlineStr">
        <is>
          <t>60/40</t>
        </is>
      </c>
      <c r="L1064" t="inlineStr">
        <is>
          <t>2022</t>
        </is>
      </c>
      <c r="M1064" t="inlineStr">
        <is>
          <t>4.0-4.5</t>
        </is>
      </c>
      <c r="N1064" t="inlineStr">
        <is>
          <t>8-10</t>
        </is>
      </c>
      <c r="O1064" t="inlineStr">
        <is>
          <t>12.0-14.5</t>
        </is>
      </c>
      <c r="P1064" t="inlineStr">
        <is>
          <t>Hartland Intl</t>
        </is>
      </c>
      <c r="Q1064" t="inlineStr">
        <is>
          <t>Emirates Hospital BB</t>
        </is>
      </c>
      <c r="R1064" t="inlineStr">
        <is>
          <t>Dubai Mall</t>
        </is>
      </c>
      <c r="S1064" t="inlineStr">
        <is>
          <t>Al Khail E44</t>
        </is>
      </c>
      <c r="T1064" t="inlineStr">
        <is>
          <t>5</t>
        </is>
      </c>
      <c r="U1064" t="inlineStr">
        <is>
          <t>20</t>
        </is>
      </c>
      <c r="V1064" t="inlineStr">
        <is>
          <t>15</t>
        </is>
      </c>
      <c r="W1064" t="inlineStr">
        <is>
          <t>35</t>
        </is>
      </c>
      <c r="X1064" t="inlineStr">
        <is>
          <t>Guild.csv</t>
        </is>
      </c>
    </row>
    <row r="1065">
      <c r="A1065" t="n">
        <v>1064</v>
      </c>
      <c r="B1065" t="n">
        <v>528</v>
      </c>
      <c r="C1065" t="inlineStr">
        <is>
          <t>Mama Residences</t>
        </is>
      </c>
      <c r="D1065" t="inlineStr">
        <is>
          <t>Khamas Group</t>
        </is>
      </c>
      <c r="E1065" t="inlineStr">
        <is>
          <t>Business Bay</t>
        </is>
      </c>
      <c r="F1065" t="inlineStr">
        <is>
          <t>Branded Apts</t>
        </is>
      </c>
      <c r="G1065" t="inlineStr">
        <is>
          <t>Trendy / Ennismore</t>
        </is>
      </c>
      <c r="H1065" t="inlineStr">
        <is>
          <t>2.2M</t>
        </is>
      </c>
      <c r="I1065" t="inlineStr">
        <is>
          <t>2500</t>
        </is>
      </c>
      <c r="J1065" t="inlineStr">
        <is>
          <t>25</t>
        </is>
      </c>
      <c r="K1065" t="inlineStr">
        <is>
          <t>60/40</t>
        </is>
      </c>
      <c r="L1065" t="inlineStr">
        <is>
          <t>2022</t>
        </is>
      </c>
      <c r="M1065" t="inlineStr">
        <is>
          <t>6.0-6.5</t>
        </is>
      </c>
      <c r="N1065" t="inlineStr">
        <is>
          <t>7-9</t>
        </is>
      </c>
      <c r="O1065" t="inlineStr">
        <is>
          <t>13.0-15.5</t>
        </is>
      </c>
      <c r="P1065" t="inlineStr">
        <is>
          <t>Hartland Intl</t>
        </is>
      </c>
      <c r="Q1065" t="inlineStr">
        <is>
          <t>Emirates Hospital BB</t>
        </is>
      </c>
      <c r="R1065" t="inlineStr">
        <is>
          <t>Dubai Mall</t>
        </is>
      </c>
      <c r="S1065" t="inlineStr">
        <is>
          <t>Al Khail E44</t>
        </is>
      </c>
      <c r="T1065" t="inlineStr">
        <is>
          <t>5</t>
        </is>
      </c>
      <c r="U1065" t="inlineStr">
        <is>
          <t>20</t>
        </is>
      </c>
      <c r="V1065" t="inlineStr">
        <is>
          <t>15</t>
        </is>
      </c>
      <c r="W1065" t="inlineStr">
        <is>
          <t>35</t>
        </is>
      </c>
      <c r="X1065" t="inlineStr">
        <is>
          <t>Guild.csv</t>
        </is>
      </c>
    </row>
    <row r="1066">
      <c r="A1066" t="n">
        <v>1065</v>
      </c>
      <c r="B1066" t="n">
        <v>529</v>
      </c>
      <c r="C1066" t="inlineStr">
        <is>
          <t>Marriott Residences JVC</t>
        </is>
      </c>
      <c r="D1066" t="inlineStr">
        <is>
          <t>Khamas Group</t>
        </is>
      </c>
      <c r="E1066" t="inlineStr">
        <is>
          <t>JVC</t>
        </is>
      </c>
      <c r="F1066" t="inlineStr">
        <is>
          <t>Branded Apts</t>
        </is>
      </c>
      <c r="G1066" t="inlineStr">
        <is>
          <t>Hotel Service</t>
        </is>
      </c>
      <c r="H1066" t="inlineStr">
        <is>
          <t>1.5M</t>
        </is>
      </c>
      <c r="I1066" t="inlineStr">
        <is>
          <t>1600</t>
        </is>
      </c>
      <c r="J1066" t="inlineStr">
        <is>
          <t>20</t>
        </is>
      </c>
      <c r="K1066" t="inlineStr">
        <is>
          <t>60/40</t>
        </is>
      </c>
      <c r="L1066" t="inlineStr">
        <is>
          <t>2023</t>
        </is>
      </c>
      <c r="M1066" t="inlineStr">
        <is>
          <t>7.0-7.5</t>
        </is>
      </c>
      <c r="N1066" t="inlineStr">
        <is>
          <t>6-8</t>
        </is>
      </c>
      <c r="O1066" t="inlineStr">
        <is>
          <t>13.0-15.5</t>
        </is>
      </c>
      <c r="P1066" t="inlineStr">
        <is>
          <t>JSS International</t>
        </is>
      </c>
      <c r="Q1066" t="inlineStr">
        <is>
          <t>Saudi German Hospital</t>
        </is>
      </c>
      <c r="R1066" t="inlineStr">
        <is>
          <t>Circle Mall</t>
        </is>
      </c>
      <c r="S1066" t="inlineStr">
        <is>
          <t>Hessa St / E44</t>
        </is>
      </c>
      <c r="T1066" t="inlineStr">
        <is>
          <t>20</t>
        </is>
      </c>
      <c r="U1066" t="inlineStr">
        <is>
          <t>15</t>
        </is>
      </c>
      <c r="V1066" t="inlineStr">
        <is>
          <t>25</t>
        </is>
      </c>
      <c r="W1066" t="inlineStr">
        <is>
          <t>30</t>
        </is>
      </c>
      <c r="X1066" t="inlineStr">
        <is>
          <t>Guild.csv</t>
        </is>
      </c>
    </row>
    <row r="1067">
      <c r="A1067" t="n">
        <v>1066</v>
      </c>
      <c r="B1067" t="n">
        <v>530</v>
      </c>
      <c r="C1067" t="inlineStr">
        <is>
          <t>The Autograph S Series</t>
        </is>
      </c>
      <c r="D1067" t="inlineStr">
        <is>
          <t>Green Group</t>
        </is>
      </c>
      <c r="E1067" t="inlineStr">
        <is>
          <t>JVC (District 15)</t>
        </is>
      </c>
      <c r="F1067" t="inlineStr">
        <is>
          <t>Apartments</t>
        </is>
      </c>
      <c r="G1067" t="inlineStr">
        <is>
          <t>Boutique / Design</t>
        </is>
      </c>
      <c r="H1067" t="inlineStr">
        <is>
          <t>1.2M</t>
        </is>
      </c>
      <c r="I1067" t="inlineStr">
        <is>
          <t>1450</t>
        </is>
      </c>
      <c r="J1067" t="inlineStr">
        <is>
          <t>16</t>
        </is>
      </c>
      <c r="K1067" t="inlineStr">
        <is>
          <t>50/50</t>
        </is>
      </c>
      <c r="L1067" t="inlineStr">
        <is>
          <t>2024</t>
        </is>
      </c>
      <c r="M1067" t="inlineStr">
        <is>
          <t>7.5-8.0</t>
        </is>
      </c>
      <c r="N1067" t="inlineStr">
        <is>
          <t>8-10</t>
        </is>
      </c>
      <c r="O1067" t="inlineStr">
        <is>
          <t>15.5-18.0</t>
        </is>
      </c>
      <c r="P1067" t="inlineStr">
        <is>
          <t>JSS International</t>
        </is>
      </c>
      <c r="Q1067" t="inlineStr">
        <is>
          <t>Saudi German Hospital</t>
        </is>
      </c>
      <c r="R1067" t="inlineStr">
        <is>
          <t>Circle Mall</t>
        </is>
      </c>
      <c r="S1067" t="inlineStr">
        <is>
          <t>Hessa St / E44</t>
        </is>
      </c>
      <c r="T1067" t="inlineStr">
        <is>
          <t>20</t>
        </is>
      </c>
      <c r="U1067" t="inlineStr">
        <is>
          <t>15</t>
        </is>
      </c>
      <c r="V1067" t="inlineStr">
        <is>
          <t>25</t>
        </is>
      </c>
      <c r="W1067" t="inlineStr">
        <is>
          <t>30</t>
        </is>
      </c>
      <c r="X1067" t="inlineStr">
        <is>
          <t>Guild.csv</t>
        </is>
      </c>
    </row>
    <row r="1068">
      <c r="A1068" t="n">
        <v>1067</v>
      </c>
      <c r="B1068" t="n">
        <v>531</v>
      </c>
      <c r="C1068" t="inlineStr">
        <is>
          <t>The Autograph X Series</t>
        </is>
      </c>
      <c r="D1068" t="inlineStr">
        <is>
          <t>Green Group</t>
        </is>
      </c>
      <c r="E1068" t="inlineStr">
        <is>
          <t>JVC (District 13)</t>
        </is>
      </c>
      <c r="F1068" t="inlineStr">
        <is>
          <t>Townhouses</t>
        </is>
      </c>
      <c r="G1068" t="inlineStr">
        <is>
          <t>Boutique / Luxury</t>
        </is>
      </c>
      <c r="H1068" t="inlineStr">
        <is>
          <t>3.6M</t>
        </is>
      </c>
      <c r="I1068" t="inlineStr">
        <is>
          <t>1100</t>
        </is>
      </c>
      <c r="J1068" t="inlineStr">
        <is>
          <t>12</t>
        </is>
      </c>
      <c r="K1068" t="inlineStr">
        <is>
          <t>50/50</t>
        </is>
      </c>
      <c r="L1068" t="inlineStr">
        <is>
          <t>2023</t>
        </is>
      </c>
      <c r="M1068" t="inlineStr">
        <is>
          <t>7.0-7.5</t>
        </is>
      </c>
      <c r="N1068" t="inlineStr">
        <is>
          <t>8-10</t>
        </is>
      </c>
      <c r="O1068" t="inlineStr">
        <is>
          <t>15.0-17.5</t>
        </is>
      </c>
      <c r="P1068" t="inlineStr">
        <is>
          <t>JSS International</t>
        </is>
      </c>
      <c r="Q1068" t="inlineStr">
        <is>
          <t>Saudi German Hospital</t>
        </is>
      </c>
      <c r="R1068" t="inlineStr">
        <is>
          <t>Circle Mall</t>
        </is>
      </c>
      <c r="S1068" t="inlineStr">
        <is>
          <t>Hessa St / E44</t>
        </is>
      </c>
      <c r="T1068" t="inlineStr">
        <is>
          <t>20</t>
        </is>
      </c>
      <c r="U1068" t="inlineStr">
        <is>
          <t>15</t>
        </is>
      </c>
      <c r="V1068" t="inlineStr">
        <is>
          <t>25</t>
        </is>
      </c>
      <c r="W1068" t="inlineStr">
        <is>
          <t>30</t>
        </is>
      </c>
      <c r="X1068" t="inlineStr">
        <is>
          <t>Guild.csv</t>
        </is>
      </c>
    </row>
    <row r="1069">
      <c r="A1069" t="n">
        <v>1068</v>
      </c>
      <c r="B1069" t="n">
        <v>532</v>
      </c>
      <c r="C1069" t="inlineStr">
        <is>
          <t>The Autograph I Series</t>
        </is>
      </c>
      <c r="D1069" t="inlineStr">
        <is>
          <t>Green Group</t>
        </is>
      </c>
      <c r="E1069" t="inlineStr">
        <is>
          <t>JVC</t>
        </is>
      </c>
      <c r="F1069" t="inlineStr">
        <is>
          <t>Apartments</t>
        </is>
      </c>
      <c r="G1069" t="inlineStr">
        <is>
          <t>Boutique / Smart</t>
        </is>
      </c>
      <c r="H1069" t="inlineStr">
        <is>
          <t>1.1M</t>
        </is>
      </c>
      <c r="I1069" t="inlineStr">
        <is>
          <t>1400</t>
        </is>
      </c>
      <c r="J1069" t="inlineStr">
        <is>
          <t>16</t>
        </is>
      </c>
      <c r="K1069" t="inlineStr">
        <is>
          <t>50/50</t>
        </is>
      </c>
      <c r="L1069" t="inlineStr">
        <is>
          <t>2024</t>
        </is>
      </c>
      <c r="M1069" t="inlineStr">
        <is>
          <t>7.5-8.0</t>
        </is>
      </c>
      <c r="N1069" t="inlineStr">
        <is>
          <t>8-10</t>
        </is>
      </c>
      <c r="O1069" t="inlineStr">
        <is>
          <t>15.5-18.0</t>
        </is>
      </c>
      <c r="P1069" t="inlineStr">
        <is>
          <t>JSS International</t>
        </is>
      </c>
      <c r="Q1069" t="inlineStr">
        <is>
          <t>Saudi German Hospital</t>
        </is>
      </c>
      <c r="R1069" t="inlineStr">
        <is>
          <t>Circle Mall</t>
        </is>
      </c>
      <c r="S1069" t="inlineStr">
        <is>
          <t>Hessa St / E44</t>
        </is>
      </c>
      <c r="T1069" t="inlineStr">
        <is>
          <t>20</t>
        </is>
      </c>
      <c r="U1069" t="inlineStr">
        <is>
          <t>15</t>
        </is>
      </c>
      <c r="V1069" t="inlineStr">
        <is>
          <t>25</t>
        </is>
      </c>
      <c r="W1069" t="inlineStr">
        <is>
          <t>30</t>
        </is>
      </c>
      <c r="X1069" t="inlineStr">
        <is>
          <t>Guild.csv</t>
        </is>
      </c>
    </row>
    <row r="1070">
      <c r="A1070" t="n">
        <v>1069</v>
      </c>
      <c r="B1070" t="n">
        <v>533</v>
      </c>
      <c r="C1070" t="inlineStr">
        <is>
          <t>Paradise Lakes (Resale)</t>
        </is>
      </c>
      <c r="D1070" t="inlineStr">
        <is>
          <t>Sweet Homes (Orig.)</t>
        </is>
      </c>
      <c r="E1070" t="inlineStr">
        <is>
          <t>Emirates City (Ajman)</t>
        </is>
      </c>
      <c r="F1070" t="inlineStr">
        <is>
          <t>Apartments</t>
        </is>
      </c>
      <c r="G1070" t="inlineStr">
        <is>
          <t>Budget / Resale</t>
        </is>
      </c>
      <c r="H1070" t="inlineStr">
        <is>
          <t>250k</t>
        </is>
      </c>
      <c r="I1070" t="inlineStr">
        <is>
          <t>350</t>
        </is>
      </c>
      <c r="J1070" t="inlineStr">
        <is>
          <t>10</t>
        </is>
      </c>
      <c r="K1070" t="inlineStr">
        <is>
          <t>Cash</t>
        </is>
      </c>
      <c r="L1070" t="inlineStr">
        <is>
          <t>2008</t>
        </is>
      </c>
      <c r="M1070" t="inlineStr">
        <is>
          <t>9.0-10.0</t>
        </is>
      </c>
      <c r="N1070" t="inlineStr">
        <is>
          <t>3-5</t>
        </is>
      </c>
      <c r="O1070" t="inlineStr">
        <is>
          <t>12.0-15.0</t>
        </is>
      </c>
      <c r="P1070" t="inlineStr">
        <is>
          <t>Ajman Academy</t>
        </is>
      </c>
      <c r="Q1070" t="inlineStr">
        <is>
          <t>Saudi German Ajman</t>
        </is>
      </c>
      <c r="R1070" t="inlineStr">
        <is>
          <t>China Mall Ajman</t>
        </is>
      </c>
      <c r="S1070" t="inlineStr">
        <is>
          <t>E311 (Ajman)</t>
        </is>
      </c>
      <c r="T1070" t="inlineStr">
        <is>
          <t>40</t>
        </is>
      </c>
      <c r="U1070" t="inlineStr">
        <is>
          <t>60</t>
        </is>
      </c>
      <c r="V1070" t="inlineStr">
        <is>
          <t>25</t>
        </is>
      </c>
      <c r="W1070" t="inlineStr">
        <is>
          <t>60</t>
        </is>
      </c>
      <c r="X1070" t="inlineStr">
        <is>
          <t>Guild.csv</t>
        </is>
      </c>
    </row>
    <row r="1071">
      <c r="A1071" t="n">
        <v>1070</v>
      </c>
      <c r="B1071" t="n">
        <v>534</v>
      </c>
      <c r="C1071" t="inlineStr">
        <is>
          <t>Helvetia Residences</t>
        </is>
      </c>
      <c r="D1071" t="inlineStr">
        <is>
          <t>DHG Properties</t>
        </is>
      </c>
      <c r="E1071" t="inlineStr">
        <is>
          <t>JVC</t>
        </is>
      </c>
      <c r="F1071" t="inlineStr">
        <is>
          <t>Apartments</t>
        </is>
      </c>
      <c r="G1071" t="inlineStr">
        <is>
          <t>Swiss Quality</t>
        </is>
      </c>
      <c r="H1071" t="inlineStr">
        <is>
          <t>900k</t>
        </is>
      </c>
      <c r="I1071" t="inlineStr">
        <is>
          <t>1200</t>
        </is>
      </c>
      <c r="J1071" t="inlineStr">
        <is>
          <t>15</t>
        </is>
      </c>
      <c r="K1071" t="inlineStr">
        <is>
          <t>60/40</t>
        </is>
      </c>
      <c r="L1071" t="inlineStr">
        <is>
          <t>2023</t>
        </is>
      </c>
      <c r="M1071" t="inlineStr">
        <is>
          <t>7.5-8.0</t>
        </is>
      </c>
      <c r="N1071" t="inlineStr">
        <is>
          <t>6-8</t>
        </is>
      </c>
      <c r="O1071" t="inlineStr">
        <is>
          <t>13.5-16.0</t>
        </is>
      </c>
      <c r="P1071" t="inlineStr">
        <is>
          <t>JSS International</t>
        </is>
      </c>
      <c r="Q1071" t="inlineStr">
        <is>
          <t>Saudi German Hospital</t>
        </is>
      </c>
      <c r="R1071" t="inlineStr">
        <is>
          <t>Circle Mall</t>
        </is>
      </c>
      <c r="S1071" t="inlineStr">
        <is>
          <t>Hessa St / E44</t>
        </is>
      </c>
      <c r="T1071" t="inlineStr">
        <is>
          <t>20</t>
        </is>
      </c>
      <c r="U1071" t="inlineStr">
        <is>
          <t>15</t>
        </is>
      </c>
      <c r="V1071" t="inlineStr">
        <is>
          <t>25</t>
        </is>
      </c>
      <c r="W1071" t="inlineStr">
        <is>
          <t>30</t>
        </is>
      </c>
      <c r="X1071" t="inlineStr">
        <is>
          <t>Guild.csv</t>
        </is>
      </c>
    </row>
    <row r="1072">
      <c r="A1072" t="n">
        <v>1071</v>
      </c>
      <c r="B1072" t="n">
        <v>535</v>
      </c>
      <c r="C1072" t="inlineStr">
        <is>
          <t>Helvetia Marine</t>
        </is>
      </c>
      <c r="D1072" t="inlineStr">
        <is>
          <t>DHG Properties</t>
        </is>
      </c>
      <c r="E1072" t="inlineStr">
        <is>
          <t>Dubai Maritime City</t>
        </is>
      </c>
      <c r="F1072" t="inlineStr">
        <is>
          <t>Apartments</t>
        </is>
      </c>
      <c r="G1072" t="inlineStr">
        <is>
          <t>Sea View</t>
        </is>
      </c>
      <c r="H1072" t="inlineStr">
        <is>
          <t>1.5M</t>
        </is>
      </c>
      <c r="I1072" t="inlineStr">
        <is>
          <t>1600</t>
        </is>
      </c>
      <c r="J1072" t="inlineStr">
        <is>
          <t>18</t>
        </is>
      </c>
      <c r="K1072" t="inlineStr">
        <is>
          <t>60/40</t>
        </is>
      </c>
      <c r="L1072" t="inlineStr">
        <is>
          <t>2024</t>
        </is>
      </c>
      <c r="M1072" t="inlineStr">
        <is>
          <t>6.5-7.0</t>
        </is>
      </c>
      <c r="N1072" t="inlineStr">
        <is>
          <t>8-10</t>
        </is>
      </c>
      <c r="O1072" t="inlineStr">
        <is>
          <t>14.5-17.0</t>
        </is>
      </c>
      <c r="P1072" t="inlineStr">
        <is>
          <t>New Academy School</t>
        </is>
      </c>
      <c r="Q1072" t="inlineStr">
        <is>
          <t>Aster Hospital Mankhool</t>
        </is>
      </c>
      <c r="R1072" t="inlineStr">
        <is>
          <t>Dubai Mall</t>
        </is>
      </c>
      <c r="S1072" t="inlineStr">
        <is>
          <t>Al Khaleej / E11</t>
        </is>
      </c>
      <c r="T1072" t="inlineStr">
        <is>
          <t>15</t>
        </is>
      </c>
      <c r="U1072" t="inlineStr">
        <is>
          <t>25</t>
        </is>
      </c>
      <c r="V1072" t="inlineStr">
        <is>
          <t>15</t>
        </is>
      </c>
      <c r="W1072" t="inlineStr">
        <is>
          <t>45</t>
        </is>
      </c>
      <c r="X1072" t="inlineStr">
        <is>
          <t>Guild.csv</t>
        </is>
      </c>
    </row>
    <row r="1073">
      <c r="A1073" t="n">
        <v>1072</v>
      </c>
      <c r="B1073" t="n">
        <v>536</v>
      </c>
      <c r="C1073" t="inlineStr">
        <is>
          <t>Helvetia Verde</t>
        </is>
      </c>
      <c r="D1073" t="inlineStr">
        <is>
          <t>DHG Properties</t>
        </is>
      </c>
      <c r="E1073" t="inlineStr">
        <is>
          <t>JVC</t>
        </is>
      </c>
      <c r="F1073" t="inlineStr">
        <is>
          <t>Apartments</t>
        </is>
      </c>
      <c r="G1073" t="inlineStr">
        <is>
          <t>Green</t>
        </is>
      </c>
      <c r="H1073" t="inlineStr">
        <is>
          <t>950k</t>
        </is>
      </c>
      <c r="I1073" t="inlineStr">
        <is>
          <t>1250</t>
        </is>
      </c>
      <c r="J1073" t="inlineStr">
        <is>
          <t>15</t>
        </is>
      </c>
      <c r="K1073" t="inlineStr">
        <is>
          <t>60/40</t>
        </is>
      </c>
      <c r="L1073" t="inlineStr">
        <is>
          <t>2024</t>
        </is>
      </c>
      <c r="M1073" t="inlineStr">
        <is>
          <t>7.5-8.0</t>
        </is>
      </c>
      <c r="N1073" t="inlineStr">
        <is>
          <t>6-8</t>
        </is>
      </c>
      <c r="O1073" t="inlineStr">
        <is>
          <t>13.5-16.0</t>
        </is>
      </c>
      <c r="P1073" t="inlineStr">
        <is>
          <t>JSS International</t>
        </is>
      </c>
      <c r="Q1073" t="inlineStr">
        <is>
          <t>Saudi German Hospital</t>
        </is>
      </c>
      <c r="R1073" t="inlineStr">
        <is>
          <t>Circle Mall</t>
        </is>
      </c>
      <c r="S1073" t="inlineStr">
        <is>
          <t>Hessa St / E44</t>
        </is>
      </c>
      <c r="T1073" t="inlineStr">
        <is>
          <t>20</t>
        </is>
      </c>
      <c r="U1073" t="inlineStr">
        <is>
          <t>15</t>
        </is>
      </c>
      <c r="V1073" t="inlineStr">
        <is>
          <t>25</t>
        </is>
      </c>
      <c r="W1073" t="inlineStr">
        <is>
          <t>30</t>
        </is>
      </c>
      <c r="X1073" t="inlineStr">
        <is>
          <t>Guild.csv</t>
        </is>
      </c>
    </row>
    <row r="1074">
      <c r="A1074" t="n">
        <v>1073</v>
      </c>
      <c r="B1074" t="n">
        <v>537</v>
      </c>
      <c r="C1074" t="inlineStr">
        <is>
          <t>City Walk Crestlane</t>
        </is>
      </c>
      <c r="D1074" t="inlineStr">
        <is>
          <t>Meraas</t>
        </is>
      </c>
      <c r="E1074" t="inlineStr">
        <is>
          <t>City Walk</t>
        </is>
      </c>
      <c r="F1074" t="inlineStr">
        <is>
          <t>Apartments</t>
        </is>
      </c>
      <c r="G1074" t="inlineStr">
        <is>
          <t>Urban / Mixed-Use</t>
        </is>
      </c>
      <c r="H1074" t="inlineStr">
        <is>
          <t>2.6M</t>
        </is>
      </c>
      <c r="I1074" t="inlineStr">
        <is>
          <t>TBA</t>
        </is>
      </c>
      <c r="J1074" t="inlineStr">
        <is>
          <t>TBA</t>
        </is>
      </c>
      <c r="K1074" t="inlineStr">
        <is>
          <t>Flexible</t>
        </is>
      </c>
      <c r="L1074" t="inlineStr">
        <is>
          <t>Q1 2025</t>
        </is>
      </c>
      <c r="M1074" t="inlineStr">
        <is>
          <t>4.5-5.5</t>
        </is>
      </c>
      <c r="N1074" t="inlineStr">
        <is>
          <t>3-6</t>
        </is>
      </c>
      <c r="O1074" t="inlineStr">
        <is>
          <t>7.5-11.5</t>
        </is>
      </c>
      <c r="P1074" t="inlineStr">
        <is>
          <t>GEMS Wellington / JSS Private</t>
        </is>
      </c>
      <c r="Q1074" t="inlineStr">
        <is>
          <t>Medcare / Emirates Hospital Jumeirah</t>
        </is>
      </c>
      <c r="R1074" t="inlineStr">
        <is>
          <t>City Walk / Dubai Mall</t>
        </is>
      </c>
      <c r="S1074" t="inlineStr">
        <is>
          <t>Al Safa St / Sheikh Zayed Rd</t>
        </is>
      </c>
      <c r="T1074" t="n">
        <v>10</v>
      </c>
      <c r="U1074" t="n">
        <v>20</v>
      </c>
      <c r="V1074" t="n">
        <v>15</v>
      </c>
      <c r="W1074" t="n">
        <v>40</v>
      </c>
      <c r="X1074" t="inlineStr">
        <is>
          <t>web_added_2026-03-18</t>
        </is>
      </c>
      <c r="Y1074" t="inlineStr">
        <is>
          <t>https://eplogoffplan.com/projects/city-walk-crestlane-by-meraas-apartments/paymentplan-details</t>
        </is>
      </c>
      <c r="Z1074" t="inlineStr">
        <is>
          <t>web_added</t>
        </is>
      </c>
      <c r="AA1074" t="inlineStr">
        <is>
          <t>2026-03-18</t>
        </is>
      </c>
    </row>
    <row r="1075">
      <c r="A1075" t="n">
        <v>1074</v>
      </c>
      <c r="B1075" t="n">
        <v>538</v>
      </c>
      <c r="C1075" t="inlineStr">
        <is>
          <t>The Edit at d3</t>
        </is>
      </c>
      <c r="D1075" t="inlineStr">
        <is>
          <t>Meraas</t>
        </is>
      </c>
      <c r="E1075" t="inlineStr">
        <is>
          <t>Dubai Design District (d3)</t>
        </is>
      </c>
      <c r="F1075" t="inlineStr">
        <is>
          <t>Apartments</t>
        </is>
      </c>
      <c r="G1075" t="inlineStr">
        <is>
          <t>Waterfront / Design-Led</t>
        </is>
      </c>
      <c r="H1075" t="inlineStr">
        <is>
          <t>1.87M</t>
        </is>
      </c>
      <c r="I1075" t="inlineStr">
        <is>
          <t>TBA</t>
        </is>
      </c>
      <c r="J1075" t="inlineStr">
        <is>
          <t>TBA</t>
        </is>
      </c>
      <c r="K1075" t="inlineStr">
        <is>
          <t>75/25</t>
        </is>
      </c>
      <c r="L1075" t="inlineStr">
        <is>
          <t>Q1 2026</t>
        </is>
      </c>
      <c r="M1075" t="inlineStr">
        <is>
          <t>5.0-6.0</t>
        </is>
      </c>
      <c r="N1075" t="inlineStr">
        <is>
          <t>4-7</t>
        </is>
      </c>
      <c r="O1075" t="inlineStr">
        <is>
          <t>9.0-13.0</t>
        </is>
      </c>
      <c r="P1075" t="inlineStr">
        <is>
          <t>Hartland Intl / North London Collegiate</t>
        </is>
      </c>
      <c r="Q1075" t="inlineStr">
        <is>
          <t>Medcare / Emirates Hospital</t>
        </is>
      </c>
      <c r="R1075" t="inlineStr">
        <is>
          <t>Dubai Mall</t>
        </is>
      </c>
      <c r="S1075" t="inlineStr">
        <is>
          <t>Ras Al Khor Rd / Al Khail Rd</t>
        </is>
      </c>
      <c r="T1075" t="n">
        <v>7</v>
      </c>
      <c r="U1075" t="n">
        <v>20</v>
      </c>
      <c r="V1075" t="n">
        <v>15</v>
      </c>
      <c r="W1075" t="n">
        <v>35</v>
      </c>
      <c r="X1075" t="inlineStr">
        <is>
          <t>web_added_2026-03-18</t>
        </is>
      </c>
      <c r="Y1075" t="inlineStr">
        <is>
          <t>https://www.engelvoelkers.com/ae/en/off-plan/the-edit-d3</t>
        </is>
      </c>
      <c r="Z1075" t="inlineStr">
        <is>
          <t>web_added</t>
        </is>
      </c>
      <c r="AA1075" t="inlineStr">
        <is>
          <t>2026-03-18</t>
        </is>
      </c>
    </row>
    <row r="1076">
      <c r="A1076" t="n">
        <v>1075</v>
      </c>
      <c r="B1076" t="n">
        <v>539</v>
      </c>
      <c r="C1076" t="inlineStr">
        <is>
          <t>Jumeirah Residences Emirates Towers</t>
        </is>
      </c>
      <c r="D1076" t="inlineStr">
        <is>
          <t>Meraas</t>
        </is>
      </c>
      <c r="E1076" t="inlineStr">
        <is>
          <t>Sheikh Zayed Road</t>
        </is>
      </c>
      <c r="F1076" t="inlineStr">
        <is>
          <t>Apartments</t>
        </is>
      </c>
      <c r="G1076" t="inlineStr">
        <is>
          <t>Branded / Urban Core</t>
        </is>
      </c>
      <c r="H1076" t="inlineStr">
        <is>
          <t>3.51M</t>
        </is>
      </c>
      <c r="I1076" t="inlineStr">
        <is>
          <t>TBA</t>
        </is>
      </c>
      <c r="J1076" t="inlineStr">
        <is>
          <t>TBA</t>
        </is>
      </c>
      <c r="K1076" t="inlineStr">
        <is>
          <t>80/20</t>
        </is>
      </c>
      <c r="L1076" t="inlineStr">
        <is>
          <t>Q2 2025</t>
        </is>
      </c>
      <c r="M1076" t="inlineStr">
        <is>
          <t>4.0-5.0</t>
        </is>
      </c>
      <c r="N1076" t="inlineStr">
        <is>
          <t>3-6</t>
        </is>
      </c>
      <c r="O1076" t="inlineStr">
        <is>
          <t>7.0-11.0</t>
        </is>
      </c>
      <c r="P1076" t="inlineStr">
        <is>
          <t>GEMS Wellington / JESS</t>
        </is>
      </c>
      <c r="Q1076" t="inlineStr">
        <is>
          <t>Medcare / Emirates Hospital</t>
        </is>
      </c>
      <c r="R1076" t="inlineStr">
        <is>
          <t>Museum of the Future / Dubai Mall</t>
        </is>
      </c>
      <c r="S1076" t="inlineStr">
        <is>
          <t>Sheikh Zayed Rd</t>
        </is>
      </c>
      <c r="T1076" t="n">
        <v>10</v>
      </c>
      <c r="U1076" t="n">
        <v>20</v>
      </c>
      <c r="V1076" t="n">
        <v>15</v>
      </c>
      <c r="W1076" t="n">
        <v>40</v>
      </c>
      <c r="X1076" t="inlineStr">
        <is>
          <t>web_added_2026-03-18</t>
        </is>
      </c>
      <c r="Y1076" t="inlineStr">
        <is>
          <t>https://metropolitan.realestate/sheikh-zayed-road/jumeirah-residences-emirates-towers/</t>
        </is>
      </c>
      <c r="Z1076" t="inlineStr">
        <is>
          <t>web_added</t>
        </is>
      </c>
      <c r="AA1076" t="inlineStr">
        <is>
          <t>2026-03-18</t>
        </is>
      </c>
    </row>
    <row r="1077">
      <c r="A1077" t="n">
        <v>1076</v>
      </c>
      <c r="B1077" t="n">
        <v>540</v>
      </c>
      <c r="C1077" t="inlineStr">
        <is>
          <t>Atélis at d3</t>
        </is>
      </c>
      <c r="D1077" t="inlineStr">
        <is>
          <t>Meraas</t>
        </is>
      </c>
      <c r="E1077" t="inlineStr">
        <is>
          <t>Dubai Design District (d3)</t>
        </is>
      </c>
      <c r="F1077" t="inlineStr">
        <is>
          <t>Apartments &amp; Sky Villas</t>
        </is>
      </c>
      <c r="G1077" t="inlineStr">
        <is>
          <t>Waterfront / Design-Led</t>
        </is>
      </c>
      <c r="H1077" t="inlineStr">
        <is>
          <t>2.1M</t>
        </is>
      </c>
      <c r="I1077" t="inlineStr">
        <is>
          <t>TBA</t>
        </is>
      </c>
      <c r="J1077" t="inlineStr">
        <is>
          <t>TBA</t>
        </is>
      </c>
      <c r="K1077" t="inlineStr">
        <is>
          <t>50/50</t>
        </is>
      </c>
      <c r="L1077" t="inlineStr">
        <is>
          <t>Q1 2026</t>
        </is>
      </c>
      <c r="M1077" t="inlineStr">
        <is>
          <t>5.0-6.0</t>
        </is>
      </c>
      <c r="N1077" t="inlineStr">
        <is>
          <t>4-7</t>
        </is>
      </c>
      <c r="O1077" t="inlineStr">
        <is>
          <t>9.0-13.0</t>
        </is>
      </c>
      <c r="P1077" t="inlineStr">
        <is>
          <t>Hartland Intl / North London Collegiate</t>
        </is>
      </c>
      <c r="Q1077" t="inlineStr">
        <is>
          <t>Medcare / Emirates Hospital</t>
        </is>
      </c>
      <c r="R1077" t="inlineStr">
        <is>
          <t>Dubai Mall</t>
        </is>
      </c>
      <c r="S1077" t="inlineStr">
        <is>
          <t>Ras Al Khor Rd / Al Khail Rd</t>
        </is>
      </c>
      <c r="T1077" t="n">
        <v>6</v>
      </c>
      <c r="U1077" t="n">
        <v>20</v>
      </c>
      <c r="V1077" t="n">
        <v>15</v>
      </c>
      <c r="W1077" t="n">
        <v>35</v>
      </c>
      <c r="X1077" t="inlineStr">
        <is>
          <t>web_added_2026-03-18</t>
        </is>
      </c>
      <c r="Y1077" t="inlineStr">
        <is>
          <t>https://www.sekene.com/off-plane/atelis-at-d3/</t>
        </is>
      </c>
      <c r="Z1077" t="inlineStr">
        <is>
          <t>web_added</t>
        </is>
      </c>
      <c r="AA1077" t="inlineStr">
        <is>
          <t>2026-03-18</t>
        </is>
      </c>
    </row>
    <row r="1078">
      <c r="A1078" t="n">
        <v>1077</v>
      </c>
      <c r="B1078" t="n">
        <v>541</v>
      </c>
      <c r="C1078" t="inlineStr">
        <is>
          <t>Jumeirah Asora Bay</t>
        </is>
      </c>
      <c r="D1078" t="inlineStr">
        <is>
          <t>Meraas</t>
        </is>
      </c>
      <c r="E1078" t="inlineStr">
        <is>
          <t>La Mer / Jumeirah</t>
        </is>
      </c>
      <c r="F1078" t="inlineStr">
        <is>
          <t>Apartments, Villas &amp; Penthouses</t>
        </is>
      </c>
      <c r="G1078" t="inlineStr">
        <is>
          <t>Ultra-Luxury Waterfront</t>
        </is>
      </c>
      <c r="H1078" t="inlineStr">
        <is>
          <t>45M</t>
        </is>
      </c>
      <c r="I1078" t="inlineStr">
        <is>
          <t>TBA</t>
        </is>
      </c>
      <c r="J1078" t="inlineStr">
        <is>
          <t>TBA</t>
        </is>
      </c>
      <c r="K1078" t="inlineStr">
        <is>
          <t>20/40/40</t>
        </is>
      </c>
      <c r="L1078" t="inlineStr">
        <is>
          <t>Q1 2026</t>
        </is>
      </c>
      <c r="M1078" t="inlineStr">
        <is>
          <t>2.5-3.5</t>
        </is>
      </c>
      <c r="N1078" t="inlineStr">
        <is>
          <t>3-6</t>
        </is>
      </c>
      <c r="O1078" t="inlineStr">
        <is>
          <t>5.5-9.5</t>
        </is>
      </c>
      <c r="P1078" t="inlineStr">
        <is>
          <t>Jumeirah College / GEMS Wellington</t>
        </is>
      </c>
      <c r="Q1078" t="inlineStr">
        <is>
          <t>Medcare / Emirates Hospital Jumeirah</t>
        </is>
      </c>
      <c r="R1078" t="inlineStr">
        <is>
          <t>La Mer / Dubai Mall</t>
        </is>
      </c>
      <c r="S1078" t="inlineStr">
        <is>
          <t>Jumeirah St / Sheikh Zayed Rd</t>
        </is>
      </c>
      <c r="T1078" t="n">
        <v>15</v>
      </c>
      <c r="U1078" t="n">
        <v>20</v>
      </c>
      <c r="V1078" t="n">
        <v>20</v>
      </c>
      <c r="W1078" t="n">
        <v>45</v>
      </c>
      <c r="X1078" t="inlineStr">
        <is>
          <t>web_added_2026-03-18</t>
        </is>
      </c>
      <c r="Y1078" t="inlineStr">
        <is>
          <t>https://eplogoffplan.com/projects/jumeirah-asora-bay-by-meraas-apartment/paymentplan-details</t>
        </is>
      </c>
      <c r="Z1078" t="inlineStr">
        <is>
          <t>web_added</t>
        </is>
      </c>
      <c r="AA1078" t="inlineStr">
        <is>
          <t>2026-03-18</t>
        </is>
      </c>
    </row>
    <row r="1079">
      <c r="A1079" t="n">
        <v>1078</v>
      </c>
      <c r="B1079" t="n">
        <v>542</v>
      </c>
      <c r="C1079" t="inlineStr">
        <is>
          <t>The Acres Villas</t>
        </is>
      </c>
      <c r="D1079" t="inlineStr">
        <is>
          <t>Meraas</t>
        </is>
      </c>
      <c r="E1079" t="inlineStr">
        <is>
          <t>Dubailand</t>
        </is>
      </c>
      <c r="F1079" t="inlineStr">
        <is>
          <t>Villas</t>
        </is>
      </c>
      <c r="G1079" t="inlineStr">
        <is>
          <t>Gated / Nature-Led</t>
        </is>
      </c>
      <c r="H1079" t="inlineStr">
        <is>
          <t>5.05M</t>
        </is>
      </c>
      <c r="I1079" t="inlineStr">
        <is>
          <t>TBA</t>
        </is>
      </c>
      <c r="J1079" t="inlineStr">
        <is>
          <t>TBA</t>
        </is>
      </c>
      <c r="K1079" t="inlineStr">
        <is>
          <t>65/35</t>
        </is>
      </c>
      <c r="L1079" t="inlineStr">
        <is>
          <t>Q1 2026</t>
        </is>
      </c>
      <c r="M1079" t="inlineStr">
        <is>
          <t>4.0-5.0</t>
        </is>
      </c>
      <c r="N1079" t="inlineStr">
        <is>
          <t>3-6</t>
        </is>
      </c>
      <c r="O1079" t="inlineStr">
        <is>
          <t>7.0-11.0</t>
        </is>
      </c>
      <c r="P1079" t="inlineStr">
        <is>
          <t>GEMS FirstPoint / Repton</t>
        </is>
      </c>
      <c r="Q1079" t="inlineStr">
        <is>
          <t>Fakeeh University / Mediclinic Parkview</t>
        </is>
      </c>
      <c r="R1079" t="inlineStr">
        <is>
          <t>Dubai Outlet Mall / Cityland Mall</t>
        </is>
      </c>
      <c r="S1079" t="inlineStr">
        <is>
          <t>Sheikh Zayed Bin Hamdan / Emirates Rd</t>
        </is>
      </c>
      <c r="T1079" t="n">
        <v>25</v>
      </c>
      <c r="U1079" t="n">
        <v>25</v>
      </c>
      <c r="V1079" t="n">
        <v>30</v>
      </c>
      <c r="W1079" t="n">
        <v>35</v>
      </c>
      <c r="X1079" t="inlineStr">
        <is>
          <t>web_added_2026-03-18</t>
        </is>
      </c>
      <c r="Y1079" t="inlineStr">
        <is>
          <t>https://eplogoffplan.com/projects/acres-by-meraas-villas-dubailand/paymentplan-details</t>
        </is>
      </c>
      <c r="Z1079" t="inlineStr">
        <is>
          <t>web_added</t>
        </is>
      </c>
      <c r="AA1079" t="inlineStr">
        <is>
          <t>2026-03-18</t>
        </is>
      </c>
    </row>
    <row r="1080">
      <c r="A1080" t="n">
        <v>1079</v>
      </c>
      <c r="B1080" t="n">
        <v>543</v>
      </c>
      <c r="C1080" t="inlineStr">
        <is>
          <t>District One Naya Residences</t>
        </is>
      </c>
      <c r="D1080" t="inlineStr">
        <is>
          <t>Nakheel Properties</t>
        </is>
      </c>
      <c r="E1080" t="inlineStr">
        <is>
          <t>District One / MBR City</t>
        </is>
      </c>
      <c r="F1080" t="inlineStr">
        <is>
          <t>Apartments, Penthouses &amp; Villas</t>
        </is>
      </c>
      <c r="G1080" t="inlineStr">
        <is>
          <t>Lagoon / Waterfront</t>
        </is>
      </c>
      <c r="H1080" t="inlineStr">
        <is>
          <t>1.7M</t>
        </is>
      </c>
      <c r="I1080" t="inlineStr">
        <is>
          <t>TBA</t>
        </is>
      </c>
      <c r="J1080" t="inlineStr">
        <is>
          <t>TBA</t>
        </is>
      </c>
      <c r="K1080" t="inlineStr">
        <is>
          <t>65/35</t>
        </is>
      </c>
      <c r="L1080" t="inlineStr">
        <is>
          <t>Q1 2025</t>
        </is>
      </c>
      <c r="M1080" t="inlineStr">
        <is>
          <t>4.5-5.5</t>
        </is>
      </c>
      <c r="N1080" t="inlineStr">
        <is>
          <t>4-7</t>
        </is>
      </c>
      <c r="O1080" t="inlineStr">
        <is>
          <t>8.5-12.5</t>
        </is>
      </c>
      <c r="P1080" t="inlineStr">
        <is>
          <t>Hartland Intl / North London Collegiate</t>
        </is>
      </c>
      <c r="Q1080" t="inlineStr">
        <is>
          <t>MediClinic City / Emirates Hospital</t>
        </is>
      </c>
      <c r="R1080" t="inlineStr">
        <is>
          <t>Dubai Mall / Meydan One</t>
        </is>
      </c>
      <c r="S1080" t="inlineStr">
        <is>
          <t>Al Khail Rd / Meydan Rd</t>
        </is>
      </c>
      <c r="T1080" t="n">
        <v>12</v>
      </c>
      <c r="U1080" t="n">
        <v>22</v>
      </c>
      <c r="V1080" t="n">
        <v>18</v>
      </c>
      <c r="W1080" t="n">
        <v>40</v>
      </c>
      <c r="X1080" t="inlineStr">
        <is>
          <t>web_added_2026-03-18</t>
        </is>
      </c>
      <c r="Y1080" t="inlineStr">
        <is>
          <t>https://www.proprain.com/projects/district-one-naya-residences-by-nakheel-download-brochure/</t>
        </is>
      </c>
      <c r="Z1080" t="inlineStr">
        <is>
          <t>web_added</t>
        </is>
      </c>
      <c r="AA1080" t="inlineStr">
        <is>
          <t>2026-03-18</t>
        </is>
      </c>
    </row>
    <row r="1081">
      <c r="A1081" t="n">
        <v>1080</v>
      </c>
      <c r="B1081" t="n">
        <v>544</v>
      </c>
      <c r="C1081" t="inlineStr">
        <is>
          <t>Rixos Hotel &amp; Residences Dubai Islands</t>
        </is>
      </c>
      <c r="D1081" t="inlineStr">
        <is>
          <t>Nakheel Properties</t>
        </is>
      </c>
      <c r="E1081" t="inlineStr">
        <is>
          <t>Dubai Islands</t>
        </is>
      </c>
      <c r="F1081" t="inlineStr">
        <is>
          <t>Apartments, Duplexes, Beach Houses &amp; Villas</t>
        </is>
      </c>
      <c r="G1081" t="inlineStr">
        <is>
          <t>Branded Waterfront / Resort</t>
        </is>
      </c>
      <c r="H1081" t="inlineStr">
        <is>
          <t>2.6M</t>
        </is>
      </c>
      <c r="I1081" t="inlineStr">
        <is>
          <t>TBA</t>
        </is>
      </c>
      <c r="J1081" t="inlineStr">
        <is>
          <t>TBA</t>
        </is>
      </c>
      <c r="K1081" t="inlineStr">
        <is>
          <t>80/20</t>
        </is>
      </c>
      <c r="L1081" t="inlineStr">
        <is>
          <t>Q3 2023</t>
        </is>
      </c>
      <c r="M1081" t="inlineStr">
        <is>
          <t>4.5-6.0</t>
        </is>
      </c>
      <c r="N1081" t="inlineStr">
        <is>
          <t>4-7</t>
        </is>
      </c>
      <c r="O1081" t="inlineStr">
        <is>
          <t>8.5-13.0</t>
        </is>
      </c>
      <c r="P1081" t="inlineStr">
        <is>
          <t>The Elite English School / Deira Intl</t>
        </is>
      </c>
      <c r="Q1081" t="inlineStr">
        <is>
          <t>Dubai Hospital</t>
        </is>
      </c>
      <c r="R1081" t="inlineStr">
        <is>
          <t>Souk Al Marfa / Deira City Centre</t>
        </is>
      </c>
      <c r="S1081" t="inlineStr">
        <is>
          <t>Infinity Bridge / Al Khaleej Rd</t>
        </is>
      </c>
      <c r="T1081" t="n">
        <v>25</v>
      </c>
      <c r="U1081" t="n">
        <v>35</v>
      </c>
      <c r="V1081" t="n">
        <v>20</v>
      </c>
      <c r="W1081" t="n">
        <v>55</v>
      </c>
      <c r="X1081" t="inlineStr">
        <is>
          <t>web_added_2026-03-18</t>
        </is>
      </c>
      <c r="Y1081" t="inlineStr">
        <is>
          <t>https://www.propjunction.ae/projects/nakheel-rixos-dubai-islands-payment-plan</t>
        </is>
      </c>
      <c r="Z1081" t="inlineStr">
        <is>
          <t>web_added</t>
        </is>
      </c>
      <c r="AA1081" t="inlineStr">
        <is>
          <t>2026-03-18</t>
        </is>
      </c>
    </row>
    <row r="1082">
      <c r="A1082" t="n">
        <v>1081</v>
      </c>
      <c r="B1082" t="n">
        <v>545</v>
      </c>
      <c r="C1082" t="inlineStr">
        <is>
          <t>Palm Beach Towers</t>
        </is>
      </c>
      <c r="D1082" t="inlineStr">
        <is>
          <t>Nakheel Properties</t>
        </is>
      </c>
      <c r="E1082" t="inlineStr">
        <is>
          <t>Palm Jumeirah</t>
        </is>
      </c>
      <c r="F1082" t="inlineStr">
        <is>
          <t>Apartments</t>
        </is>
      </c>
      <c r="G1082" t="inlineStr">
        <is>
          <t>Waterfront / High-Rise</t>
        </is>
      </c>
      <c r="H1082" t="inlineStr">
        <is>
          <t>3.6M</t>
        </is>
      </c>
      <c r="I1082" t="inlineStr">
        <is>
          <t>TBA</t>
        </is>
      </c>
      <c r="J1082" t="inlineStr">
        <is>
          <t>TBA</t>
        </is>
      </c>
      <c r="K1082" t="inlineStr">
        <is>
          <t>10/70/20</t>
        </is>
      </c>
      <c r="L1082" t="inlineStr">
        <is>
          <t>Q4 2022</t>
        </is>
      </c>
      <c r="M1082" t="inlineStr">
        <is>
          <t>4.0-5.0</t>
        </is>
      </c>
      <c r="N1082" t="inlineStr">
        <is>
          <t>3-6</t>
        </is>
      </c>
      <c r="O1082" t="inlineStr">
        <is>
          <t>7.0-11.0</t>
        </is>
      </c>
      <c r="P1082" t="inlineStr">
        <is>
          <t>GEMS Wellington Intl / Dubai College</t>
        </is>
      </c>
      <c r="Q1082" t="inlineStr">
        <is>
          <t>Al Zahra / Saudi German</t>
        </is>
      </c>
      <c r="R1082" t="inlineStr">
        <is>
          <t>Nakheel Mall / Dubai Marina Mall</t>
        </is>
      </c>
      <c r="S1082" t="inlineStr">
        <is>
          <t>Sheikh Zayed Rd / Palm Monorail</t>
        </is>
      </c>
      <c r="T1082" t="n">
        <v>20</v>
      </c>
      <c r="U1082" t="n">
        <v>5</v>
      </c>
      <c r="V1082" t="n">
        <v>30</v>
      </c>
      <c r="W1082" t="n">
        <v>45</v>
      </c>
      <c r="X1082" t="inlineStr">
        <is>
          <t>web_added_2026-03-18</t>
        </is>
      </c>
      <c r="Y1082" t="inlineStr">
        <is>
          <t>https://eplogoffplan.com/projects/palm-beach-towers-3-at-palm-jumeirah/paymentplan-details</t>
        </is>
      </c>
      <c r="Z1082" t="inlineStr">
        <is>
          <t>web_added</t>
        </is>
      </c>
      <c r="AA1082" t="inlineStr">
        <is>
          <t>2026-03-18</t>
        </is>
      </c>
    </row>
    <row r="1083">
      <c r="A1083" t="n">
        <v>1082</v>
      </c>
      <c r="B1083" t="n">
        <v>546</v>
      </c>
      <c r="C1083" t="inlineStr">
        <is>
          <t>The Heights Country Club &amp; Wellness</t>
        </is>
      </c>
      <c r="D1083" t="inlineStr">
        <is>
          <t>Emaar Properties</t>
        </is>
      </c>
      <c r="E1083" t="inlineStr">
        <is>
          <t>Dubai South</t>
        </is>
      </c>
      <c r="F1083" t="inlineStr">
        <is>
          <t>Townhouses &amp; Villas</t>
        </is>
      </c>
      <c r="G1083" t="inlineStr">
        <is>
          <t>Wellness / Master Community</t>
        </is>
      </c>
      <c r="H1083" t="inlineStr">
        <is>
          <t>2.49M</t>
        </is>
      </c>
      <c r="I1083" t="inlineStr">
        <is>
          <t>TBA</t>
        </is>
      </c>
      <c r="J1083" t="inlineStr">
        <is>
          <t>TBA</t>
        </is>
      </c>
      <c r="K1083" t="inlineStr">
        <is>
          <t>80/20</t>
        </is>
      </c>
      <c r="L1083" t="inlineStr">
        <is>
          <t>Q1 2026</t>
        </is>
      </c>
      <c r="M1083" t="inlineStr">
        <is>
          <t>4.0-5.0</t>
        </is>
      </c>
      <c r="N1083" t="inlineStr">
        <is>
          <t>3-6</t>
        </is>
      </c>
      <c r="O1083" t="inlineStr">
        <is>
          <t>7.0-11.0</t>
        </is>
      </c>
      <c r="P1083" t="inlineStr">
        <is>
          <t>Greenfield Intl / Bright Riders</t>
        </is>
      </c>
      <c r="Q1083" t="inlineStr">
        <is>
          <t>NMC Royal DIP / Al Maktoum Hospital</t>
        </is>
      </c>
      <c r="R1083" t="inlineStr">
        <is>
          <t>Expo City / Ibn Battuta Mall</t>
        </is>
      </c>
      <c r="S1083" t="inlineStr">
        <is>
          <t>Emirates Rd / Expo Rd</t>
        </is>
      </c>
      <c r="T1083" t="n">
        <v>35</v>
      </c>
      <c r="U1083" t="n">
        <v>25</v>
      </c>
      <c r="V1083" t="n">
        <v>35</v>
      </c>
      <c r="W1083" t="n">
        <v>15</v>
      </c>
      <c r="X1083" t="inlineStr">
        <is>
          <t>web_added_2026-03-18</t>
        </is>
      </c>
      <c r="Y1083" t="inlineStr">
        <is>
          <t>https://eplogoffplan.com/projects/the-heights-country-club-and-wellness-by-emaar/paymentplan-details</t>
        </is>
      </c>
      <c r="Z1083" t="inlineStr">
        <is>
          <t>web_added</t>
        </is>
      </c>
      <c r="AA1083" t="inlineStr">
        <is>
          <t>2026-03-18</t>
        </is>
      </c>
    </row>
    <row r="1084">
      <c r="A1084" t="n">
        <v>1083</v>
      </c>
      <c r="B1084" t="n">
        <v>547</v>
      </c>
      <c r="C1084" t="inlineStr">
        <is>
          <t>Dubai Mansions</t>
        </is>
      </c>
      <c r="D1084" t="inlineStr">
        <is>
          <t>Emaar Properties</t>
        </is>
      </c>
      <c r="E1084" t="inlineStr">
        <is>
          <t>Emaar Hills / Dubai Hills Estate</t>
        </is>
      </c>
      <c r="F1084" t="inlineStr">
        <is>
          <t>Mansions</t>
        </is>
      </c>
      <c r="G1084" t="inlineStr">
        <is>
          <t>Ultra-Luxury / Golf-Adjacent</t>
        </is>
      </c>
      <c r="H1084" t="inlineStr">
        <is>
          <t>TBA</t>
        </is>
      </c>
      <c r="I1084" t="inlineStr">
        <is>
          <t>TBA</t>
        </is>
      </c>
      <c r="J1084" t="inlineStr">
        <is>
          <t>TBA</t>
        </is>
      </c>
      <c r="K1084" t="inlineStr">
        <is>
          <t>TBA</t>
        </is>
      </c>
      <c r="L1084" t="inlineStr">
        <is>
          <t>Q3 2025</t>
        </is>
      </c>
      <c r="M1084" t="inlineStr">
        <is>
          <t>2.5-3.5</t>
        </is>
      </c>
      <c r="N1084" t="inlineStr">
        <is>
          <t>4-7</t>
        </is>
      </c>
      <c r="O1084" t="inlineStr">
        <is>
          <t>6.5-10.5</t>
        </is>
      </c>
      <c r="P1084" t="inlineStr">
        <is>
          <t>GEMS Wellington / King’s School Al Barsha</t>
        </is>
      </c>
      <c r="Q1084" t="inlineStr">
        <is>
          <t>King’s College Hospital / Mediclinic Parkview</t>
        </is>
      </c>
      <c r="R1084" t="inlineStr">
        <is>
          <t>Dubai Hills Mall / Mall of the Emirates</t>
        </is>
      </c>
      <c r="S1084" t="inlineStr">
        <is>
          <t>Al Khail Rd / Umm Suqeim St</t>
        </is>
      </c>
      <c r="T1084" t="n">
        <v>20</v>
      </c>
      <c r="U1084" t="n">
        <v>15</v>
      </c>
      <c r="V1084" t="n">
        <v>25</v>
      </c>
      <c r="W1084" t="n">
        <v>35</v>
      </c>
      <c r="X1084" t="inlineStr">
        <is>
          <t>web_added_2026-03-18</t>
        </is>
      </c>
      <c r="Y1084" t="inlineStr">
        <is>
          <t>https://properties.emaar.com/en/press-release-listing/emaar-to-reveal-its-iconic-ultra-luxury-address-dubai-mansions/</t>
        </is>
      </c>
      <c r="Z1084" t="inlineStr">
        <is>
          <t>web_added</t>
        </is>
      </c>
      <c r="AA1084" t="inlineStr">
        <is>
          <t>2026-03-18</t>
        </is>
      </c>
    </row>
  </sheetData>
  <autoFilter ref="A1:AA10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8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Units</t>
        </is>
      </c>
      <c r="D1" s="1" t="inlineStr">
        <is>
          <t>Description</t>
        </is>
      </c>
    </row>
    <row r="2">
      <c r="A2" t="inlineStr">
        <is>
          <t>Mainstream_12M_Base</t>
        </is>
      </c>
      <c r="B2" s="13" t="n">
        <v>0.01</v>
      </c>
      <c r="C2" t="inlineStr">
        <is>
          <t>pct</t>
        </is>
      </c>
      <c r="D2" t="inlineStr">
        <is>
          <t>Base 12M forecast for mainstream/selective stock</t>
        </is>
      </c>
    </row>
    <row r="3">
      <c r="A3" t="inlineStr">
        <is>
          <t>Prime_12M_Base</t>
        </is>
      </c>
      <c r="B3" s="13" t="n">
        <v>0.03</v>
      </c>
      <c r="C3" t="inlineStr">
        <is>
          <t>pct</t>
        </is>
      </c>
      <c r="D3" t="inlineStr">
        <is>
          <t>Prime segment 12M forecast</t>
        </is>
      </c>
    </row>
    <row r="4">
      <c r="A4" t="inlineStr">
        <is>
          <t>VillaTownhouse_12M_Base</t>
        </is>
      </c>
      <c r="B4" s="13" t="n">
        <v>0.025</v>
      </c>
      <c r="C4" t="inlineStr">
        <is>
          <t>pct</t>
        </is>
      </c>
      <c r="D4" t="inlineStr">
        <is>
          <t>Villa/townhouse 12M forecast</t>
        </is>
      </c>
    </row>
    <row r="5">
      <c r="A5" t="inlineStr">
        <is>
          <t>SupplySensitiveApartment_12M_Base</t>
        </is>
      </c>
      <c r="B5" s="13" t="n">
        <v>-0.01</v>
      </c>
      <c r="C5" t="inlineStr">
        <is>
          <t>pct</t>
        </is>
      </c>
      <c r="D5" t="inlineStr">
        <is>
          <t>Supply-heavy affordable apartment 12M forecast</t>
        </is>
      </c>
    </row>
    <row r="6">
      <c r="A6" t="inlineStr">
        <is>
          <t>UrbanCore_12M_Base</t>
        </is>
      </c>
      <c r="B6" s="13" t="n">
        <v>0.01</v>
      </c>
      <c r="C6" t="inlineStr">
        <is>
          <t>pct</t>
        </is>
      </c>
      <c r="D6" t="inlineStr">
        <is>
          <t>Urban core 12M forecast</t>
        </is>
      </c>
    </row>
    <row r="7">
      <c r="A7" t="inlineStr">
        <is>
          <t>TopTierDeveloper_Premium_12M</t>
        </is>
      </c>
      <c r="B7" s="13" t="n">
        <v>0.005</v>
      </c>
      <c r="C7" t="inlineStr">
        <is>
          <t>pct</t>
        </is>
      </c>
      <c r="D7" t="inlineStr">
        <is>
          <t>Quality developer premium</t>
        </is>
      </c>
    </row>
    <row r="8">
      <c r="A8" t="inlineStr">
        <is>
          <t>MidTierDeveloper_Discount_12M</t>
        </is>
      </c>
      <c r="B8" s="13" t="n">
        <v>-0.005</v>
      </c>
      <c r="C8" t="inlineStr">
        <is>
          <t>pct</t>
        </is>
      </c>
      <c r="D8" t="inlineStr">
        <is>
          <t>Selective market discount</t>
        </is>
      </c>
    </row>
    <row r="9">
      <c r="A9" t="inlineStr">
        <is>
          <t>Yield_Bonus_Above6pct</t>
        </is>
      </c>
      <c r="B9" s="13" t="n">
        <v>0.0025</v>
      </c>
      <c r="C9" t="inlineStr">
        <is>
          <t>pct</t>
        </is>
      </c>
      <c r="D9" t="inlineStr">
        <is>
          <t>Slight bonus for stronger-yielding stock</t>
        </is>
      </c>
    </row>
    <row r="10">
      <c r="A10" t="inlineStr">
        <is>
          <t>Rate_And_Geopolitical_Drag_12M</t>
        </is>
      </c>
      <c r="B10" s="13" t="n">
        <v>-0.005</v>
      </c>
      <c r="C10" t="inlineStr">
        <is>
          <t>pct</t>
        </is>
      </c>
      <c r="D10" t="inlineStr">
        <is>
          <t>Current risk/rate drag</t>
        </is>
      </c>
    </row>
    <row r="11">
      <c r="A11" t="inlineStr">
        <is>
          <t>Value_Range_Low_Spread</t>
        </is>
      </c>
      <c r="B11" s="13" t="n">
        <v>-0.03</v>
      </c>
      <c r="C11" t="inlineStr">
        <is>
          <t>pct</t>
        </is>
      </c>
      <c r="D11" t="inlineStr">
        <is>
          <t>Low band spread</t>
        </is>
      </c>
    </row>
    <row r="12">
      <c r="A12" t="inlineStr">
        <is>
          <t>Value_Range_High_Spread</t>
        </is>
      </c>
      <c r="B12" s="13" t="n">
        <v>0.03</v>
      </c>
      <c r="C12" t="inlineStr">
        <is>
          <t>pct</t>
        </is>
      </c>
      <c r="D12" t="inlineStr">
        <is>
          <t>High band spread</t>
        </is>
      </c>
    </row>
  </sheetData>
  <autoFilter ref="A1:D12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</cols>
  <sheetData>
    <row r="1">
      <c r="A1" s="1" t="inlineStr">
        <is>
          <t>Workbook purpose</t>
        </is>
      </c>
      <c r="B1" s="1" t="inlineStr">
        <is>
          <t>One workbook preserving all source rows in Raw plus a canonical deduped master with enrichment columns added.</t>
        </is>
      </c>
    </row>
    <row r="2">
      <c r="A2" t="inlineStr">
        <is>
          <t>Current value logic</t>
        </is>
      </c>
      <c r="B2" t="inlineStr">
        <is>
          <t>Start-price anchor adjusted by a conservative share of listed cap-app range, based on launch timing and small segment-quality modifiers.</t>
        </is>
      </c>
    </row>
    <row r="3">
      <c r="A3" t="inlineStr">
        <is>
          <t>12M forecast logic</t>
        </is>
      </c>
      <c r="B3" t="inlineStr">
        <is>
          <t>Segment base forecast + developer adjustment + yield adjustment + current risk drag.</t>
        </is>
      </c>
    </row>
    <row r="4">
      <c r="A4" t="inlineStr">
        <is>
          <t>24M forecast logic</t>
        </is>
      </c>
      <c r="B4" t="inlineStr">
        <is>
          <t>12M base forecast compounded for a second year.</t>
        </is>
      </c>
    </row>
    <row r="5">
      <c r="A5" t="inlineStr">
        <is>
          <t>Caveat</t>
        </is>
      </c>
      <c r="B5" t="inlineStr">
        <is>
          <t>These are indicative model values, not live appraisals. Always verify against DLD comps, tower quality, service charges, handover status, and current inventory.</t>
        </is>
      </c>
    </row>
  </sheetData>
  <autoFilter ref="A1:B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1" t="inlineStr">
        <is>
          <t>Source_ID</t>
        </is>
      </c>
      <c r="B1" s="1" t="inlineStr">
        <is>
          <t>URL</t>
        </is>
      </c>
      <c r="C1" s="1" t="inlineStr">
        <is>
          <t>Why it matters</t>
        </is>
      </c>
    </row>
    <row r="2">
      <c r="A2" t="inlineStr">
        <is>
          <t>DLD_Rental_2025</t>
        </is>
      </c>
      <c r="B2" t="inlineStr">
        <is>
          <t>https://dubailand.gov.ae/en/news-media/dubai-s-rental-sector-records-strong-growth-in-2025-underscoring-market-stability-and-the-strength-of-the-emirate-s-real-estate-ecosystem/</t>
        </is>
      </c>
      <c r="C2" t="inlineStr">
        <is>
          <t>Rental/tenancy backdrop</t>
        </is>
      </c>
    </row>
    <row r="3">
      <c r="A3" t="inlineStr">
        <is>
          <t>DLD_Brokerage_2025</t>
        </is>
      </c>
      <c r="B3" t="inlineStr">
        <is>
          <t>https://dubailand.gov.ae/en/news-media/dubai-s-real-estate-brokerage-sector-witnessed-a-notable-transformation-in-scale-and-impact-in-2025-reaffirming-its-position-as-a-key-regulatory-and-economic-driver-within-the-real-estate-ecosystem-this-development-was-driven-by-higher-leve/</t>
        </is>
      </c>
      <c r="C3" t="inlineStr">
        <is>
          <t>Competition / execution backdrop</t>
        </is>
      </c>
    </row>
    <row r="4">
      <c r="A4" t="inlineStr">
        <is>
          <t>DigitalDubai_GDP_9M2025</t>
        </is>
      </c>
      <c r="B4" t="inlineStr">
        <is>
          <t>https://www.digitaldubai.ae/newsroom/news/dubai-s-economy-records-aed355-billion-gdp-in-first-nine-months-of-2025-posting-4.7-growth</t>
        </is>
      </c>
      <c r="C4" t="inlineStr">
        <is>
          <t>Macro backdrop</t>
        </is>
      </c>
    </row>
    <row r="5">
      <c r="A5" t="inlineStr">
        <is>
          <t>CBUAE_Rates</t>
        </is>
      </c>
      <c r="B5" t="inlineStr">
        <is>
          <t>https://centralbank.ae/umbraco/Surface/InterestRate/GetKeyInterestRate</t>
        </is>
      </c>
      <c r="C5" t="inlineStr">
        <is>
          <t>Rate context</t>
        </is>
      </c>
    </row>
    <row r="6">
      <c r="A6" t="inlineStr">
        <is>
          <t>Savills_2026</t>
        </is>
      </c>
      <c r="B6" t="inlineStr">
        <is>
          <t>https://www.savills.com/insight-and-opinion/savills-news/386526/dubai-residential-market-sees-another-record-breaking-year-in-2025</t>
        </is>
      </c>
      <c r="C6" t="inlineStr">
        <is>
          <t>Selective / differentiated 2026 framing</t>
        </is>
      </c>
    </row>
    <row r="7">
      <c r="A7" t="inlineStr">
        <is>
          <t>GPG_KF_REIDIN</t>
        </is>
      </c>
      <c r="B7" t="inlineStr">
        <is>
          <t>https://www.globalpropertyguide.com/middle-east/united-arab-emirates/price-history</t>
        </is>
      </c>
      <c r="C7" t="inlineStr">
        <is>
          <t>2025 price trends and Knight Frank 2026 quote</t>
        </is>
      </c>
    </row>
    <row r="8">
      <c r="A8" t="inlineStr">
        <is>
          <t>Moodys_Supply</t>
        </is>
      </c>
      <c r="B8" t="inlineStr">
        <is>
          <t>https://gulfnews.com/business/property/dubais-growing-population-set-to-sustain-property-momentum-analysts-say-1.500457427</t>
        </is>
      </c>
      <c r="C8" t="inlineStr">
        <is>
          <t>Supply-sensitive apartment vs villa divergence</t>
        </is>
      </c>
    </row>
    <row r="9">
      <c r="A9" t="inlineStr">
        <is>
          <t>Reuters_2026-03-17</t>
        </is>
      </c>
      <c r="B9" t="inlineStr">
        <is>
          <t>https://www.reuters.com/world/middle-east/uae-stocks-slip-after-fresh-iran-attacks-2026-03-17/</t>
        </is>
      </c>
      <c r="C9" t="inlineStr">
        <is>
          <t>Current geopolitical / sentiment overlay</t>
        </is>
      </c>
    </row>
    <row r="10">
      <c r="A10" t="inlineStr">
        <is>
          <t>City Walk Crestlane</t>
        </is>
      </c>
      <c r="B10" t="inlineStr">
        <is>
          <t>https://eplogoffplan.com/projects/city-walk-crestlane-by-meraas-apartments/paymentplan-details</t>
        </is>
      </c>
      <c r="C10" t="inlineStr">
        <is>
          <t>New project added on 2026-03-18</t>
        </is>
      </c>
    </row>
    <row r="11">
      <c r="A11" t="inlineStr">
        <is>
          <t>The Edit at d3</t>
        </is>
      </c>
      <c r="B11" t="inlineStr">
        <is>
          <t>https://www.engelvoelkers.com/ae/en/off-plan/the-edit-d3</t>
        </is>
      </c>
      <c r="C11" t="inlineStr">
        <is>
          <t>New project added on 2026-03-18</t>
        </is>
      </c>
    </row>
    <row r="12">
      <c r="A12" t="inlineStr">
        <is>
          <t>Jumeirah Residences Emirates Towers</t>
        </is>
      </c>
      <c r="B12" t="inlineStr">
        <is>
          <t>https://metropolitan.realestate/sheikh-zayed-road/jumeirah-residences-emirates-towers/</t>
        </is>
      </c>
      <c r="C12" t="inlineStr">
        <is>
          <t>New project added on 2026-03-18</t>
        </is>
      </c>
    </row>
    <row r="13">
      <c r="A13" t="inlineStr">
        <is>
          <t>Atélis at d3</t>
        </is>
      </c>
      <c r="B13" t="inlineStr">
        <is>
          <t>https://www.sekene.com/off-plane/atelis-at-d3/</t>
        </is>
      </c>
      <c r="C13" t="inlineStr">
        <is>
          <t>New project added on 2026-03-18</t>
        </is>
      </c>
    </row>
    <row r="14">
      <c r="A14" t="inlineStr">
        <is>
          <t>Jumeirah Asora Bay</t>
        </is>
      </c>
      <c r="B14" t="inlineStr">
        <is>
          <t>https://eplogoffplan.com/projects/jumeirah-asora-bay-by-meraas-apartment/paymentplan-details</t>
        </is>
      </c>
      <c r="C14" t="inlineStr">
        <is>
          <t>New project added on 2026-03-18</t>
        </is>
      </c>
    </row>
    <row r="15">
      <c r="A15" t="inlineStr">
        <is>
          <t>The Acres Villas</t>
        </is>
      </c>
      <c r="B15" t="inlineStr">
        <is>
          <t>https://eplogoffplan.com/projects/acres-by-meraas-villas-dubailand/paymentplan-details</t>
        </is>
      </c>
      <c r="C15" t="inlineStr">
        <is>
          <t>New project added on 2026-03-18</t>
        </is>
      </c>
    </row>
    <row r="16">
      <c r="A16" t="inlineStr">
        <is>
          <t>District One Naya Residences</t>
        </is>
      </c>
      <c r="B16" t="inlineStr">
        <is>
          <t>https://www.proprain.com/projects/district-one-naya-residences-by-nakheel-download-brochure/</t>
        </is>
      </c>
      <c r="C16" t="inlineStr">
        <is>
          <t>New project added on 2026-03-18</t>
        </is>
      </c>
    </row>
    <row r="17">
      <c r="A17" t="inlineStr">
        <is>
          <t>Rixos Hotel &amp; Residences Dubai Islands</t>
        </is>
      </c>
      <c r="B17" t="inlineStr">
        <is>
          <t>https://www.propjunction.ae/projects/nakheel-rixos-dubai-islands-payment-plan</t>
        </is>
      </c>
      <c r="C17" t="inlineStr">
        <is>
          <t>New project added on 2026-03-18</t>
        </is>
      </c>
    </row>
    <row r="18">
      <c r="A18" t="inlineStr">
        <is>
          <t>Palm Beach Towers</t>
        </is>
      </c>
      <c r="B18" t="inlineStr">
        <is>
          <t>https://eplogoffplan.com/projects/palm-beach-towers-3-at-palm-jumeirah/paymentplan-details</t>
        </is>
      </c>
      <c r="C18" t="inlineStr">
        <is>
          <t>New project added on 2026-03-18</t>
        </is>
      </c>
    </row>
    <row r="19">
      <c r="A19" t="inlineStr">
        <is>
          <t>The Heights Country Club &amp; Wellness</t>
        </is>
      </c>
      <c r="B19" t="inlineStr">
        <is>
          <t>https://eplogoffplan.com/projects/the-heights-country-club-and-wellness-by-emaar/paymentplan-details</t>
        </is>
      </c>
      <c r="C19" t="inlineStr">
        <is>
          <t>New project added on 2026-03-18</t>
        </is>
      </c>
    </row>
    <row r="20">
      <c r="A20" t="inlineStr">
        <is>
          <t>Dubai Mansions</t>
        </is>
      </c>
      <c r="B20" t="inlineStr">
        <is>
          <t>https://properties.emaar.com/en/press-release-listing/emaar-to-reveal-its-iconic-ultra-luxury-address-dubai-mansions/</t>
        </is>
      </c>
      <c r="C20" t="inlineStr">
        <is>
          <t>New project added on 2026-03-18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2026-03-17T14:46:09Z</dcterms:created>
  <dcterms:modified xmlns:dcterms="http://purl.org/dc/terms/" xmlns:xsi="http://www.w3.org/2001/XMLSchema-instance" xsi:type="dcterms:W3CDTF">2026-03-18T08:28:07Z</dcterms:modified>
</cp:coreProperties>
</file>